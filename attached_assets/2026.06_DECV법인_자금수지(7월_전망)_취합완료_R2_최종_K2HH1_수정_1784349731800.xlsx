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D:\2. 해외근무\베트남\DECV\0. 업무폴더\1. DECV결산\9. 2026년\6월\자금수지\"/>
    </mc:Choice>
  </mc:AlternateContent>
  <xr:revisionPtr revIDLastSave="0" documentId="13_ncr:1_{E268E49A-B98C-4E6D-BFED-2B5F2D1E9EF3}" xr6:coauthVersionLast="47" xr6:coauthVersionMax="47" xr10:uidLastSave="{00000000-0000-0000-0000-000000000000}"/>
  <bookViews>
    <workbookView xWindow="28680" yWindow="-120" windowWidth="29040" windowHeight="15720" tabRatio="921" activeTab="1" xr2:uid="{00000000-000D-0000-FFFF-FFFF00000000}"/>
  </bookViews>
  <sheets>
    <sheet name="EPA_자동계산" sheetId="53" r:id="rId1"/>
    <sheet name="자금수지(FS)_작성시트" sheetId="56" r:id="rId2"/>
    <sheet name="자금수지(FS)_작성시트(디폴트)(B1CC4 선수금 제외" sheetId="69" state="hidden" r:id="rId3"/>
    <sheet name="Sheet2" sheetId="64" state="hidden" r:id="rId4"/>
    <sheet name="K8HH1 이연 시 " sheetId="59" state="hidden" r:id="rId5"/>
    <sheet name="사업별 스케쥴 (2)" sheetId="57" state="hidden" r:id="rId6"/>
    <sheet name="개발사업 투심현황" sheetId="58" state="hidden" r:id="rId7"/>
    <sheet name="정기집행일" sheetId="50" state="hidden" r:id="rId8"/>
    <sheet name="Sheet4" sheetId="62" state="hidden" r:id="rId9"/>
    <sheet name="Sheet1" sheetId="63" state="hidden" r:id="rId10"/>
  </sheets>
  <externalReferences>
    <externalReference r:id="rId11"/>
  </externalReferences>
  <definedNames>
    <definedName name="___A9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A9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j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j1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soc2" localSheetId="6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___soc2" localSheetId="5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___soc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__1__123Graph_A차트_1" localSheetId="4" hidden="1">#REF!</definedName>
    <definedName name="__1__123Graph_A차트_1" localSheetId="1" hidden="1">#REF!</definedName>
    <definedName name="__1__123Graph_A차트_1" localSheetId="2" hidden="1">#REF!</definedName>
    <definedName name="__1__123Graph_A차트_1" hidden="1">#REF!</definedName>
    <definedName name="__2__123Graph_B차트_1" localSheetId="4" hidden="1">#REF!</definedName>
    <definedName name="__2__123Graph_B차트_1" localSheetId="1" hidden="1">#REF!</definedName>
    <definedName name="__2__123Graph_B차트_1" localSheetId="2" hidden="1">#REF!</definedName>
    <definedName name="__2__123Graph_B차트_1" hidden="1">#REF!</definedName>
    <definedName name="__A9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A9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j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j1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" localSheetId="4">#REF!</definedName>
    <definedName name="_1" localSheetId="1">#REF!</definedName>
    <definedName name="_1" localSheetId="2">#REF!</definedName>
    <definedName name="_1">#REF!</definedName>
    <definedName name="_1__123Graph_A차트_1" localSheetId="4" hidden="1">#REF!</definedName>
    <definedName name="_1__123Graph_A차트_1" localSheetId="1" hidden="1">#REF!</definedName>
    <definedName name="_1__123Graph_A차트_1" localSheetId="2" hidden="1">#REF!</definedName>
    <definedName name="_1__123Graph_A차트_1" hidden="1">#REF!</definedName>
    <definedName name="_10_0R" localSheetId="4">#REF!</definedName>
    <definedName name="_10_0R" localSheetId="1">#REF!</definedName>
    <definedName name="_10_0R" localSheetId="2">#REF!</definedName>
    <definedName name="_10_0R">#REF!</definedName>
    <definedName name="_11_10" localSheetId="4">#REF!</definedName>
    <definedName name="_11_10" localSheetId="1">#REF!</definedName>
    <definedName name="_11_10" localSheetId="2">#REF!</definedName>
    <definedName name="_11_10">#REF!</definedName>
    <definedName name="_12_11" localSheetId="4">#REF!</definedName>
    <definedName name="_12_11" localSheetId="1">#REF!</definedName>
    <definedName name="_12_11" localSheetId="2">#REF!</definedName>
    <definedName name="_12_11">#REF!</definedName>
    <definedName name="_13_6" localSheetId="4">#REF!</definedName>
    <definedName name="_13_6" localSheetId="1">#REF!</definedName>
    <definedName name="_13_6" localSheetId="2">#REF!</definedName>
    <definedName name="_13_6">#REF!</definedName>
    <definedName name="_14_7" localSheetId="4">#REF!</definedName>
    <definedName name="_14_7" localSheetId="1">#REF!</definedName>
    <definedName name="_14_7" localSheetId="2">#REF!</definedName>
    <definedName name="_14_7">#REF!</definedName>
    <definedName name="_14A9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4A9_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5_8" localSheetId="4">#REF!</definedName>
    <definedName name="_15_8" localSheetId="1">#REF!</definedName>
    <definedName name="_15_8" localSheetId="2">#REF!</definedName>
    <definedName name="_15_8">#REF!</definedName>
    <definedName name="_15A9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5A9_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5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8_8_0R" localSheetId="4">#REF!</definedName>
    <definedName name="_18_8_0R" localSheetId="1">#REF!</definedName>
    <definedName name="_18_8_0R" localSheetId="2">#REF!</definedName>
    <definedName name="_18_8_0R">#REF!</definedName>
    <definedName name="_18j1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8j1_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9_9" localSheetId="4">#REF!</definedName>
    <definedName name="_19_9" localSheetId="1">#REF!</definedName>
    <definedName name="_19_9" localSheetId="2">#REF!</definedName>
    <definedName name="_19_9">#REF!</definedName>
    <definedName name="_1C_" localSheetId="4">#REF!</definedName>
    <definedName name="_1C_" localSheetId="1">#REF!</definedName>
    <definedName name="_1C_" localSheetId="2">#REF!</definedName>
    <definedName name="_1C_">#REF!</definedName>
    <definedName name="_2">#N/A</definedName>
    <definedName name="_2__123Graph_B차트_1" localSheetId="4" hidden="1">#REF!</definedName>
    <definedName name="_2__123Graph_B차트_1" localSheetId="1" hidden="1">#REF!</definedName>
    <definedName name="_2__123Graph_B차트_1" localSheetId="2" hidden="1">#REF!</definedName>
    <definedName name="_2__123Graph_B차트_1" hidden="1">#REF!</definedName>
    <definedName name="_20j1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0j1_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0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2B_0R" localSheetId="4">#REF!</definedName>
    <definedName name="_22B_0R" localSheetId="1">#REF!</definedName>
    <definedName name="_22B_0R" localSheetId="2">#REF!</definedName>
    <definedName name="_22B_0R">#REF!</definedName>
    <definedName name="_23C_" localSheetId="4">#REF!</definedName>
    <definedName name="_23C_" localSheetId="1">#REF!</definedName>
    <definedName name="_23C_" localSheetId="2">#REF!</definedName>
    <definedName name="_23C_">#REF!</definedName>
    <definedName name="_26D_0R" localSheetId="4">#REF!</definedName>
    <definedName name="_26D_0R" localSheetId="1">#REF!</definedName>
    <definedName name="_26D_0R" localSheetId="2">#REF!</definedName>
    <definedName name="_26D_0R">#REF!</definedName>
    <definedName name="_28A9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8A9_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8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">#N/A</definedName>
    <definedName name="_3__123Graph_C차트_1" localSheetId="4" hidden="1">#REF!</definedName>
    <definedName name="_3__123Graph_C차트_1" localSheetId="1" hidden="1">#REF!</definedName>
    <definedName name="_3__123Graph_C차트_1" localSheetId="2" hidden="1">#REF!</definedName>
    <definedName name="_3__123Graph_C차트_1" hidden="1">#REF!</definedName>
    <definedName name="_4">#N/A</definedName>
    <definedName name="_4__123Graph_X차트_1" localSheetId="4" hidden="1">#REF!</definedName>
    <definedName name="_4__123Graph_X차트_1" localSheetId="1" hidden="1">#REF!</definedName>
    <definedName name="_4__123Graph_X차트_1" localSheetId="2" hidden="1">#REF!</definedName>
    <definedName name="_4__123Graph_X차트_1" hidden="1">#REF!</definedName>
    <definedName name="_4_0R" localSheetId="4">#REF!</definedName>
    <definedName name="_4_0R" localSheetId="1">#REF!</definedName>
    <definedName name="_4_0R" localSheetId="2">#REF!</definedName>
    <definedName name="_4_0R">#REF!</definedName>
    <definedName name="_41j1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1j1_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1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4L_0R" localSheetId="4">#REF!</definedName>
    <definedName name="_44L_0R" localSheetId="1">#REF!</definedName>
    <definedName name="_44L_0R" localSheetId="2">#REF!</definedName>
    <definedName name="_44L_0R">#REF!</definedName>
    <definedName name="_47N_0R" localSheetId="4">#REF!</definedName>
    <definedName name="_47N_0R" localSheetId="1">#REF!</definedName>
    <definedName name="_47N_0R" localSheetId="2">#REF!</definedName>
    <definedName name="_47N_0R">#REF!</definedName>
    <definedName name="_5">#N/A</definedName>
    <definedName name="_50P_0R" localSheetId="4">#REF!</definedName>
    <definedName name="_50P_0R" localSheetId="1">#REF!</definedName>
    <definedName name="_50P_0R" localSheetId="2">#REF!</definedName>
    <definedName name="_50P_0R">#REF!</definedName>
    <definedName name="_51j1_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1j1_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1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1P1_" localSheetId="4">#REF!</definedName>
    <definedName name="_51P1_" localSheetId="1">#REF!</definedName>
    <definedName name="_51P1_" localSheetId="2">#REF!</definedName>
    <definedName name="_51P1_">#REF!</definedName>
    <definedName name="_52P2_" localSheetId="4">#REF!</definedName>
    <definedName name="_52P2_" localSheetId="1">#REF!</definedName>
    <definedName name="_52P2_" localSheetId="2">#REF!</definedName>
    <definedName name="_52P2_">#REF!</definedName>
    <definedName name="_53P3_" localSheetId="4">#REF!</definedName>
    <definedName name="_53P3_" localSheetId="1">#REF!</definedName>
    <definedName name="_53P3_" localSheetId="2">#REF!</definedName>
    <definedName name="_53P3_">#REF!</definedName>
    <definedName name="_56P4_" localSheetId="4">#REF!</definedName>
    <definedName name="_56P4_" localSheetId="1">#REF!</definedName>
    <definedName name="_56P4_" localSheetId="2">#REF!</definedName>
    <definedName name="_56P4_">#REF!</definedName>
    <definedName name="_59T_0R" localSheetId="4">#REF!</definedName>
    <definedName name="_59T_0R" localSheetId="1">#REF!</definedName>
    <definedName name="_59T_0R" localSheetId="2">#REF!</definedName>
    <definedName name="_59T_0R">#REF!</definedName>
    <definedName name="_6">#N/A</definedName>
    <definedName name="_62V_0R" localSheetId="4">#REF!</definedName>
    <definedName name="_62V_0R" localSheetId="1">#REF!</definedName>
    <definedName name="_62V_0R" localSheetId="2">#REF!</definedName>
    <definedName name="_62V_0R">#REF!</definedName>
    <definedName name="_65X_0R" localSheetId="4">#REF!</definedName>
    <definedName name="_65X_0R" localSheetId="1">#REF!</definedName>
    <definedName name="_65X_0R" localSheetId="2">#REF!</definedName>
    <definedName name="_65X_0R">#REF!</definedName>
    <definedName name="_7">#N/A</definedName>
    <definedName name="_7_0R" localSheetId="4">#REF!</definedName>
    <definedName name="_7_0R" localSheetId="1">#REF!</definedName>
    <definedName name="_7_0R" localSheetId="2">#REF!</definedName>
    <definedName name="_7_0R">#REF!</definedName>
    <definedName name="_8" localSheetId="4">#REF!</definedName>
    <definedName name="_8" localSheetId="1">#REF!</definedName>
    <definedName name="_8" localSheetId="2">#REF!</definedName>
    <definedName name="_8">#REF!</definedName>
    <definedName name="_A9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A9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Dist_Bin" localSheetId="4" hidden="1">#REF!</definedName>
    <definedName name="_Dist_Bin" localSheetId="1" hidden="1">#REF!</definedName>
    <definedName name="_Dist_Bin" localSheetId="2" hidden="1">#REF!</definedName>
    <definedName name="_Dist_Bin" hidden="1">#REF!</definedName>
    <definedName name="_Dist_Values" localSheetId="4" hidden="1">#REF!</definedName>
    <definedName name="_Dist_Values" localSheetId="1" hidden="1">#REF!</definedName>
    <definedName name="_Dist_Values" localSheetId="2" hidden="1">#REF!</definedName>
    <definedName name="_Dist_Values" hidden="1">#REF!</definedName>
    <definedName name="_xlnm._FilterDatabase" localSheetId="4" hidden="1">#REF!</definedName>
    <definedName name="_xlnm._FilterDatabase" localSheetId="5" hidden="1">'사업별 스케쥴 (2)'!$A$4:$AP$28</definedName>
    <definedName name="_xlnm._FilterDatabase" localSheetId="1" hidden="1">#REF!</definedName>
    <definedName name="_xlnm._FilterDatabase" localSheetId="2" hidden="1">#REF!</definedName>
    <definedName name="_xlnm._FilterDatabase" hidden="1">#REF!</definedName>
    <definedName name="_j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j1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Key1" localSheetId="4" hidden="1">#REF!</definedName>
    <definedName name="_Key1" localSheetId="1" hidden="1">#REF!</definedName>
    <definedName name="_Key1" localSheetId="2" hidden="1">#REF!</definedName>
    <definedName name="_Key1" hidden="1">#REF!</definedName>
    <definedName name="_Key2" localSheetId="4" hidden="1">#REF!</definedName>
    <definedName name="_Key2" localSheetId="1" hidden="1">#REF!</definedName>
    <definedName name="_Key2" localSheetId="2" hidden="1">#REF!</definedName>
    <definedName name="_Key2" hidden="1">#REF!</definedName>
    <definedName name="_NO98" localSheetId="4">#REF!</definedName>
    <definedName name="_NO98" localSheetId="1">#REF!</definedName>
    <definedName name="_NO98" localSheetId="2">#REF!</definedName>
    <definedName name="_NO98">#REF!</definedName>
    <definedName name="_Order1">255</definedName>
    <definedName name="_Order2" hidden="1">0</definedName>
    <definedName name="_Parse_In" localSheetId="4" hidden="1">#REF!</definedName>
    <definedName name="_Parse_In" localSheetId="1" hidden="1">#REF!</definedName>
    <definedName name="_Parse_In" localSheetId="2" hidden="1">#REF!</definedName>
    <definedName name="_Parse_In" hidden="1">#REF!</definedName>
    <definedName name="_pd08" localSheetId="4">#REF!</definedName>
    <definedName name="_pd08" localSheetId="1">#REF!</definedName>
    <definedName name="_pd08" localSheetId="2">#REF!</definedName>
    <definedName name="_pd08">#REF!</definedName>
    <definedName name="_Regression_Int">1</definedName>
    <definedName name="_soc2" localSheetId="6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_soc2" localSheetId="5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_soc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_Sort" hidden="1">#N/A</definedName>
    <definedName name="_XX01" localSheetId="4">#REF!</definedName>
    <definedName name="_XX01" localSheetId="1">#REF!</definedName>
    <definedName name="_XX01" localSheetId="2">#REF!</definedName>
    <definedName name="_XX01">#REF!</definedName>
    <definedName name="_XX02" localSheetId="4">#REF!</definedName>
    <definedName name="_XX02" localSheetId="1">#REF!</definedName>
    <definedName name="_XX02" localSheetId="2">#REF!</definedName>
    <definedName name="_XX02">#REF!</definedName>
    <definedName name="_XX03" localSheetId="4">#REF!</definedName>
    <definedName name="_XX03" localSheetId="1">#REF!</definedName>
    <definedName name="_XX03" localSheetId="2">#REF!</definedName>
    <definedName name="_XX03">#REF!</definedName>
    <definedName name="_XX04" localSheetId="4">#REF!</definedName>
    <definedName name="_XX04" localSheetId="1">#REF!</definedName>
    <definedName name="_XX04" localSheetId="2">#REF!</definedName>
    <definedName name="_XX04">#REF!</definedName>
    <definedName name="_XX05" localSheetId="4">#REF!</definedName>
    <definedName name="_XX05" localSheetId="1">#REF!</definedName>
    <definedName name="_XX05" localSheetId="2">#REF!</definedName>
    <definedName name="_XX05">#REF!</definedName>
    <definedName name="_XX06" localSheetId="4">#REF!</definedName>
    <definedName name="_XX06" localSheetId="1">#REF!</definedName>
    <definedName name="_XX06" localSheetId="2">#REF!</definedName>
    <definedName name="_XX06">#REF!</definedName>
    <definedName name="_XX07" localSheetId="4">#REF!</definedName>
    <definedName name="_XX07" localSheetId="1">#REF!</definedName>
    <definedName name="_XX07" localSheetId="2">#REF!</definedName>
    <definedName name="_XX07">#REF!</definedName>
    <definedName name="_xx08" localSheetId="4">#REF!</definedName>
    <definedName name="_xx08" localSheetId="1">#REF!</definedName>
    <definedName name="_xx08" localSheetId="2">#REF!</definedName>
    <definedName name="_xx08">#REF!</definedName>
    <definedName name="_XX10" localSheetId="4">#REF!</definedName>
    <definedName name="_XX10" localSheetId="1">#REF!</definedName>
    <definedName name="_XX10" localSheetId="2">#REF!</definedName>
    <definedName name="_XX10">#REF!</definedName>
    <definedName name="_XX11" localSheetId="4">#REF!</definedName>
    <definedName name="_XX11" localSheetId="1">#REF!</definedName>
    <definedName name="_XX11" localSheetId="2">#REF!</definedName>
    <definedName name="_XX11">#REF!</definedName>
    <definedName name="_XX12" localSheetId="4">#REF!</definedName>
    <definedName name="_XX12" localSheetId="1">#REF!</definedName>
    <definedName name="_XX12" localSheetId="2">#REF!</definedName>
    <definedName name="_XX12">#REF!</definedName>
    <definedName name="_XX13" localSheetId="4">#REF!</definedName>
    <definedName name="_XX13" localSheetId="1">#REF!</definedName>
    <definedName name="_XX13" localSheetId="2">#REF!</definedName>
    <definedName name="_XX13">#REF!</definedName>
    <definedName name="_XX14" localSheetId="4">#REF!</definedName>
    <definedName name="_XX14" localSheetId="1">#REF!</definedName>
    <definedName name="_XX14" localSheetId="2">#REF!</definedName>
    <definedName name="_XX14">#REF!</definedName>
    <definedName name="_XX20" localSheetId="4">#REF!</definedName>
    <definedName name="_XX20" localSheetId="1">#REF!</definedName>
    <definedName name="_XX20" localSheetId="2">#REF!</definedName>
    <definedName name="_XX20">#REF!</definedName>
    <definedName name="_XX21" localSheetId="4">#REF!</definedName>
    <definedName name="_XX21" localSheetId="1">#REF!</definedName>
    <definedName name="_XX21" localSheetId="2">#REF!</definedName>
    <definedName name="_XX21">#REF!</definedName>
    <definedName name="_XX24" localSheetId="4">#REF!</definedName>
    <definedName name="_XX24" localSheetId="1">#REF!</definedName>
    <definedName name="_XX24" localSheetId="2">#REF!</definedName>
    <definedName name="_XX24">#REF!</definedName>
    <definedName name="_XX25" localSheetId="4">#REF!</definedName>
    <definedName name="_XX25" localSheetId="1">#REF!</definedName>
    <definedName name="_XX25" localSheetId="2">#REF!</definedName>
    <definedName name="_XX25">#REF!</definedName>
    <definedName name="_XX26" localSheetId="4">#REF!</definedName>
    <definedName name="_XX26" localSheetId="1">#REF!</definedName>
    <definedName name="_XX26" localSheetId="2">#REF!</definedName>
    <definedName name="_XX26">#REF!</definedName>
    <definedName name="_XX27" localSheetId="4">#REF!</definedName>
    <definedName name="_XX27" localSheetId="1">#REF!</definedName>
    <definedName name="_XX27" localSheetId="2">#REF!</definedName>
    <definedName name="_XX27">#REF!</definedName>
    <definedName name="_XX28" localSheetId="4">#REF!</definedName>
    <definedName name="_XX28" localSheetId="1">#REF!</definedName>
    <definedName name="_XX28" localSheetId="2">#REF!</definedName>
    <definedName name="_XX28">#REF!</definedName>
    <definedName name="_XX29" localSheetId="4">#REF!</definedName>
    <definedName name="_XX29" localSheetId="1">#REF!</definedName>
    <definedName name="_XX29" localSheetId="2">#REF!</definedName>
    <definedName name="_XX29">#REF!</definedName>
    <definedName name="_XX30" localSheetId="4">#REF!</definedName>
    <definedName name="_XX30" localSheetId="1">#REF!</definedName>
    <definedName name="_XX30" localSheetId="2">#REF!</definedName>
    <definedName name="_XX30">#REF!</definedName>
    <definedName name="_XX31" localSheetId="4">#REF!</definedName>
    <definedName name="_XX31" localSheetId="1">#REF!</definedName>
    <definedName name="_XX31" localSheetId="2">#REF!</definedName>
    <definedName name="_XX31">#REF!</definedName>
    <definedName name="_XX33" localSheetId="4">#REF!</definedName>
    <definedName name="_XX33" localSheetId="1">#REF!</definedName>
    <definedName name="_XX33" localSheetId="2">#REF!</definedName>
    <definedName name="_XX33">#REF!</definedName>
    <definedName name="_XX34" localSheetId="4">#REF!</definedName>
    <definedName name="_XX34" localSheetId="1">#REF!</definedName>
    <definedName name="_XX34" localSheetId="2">#REF!</definedName>
    <definedName name="_XX34">#REF!</definedName>
    <definedName name="_XX35" localSheetId="4">#REF!</definedName>
    <definedName name="_XX35" localSheetId="1">#REF!</definedName>
    <definedName name="_XX35" localSheetId="2">#REF!</definedName>
    <definedName name="_XX35">#REF!</definedName>
    <definedName name="_XX36" localSheetId="4">#REF!</definedName>
    <definedName name="_XX36" localSheetId="1">#REF!</definedName>
    <definedName name="_XX36" localSheetId="2">#REF!</definedName>
    <definedName name="_XX36">#REF!</definedName>
    <definedName name="_XX37" localSheetId="4">#REF!</definedName>
    <definedName name="_XX37" localSheetId="1">#REF!</definedName>
    <definedName name="_XX37" localSheetId="2">#REF!</definedName>
    <definedName name="_XX37">#REF!</definedName>
    <definedName name="_XX38" localSheetId="4">#REF!</definedName>
    <definedName name="_XX38" localSheetId="1">#REF!</definedName>
    <definedName name="_XX38" localSheetId="2">#REF!</definedName>
    <definedName name="_XX38">#REF!</definedName>
    <definedName name="_XX39" localSheetId="4">#REF!</definedName>
    <definedName name="_XX39" localSheetId="1">#REF!</definedName>
    <definedName name="_XX39" localSheetId="2">#REF!</definedName>
    <definedName name="_XX39">#REF!</definedName>
    <definedName name="´cAE°eE¹" localSheetId="4" hidden="1">#REF!</definedName>
    <definedName name="´cAE°eE¹" localSheetId="1" hidden="1">#REF!</definedName>
    <definedName name="´cAE°eE¹" localSheetId="2" hidden="1">#REF!</definedName>
    <definedName name="´cAE°eE¹" hidden="1">#REF!</definedName>
    <definedName name="￠￥cAE¡ÆeEⓒo" localSheetId="4" hidden="1">#REF!</definedName>
    <definedName name="￠￥cAE¡ÆeEⓒo" localSheetId="1" hidden="1">#REF!</definedName>
    <definedName name="￠￥cAE¡ÆeEⓒo" localSheetId="2" hidden="1">#REF!</definedName>
    <definedName name="￠￥cAE¡ÆeEⓒo" hidden="1">#REF!</definedName>
    <definedName name="\a">#N/A</definedName>
    <definedName name="\C" localSheetId="4">#REF!</definedName>
    <definedName name="\C" localSheetId="1">#REF!</definedName>
    <definedName name="\C" localSheetId="2">#REF!</definedName>
    <definedName name="\C">#REF!</definedName>
    <definedName name="\d">#N/A</definedName>
    <definedName name="\f">#N/A</definedName>
    <definedName name="\i">#N/A</definedName>
    <definedName name="\m">#N/A</definedName>
    <definedName name="\p">#N/A</definedName>
    <definedName name="\q">#N/A</definedName>
    <definedName name="\S" localSheetId="4">#REF!</definedName>
    <definedName name="\S" localSheetId="1">#REF!</definedName>
    <definedName name="\S" localSheetId="2">#REF!</definedName>
    <definedName name="\S">#REF!</definedName>
    <definedName name="\v">#N/A</definedName>
    <definedName name="\z" localSheetId="4">#REF!</definedName>
    <definedName name="\z" localSheetId="1">#REF!</definedName>
    <definedName name="\z" localSheetId="2">#REF!</definedName>
    <definedName name="\z">#REF!</definedName>
    <definedName name="aa" localSheetId="4">#REF!</definedName>
    <definedName name="aa" localSheetId="1">#REF!</definedName>
    <definedName name="aa" localSheetId="2">#REF!</definedName>
    <definedName name="aa">#REF!</definedName>
    <definedName name="aaa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b" localSheetId="4">#REF!</definedName>
    <definedName name="ab" localSheetId="1">#REF!</definedName>
    <definedName name="ab" localSheetId="2">#REF!</definedName>
    <definedName name="ab">#REF!</definedName>
    <definedName name="ABC" localSheetId="4">#REF!</definedName>
    <definedName name="ABC" localSheetId="1">#REF!</definedName>
    <definedName name="ABC" localSheetId="2">#REF!</definedName>
    <definedName name="ABC">#REF!</definedName>
    <definedName name="ACE" localSheetId="4">#REF!</definedName>
    <definedName name="ACE" localSheetId="1">#REF!</definedName>
    <definedName name="ACE" localSheetId="2">#REF!</definedName>
    <definedName name="ACE">#REF!</definedName>
    <definedName name="anscount" hidden="1">1</definedName>
    <definedName name="as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2DocOpenMode" hidden="1">"AS2DocumentEdit"</definedName>
    <definedName name="asdfasffffffffffffff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asffffffffffffff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asfffffffffff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">#N/A</definedName>
    <definedName name="BARC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ARC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AR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b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b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b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BB" localSheetId="4">#REF!</definedName>
    <definedName name="BBB" localSheetId="1">#REF!</definedName>
    <definedName name="BBB" localSheetId="2">#REF!</definedName>
    <definedName name="BBB">#REF!</definedName>
    <definedName name="BDATA" localSheetId="6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BDATA" localSheetId="5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BDATA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Belt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elt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el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IO_FF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IO_FF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IO_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S" localSheetId="4">#REF!</definedName>
    <definedName name="BS" localSheetId="1">#REF!</definedName>
    <definedName name="BS" localSheetId="2">#REF!</definedName>
    <definedName name="BS">#REF!</definedName>
    <definedName name="bsc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sc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s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YG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YG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Y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삼" localSheetId="4">#REF!</definedName>
    <definedName name="B삼" localSheetId="1">#REF!</definedName>
    <definedName name="B삼" localSheetId="2">#REF!</definedName>
    <definedName name="B삼">#REF!</definedName>
    <definedName name="C_">#N/A</definedName>
    <definedName name="cc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c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cc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cc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c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D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D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xlnm.Criteria" localSheetId="4">#REF!</definedName>
    <definedName name="_xlnm.Criteria" localSheetId="1">#REF!</definedName>
    <definedName name="_xlnm.Criteria" localSheetId="2">#REF!</definedName>
    <definedName name="_xlnm.Criteria">#REF!</definedName>
    <definedName name="Criteria_MI" localSheetId="4">#REF!</definedName>
    <definedName name="Criteria_MI" localSheetId="1">#REF!</definedName>
    <definedName name="Criteria_MI" localSheetId="2">#REF!</definedName>
    <definedName name="Criteria_MI">#REF!</definedName>
    <definedName name="d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a" localSheetId="4">#REF!</definedName>
    <definedName name="da" localSheetId="1">#REF!</definedName>
    <definedName name="da" localSheetId="2">#REF!</definedName>
    <definedName name="da">#REF!</definedName>
    <definedName name="DATA" localSheetId="4">#REF!</definedName>
    <definedName name="DATA" localSheetId="1">#REF!</definedName>
    <definedName name="DATA" localSheetId="2">#REF!</definedName>
    <definedName name="DATA">#REF!</definedName>
    <definedName name="DATA12" localSheetId="4">#REF!</definedName>
    <definedName name="DATA12" localSheetId="1">#REF!</definedName>
    <definedName name="DATA12" localSheetId="2">#REF!</definedName>
    <definedName name="DATA12">#REF!</definedName>
    <definedName name="DATA2" localSheetId="4">#REF!</definedName>
    <definedName name="DATA2" localSheetId="1">#REF!</definedName>
    <definedName name="DATA2" localSheetId="2">#REF!</definedName>
    <definedName name="DATA2">#REF!</definedName>
    <definedName name="_xlnm.Database" localSheetId="4">#REF!</definedName>
    <definedName name="_xlnm.Database" localSheetId="1">#REF!</definedName>
    <definedName name="_xlnm.Database" localSheetId="2">#REF!</definedName>
    <definedName name="_xlnm.Database">#REF!</definedName>
    <definedName name="Database_MI" localSheetId="4">#REF!</definedName>
    <definedName name="Database_MI" localSheetId="1">#REF!</definedName>
    <definedName name="Database_MI" localSheetId="2">#REF!</definedName>
    <definedName name="Database_MI">#REF!</definedName>
    <definedName name="DDD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DD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D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ASDFDS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ASDFDS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ASDF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fls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fls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fl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OGUB" localSheetId="4">#REF!</definedName>
    <definedName name="DOGUB" localSheetId="1">#REF!</definedName>
    <definedName name="DOGUB" localSheetId="2">#REF!</definedName>
    <definedName name="DOGUB">#REF!</definedName>
    <definedName name="ds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FAHSDHFDHF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FAHSDHFDHF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FAHSDHFD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E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E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r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r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ryry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ryry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ryr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t">#N/A</definedName>
    <definedName name="ew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w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wrwr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wrwr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w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xlnm.Extract" localSheetId="4">#REF!</definedName>
    <definedName name="_xlnm.Extract" localSheetId="1">#REF!</definedName>
    <definedName name="_xlnm.Extract" localSheetId="2">#REF!</definedName>
    <definedName name="_xlnm.Extract">#REF!</definedName>
    <definedName name="Extract_MI" localSheetId="4">#REF!</definedName>
    <definedName name="Extract_MI" localSheetId="1">#REF!</definedName>
    <definedName name="Extract_MI" localSheetId="2">#REF!</definedName>
    <definedName name="Extract_MI">#REF!</definedName>
    <definedName name="F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asdsadfsaf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asdsadfsaf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asdsadfsa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fd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fd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f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gs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gs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g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f" localSheetId="4">#REF!</definedName>
    <definedName name="ff" localSheetId="1">#REF!</definedName>
    <definedName name="ff" localSheetId="2">#REF!</definedName>
    <definedName name="ff">#REF!</definedName>
    <definedName name="fghfgh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hfgh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hfg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f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f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GFH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GFH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G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fhk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fhk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fh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jhfgdj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jhfgdj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jhfg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gd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gd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g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J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J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fg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fg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f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GF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GF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g" localSheetId="4">#REF!</definedName>
    <definedName name="ghg" localSheetId="1">#REF!</definedName>
    <definedName name="ghg" localSheetId="2">#REF!</definedName>
    <definedName name="ghg">#REF!</definedName>
    <definedName name="ghjg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hj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hj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h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F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F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h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h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hhh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hhh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hh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TML_CodePage">1252</definedName>
    <definedName name="HTML_Control" localSheetId="6">{"'Hotel-Price'!$A$1:$H$73"}</definedName>
    <definedName name="HTML_Control" localSheetId="5">{"'Hotel-Price'!$A$1:$H$73"}</definedName>
    <definedName name="HTML_Control">{"'Hotel-Price'!$A$1:$H$73"}</definedName>
    <definedName name="HTML_Description" hidden="1">""</definedName>
    <definedName name="HTML_Email" hidden="1">""</definedName>
    <definedName name="HTML_Header">"Hotel-Price"</definedName>
    <definedName name="HTML_LastUpdate">"25-May-98"</definedName>
    <definedName name="HTML_LineAfter" hidden="1">FALSE</definedName>
    <definedName name="HTML_LineBefore" hidden="1">FALSE</definedName>
    <definedName name="HTML_Name">"Robert Adam"</definedName>
    <definedName name="HTML_OBDlg2" hidden="1">TRUE</definedName>
    <definedName name="HTML_OBDlg4" hidden="1">TRUE</definedName>
    <definedName name="HTML_OS" hidden="1">0</definedName>
    <definedName name="HTML_PathFile">"c:\swissotl.htm"</definedName>
    <definedName name="HTML_Title">"SWISS98"</definedName>
    <definedName name="i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i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i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iii" localSheetId="4">#REF!</definedName>
    <definedName name="iii" localSheetId="1">#REF!</definedName>
    <definedName name="iii" localSheetId="2">#REF!</definedName>
    <definedName name="iii">#REF!</definedName>
    <definedName name="j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FJ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FJ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F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JH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JH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J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j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j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KJ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KJ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K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FH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FH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j" localSheetId="4" hidden="1">#REF!</definedName>
    <definedName name="kj" localSheetId="1" hidden="1">#REF!</definedName>
    <definedName name="kj" localSheetId="2" hidden="1">#REF!</definedName>
    <definedName name="kj" hidden="1">#REF!</definedName>
    <definedName name="KK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K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kk" localSheetId="4">#REF!</definedName>
    <definedName name="kkk" localSheetId="1">#REF!</definedName>
    <definedName name="kkk" localSheetId="2">#REF!</definedName>
    <definedName name="kkk">#REF!</definedName>
    <definedName name="kkkk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kkk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kk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KL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KL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K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PI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PI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PI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l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l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LY" localSheetId="4" hidden="1">#REF!</definedName>
    <definedName name="LY" localSheetId="1" hidden="1">#REF!</definedName>
    <definedName name="LY" localSheetId="2" hidden="1">#REF!</definedName>
    <definedName name="LY" hidden="1">#REF!</definedName>
    <definedName name="M3..T3_">#N/A</definedName>
    <definedName name="mm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mm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mm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N3_">#N/A</definedName>
    <definedName name="nn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nn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n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NO" localSheetId="4">#REF!</definedName>
    <definedName name="NO" localSheetId="1">#REF!</definedName>
    <definedName name="NO" localSheetId="2">#REF!</definedName>
    <definedName name="NO">#REF!</definedName>
    <definedName name="o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o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p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p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p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plep" localSheetId="4">#REF!</definedName>
    <definedName name="plep" localSheetId="1">#REF!</definedName>
    <definedName name="plep" localSheetId="2">#REF!</definedName>
    <definedName name="plep">#REF!</definedName>
    <definedName name="PPP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PPP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PPP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xlnm.Print_Area" localSheetId="4">'K8HH1 이연 시 '!$A$1:$BU$131</definedName>
    <definedName name="_xlnm.Print_Area" localSheetId="5">'사업별 스케쥴 (2)'!$A$1:$BN$28</definedName>
    <definedName name="_xlnm.Print_Area" localSheetId="1">'자금수지(FS)_작성시트'!$A$1:$DG$248</definedName>
    <definedName name="_xlnm.Print_Area" localSheetId="2">'자금수지(FS)_작성시트(디폴트)(B1CC4 선수금 제외'!$A$1:$DG$257</definedName>
    <definedName name="_xlnm.Print_Area">#REF!</definedName>
    <definedName name="Print_Area_MI" localSheetId="4">#REF!</definedName>
    <definedName name="Print_Area_MI" localSheetId="1">#REF!</definedName>
    <definedName name="Print_Area_MI" localSheetId="2">#REF!</definedName>
    <definedName name="Print_Area_MI">#REF!</definedName>
    <definedName name="_xlnm.Print_Titles" localSheetId="5">'사업별 스케쥴 (2)'!$A:$C</definedName>
    <definedName name="_xlnm.Print_Titles">#N/A</definedName>
    <definedName name="Print_Titles_MI" localSheetId="4">#REF!</definedName>
    <definedName name="Print_Titles_MI" localSheetId="1">#REF!</definedName>
    <definedName name="Print_Titles_MI" localSheetId="2">#REF!</definedName>
    <definedName name="Print_Titles_MI">#REF!</definedName>
    <definedName name="PYA" localSheetId="4">#REF!</definedName>
    <definedName name="PYA" localSheetId="1">#REF!</definedName>
    <definedName name="PYA" localSheetId="2">#REF!</definedName>
    <definedName name="PYA">#REF!</definedName>
    <definedName name="PYB" localSheetId="4">#REF!</definedName>
    <definedName name="PYB" localSheetId="1">#REF!</definedName>
    <definedName name="PYB" localSheetId="2">#REF!</definedName>
    <definedName name="PYB">#REF!</definedName>
    <definedName name="PYC" localSheetId="4">#REF!</definedName>
    <definedName name="PYC" localSheetId="1">#REF!</definedName>
    <definedName name="PYC" localSheetId="2">#REF!</definedName>
    <definedName name="PYC">#REF!</definedName>
    <definedName name="PYD" localSheetId="4">#REF!</definedName>
    <definedName name="PYD" localSheetId="1">#REF!</definedName>
    <definedName name="PYD" localSheetId="2">#REF!</definedName>
    <definedName name="PYD">#REF!</definedName>
    <definedName name="PYE" localSheetId="4">#REF!</definedName>
    <definedName name="PYE" localSheetId="1">#REF!</definedName>
    <definedName name="PYE" localSheetId="2">#REF!</definedName>
    <definedName name="PYE">#REF!</definedName>
    <definedName name="PYF" localSheetId="4">#REF!</definedName>
    <definedName name="PYF" localSheetId="1">#REF!</definedName>
    <definedName name="PYF" localSheetId="2">#REF!</definedName>
    <definedName name="PYF">#REF!</definedName>
    <definedName name="PYG" localSheetId="4">#REF!</definedName>
    <definedName name="PYG" localSheetId="1">#REF!</definedName>
    <definedName name="PYG" localSheetId="2">#REF!</definedName>
    <definedName name="PYG">#REF!</definedName>
    <definedName name="q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er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er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KRH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KRH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KR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QQQQQQQQQ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QQQQQQQQQ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rrttrrtret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rrttrrtret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rrttrrtre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twer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twer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tw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" localSheetId="6" hidden="1">{"'7-2지역별'!$A$1:$R$44"}</definedName>
    <definedName name="qw" localSheetId="5" hidden="1">{"'7-2지역별'!$A$1:$R$44"}</definedName>
    <definedName name="qw" hidden="1">{"'7-2지역별'!$A$1:$R$44"}</definedName>
    <definedName name="qwe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_">#N/A</definedName>
    <definedName name="re" localSheetId="6" hidden="1">{"'7-2지역별'!$A$1:$R$44"}</definedName>
    <definedName name="re" localSheetId="5" hidden="1">{"'7-2지역별'!$A$1:$R$44"}</definedName>
    <definedName name="re" hidden="1">{"'7-2지역별'!$A$1:$R$44"}</definedName>
    <definedName name="_xlnm.Recorder">#N/A</definedName>
    <definedName name="RENN" localSheetId="6" hidden="1">{"'7-2지역별'!$A$1:$R$44"}</definedName>
    <definedName name="RENN" localSheetId="5" hidden="1">{"'7-2지역별'!$A$1:$R$44"}</definedName>
    <definedName name="RENN" hidden="1">{"'7-2지역별'!$A$1:$R$44"}</definedName>
    <definedName name="ret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t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y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y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NG_SCOPM" localSheetId="4">#REF!</definedName>
    <definedName name="RNG_SCOPM" localSheetId="1">#REF!</definedName>
    <definedName name="RNG_SCOPM" localSheetId="2">#REF!</definedName>
    <definedName name="RNG_SCOPM">#REF!</definedName>
    <definedName name="rrr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rr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r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yrty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yrty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yrt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AFADF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AFADF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AFA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dd" localSheetId="4">#REF!</definedName>
    <definedName name="sddd" localSheetId="1">#REF!</definedName>
    <definedName name="sddd" localSheetId="2">#REF!</definedName>
    <definedName name="sddd">#REF!</definedName>
    <definedName name="sdfs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s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fsdfsdafa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fsdfsdafa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fsdfsda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hdms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hdms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hdm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OC" localSheetId="6" hidden="1">{#N/A,#N/A,FALSE,"변경관리예산";#N/A,#N/A,FALSE,"변경장비예산";#N/A,#N/A,FALSE,"변경준설예산";#N/A,#N/A,FALSE,"변경철구예산"}</definedName>
    <definedName name="SOC" localSheetId="5" hidden="1">{#N/A,#N/A,FALSE,"변경관리예산";#N/A,#N/A,FALSE,"변경장비예산";#N/A,#N/A,FALSE,"변경준설예산";#N/A,#N/A,FALSE,"변경철구예산"}</definedName>
    <definedName name="SOC" hidden="1">{#N/A,#N/A,FALSE,"변경관리예산";#N/A,#N/A,FALSE,"변경장비예산";#N/A,#N/A,FALSE,"변경준설예산";#N/A,#N/A,FALSE,"변경철구예산"}</definedName>
    <definedName name="SOC분야" localSheetId="6" hidden="1">{#N/A,#N/A,FALSE,"예상손익";#N/A,#N/A,FALSE,"관리분석";#N/A,#N/A,FALSE,"장비분석";#N/A,#N/A,FALSE,"준설분석";#N/A,#N/A,FALSE,"철구분석"}</definedName>
    <definedName name="SOC분야" localSheetId="5" hidden="1">{#N/A,#N/A,FALSE,"예상손익";#N/A,#N/A,FALSE,"관리분석";#N/A,#N/A,FALSE,"장비분석";#N/A,#N/A,FALSE,"준설분석";#N/A,#N/A,FALSE,"철구분석"}</definedName>
    <definedName name="SOC분야" hidden="1">{#N/A,#N/A,FALSE,"예상손익";#N/A,#N/A,FALSE,"관리분석";#N/A,#N/A,FALSE,"장비분석";#N/A,#N/A,FALSE,"준설분석";#N/A,#N/A,FALSE,"철구분석"}</definedName>
    <definedName name="t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er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er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extRefCopyRangeCount" hidden="1">17</definedName>
    <definedName name="THS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DLR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DLR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DL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OPO" localSheetId="4" hidden="1">#REF!</definedName>
    <definedName name="TOPO" localSheetId="1" hidden="1">#REF!</definedName>
    <definedName name="TOPO" localSheetId="2" hidden="1">#REF!</definedName>
    <definedName name="TOPO" hidden="1">#REF!</definedName>
    <definedName name="tr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r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re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re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r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ryrye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ryrye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ryry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tt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tt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t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yer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yer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y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yut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yut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yu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t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ILITYA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ILITYA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ILITY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ty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ty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t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u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u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u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y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y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S_AMT_UNIT" localSheetId="4">#REF!</definedName>
    <definedName name="VS_AMT_UNIT" localSheetId="1">#REF!</definedName>
    <definedName name="VS_AMT_UNIT" localSheetId="2">#REF!</definedName>
    <definedName name="VS_AMT_UNIT">#REF!</definedName>
    <definedName name="VS_CONFAUTH" localSheetId="4">#REF!</definedName>
    <definedName name="VS_CONFAUTH" localSheetId="1">#REF!</definedName>
    <definedName name="VS_CONFAUTH" localSheetId="2">#REF!</definedName>
    <definedName name="VS_CONFAUTH">#REF!</definedName>
    <definedName name="VS_INIT_SCOPM_CD" localSheetId="4">#REF!</definedName>
    <definedName name="VS_INIT_SCOPM_CD" localSheetId="1">#REF!</definedName>
    <definedName name="VS_INIT_SCOPM_CD" localSheetId="2">#REF!</definedName>
    <definedName name="VS_INIT_SCOPM_CD">#REF!</definedName>
    <definedName name="VS_INIT_YRMM" localSheetId="4">#REF!</definedName>
    <definedName name="VS_INIT_YRMM" localSheetId="1">#REF!</definedName>
    <definedName name="VS_INIT_YRMM" localSheetId="2">#REF!</definedName>
    <definedName name="VS_INIT_YRMM">#REF!</definedName>
    <definedName name="VS_MM" localSheetId="4">#REF!</definedName>
    <definedName name="VS_MM" localSheetId="1">#REF!</definedName>
    <definedName name="VS_MM" localSheetId="2">#REF!</definedName>
    <definedName name="VS_MM">#REF!</definedName>
    <definedName name="VS_NOW" localSheetId="4">#REF!</definedName>
    <definedName name="VS_NOW" localSheetId="1">#REF!</definedName>
    <definedName name="VS_NOW" localSheetId="2">#REF!</definedName>
    <definedName name="VS_NOW">#REF!</definedName>
    <definedName name="VS_OGG" localSheetId="4">#REF!</definedName>
    <definedName name="VS_OGG" localSheetId="1">#REF!</definedName>
    <definedName name="VS_OGG" localSheetId="2">#REF!</definedName>
    <definedName name="VS_OGG">#REF!</definedName>
    <definedName name="VS_PERMAUTH" localSheetId="4">#REF!</definedName>
    <definedName name="VS_PERMAUTH" localSheetId="1">#REF!</definedName>
    <definedName name="VS_PERMAUTH" localSheetId="2">#REF!</definedName>
    <definedName name="VS_PERMAUTH">#REF!</definedName>
    <definedName name="VS_SAVE_ERR" localSheetId="4">#REF!</definedName>
    <definedName name="VS_SAVE_ERR" localSheetId="1">#REF!</definedName>
    <definedName name="VS_SAVE_ERR" localSheetId="2">#REF!</definedName>
    <definedName name="VS_SAVE_ERR">#REF!</definedName>
    <definedName name="VS_SAVE_MSG" localSheetId="4">#REF!</definedName>
    <definedName name="VS_SAVE_MSG" localSheetId="1">#REF!</definedName>
    <definedName name="VS_SAVE_MSG" localSheetId="2">#REF!</definedName>
    <definedName name="VS_SAVE_MSG">#REF!</definedName>
    <definedName name="VS_SCOPM_CD" localSheetId="4">#REF!</definedName>
    <definedName name="VS_SCOPM_CD" localSheetId="1">#REF!</definedName>
    <definedName name="VS_SCOPM_CD" localSheetId="2">#REF!</definedName>
    <definedName name="VS_SCOPM_CD">#REF!</definedName>
    <definedName name="VS_SCOPM_NM" localSheetId="4">#REF!</definedName>
    <definedName name="VS_SCOPM_NM" localSheetId="1">#REF!</definedName>
    <definedName name="VS_SCOPM_NM" localSheetId="2">#REF!</definedName>
    <definedName name="VS_SCOPM_NM">#REF!</definedName>
    <definedName name="VS_STD_CURR_CD" localSheetId="4">#REF!</definedName>
    <definedName name="VS_STD_CURR_CD" localSheetId="1">#REF!</definedName>
    <definedName name="VS_STD_CURR_CD" localSheetId="2">#REF!</definedName>
    <definedName name="VS_STD_CURR_CD">#REF!</definedName>
    <definedName name="VS_USERAUTH" localSheetId="4">#REF!</definedName>
    <definedName name="VS_USERAUTH" localSheetId="1">#REF!</definedName>
    <definedName name="VS_USERAUTH" localSheetId="2">#REF!</definedName>
    <definedName name="VS_USERAUTH">#REF!</definedName>
    <definedName name="VS_USERCODE" localSheetId="4">#REF!</definedName>
    <definedName name="VS_USERCODE" localSheetId="1">#REF!</definedName>
    <definedName name="VS_USERCODE" localSheetId="2">#REF!</definedName>
    <definedName name="VS_USERCODE">#REF!</definedName>
    <definedName name="VS_YR" localSheetId="4">#REF!</definedName>
    <definedName name="VS_YR" localSheetId="1">#REF!</definedName>
    <definedName name="VS_YR" localSheetId="2">#REF!</definedName>
    <definedName name="VS_YR">#REF!</definedName>
    <definedName name="VS_YRMM" localSheetId="4">#REF!</definedName>
    <definedName name="VS_YRMM" localSheetId="1">#REF!</definedName>
    <definedName name="VS_YRMM" localSheetId="2">#REF!</definedName>
    <definedName name="VS_YRMM">#REF!</definedName>
    <definedName name="vv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v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v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ew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ew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e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e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e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r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r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qrqa" localSheetId="4">#REF!</definedName>
    <definedName name="wqrqa" localSheetId="1">#REF!</definedName>
    <definedName name="wqrqa" localSheetId="2">#REF!</definedName>
    <definedName name="wqrqa">#REF!</definedName>
    <definedName name="WRN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건설기계사업소._.상반기보고." localSheetId="6" hidden="1">{#N/A,#N/A,FALSE,"사업총괄";#N/A,#N/A,FALSE,"장비사업";#N/A,#N/A,FALSE,"철구사업";#N/A,#N/A,FALSE,"준설사업"}</definedName>
    <definedName name="wrn.건설기계사업소._.상반기보고." localSheetId="5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변경예산." localSheetId="6" hidden="1">{#N/A,#N/A,FALSE,"변경관리예산";#N/A,#N/A,FALSE,"변경장비예산";#N/A,#N/A,FALSE,"변경준설예산";#N/A,#N/A,FALSE,"변경철구예산"}</definedName>
    <definedName name="wrn.변경예산." localSheetId="5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사업현황." localSheetId="6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5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손익보고.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예상손익." localSheetId="6" hidden="1">{#N/A,#N/A,FALSE,"예상손익";#N/A,#N/A,FALSE,"관리분석";#N/A,#N/A,FALSE,"장비분석";#N/A,#N/A,FALSE,"준설분석";#N/A,#N/A,FALSE,"철구분석"}</definedName>
    <definedName name="wrn.예상손익." localSheetId="5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통신지." localSheetId="6" hidden="1">{#N/A,#N/A,FALSE,"기안지";#N/A,#N/A,FALSE,"통신지"}</definedName>
    <definedName name="wrn.통신지." localSheetId="5" hidden="1">{#N/A,#N/A,FALSE,"기안지";#N/A,#N/A,FALSE,"통신지"}</definedName>
    <definedName name="wrn.통신지." hidden="1">{#N/A,#N/A,FALSE,"기안지";#N/A,#N/A,FALSE,"통신지"}</definedName>
    <definedName name="WRR" localSheetId="6" hidden="1">{#VALUE!,#N/A,FALSE,0;#N/A,#N/A,FALSE,0;#N/A,#N/A,FALSE,0;#N/A,#N/A,FALSE,0}</definedName>
    <definedName name="WRR" localSheetId="5" hidden="1">{#VALUE!,#N/A,FALSE,0;#N/A,#N/A,FALSE,0;#N/A,#N/A,FALSE,0;#N/A,#N/A,FALSE,0}</definedName>
    <definedName name="WRR" hidden="1">{#VALUE!,#N/A,FALSE,0;#N/A,#N/A,FALSE,0;#N/A,#N/A,FALSE,0;#N/A,#N/A,FALSE,0}</definedName>
    <definedName name="ww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" hidden="1">#N/A</definedName>
    <definedName name="xc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c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X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X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re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re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r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t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t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Z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Z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localSheetId="6" hidden="1">{#N/A,#N/A,FALSE,"변경관리예산";#N/A,#N/A,FALSE,"변경장비예산";#N/A,#N/A,FALSE,"변경준설예산";#N/A,#N/A,FALSE,"변경철구예산"}</definedName>
    <definedName name="ㄱㄱ" localSheetId="5" hidden="1">{#N/A,#N/A,FALSE,"변경관리예산";#N/A,#N/A,FALSE,"변경장비예산";#N/A,#N/A,FALSE,"변경준설예산";#N/A,#N/A,FALSE,"변경철구예산"}</definedName>
    <definedName name="ㄱㄱ" hidden="1">{#N/A,#N/A,FALSE,"변경관리예산";#N/A,#N/A,FALSE,"변경장비예산";#N/A,#N/A,FALSE,"변경준설예산";#N/A,#N/A,FALSE,"변경철구예산"}</definedName>
    <definedName name="ㄱㄱ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ㄱ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ㄱㄱㄱㄱ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ㄱㄱㄱㄱㄱ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ㄱㄱㄱ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ㄷ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ㄷㄱ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ㅅㅈ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ㅅㅈㄷ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ㅅ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돗ㄱ속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돗ㄱ속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돗ㄱ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됴ㄱ됴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됴ㄱ됴ㄱ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됴ㄱ됴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셕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셕ㅅ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셕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ㅇ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ㅇ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사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사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축실적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축실적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축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재호" localSheetId="6" hidden="1">{#N/A,#N/A,FALSE,"변경관리예산";#N/A,#N/A,FALSE,"변경장비예산";#N/A,#N/A,FALSE,"변경준설예산";#N/A,#N/A,FALSE,"변경철구예산"}</definedName>
    <definedName name="강재호" localSheetId="5" hidden="1">{#N/A,#N/A,FALSE,"변경관리예산";#N/A,#N/A,FALSE,"변경장비예산";#N/A,#N/A,FALSE,"변경준설예산";#N/A,#N/A,FALSE,"변경철구예산"}</definedName>
    <definedName name="강재호" hidden="1">{#N/A,#N/A,FALSE,"변경관리예산";#N/A,#N/A,FALSE,"변경장비예산";#N/A,#N/A,FALSE,"변경준설예산";#N/A,#N/A,FALSE,"변경철구예산"}</definedName>
    <definedName name="개똥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똥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1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2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3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3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화학피앤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화학피앤비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화학피앤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인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인2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인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거아ㅏ라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거아ㅏ라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거아ㅏ라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기" localSheetId="6" hidden="1">{#N/A,#N/A,FALSE,"사업총괄";#N/A,#N/A,FALSE,"장비사업";#N/A,#N/A,FALSE,"철구사업";#N/A,#N/A,FALSE,"준설사업"}</definedName>
    <definedName name="건기" localSheetId="5" hidden="1">{#N/A,#N/A,FALSE,"사업총괄";#N/A,#N/A,FALSE,"장비사업";#N/A,#N/A,FALSE,"철구사업";#N/A,#N/A,FALSE,"준설사업"}</definedName>
    <definedName name="건기" hidden="1">{#N/A,#N/A,FALSE,"사업총괄";#N/A,#N/A,FALSE,"장비사업";#N/A,#N/A,FALSE,"철구사업";#N/A,#N/A,FALSE,"준설사업"}</definedName>
    <definedName name="건기2" localSheetId="6" hidden="1">{#N/A,#N/A,FALSE,"사업총괄";#N/A,#N/A,FALSE,"장비사업";#N/A,#N/A,FALSE,"철구사업";#N/A,#N/A,FALSE,"준설사업"}</definedName>
    <definedName name="건기2" localSheetId="5" hidden="1">{#N/A,#N/A,FALSE,"사업총괄";#N/A,#N/A,FALSE,"장비사업";#N/A,#N/A,FALSE,"철구사업";#N/A,#N/A,FALSE,"준설사업"}</definedName>
    <definedName name="건기2" hidden="1">{#N/A,#N/A,FALSE,"사업총괄";#N/A,#N/A,FALSE,"장비사업";#N/A,#N/A,FALSE,"철구사업";#N/A,#N/A,FALSE,"준설사업"}</definedName>
    <definedName name="건설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설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설기계새로움" localSheetId="6" hidden="1">{#VALUE!,#N/A,FALSE,0;#N/A,#N/A,FALSE,0;#N/A,#N/A,FALSE,0;#N/A,#N/A,FALSE,0}</definedName>
    <definedName name="건설기계새로움" localSheetId="5" hidden="1">{#VALUE!,#N/A,FALSE,0;#N/A,#N/A,FALSE,0;#N/A,#N/A,FALSE,0;#N/A,#N/A,FALSE,0}</definedName>
    <definedName name="건설기계새로움" hidden="1">{#VALUE!,#N/A,FALSE,0;#N/A,#N/A,FALSE,0;#N/A,#N/A,FALSE,0;#N/A,#N/A,FALSE,0}</definedName>
    <definedName name="경비1" localSheetId="4" hidden="1">#REF!</definedName>
    <definedName name="경비1" localSheetId="1" hidden="1">#REF!</definedName>
    <definedName name="경비1" localSheetId="2" hidden="1">#REF!</definedName>
    <definedName name="경비1" hidden="1">#REF!</definedName>
    <definedName name="경상재무제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상재무제표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상재무제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방침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방침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방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전망">0</definedName>
    <definedName name="계약" localSheetId="4">#REF!</definedName>
    <definedName name="계약" localSheetId="1">#REF!</definedName>
    <definedName name="계약" localSheetId="2">#REF!</definedName>
    <definedName name="계약">#REF!</definedName>
    <definedName name="공공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공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정" localSheetId="4" hidden="1">#REF!</definedName>
    <definedName name="공정" localSheetId="1" hidden="1">#REF!</definedName>
    <definedName name="공정" localSheetId="2" hidden="1">#REF!</definedName>
    <definedName name="공정" hidden="1">#REF!</definedName>
    <definedName name="공헌이익기준손익계산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헌이익기준손익계산서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헌이익기준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과장" localSheetId="4">#REF!</definedName>
    <definedName name="과장" localSheetId="1">#REF!</definedName>
    <definedName name="과장" localSheetId="2">#REF!</definedName>
    <definedName name="과장">#REF!</definedName>
    <definedName name="광주공장" localSheetId="4" hidden="1">#REF!</definedName>
    <definedName name="광주공장" localSheetId="1" hidden="1">#REF!</definedName>
    <definedName name="광주공장" localSheetId="2" hidden="1">#REF!</definedName>
    <definedName name="광주공장" hidden="1">#REF!</definedName>
    <definedName name="교육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간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매부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매부문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매부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손익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손익2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손익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장기PL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장기PL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장기P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조물공" localSheetId="4">#REF!</definedName>
    <definedName name="구조물공" localSheetId="1">#REF!</definedName>
    <definedName name="구조물공" localSheetId="2">#REF!</definedName>
    <definedName name="구조물공">#REF!</definedName>
    <definedName name="국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민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군포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군포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군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군포손익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군포손익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군포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규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냥" localSheetId="4">#REF!</definedName>
    <definedName name="그냥" localSheetId="1">#REF!</definedName>
    <definedName name="그냥" localSheetId="2">#REF!</definedName>
    <definedName name="그냥">#REF!</definedName>
    <definedName name="그냥2" localSheetId="4">#REF!</definedName>
    <definedName name="그냥2" localSheetId="1">#REF!</definedName>
    <definedName name="그냥2" localSheetId="2">#REF!</definedName>
    <definedName name="그냥2">#REF!</definedName>
    <definedName name="그룹경영전략종합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경영전략종합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경영전략종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방침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방침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방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방침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방침안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방침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융비" localSheetId="4">#REF!</definedName>
    <definedName name="금융비" localSheetId="1">#REF!</definedName>
    <definedName name="금융비" localSheetId="2">#REF!</definedName>
    <definedName name="금융비">#REF!</definedName>
    <definedName name="금융실적" localSheetId="4">#REF!</definedName>
    <definedName name="금융실적" localSheetId="1">#REF!</definedName>
    <definedName name="금융실적" localSheetId="2">#REF!</definedName>
    <definedName name="금융실적">#REF!</definedName>
    <definedName name="금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호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호산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호산업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호산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준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준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준1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준율" localSheetId="4">#REF!</definedName>
    <definedName name="기준율" localSheetId="1">#REF!</definedName>
    <definedName name="기준율" localSheetId="2">#REF!</definedName>
    <definedName name="기준율">#REF!</definedName>
    <definedName name="기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타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타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타1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타자산_종업원채권_Y_List" localSheetId="4">#REF!</definedName>
    <definedName name="기타자산_종업원채권_Y_List" localSheetId="1">#REF!</definedName>
    <definedName name="기타자산_종업원채권_Y_List" localSheetId="2">#REF!</definedName>
    <definedName name="기타자산_종업원채권_Y_List">#REF!</definedName>
    <definedName name="기획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김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김김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김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아여어엉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아여어엉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아여어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1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2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21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2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중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중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중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중선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형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형준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형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22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222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니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ㅎㅇ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ㅎㅇ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ㅎ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론ㅎ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론ㅎ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론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린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린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ㄴㄹㅇ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ㄴㄹㅇ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ㄴㄹ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ㅊㅁㅊㄴㅌ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ㅊㅁㅊㄴㅌ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ㅊㅁㅊㄴ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나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나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ㅣ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ㅣ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ㅣ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ㅣ니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ㅣ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너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너니ㅣㅁ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너니ㅣㅁ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너니ㅣㅁ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너ㅣ니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너ㅣ니니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너ㅣ니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년간예산" localSheetId="4">#REF!</definedName>
    <definedName name="년간예산" localSheetId="1">#REF!</definedName>
    <definedName name="년간예산" localSheetId="2">#REF!</definedName>
    <definedName name="년간예산">#REF!</definedName>
    <definedName name="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1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구조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구조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구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은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은준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은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1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손익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손익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증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증감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증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뉴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뉴셀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뉴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는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는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기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기미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기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니니ㅣㅣㅣㅣㅣㅣㅣㅣㅣㅣㅣㅣ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니니ㅣㅣㅣㅣㅣㅣㅣㅣㅣㅣㅣㅣ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니니ㅣㅣㅣㅣㅣㅣㅣㅣㅣㅣㅣ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ㅣ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ㅣ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ㅣ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ㅣ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닌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닌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ㄱ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34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34ㅅ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34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ㄱ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ㄳ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ㄳ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ㅅㄷ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ㅅㄷㄱ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쇼ㅓㄷ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쇼ㅓㄷㅅ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쇼ㅓ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ㄱ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달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달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당기중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당기중선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당기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당초계획" localSheetId="4" hidden="1">#REF!</definedName>
    <definedName name="당초계획" localSheetId="1" hidden="1">#REF!</definedName>
    <definedName name="당초계획" localSheetId="2" hidden="1">#REF!</definedName>
    <definedName name="당초계획" hidden="1">#REF!</definedName>
    <definedName name="대리" localSheetId="4">#REF!</definedName>
    <definedName name="대리" localSheetId="1">#REF!</definedName>
    <definedName name="대리" localSheetId="2">#REF!</definedName>
    <definedName name="대리">#REF!</definedName>
    <definedName name="대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정부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정부1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정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도서인쇄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도서인쇄비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도서인쇄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규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됴ㅅㄷ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됴ㅅㄷㅅ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됴ㅅ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ㄷ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ㄷㄷ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호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ㄻㅇ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ㄻㅇ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ㄻ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퓨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퓨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오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오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홀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홓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홓로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홓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레영1" localSheetId="4">#REF!</definedName>
    <definedName name="레영1" localSheetId="1">#REF!</definedName>
    <definedName name="레영1" localSheetId="2">#REF!</definedName>
    <definedName name="레영1">#REF!</definedName>
    <definedName name="렌터카부문미반영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렌터카부문미반영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렌터카부문미반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로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리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리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리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리므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리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리비" localSheetId="4" hidden="1">#REF!</definedName>
    <definedName name="리비" localSheetId="1" hidden="1">#REF!</definedName>
    <definedName name="리비" localSheetId="2" hidden="1">#REF!</definedName>
    <definedName name="리비" hidden="1">#REF!</definedName>
    <definedName name="리비아" localSheetId="4" hidden="1">#REF!</definedName>
    <definedName name="리비아" localSheetId="1" hidden="1">#REF!</definedName>
    <definedName name="리비아" localSheetId="2" hidden="1">#REF!</definedName>
    <definedName name="리비아" hidden="1">#REF!</definedName>
    <definedName name="리비아아" localSheetId="4" hidden="1">#REF!</definedName>
    <definedName name="리비아아" localSheetId="1" hidden="1">#REF!</definedName>
    <definedName name="리비아아" localSheetId="2" hidden="1">#REF!</definedName>
    <definedName name="리비아아" hidden="1">#REF!</definedName>
    <definedName name="ㄺ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ㄺ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ㄺ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ㅎ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ㅎ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" localSheetId="4" hidden="1">#REF!</definedName>
    <definedName name="ㅁ" localSheetId="1" hidden="1">#REF!</definedName>
    <definedName name="ㅁ" localSheetId="2" hidden="1">#REF!</definedName>
    <definedName name="ㅁ" hidden="1">#REF!</definedName>
    <definedName name="ㅁㄱㅁㄷㅎ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ㄱㅁㄷㅎㄷ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ㄱㅁㄷㅎ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ㄹㅈ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ㄹㅈㄷ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ㄹ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04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04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0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보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보고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부진사유" localSheetId="4">#REF!</definedName>
    <definedName name="매출부진사유" localSheetId="1">#REF!</definedName>
    <definedName name="매출부진사유" localSheetId="2">#REF!</definedName>
    <definedName name="매출부진사유">#REF!</definedName>
    <definedName name="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멀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두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두발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두발언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두발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빌원가7" localSheetId="4">#REF!</definedName>
    <definedName name="모빌원가7" localSheetId="1">#REF!</definedName>
    <definedName name="모빌원가7" localSheetId="2">#REF!</definedName>
    <definedName name="모빌원가7">#REF!</definedName>
    <definedName name="목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1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다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다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발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몰라" localSheetId="4">#REF!</definedName>
    <definedName name="몰라" localSheetId="1">#REF!</definedName>
    <definedName name="몰라" localSheetId="2">#REF!</definedName>
    <definedName name="몰라">#REF!</definedName>
    <definedName name="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서" localSheetId="4">#REF!</definedName>
    <definedName name="문서" localSheetId="1">#REF!</definedName>
    <definedName name="문서" localSheetId="2">#REF!</definedName>
    <definedName name="문서">#REF!</definedName>
    <definedName name="문성수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성수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성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장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장주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장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지급" localSheetId="4" hidden="1">#REF!</definedName>
    <definedName name="미지급" localSheetId="1" hidden="1">#REF!</definedName>
    <definedName name="미지급" localSheetId="2" hidden="1">#REF!</definedName>
    <definedName name="미지급" hidden="1">#REF!</definedName>
    <definedName name="미진사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진사유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진사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2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산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산업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산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지사업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지사업1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지사업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ㄱ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ㄷㅅㅂ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ㄷㅅㅂㄷ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ㄷㅅ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ㄳ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ㄳㄱ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ㄳ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ㄱ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ㅂㅂㅂㅂㅂㅂㅂㅂㅂㅂㅂㅂㅂㅂ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ㅂㅂㅂㅂㅂㅂㅂㅂㅂㅂㅂㅂㅂㅂ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ㅂㅂㅂㅂㅂㅂㅂㅂㅂㅂㅂㅂ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ㄷ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람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람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부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박인철" localSheetId="6" hidden="1">{#N/A,#N/A,FALSE,"변경관리예산";#N/A,#N/A,FALSE,"변경장비예산";#N/A,#N/A,FALSE,"변경준설예산";#N/A,#N/A,FALSE,"변경철구예산"}</definedName>
    <definedName name="박인철" localSheetId="5" hidden="1">{#N/A,#N/A,FALSE,"변경관리예산";#N/A,#N/A,FALSE,"변경장비예산";#N/A,#N/A,FALSE,"변경준설예산";#N/A,#N/A,FALSE,"변경철구예산"}</definedName>
    <definedName name="박인철" hidden="1">{#N/A,#N/A,FALSE,"변경관리예산";#N/A,#N/A,FALSE,"변경장비예산";#N/A,#N/A,FALSE,"변경준설예산";#N/A,#N/A,FALSE,"변경철구예산"}</definedName>
    <definedName name="배수공" localSheetId="4">#REF!</definedName>
    <definedName name="배수공" localSheetId="1">#REF!</definedName>
    <definedName name="배수공" localSheetId="2">#REF!</definedName>
    <definedName name="배수공">#REF!</definedName>
    <definedName name="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버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범위" localSheetId="4">#REF!</definedName>
    <definedName name="범위" localSheetId="1">#REF!</definedName>
    <definedName name="범위" localSheetId="2">#REF!</definedName>
    <definedName name="범위">#REF!</definedName>
    <definedName name="법정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별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별근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별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병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병근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병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가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충" localSheetId="4" hidden="1">#REF!</definedName>
    <definedName name="보충" localSheetId="1" hidden="1">#REF!</definedName>
    <definedName name="보충" localSheetId="2" hidden="1">#REF!</definedName>
    <definedName name="보충" hidden="1">#REF!</definedName>
    <definedName name="부대공" localSheetId="4">#REF!</definedName>
    <definedName name="부대공" localSheetId="1">#REF!</definedName>
    <definedName name="부대공" localSheetId="2">#REF!</definedName>
    <definedName name="부대공">#REF!</definedName>
    <definedName name="부문별손익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문별손익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문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산지하철310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산지하철310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산지하철3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장" localSheetId="4">#REF!</definedName>
    <definedName name="부장" localSheetId="1">#REF!</definedName>
    <definedName name="부장" localSheetId="2">#REF!</definedName>
    <definedName name="부장">#REF!</definedName>
    <definedName name="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4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4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양" localSheetId="4">#REF!</definedName>
    <definedName name="분양" localSheetId="1">#REF!</definedName>
    <definedName name="분양" localSheetId="2">#REF!</definedName>
    <definedName name="분양">#REF!</definedName>
    <definedName name="비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2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고" localSheetId="4">#REF!</definedName>
    <definedName name="비고" localSheetId="1">#REF!</definedName>
    <definedName name="비고" localSheetId="2">#REF!</definedName>
    <definedName name="비고">#REF!</definedName>
    <definedName name="비교표2" localSheetId="4" hidden="1">#REF!</definedName>
    <definedName name="비교표2" localSheetId="1" hidden="1">#REF!</definedName>
    <definedName name="비교표2" localSheetId="2" hidden="1">#REF!</definedName>
    <definedName name="비교표2" hidden="1">#REF!</definedName>
    <definedName name="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ㄳ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ㄳ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고수상실적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고수상실적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고수상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부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부손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부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부양식2" localSheetId="4" hidden="1">#REF!</definedName>
    <definedName name="사업부양식2" localSheetId="1" hidden="1">#REF!</definedName>
    <definedName name="사업부양식2" localSheetId="2" hidden="1">#REF!</definedName>
    <definedName name="사업부양식2" hidden="1">#REF!</definedName>
    <definedName name="사원" localSheetId="4">#REF!</definedName>
    <definedName name="사원" localSheetId="1">#REF!</definedName>
    <definedName name="사원" localSheetId="2">#REF!</definedName>
    <definedName name="사원">#REF!</definedName>
    <definedName name="산업은행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산업은행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산업은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고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고과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고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품" localSheetId="4" hidden="1">#REF!</definedName>
    <definedName name="상품" localSheetId="1" hidden="1">#REF!</definedName>
    <definedName name="상품" localSheetId="2" hidden="1">#REF!</definedName>
    <definedName name="상품" hidden="1">#REF!</definedName>
    <definedName name="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새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새것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새것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새것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새이름" localSheetId="6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5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생산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부문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부문2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부문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부문3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부문3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부문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명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명서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명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악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성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1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집통지서" localSheetId="4">#REF!</definedName>
    <definedName name="소집통지서" localSheetId="1">#REF!</definedName>
    <definedName name="소집통지서" localSheetId="2">#REF!</definedName>
    <definedName name="소집통지서">#REF!</definedName>
    <definedName name="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1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22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222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3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3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4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4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서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00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00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00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00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11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111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11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5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5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고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곡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곡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골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골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곰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곰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곱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공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공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곻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곻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소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소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분석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분석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분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단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단별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단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본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분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분임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" localSheetId="6" hidden="1">{#N/A,#N/A,FALSE,"기안지";#N/A,#N/A,FALSE,"통신지"}</definedName>
    <definedName name="수주" localSheetId="5" hidden="1">{#N/A,#N/A,FALSE,"기안지";#N/A,#N/A,FALSE,"통신지"}</definedName>
    <definedName name="수주" hidden="1">{#N/A,#N/A,FALSE,"기안지";#N/A,#N/A,FALSE,"통신지"}</definedName>
    <definedName name="수주계획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계획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실적및전망3" localSheetId="4">#REF!</definedName>
    <definedName name="수주실적및전망3" localSheetId="1">#REF!</definedName>
    <definedName name="수주실적및전망3" localSheetId="2">#REF!</definedName>
    <definedName name="수주실적및전망3">#REF!</definedName>
    <definedName name="순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순천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순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순천_연향_1차" localSheetId="4">#REF!</definedName>
    <definedName name="순천_연향_1차" localSheetId="1">#REF!</definedName>
    <definedName name="순천_연향_1차" localSheetId="2">#REF!</definedName>
    <definedName name="순천_연향_1차">#REF!</definedName>
    <definedName name="순천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순천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순천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스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스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내교통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내교통비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내교통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자료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자료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ㄴ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ㄴ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ㄷㄱㅎ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ㄷㄱㅎㄷ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ㄷㄱㅎ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">#N/A</definedName>
    <definedName name="ㅇㄹㄴㅁ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ㄴㅁ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ㄴ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ㅁㄴ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ㅁㄴ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ㅁ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ㄹ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ㄹ호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ㅎ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ㅎ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롷ㄷㄱㅎ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롷ㄷㄱㅎ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롷ㄷㄱ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ㅀ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ㄴㄻㄴㅇ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ㄴㄻㄴㅇ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ㄴㄻ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ㄻㄴ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ㄻㄴ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ㄻ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" localSheetId="4" hidden="1">#REF!</definedName>
    <definedName name="ㅇㅇ" localSheetId="1" hidden="1">#REF!</definedName>
    <definedName name="ㅇㅇ" localSheetId="2" hidden="1">#REF!</definedName>
    <definedName name="ㅇㅇ" hidden="1">#REF!</definedName>
    <definedName name="ㅇㅇ000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000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0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ㅇ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ㅇ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ㅇㅇㅇ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ㅇㅇㅇ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ㅇㅇ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ㅇㅇㅇㅇ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ㅇㅇㅇㅇ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ㅇㅇㅇ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ㅈㄴㄹㄴㅇ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ㅈㄴㄹㄴㅇ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ㅈㄴㄹ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ㅓ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ㅓ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ㅓㅇㅎ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ㅓㅇㅎ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ㅓ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아" localSheetId="4">#REF!</definedName>
    <definedName name="아아" localSheetId="1">#REF!</definedName>
    <definedName name="아아" localSheetId="2">#REF!</definedName>
    <definedName name="아아">#REF!</definedName>
    <definedName name="아ㅓ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ㅓ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ㅓ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앙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앙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앙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산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산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산손익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산손익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산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식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식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애버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애버림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애버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신" localSheetId="4">#REF!</definedName>
    <definedName name="여신" localSheetId="1">#REF!</definedName>
    <definedName name="여신" localSheetId="2">#REF!</definedName>
    <definedName name="여신">#REF!</definedName>
    <definedName name="여의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의도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열병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열병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열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영업" localSheetId="4">#REF!</definedName>
    <definedName name="영업" localSheetId="1">#REF!</definedName>
    <definedName name="영업" localSheetId="2">#REF!</definedName>
    <definedName name="영업">#REF!</definedName>
    <definedName name="영업1" localSheetId="4">#REF!</definedName>
    <definedName name="영업1" localSheetId="1">#REF!</definedName>
    <definedName name="영업1" localSheetId="2">#REF!</definedName>
    <definedName name="영업1">#REF!</definedName>
    <definedName name="영업2" localSheetId="4">#REF!</definedName>
    <definedName name="영업2" localSheetId="1">#REF!</definedName>
    <definedName name="영업2" localSheetId="2">#REF!</definedName>
    <definedName name="영업2">#REF!</definedName>
    <definedName name="영역" localSheetId="4">#REF!</definedName>
    <definedName name="영역" localSheetId="1">#REF!</definedName>
    <definedName name="영역" localSheetId="2">#REF!</definedName>
    <definedName name="영역">#REF!</definedName>
    <definedName name="예" localSheetId="4">#REF!</definedName>
    <definedName name="예" localSheetId="1">#REF!</definedName>
    <definedName name="예" localSheetId="2">#REF!</definedName>
    <definedName name="예">#REF!</definedName>
    <definedName name="예산" localSheetId="4">#REF!</definedName>
    <definedName name="예산" localSheetId="1">#REF!</definedName>
    <definedName name="예산" localSheetId="2">#REF!</definedName>
    <definedName name="예산">#REF!</definedName>
    <definedName name="옳ㅇ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옳ㅇ로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옳ㅇ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냐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냐규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냐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.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.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용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용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용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" localSheetId="4" xml:space="preserve"> IF(#REF!&lt;0, 0,#REF!)</definedName>
    <definedName name="우" localSheetId="1" xml:space="preserve"> IF(#REF!&lt;0, 0,#REF!)</definedName>
    <definedName name="우" localSheetId="2" xml:space="preserve"> IF(#REF!&lt;0, 0,#REF!)</definedName>
    <definedName name="우" xml:space="preserve"> IF(#REF!&lt;0, 0,#REF!)</definedName>
    <definedName name="우오수공" localSheetId="6" hidden="1">{#N/A,#N/A,FALSE,"기안지";#N/A,#N/A,FALSE,"통신지"}</definedName>
    <definedName name="우오수공" localSheetId="5" hidden="1">{#N/A,#N/A,FALSE,"기안지";#N/A,#N/A,FALSE,"통신지"}</definedName>
    <definedName name="우오수공" hidden="1">{#N/A,#N/A,FALSE,"기안지";#N/A,#N/A,FALSE,"통신지"}</definedName>
    <definedName name="운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영지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영지표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영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울산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울산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울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가초과사유2" localSheetId="4">#REF!</definedName>
    <definedName name="원가초과사유2" localSheetId="1">#REF!</definedName>
    <definedName name="원가초과사유2" localSheetId="2">#REF!</definedName>
    <definedName name="원가초과사유2">#REF!</definedName>
    <definedName name="원재료생산현황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재료생산현황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재료생산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손익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손익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응용연구센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응용연구센타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응용연구센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사부장" localSheetId="4">#REF!</definedName>
    <definedName name="이사부장" localSheetId="1">#REF!</definedName>
    <definedName name="이사부장" localSheetId="2">#REF!</definedName>
    <definedName name="이사부장">#REF!</definedName>
    <definedName name="이상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곤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곤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훈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원준">#N/A</definedName>
    <definedName name="이준우" localSheetId="4">IF(#REF!&gt;0, ROUND(#REF!*40/100,1), 0)</definedName>
    <definedName name="이준우" localSheetId="1">IF(#REF!&gt;0, ROUND(#REF!*40/100,1), 0)</definedName>
    <definedName name="이준우" localSheetId="2">IF(#REF!&gt;0, ROUND(#REF!*40/100,1), 0)</definedName>
    <definedName name="이준우">IF(#REF!&gt;0, ROUND(#REF!*40/100,1), 0)</definedName>
    <definedName name="이준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준호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준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천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력" localSheetId="4">#REF!</definedName>
    <definedName name="인력" localSheetId="1">#REF!</definedName>
    <definedName name="인력" localSheetId="2">#REF!</definedName>
    <definedName name="인력">#REF!</definedName>
    <definedName name="인상1안" localSheetId="4">#REF!</definedName>
    <definedName name="인상1안" localSheetId="1">#REF!</definedName>
    <definedName name="인상1안" localSheetId="2">#REF!</definedName>
    <definedName name="인상1안">#REF!</definedName>
    <definedName name="인상2안" localSheetId="4">#REF!</definedName>
    <definedName name="인상2안" localSheetId="1">#REF!</definedName>
    <definedName name="인상2안" localSheetId="2">#REF!</definedName>
    <definedName name="인상2안">#REF!</definedName>
    <definedName name="인상3안" localSheetId="4">#REF!</definedName>
    <definedName name="인상3안" localSheetId="1">#REF!</definedName>
    <definedName name="인상3안" localSheetId="2">#REF!</definedName>
    <definedName name="인상3안">#REF!</definedName>
    <definedName name="인쇄범위" localSheetId="4">#REF!</definedName>
    <definedName name="인쇄범위" localSheetId="1">#REF!</definedName>
    <definedName name="인쇄범위" localSheetId="2">#REF!</definedName>
    <definedName name="인쇄범위">#REF!</definedName>
    <definedName name="인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2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3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3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계획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계획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증감" localSheetId="6" hidden="1">{"'BSC(2001)'!$A$27:$G$32"}</definedName>
    <definedName name="인원증감" localSheetId="5" hidden="1">{"'BSC(2001)'!$A$27:$G$32"}</definedName>
    <definedName name="인원증감" hidden="1">{"'BSC(2001)'!$A$27:$G$32"}</definedName>
    <definedName name="인원현황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2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보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보고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재원" localSheetId="4">#REF!</definedName>
    <definedName name="인재원" localSheetId="1">#REF!</definedName>
    <definedName name="인재원" localSheetId="2">#REF!</definedName>
    <definedName name="인재원">#REF!</definedName>
    <definedName name="일" localSheetId="4">#REF!</definedName>
    <definedName name="일" localSheetId="1">#REF!</definedName>
    <definedName name="일" localSheetId="2">#REF!</definedName>
    <definedName name="일">#REF!</definedName>
    <definedName name="일반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반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산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산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자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자별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자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금시뮬레이션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금시뮬레이션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금시뮬레이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입력" localSheetId="4">#REF!</definedName>
    <definedName name="입력" localSheetId="1">#REF!</definedName>
    <definedName name="입력" localSheetId="2">#REF!</definedName>
    <definedName name="입력">#REF!</definedName>
    <definedName name="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ㄱ3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ㄱ3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ㄱ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ㄱ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ㄱ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ㄱ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ㅈㄱ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ㅈㄱㄷ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ㅈㄱ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ㅈ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ㅈㄷ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ㅅ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ㅅㄷ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ㅅ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ㄷㄷ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ㄷㄷ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ㅈ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ㅈㅈ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ㅈ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금흐름" localSheetId="4">#REF!</definedName>
    <definedName name="자금흐름" localSheetId="1">#REF!</definedName>
    <definedName name="자금흐름" localSheetId="2">#REF!</definedName>
    <definedName name="자금흐름">#REF!</definedName>
    <definedName name="자산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산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잔존가율" localSheetId="4">#REF!</definedName>
    <definedName name="잔존가율" localSheetId="1">#REF!</definedName>
    <definedName name="잔존가율" localSheetId="2">#REF!</definedName>
    <definedName name="잔존가율">#REF!</definedName>
    <definedName name="장기인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기인원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기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상수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상수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상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비율" localSheetId="4">#REF!</definedName>
    <definedName name="재무비율" localSheetId="1">#REF!</definedName>
    <definedName name="재무비율" localSheetId="2">#REF!</definedName>
    <definedName name="재무비율">#REF!</definedName>
    <definedName name="재무제표4월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4월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4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최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최종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월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월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월실적누계" localSheetId="4">#REF!</definedName>
    <definedName name="전월실적누계" localSheetId="1">#REF!</definedName>
    <definedName name="전월실적누계" localSheetId="2">#REF!</definedName>
    <definedName name="전월실적누계">#REF!</definedName>
    <definedName name="전월예산누계" localSheetId="4">#REF!</definedName>
    <definedName name="전월예산누계" localSheetId="1">#REF!</definedName>
    <definedName name="전월예산누계" localSheetId="2">#REF!</definedName>
    <definedName name="전월예산누계">#REF!</definedName>
    <definedName name="전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절감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절감2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절감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리" localSheetId="4">#REF!</definedName>
    <definedName name="정리" localSheetId="1">#REF!</definedName>
    <definedName name="정리" localSheetId="2">#REF!</definedName>
    <definedName name="정리">#REF!</definedName>
    <definedName name="정봉용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봉용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봉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조원가절감추진실적" localSheetId="6" hidden="1">{"'BSC(2001)'!$A$27:$G$32"}</definedName>
    <definedName name="제조원가절감추진실적" localSheetId="5" hidden="1">{"'BSC(2001)'!$A$27:$G$32"}</definedName>
    <definedName name="제조원가절감추진실적" hidden="1">{"'BSC(2001)'!$A$27:$G$32"}</definedName>
    <definedName name="제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주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주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주도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주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출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조견표1" localSheetId="6" hidden="1">{#N/A,#N/A,FALSE,"예상손익";#N/A,#N/A,FALSE,"관리분석";#N/A,#N/A,FALSE,"장비분석";#N/A,#N/A,FALSE,"준설분석";#N/A,#N/A,FALSE,"철구분석"}</definedName>
    <definedName name="조견표1" localSheetId="5" hidden="1">{#N/A,#N/A,FALSE,"예상손익";#N/A,#N/A,FALSE,"관리분석";#N/A,#N/A,FALSE,"장비분석";#N/A,#N/A,FALSE,"준설분석";#N/A,#N/A,FALSE,"철구분석"}</definedName>
    <definedName name="조견표1" hidden="1">{#N/A,#N/A,FALSE,"예상손익";#N/A,#N/A,FALSE,"관리분석";#N/A,#N/A,FALSE,"장비분석";#N/A,#N/A,FALSE,"준설분석";#N/A,#N/A,FALSE,"철구분석"}</definedName>
    <definedName name="종합어음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어음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어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요업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요업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요업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요지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요지표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요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택매출" localSheetId="4">#REF!</definedName>
    <definedName name="주택매출" localSheetId="1">#REF!</definedName>
    <definedName name="주택매출" localSheetId="2">#REF!</definedName>
    <definedName name="주택매출">#REF!</definedName>
    <definedName name="주택원가" localSheetId="4">#REF!</definedName>
    <definedName name="주택원가" localSheetId="1">#REF!</definedName>
    <definedName name="주택원가" localSheetId="2">#REF!</definedName>
    <definedName name="주택원가">#REF!</definedName>
    <definedName name="주택최종" localSheetId="4">#REF!</definedName>
    <definedName name="주택최종" localSheetId="1">#REF!</definedName>
    <definedName name="주택최종" localSheetId="2">#REF!</definedName>
    <definedName name="주택최종">#REF!</definedName>
    <definedName name="준우" localSheetId="4">IF(#REF!&gt;#REF!,#REF! -#REF!,#REF! -#REF!)</definedName>
    <definedName name="준우" localSheetId="1">IF(#REF!&gt;#REF!,#REF! -#REF!,#REF! -#REF!)</definedName>
    <definedName name="준우" localSheetId="2">IF(#REF!&gt;#REF!,#REF! -#REF!,#REF! -#REF!)</definedName>
    <definedName name="준우">IF(#REF!&gt;#REF!,#REF! -#REF!,#REF! -#REF!)</definedName>
    <definedName name="중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중선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중점" localSheetId="6" hidden="1">{"'BSC(2001)'!$A$27:$G$32"}</definedName>
    <definedName name="중점" localSheetId="5" hidden="1">{"'BSC(2001)'!$A$27:$G$32"}</definedName>
    <definedName name="중점" hidden="1">{"'BSC(2001)'!$A$27:$G$32"}</definedName>
    <definedName name="중점추" localSheetId="6" hidden="1">{"'BSC(2001)'!$A$27:$G$32"}</definedName>
    <definedName name="중점추" localSheetId="5" hidden="1">{"'BSC(2001)'!$A$27:$G$32"}</definedName>
    <definedName name="중점추" hidden="1">{"'BSC(2001)'!$A$27:$G$32"}</definedName>
    <definedName name="중점추진상" localSheetId="6" hidden="1">{"'BSC(2001)'!$A$27:$G$32"}</definedName>
    <definedName name="중점추진상" localSheetId="5" hidden="1">{"'BSC(2001)'!$A$27:$G$32"}</definedName>
    <definedName name="중점추진상" hidden="1">{"'BSC(2001)'!$A$27:$G$32"}</definedName>
    <definedName name="지" localSheetId="4">#REF!</definedName>
    <definedName name="지" localSheetId="1">#REF!</definedName>
    <definedName name="지" localSheetId="2">#REF!</definedName>
    <definedName name="지">#REF!</definedName>
    <definedName name="지시" localSheetId="4">#REF!</definedName>
    <definedName name="지시" localSheetId="1">#REF!</definedName>
    <definedName name="지시" localSheetId="2">#REF!</definedName>
    <definedName name="지시">#REF!</definedName>
    <definedName name="직급공정" localSheetId="4" hidden="1">#REF!</definedName>
    <definedName name="직급공정" localSheetId="1" hidden="1">#REF!</definedName>
    <definedName name="직급공정" localSheetId="2" hidden="1">#REF!</definedName>
    <definedName name="직급공정" hidden="1">#REF!</definedName>
    <definedName name="진짜연습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연습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1055" localSheetId="4">#REF!</definedName>
    <definedName name="ㅊ1055" localSheetId="1">#REF!</definedName>
    <definedName name="ㅊ1055" localSheetId="2">#REF!</definedName>
    <definedName name="ㅊ1055">#REF!</definedName>
    <definedName name="ㅊ26" localSheetId="4">#REF!</definedName>
    <definedName name="ㅊ26" localSheetId="1">#REF!</definedName>
    <definedName name="ㅊ26" localSheetId="2">#REF!</definedName>
    <definedName name="ㅊ26">#REF!</definedName>
    <definedName name="ㅊㅊㅊㅊㅊ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ㅊㅊㅊ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ㅊ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" localSheetId="4">#REF!</definedName>
    <definedName name="차입" localSheetId="1">#REF!</definedName>
    <definedName name="차입" localSheetId="2">#REF!</definedName>
    <definedName name="차입">#REF!</definedName>
    <definedName name="차입금계획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금계획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금리" localSheetId="4">#REF!</definedName>
    <definedName name="차입금리" localSheetId="1">#REF!</definedName>
    <definedName name="차입금리" localSheetId="2">#REF!</definedName>
    <definedName name="차입금리">#REF!</definedName>
    <definedName name="차입월data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월data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월dat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장" localSheetId="4">#REF!</definedName>
    <definedName name="차장" localSheetId="1">#REF!</definedName>
    <definedName name="차장" localSheetId="2">#REF!</definedName>
    <definedName name="차장">#REF!</definedName>
    <definedName name="참고자료" localSheetId="6" hidden="1">{#VALUE!,#N/A,FALSE,0;#N/A,#N/A,FALSE,0;#N/A,#N/A,FALSE,0;#N/A,#N/A,FALSE,0}</definedName>
    <definedName name="참고자료" localSheetId="5" hidden="1">{#VALUE!,#N/A,FALSE,0;#N/A,#N/A,FALSE,0;#N/A,#N/A,FALSE,0;#N/A,#N/A,FALSE,0}</definedName>
    <definedName name="참고자료" hidden="1">{#VALUE!,#N/A,FALSE,0;#N/A,#N/A,FALSE,0;#N/A,#N/A,FALSE,0;#N/A,#N/A,FALSE,0}</definedName>
    <definedName name="철도청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철도청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철도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총괄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총괄표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총괄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수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수종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수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2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이" localSheetId="6" hidden="1">{#VALUE!,#N/A,FALSE,0;#N/A,#N/A,FALSE,0;#N/A,#N/A,FALSE,0;#N/A,#N/A,FALSE,0}</definedName>
    <definedName name="추이" localSheetId="5" hidden="1">{#VALUE!,#N/A,FALSE,0;#N/A,#N/A,FALSE,0;#N/A,#N/A,FALSE,0;#N/A,#N/A,FALSE,0}</definedName>
    <definedName name="추이" hidden="1">{#VALUE!,#N/A,FALSE,0;#N/A,#N/A,FALSE,0;#N/A,#N/A,FALSE,0;#N/A,#N/A,FALSE,0}</definedName>
    <definedName name="추정손익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손익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손익계산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손익계산서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진효과" localSheetId="6" hidden="1">{"'BSC(2001)'!$A$27:$G$32"}</definedName>
    <definedName name="추진효과" localSheetId="5" hidden="1">{"'BSC(2001)'!$A$27:$G$32"}</definedName>
    <definedName name="추진효과" hidden="1">{"'BSC(2001)'!$A$27:$G$32"}</definedName>
    <definedName name="충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2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2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업장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업장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업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총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총괄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총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칷__?____?" localSheetId="4">#REF!</definedName>
    <definedName name="칷__?____?" localSheetId="1">#REF!</definedName>
    <definedName name="칷__?____?" localSheetId="2">#REF!</definedName>
    <definedName name="칷__?____?">#REF!</definedName>
    <definedName name="콘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콘도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ㅌ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ㅌ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ㅌㅌㅌ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ㅌㅌㅌ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ㅌㅌ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토공" localSheetId="4">#REF!</definedName>
    <definedName name="토공" localSheetId="1">#REF!</definedName>
    <definedName name="토공" localSheetId="2">#REF!</definedName>
    <definedName name="토공">#REF!</definedName>
    <definedName name="토공량" localSheetId="6" hidden="1">{#N/A,#N/A,FALSE,"기안지";#N/A,#N/A,FALSE,"통신지"}</definedName>
    <definedName name="토공량" localSheetId="5" hidden="1">{#N/A,#N/A,FALSE,"기안지";#N/A,#N/A,FALSE,"통신지"}</definedName>
    <definedName name="토공량" hidden="1">{#N/A,#N/A,FALSE,"기안지";#N/A,#N/A,FALSE,"통신지"}</definedName>
    <definedName name="토목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토목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토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통합손익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통합손익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통합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투" localSheetId="4" hidden="1">#REF!</definedName>
    <definedName name="투" localSheetId="1" hidden="1">#REF!</definedName>
    <definedName name="투" localSheetId="2" hidden="1">#REF!</definedName>
    <definedName name="투" hidden="1">#REF!</definedName>
    <definedName name="ㅍㅍ" localSheetId="4" hidden="1">#REF!</definedName>
    <definedName name="ㅍㅍ" localSheetId="1" hidden="1">#REF!</definedName>
    <definedName name="ㅍㅍ" localSheetId="2" hidden="1">#REF!</definedName>
    <definedName name="ㅍㅍ" hidden="1">#REF!</definedName>
    <definedName name="판" localSheetId="4">#REF!</definedName>
    <definedName name="판" localSheetId="1">#REF!</definedName>
    <definedName name="판" localSheetId="2">#REF!</definedName>
    <definedName name="판">#REF!</definedName>
    <definedName name="판관비">#N/A</definedName>
    <definedName name="팔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팔레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팔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평가수정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평가수정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평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평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평균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평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평균율" localSheetId="4">#REF!</definedName>
    <definedName name="평균율" localSheetId="1">#REF!</definedName>
    <definedName name="평균율" localSheetId="2">#REF!</definedName>
    <definedName name="평균율">#REF!</definedName>
    <definedName name="포장공" localSheetId="4">#REF!</definedName>
    <definedName name="포장공" localSheetId="1">#REF!</definedName>
    <definedName name="포장공" localSheetId="2">#REF!</definedName>
    <definedName name="포장공">#REF!</definedName>
    <definedName name="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제2" localSheetId="4">#REF!</definedName>
    <definedName name="표제2" localSheetId="1">#REF!</definedName>
    <definedName name="표제2" localSheetId="2">#REF!</definedName>
    <definedName name="표제2">#REF!</definedName>
    <definedName name="표준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준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준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ㅀ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ㅇㄹ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ㅇ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오ㅓ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오ㅓ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오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반기차입금계획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반기차입금계획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반기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자말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자말자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자말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해외1" localSheetId="4">#REF!</definedName>
    <definedName name="해외1" localSheetId="1">#REF!</definedName>
    <definedName name="해외1" localSheetId="2">#REF!</definedName>
    <definedName name="해외1">#REF!</definedName>
    <definedName name="헌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헌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흐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흐름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흐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재" localSheetId="4">#REF!</definedName>
    <definedName name="현재" localSheetId="1">#REF!</definedName>
    <definedName name="현재" localSheetId="2">#REF!</definedName>
    <definedName name="현재">#REF!</definedName>
    <definedName name="현재일" localSheetId="4">#REF!</definedName>
    <definedName name="현재일" localSheetId="1">#REF!</definedName>
    <definedName name="현재일" localSheetId="2">#REF!</definedName>
    <definedName name="현재일">#REF!</definedName>
    <definedName name="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ㅎ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ㅎ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호ㅓ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호ㅓ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ㅏ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ㅏ호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ㅏ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ㅜㅎ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ㅜㅎ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ㅜ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성태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성태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성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화" localSheetId="6" hidden="1">{#N/A,#N/A,FALSE,"기안지";#N/A,#N/A,FALSE,"통신지"}</definedName>
    <definedName name="화" localSheetId="5" hidden="1">{#N/A,#N/A,FALSE,"기안지";#N/A,#N/A,FALSE,"통신지"}</definedName>
    <definedName name="화" hidden="1">{#N/A,#N/A,FALSE,"기안지";#N/A,#N/A,FALSE,"통신지"}</definedName>
    <definedName name="화순" localSheetId="4">#REF!</definedName>
    <definedName name="화순" localSheetId="1">#REF!</definedName>
    <definedName name="화순" localSheetId="2">#REF!</definedName>
    <definedName name="화순">#REF!</definedName>
    <definedName name="환율유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율유가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율유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식대" localSheetId="4">#REF!</definedName>
    <definedName name="회식대" localSheetId="1">#REF!</definedName>
    <definedName name="회식대" localSheetId="2">#REF!</definedName>
    <definedName name="회식대">#REF!</definedName>
    <definedName name="회현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현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획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획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휴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흄관" localSheetId="6" hidden="1">{#N/A,#N/A,FALSE,"기안지";#N/A,#N/A,FALSE,"통신지"}</definedName>
    <definedName name="흄관" localSheetId="5" hidden="1">{#N/A,#N/A,FALSE,"기안지";#N/A,#N/A,FALSE,"통신지"}</definedName>
    <definedName name="흄관" hidden="1">{#N/A,#N/A,FALSE,"기안지";#N/A,#N/A,FALSE,"통신지"}</definedName>
    <definedName name="ㅏ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ㅏ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ㅏ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ㅕㅛ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ㅕㅛㅐ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ㅕㅛ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니닌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니닌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니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ㅓ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ㅓ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ㅇ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ㅇ허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ㅇ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ㅘㅓㅘ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ㅘㅓㅘ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ㅘㅓ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ㅔ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ㅔ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ㅅ곡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ㅅ곡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ㅅ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허호ㅓ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허호ㅓ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허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ㅇㅀㅇㅁㄴㅇ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ㅇㅀㅇㅁㄴㅇㅀ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ㅇㅀㅇㅁㄴ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ㅚㅏㅗ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ㅚㅏㅗ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ㅚㅏ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섣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섣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ㅗ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ㅗ허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ㅗ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ㅠ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ㅠ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ㅡㅡ" localSheetId="4">#REF!</definedName>
    <definedName name="ㅡㅡ" localSheetId="1">#REF!</definedName>
    <definedName name="ㅡㅡ" localSheetId="2">#REF!</definedName>
    <definedName name="ㅡㅡ">#REF!</definedName>
    <definedName name="ㅡㅡㅡㅡㅡㅡㅡㅡ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ㅡㅡㅡㅡㅡㅡㅡㅡ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ㅡㅡㅡㅡㅡㅡㅡ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니니니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니니니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니니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28" i="53" l="1"/>
  <c r="AY26" i="53"/>
  <c r="AY21" i="53"/>
  <c r="CL200" i="56"/>
  <c r="CH200" i="56"/>
  <c r="BY200" i="56"/>
  <c r="BO200" i="56"/>
  <c r="BH200" i="56"/>
  <c r="BM192" i="56"/>
  <c r="BC192" i="56"/>
  <c r="BS43" i="56" l="1"/>
  <c r="BZ187" i="56" l="1"/>
  <c r="BA98" i="56" l="1"/>
  <c r="AZ44" i="56" l="1"/>
  <c r="BM22" i="56" l="1"/>
  <c r="BA23" i="56"/>
  <c r="AZ17" i="56" l="1"/>
  <c r="BF17" i="56" l="1"/>
  <c r="AT12" i="53" l="1"/>
  <c r="BM16" i="56"/>
  <c r="BH33" i="56" l="1"/>
  <c r="BI244" i="56" l="1"/>
  <c r="BG244" i="56"/>
  <c r="BC244" i="56"/>
  <c r="AZ244" i="56"/>
  <c r="BF22" i="56" l="1"/>
  <c r="BF23" i="56"/>
  <c r="AU272" i="56" l="1"/>
  <c r="AV272" i="56"/>
  <c r="AT272" i="56"/>
  <c r="AR12" i="53" l="1"/>
  <c r="AR29" i="53" s="1"/>
  <c r="AQ12" i="53"/>
  <c r="AF22" i="69" l="1"/>
  <c r="BL26" i="69" l="1"/>
  <c r="BK26" i="69"/>
  <c r="BI26" i="69"/>
  <c r="BG26" i="69"/>
  <c r="BG113" i="69" s="1"/>
  <c r="BE26" i="69"/>
  <c r="BE113" i="69" s="1"/>
  <c r="BB26" i="69"/>
  <c r="BB27" i="69" s="1"/>
  <c r="AY26" i="69"/>
  <c r="AY27" i="69" s="1"/>
  <c r="AT272" i="69"/>
  <c r="CB267" i="69"/>
  <c r="CA267" i="69"/>
  <c r="CA243" i="69" s="1"/>
  <c r="CF243" i="69" s="1"/>
  <c r="AX266" i="69"/>
  <c r="AY267" i="69" s="1"/>
  <c r="BR265" i="69"/>
  <c r="BS265" i="69" s="1"/>
  <c r="BQ265" i="69"/>
  <c r="BP265" i="69"/>
  <c r="BO265" i="69"/>
  <c r="BN265" i="69"/>
  <c r="BM265" i="69"/>
  <c r="BL265" i="69"/>
  <c r="BK265" i="69"/>
  <c r="BJ265" i="69"/>
  <c r="BI265" i="69"/>
  <c r="BH265" i="69"/>
  <c r="BG265" i="69"/>
  <c r="BE265" i="69"/>
  <c r="BF265" i="69" s="1"/>
  <c r="BD265" i="69"/>
  <c r="BC265" i="69"/>
  <c r="BB265" i="69"/>
  <c r="BA265" i="69"/>
  <c r="AZ265" i="69"/>
  <c r="AY265" i="69"/>
  <c r="AX265" i="69"/>
  <c r="DG264" i="69"/>
  <c r="DE264" i="69"/>
  <c r="DD264" i="69"/>
  <c r="DC264" i="69"/>
  <c r="DB264" i="69"/>
  <c r="DA264" i="69"/>
  <c r="CZ264" i="69"/>
  <c r="CY264" i="69"/>
  <c r="CX264" i="69"/>
  <c r="CW264" i="69"/>
  <c r="CV264" i="69"/>
  <c r="CU264" i="69"/>
  <c r="CT264" i="69"/>
  <c r="CR264" i="69"/>
  <c r="CQ264" i="69"/>
  <c r="CP264" i="69"/>
  <c r="CO264" i="69"/>
  <c r="CN264" i="69"/>
  <c r="CM264" i="69"/>
  <c r="CL264" i="69"/>
  <c r="CK264" i="69"/>
  <c r="CJ264" i="69"/>
  <c r="CI264" i="69"/>
  <c r="CH264" i="69"/>
  <c r="CG264" i="69"/>
  <c r="CE264" i="69"/>
  <c r="CD264" i="69"/>
  <c r="CC264" i="69"/>
  <c r="CB264" i="69"/>
  <c r="CA264" i="69"/>
  <c r="BY264" i="69"/>
  <c r="BX264" i="69"/>
  <c r="BW264" i="69"/>
  <c r="BV264" i="69"/>
  <c r="BU264" i="69"/>
  <c r="BT264" i="69"/>
  <c r="BR264" i="69"/>
  <c r="BQ264" i="69"/>
  <c r="BP264" i="69"/>
  <c r="BO264" i="69"/>
  <c r="BN264" i="69"/>
  <c r="BM264" i="69"/>
  <c r="BL264" i="69"/>
  <c r="BK264" i="69"/>
  <c r="BJ264" i="69"/>
  <c r="BI264" i="69"/>
  <c r="BH264" i="69"/>
  <c r="BG264" i="69"/>
  <c r="BE264" i="69"/>
  <c r="BD264" i="69"/>
  <c r="BC264" i="69"/>
  <c r="BB264" i="69"/>
  <c r="BA264" i="69"/>
  <c r="AZ264" i="69"/>
  <c r="AY264" i="69"/>
  <c r="AX264" i="69"/>
  <c r="AW264" i="69"/>
  <c r="AV264" i="69"/>
  <c r="AT264" i="69"/>
  <c r="AR264" i="69"/>
  <c r="AQ264" i="69"/>
  <c r="AP264" i="69"/>
  <c r="AO264" i="69"/>
  <c r="AN264" i="69"/>
  <c r="AM264" i="69"/>
  <c r="AL264" i="69"/>
  <c r="AK264" i="69"/>
  <c r="AJ264" i="69"/>
  <c r="AI264" i="69"/>
  <c r="AH264" i="69"/>
  <c r="AG264" i="69"/>
  <c r="AE264" i="69"/>
  <c r="AE265" i="69" s="1"/>
  <c r="AD264" i="69"/>
  <c r="AC264" i="69"/>
  <c r="AC265" i="69" s="1"/>
  <c r="AD266" i="69" s="1"/>
  <c r="AD244" i="69" s="1"/>
  <c r="AD245" i="69" s="1"/>
  <c r="AB264" i="69"/>
  <c r="AA264" i="69"/>
  <c r="AA265" i="69" s="1"/>
  <c r="Z264" i="69"/>
  <c r="Y264" i="69"/>
  <c r="Y265" i="69" s="1"/>
  <c r="X264" i="69"/>
  <c r="W264" i="69"/>
  <c r="W265" i="69" s="1"/>
  <c r="V264" i="69"/>
  <c r="U264" i="69"/>
  <c r="U265" i="69" s="1"/>
  <c r="V265" i="69" s="1"/>
  <c r="W266" i="69" s="1"/>
  <c r="W244" i="69" s="1"/>
  <c r="W245" i="69" s="1"/>
  <c r="T264" i="69"/>
  <c r="R264" i="69"/>
  <c r="Q264" i="69"/>
  <c r="P264" i="69"/>
  <c r="O264" i="69"/>
  <c r="N264" i="69"/>
  <c r="M264" i="69"/>
  <c r="L264" i="69"/>
  <c r="K264" i="69"/>
  <c r="J264" i="69"/>
  <c r="I264" i="69"/>
  <c r="H264" i="69"/>
  <c r="G264" i="69"/>
  <c r="G265" i="69" s="1"/>
  <c r="BW263" i="69"/>
  <c r="G262" i="69"/>
  <c r="DG261" i="69"/>
  <c r="DF261" i="69"/>
  <c r="DE261" i="69"/>
  <c r="DD261" i="69"/>
  <c r="DC261" i="69"/>
  <c r="DB261" i="69"/>
  <c r="DA261" i="69"/>
  <c r="CZ261" i="69"/>
  <c r="CY261" i="69"/>
  <c r="CX261" i="69"/>
  <c r="CW261" i="69"/>
  <c r="CV261" i="69"/>
  <c r="CU261" i="69"/>
  <c r="CT261" i="69"/>
  <c r="CS261" i="69"/>
  <c r="CR261" i="69"/>
  <c r="CQ261" i="69"/>
  <c r="CP261" i="69"/>
  <c r="CO261" i="69"/>
  <c r="CN261" i="69"/>
  <c r="CM261" i="69"/>
  <c r="CL261" i="69"/>
  <c r="CK261" i="69"/>
  <c r="CJ261" i="69"/>
  <c r="CI261" i="69"/>
  <c r="CH261" i="69"/>
  <c r="CG261" i="69"/>
  <c r="CE261" i="69"/>
  <c r="CD261" i="69"/>
  <c r="CC261" i="69"/>
  <c r="CB261" i="69"/>
  <c r="CA261" i="69"/>
  <c r="BZ261" i="69"/>
  <c r="BY261" i="69"/>
  <c r="BX261" i="69"/>
  <c r="BX262" i="69" s="1"/>
  <c r="BW261" i="69"/>
  <c r="BV261" i="69"/>
  <c r="BU261" i="69"/>
  <c r="BT261" i="69"/>
  <c r="BS261" i="69"/>
  <c r="BR261" i="69"/>
  <c r="BQ261" i="69"/>
  <c r="BP261" i="69"/>
  <c r="BO261" i="69"/>
  <c r="BN261" i="69"/>
  <c r="BM261" i="69"/>
  <c r="BL261" i="69"/>
  <c r="BK261" i="69"/>
  <c r="BJ261" i="69"/>
  <c r="BI261" i="69"/>
  <c r="BH261" i="69"/>
  <c r="BG261" i="69"/>
  <c r="BE261" i="69"/>
  <c r="BD261" i="69"/>
  <c r="BC261" i="69"/>
  <c r="BB261" i="69"/>
  <c r="BA261" i="69"/>
  <c r="AZ261" i="69"/>
  <c r="AY261" i="69"/>
  <c r="AX261" i="69"/>
  <c r="AW261" i="69"/>
  <c r="AV261" i="69"/>
  <c r="AU261" i="69"/>
  <c r="AT261" i="69"/>
  <c r="AR261" i="69"/>
  <c r="AQ261" i="69"/>
  <c r="AP261" i="69"/>
  <c r="AO261" i="69"/>
  <c r="AN261" i="69"/>
  <c r="AM261" i="69"/>
  <c r="AL261" i="69"/>
  <c r="AK261" i="69"/>
  <c r="AJ261" i="69"/>
  <c r="AI261" i="69"/>
  <c r="AH261" i="69"/>
  <c r="AG261" i="69"/>
  <c r="AE261" i="69"/>
  <c r="AD261" i="69"/>
  <c r="AC261" i="69"/>
  <c r="AB261" i="69"/>
  <c r="AA261" i="69"/>
  <c r="Z261" i="69"/>
  <c r="Y261" i="69"/>
  <c r="X261" i="69"/>
  <c r="W261" i="69"/>
  <c r="V261" i="69"/>
  <c r="U261" i="69"/>
  <c r="T261" i="69"/>
  <c r="R261" i="69"/>
  <c r="Q261" i="69"/>
  <c r="P261" i="69"/>
  <c r="O261" i="69"/>
  <c r="N261" i="69"/>
  <c r="M261" i="69"/>
  <c r="L261" i="69"/>
  <c r="K261" i="69"/>
  <c r="J261" i="69"/>
  <c r="I261" i="69"/>
  <c r="H261" i="69"/>
  <c r="G261" i="69"/>
  <c r="G260" i="69"/>
  <c r="G259" i="69"/>
  <c r="AA255" i="69"/>
  <c r="Z255" i="69"/>
  <c r="X255" i="69"/>
  <c r="W255" i="69"/>
  <c r="V255" i="69"/>
  <c r="V7" i="69" s="1"/>
  <c r="O255" i="69"/>
  <c r="O7" i="69" s="1"/>
  <c r="J255" i="69"/>
  <c r="J7" i="69" s="1"/>
  <c r="I255" i="69"/>
  <c r="I7" i="69" s="1"/>
  <c r="H255" i="69"/>
  <c r="H7" i="69" s="1"/>
  <c r="G255" i="69"/>
  <c r="G7" i="69" s="1"/>
  <c r="DG254" i="69"/>
  <c r="DE254" i="69"/>
  <c r="DD254" i="69"/>
  <c r="DC254" i="69"/>
  <c r="DB254" i="69"/>
  <c r="DA254" i="69"/>
  <c r="CZ254" i="69"/>
  <c r="CY254" i="69"/>
  <c r="CX254" i="69"/>
  <c r="CW254" i="69"/>
  <c r="CV254" i="69"/>
  <c r="CU254" i="69"/>
  <c r="CT254" i="69"/>
  <c r="CR254" i="69"/>
  <c r="CQ254" i="69"/>
  <c r="CP254" i="69"/>
  <c r="CO254" i="69"/>
  <c r="CS254" i="69" s="1"/>
  <c r="CN254" i="69"/>
  <c r="CM254" i="69"/>
  <c r="CL254" i="69"/>
  <c r="CK254" i="69"/>
  <c r="CJ254" i="69"/>
  <c r="CI254" i="69"/>
  <c r="CH254" i="69"/>
  <c r="CG254" i="69"/>
  <c r="CE254" i="69"/>
  <c r="CD254" i="69"/>
  <c r="CC254" i="69"/>
  <c r="CB254" i="69"/>
  <c r="CA254" i="69"/>
  <c r="BZ254" i="69"/>
  <c r="BY254" i="69"/>
  <c r="BX254" i="69"/>
  <c r="BW254" i="69"/>
  <c r="BV254" i="69"/>
  <c r="BU254" i="69"/>
  <c r="BT254" i="69"/>
  <c r="BR254" i="69"/>
  <c r="BQ254" i="69"/>
  <c r="BP254" i="69"/>
  <c r="BO254" i="69"/>
  <c r="BN254" i="69"/>
  <c r="BM254" i="69"/>
  <c r="BL254" i="69"/>
  <c r="BK254" i="69"/>
  <c r="BJ254" i="69"/>
  <c r="BI254" i="69"/>
  <c r="BH254" i="69"/>
  <c r="BG254" i="69"/>
  <c r="BE254" i="69"/>
  <c r="BD254" i="69"/>
  <c r="BC254" i="69"/>
  <c r="BB254" i="69"/>
  <c r="BA254" i="69"/>
  <c r="AZ254" i="69"/>
  <c r="AY254" i="69"/>
  <c r="AX254" i="69"/>
  <c r="AW254" i="69"/>
  <c r="AV254" i="69"/>
  <c r="AU254" i="69"/>
  <c r="AT254" i="69"/>
  <c r="AR254" i="69"/>
  <c r="AQ254" i="69"/>
  <c r="AP254" i="69"/>
  <c r="AO254" i="69"/>
  <c r="AN254" i="69"/>
  <c r="AM254" i="69"/>
  <c r="AL254" i="69"/>
  <c r="AK254" i="69"/>
  <c r="AJ254" i="69"/>
  <c r="AI254" i="69"/>
  <c r="AH254" i="69"/>
  <c r="AG254" i="69"/>
  <c r="AE254" i="69"/>
  <c r="AD254" i="69"/>
  <c r="AC254" i="69"/>
  <c r="AB254" i="69"/>
  <c r="AA254" i="69"/>
  <c r="Z254" i="69"/>
  <c r="Y254" i="69"/>
  <c r="AF254" i="69" s="1"/>
  <c r="X254" i="69"/>
  <c r="W254" i="69"/>
  <c r="V254" i="69"/>
  <c r="U254" i="69"/>
  <c r="T254" i="69"/>
  <c r="R254" i="69"/>
  <c r="Q254" i="69"/>
  <c r="P254" i="69"/>
  <c r="O254" i="69"/>
  <c r="N254" i="69"/>
  <c r="M254" i="69"/>
  <c r="L254" i="69"/>
  <c r="K254" i="69"/>
  <c r="J254" i="69"/>
  <c r="I254" i="69"/>
  <c r="H254" i="69"/>
  <c r="G254" i="69"/>
  <c r="F254" i="69"/>
  <c r="DF253" i="69"/>
  <c r="CS253" i="69"/>
  <c r="CF253" i="69"/>
  <c r="BS253" i="69"/>
  <c r="BF253" i="69"/>
  <c r="AS253" i="69"/>
  <c r="AF253" i="69"/>
  <c r="S253" i="69"/>
  <c r="DH253" i="69" s="1"/>
  <c r="DF252" i="69"/>
  <c r="CS252" i="69"/>
  <c r="CF252" i="69"/>
  <c r="BS252" i="69"/>
  <c r="BF252" i="69"/>
  <c r="AS252" i="69"/>
  <c r="AF252" i="69"/>
  <c r="S252" i="69"/>
  <c r="DG251" i="69"/>
  <c r="DE251" i="69"/>
  <c r="DD251" i="69"/>
  <c r="DC251" i="69"/>
  <c r="DB251" i="69"/>
  <c r="DA251" i="69"/>
  <c r="CZ251" i="69"/>
  <c r="CY251" i="69"/>
  <c r="CX251" i="69"/>
  <c r="CW251" i="69"/>
  <c r="CV251" i="69"/>
  <c r="CU251" i="69"/>
  <c r="CT251" i="69"/>
  <c r="CR251" i="69"/>
  <c r="CQ251" i="69"/>
  <c r="CP251" i="69"/>
  <c r="CO251" i="69"/>
  <c r="CN251" i="69"/>
  <c r="CM251" i="69"/>
  <c r="CL251" i="69"/>
  <c r="CK251" i="69"/>
  <c r="CJ251" i="69"/>
  <c r="CI251" i="69"/>
  <c r="CH251" i="69"/>
  <c r="CG251" i="69"/>
  <c r="CE251" i="69"/>
  <c r="CD251" i="69"/>
  <c r="CC251" i="69"/>
  <c r="CB251" i="69"/>
  <c r="CA251" i="69"/>
  <c r="BZ251" i="69"/>
  <c r="BY251" i="69"/>
  <c r="BX251" i="69"/>
  <c r="BW251" i="69"/>
  <c r="BV251" i="69"/>
  <c r="BU251" i="69"/>
  <c r="BT251" i="69"/>
  <c r="BR251" i="69"/>
  <c r="BQ251" i="69"/>
  <c r="BP251" i="69"/>
  <c r="BO251" i="69"/>
  <c r="BN251" i="69"/>
  <c r="BM251" i="69"/>
  <c r="BL251" i="69"/>
  <c r="BK251" i="69"/>
  <c r="BJ251" i="69"/>
  <c r="BI251" i="69"/>
  <c r="BH251" i="69"/>
  <c r="BG251" i="69"/>
  <c r="BE251" i="69"/>
  <c r="BD251" i="69"/>
  <c r="BC251" i="69"/>
  <c r="BB251" i="69"/>
  <c r="BA251" i="69"/>
  <c r="AZ251" i="69"/>
  <c r="AY251" i="69"/>
  <c r="AX251" i="69"/>
  <c r="AW251" i="69"/>
  <c r="AV251" i="69"/>
  <c r="AU251" i="69"/>
  <c r="AT251" i="69"/>
  <c r="AR251" i="69"/>
  <c r="AQ251" i="69"/>
  <c r="AP251" i="69"/>
  <c r="AO251" i="69"/>
  <c r="AM251" i="69"/>
  <c r="AL251" i="69"/>
  <c r="AK251" i="69"/>
  <c r="AJ251" i="69"/>
  <c r="AI251" i="69"/>
  <c r="AH251" i="69"/>
  <c r="AG251" i="69"/>
  <c r="AE251" i="69"/>
  <c r="AD251" i="69"/>
  <c r="AC251" i="69"/>
  <c r="AB251" i="69"/>
  <c r="AA251" i="69"/>
  <c r="Z251" i="69"/>
  <c r="Y251" i="69"/>
  <c r="X251" i="69"/>
  <c r="W251" i="69"/>
  <c r="V251" i="69"/>
  <c r="U251" i="69"/>
  <c r="T251" i="69"/>
  <c r="R251" i="69"/>
  <c r="Q251" i="69"/>
  <c r="P251" i="69"/>
  <c r="O251" i="69"/>
  <c r="N251" i="69"/>
  <c r="M251" i="69"/>
  <c r="L251" i="69"/>
  <c r="K251" i="69"/>
  <c r="J251" i="69"/>
  <c r="I251" i="69"/>
  <c r="H251" i="69"/>
  <c r="G251" i="69"/>
  <c r="F251" i="69"/>
  <c r="DF250" i="69"/>
  <c r="CS250" i="69"/>
  <c r="CF250" i="69"/>
  <c r="BS250" i="69"/>
  <c r="BF250" i="69"/>
  <c r="AN250" i="69"/>
  <c r="AN251" i="69" s="1"/>
  <c r="AF250" i="69"/>
  <c r="S250" i="69"/>
  <c r="DF249" i="69"/>
  <c r="CS249" i="69"/>
  <c r="CF249" i="69"/>
  <c r="BS249" i="69"/>
  <c r="BF249" i="69"/>
  <c r="AS249" i="69"/>
  <c r="AF249" i="69"/>
  <c r="S249" i="69"/>
  <c r="AV248" i="69"/>
  <c r="AU248" i="69"/>
  <c r="AT248" i="69"/>
  <c r="AR248" i="69"/>
  <c r="AQ248" i="69"/>
  <c r="AP248" i="69"/>
  <c r="AO248" i="69"/>
  <c r="AN248" i="69"/>
  <c r="AM248" i="69"/>
  <c r="AL248" i="69"/>
  <c r="AJ248" i="69"/>
  <c r="AI248" i="69"/>
  <c r="AG248" i="69"/>
  <c r="AE248" i="69"/>
  <c r="AD248" i="69"/>
  <c r="AC248" i="69"/>
  <c r="AB248" i="69"/>
  <c r="Z248" i="69"/>
  <c r="V248" i="69"/>
  <c r="F248" i="69"/>
  <c r="DF247" i="69"/>
  <c r="BW247" i="69"/>
  <c r="AS246" i="69"/>
  <c r="AF246" i="69"/>
  <c r="S246" i="69"/>
  <c r="DE245" i="69"/>
  <c r="DD245" i="69"/>
  <c r="DC245" i="69"/>
  <c r="DB245" i="69"/>
  <c r="DA245" i="69"/>
  <c r="CZ245" i="69"/>
  <c r="CY245" i="69"/>
  <c r="CX245" i="69"/>
  <c r="CW245" i="69"/>
  <c r="CV245" i="69"/>
  <c r="CU245" i="69"/>
  <c r="CT245" i="69"/>
  <c r="CR245" i="69"/>
  <c r="CQ245" i="69"/>
  <c r="CP245" i="69"/>
  <c r="CO245" i="69"/>
  <c r="CN245" i="69"/>
  <c r="CM245" i="69"/>
  <c r="CL245" i="69"/>
  <c r="CK245" i="69"/>
  <c r="CJ245" i="69"/>
  <c r="CI245" i="69"/>
  <c r="CH245" i="69"/>
  <c r="CG245" i="69"/>
  <c r="CE245" i="69"/>
  <c r="CD245" i="69"/>
  <c r="CC245" i="69"/>
  <c r="CB245" i="69"/>
  <c r="CA245" i="69"/>
  <c r="BZ245" i="69"/>
  <c r="BY245" i="69"/>
  <c r="BX245" i="69"/>
  <c r="BW245" i="69"/>
  <c r="BV245" i="69"/>
  <c r="BU245" i="69"/>
  <c r="BT245" i="69"/>
  <c r="BR245" i="69"/>
  <c r="BQ245" i="69"/>
  <c r="BP245" i="69"/>
  <c r="BO245" i="69"/>
  <c r="BN245" i="69"/>
  <c r="BM245" i="69"/>
  <c r="BL245" i="69"/>
  <c r="BK245" i="69"/>
  <c r="BJ245" i="69"/>
  <c r="BI245" i="69"/>
  <c r="BH245" i="69"/>
  <c r="BG245" i="69"/>
  <c r="BE245" i="69"/>
  <c r="BD245" i="69"/>
  <c r="BC245" i="69"/>
  <c r="BB245" i="69"/>
  <c r="BA245" i="69"/>
  <c r="AZ245" i="69"/>
  <c r="AY245" i="69"/>
  <c r="AX245" i="69"/>
  <c r="AW245" i="69"/>
  <c r="AV245" i="69"/>
  <c r="AU245" i="69"/>
  <c r="AT245" i="69"/>
  <c r="AP245" i="69"/>
  <c r="F245" i="69"/>
  <c r="DG244" i="69"/>
  <c r="DG245" i="69" s="1"/>
  <c r="DF244" i="69"/>
  <c r="CS244" i="69"/>
  <c r="CF244" i="69"/>
  <c r="BS244" i="69"/>
  <c r="BF244" i="69"/>
  <c r="DF243" i="69"/>
  <c r="CS243" i="69"/>
  <c r="BS243" i="69"/>
  <c r="BF243" i="69"/>
  <c r="AS243" i="69"/>
  <c r="AF243" i="69"/>
  <c r="S243" i="69"/>
  <c r="DH243" i="69" s="1"/>
  <c r="E243" i="69"/>
  <c r="AI242" i="69"/>
  <c r="AA242" i="69"/>
  <c r="Z242" i="69"/>
  <c r="DG241" i="69"/>
  <c r="CC241" i="69"/>
  <c r="BQ241" i="69"/>
  <c r="BA241" i="69"/>
  <c r="AZ241" i="69"/>
  <c r="G241" i="69"/>
  <c r="F241" i="69"/>
  <c r="DC240" i="69"/>
  <c r="DB240" i="69"/>
  <c r="CR240" i="69"/>
  <c r="CP240" i="69"/>
  <c r="CP242" i="69" s="1"/>
  <c r="CN240" i="69"/>
  <c r="CM240" i="69"/>
  <c r="CL240" i="69"/>
  <c r="BE240" i="69"/>
  <c r="BD240" i="69"/>
  <c r="AB240" i="69"/>
  <c r="Y240" i="69"/>
  <c r="I240" i="69"/>
  <c r="DG239" i="69"/>
  <c r="DE239" i="69"/>
  <c r="DD239" i="69"/>
  <c r="DC239" i="69"/>
  <c r="DB239" i="69"/>
  <c r="DA239" i="69"/>
  <c r="CZ239" i="69"/>
  <c r="CY239" i="69"/>
  <c r="CX239" i="69"/>
  <c r="CW239" i="69"/>
  <c r="CV239" i="69"/>
  <c r="CU239" i="69"/>
  <c r="CT239" i="69"/>
  <c r="CR239" i="69"/>
  <c r="CQ239" i="69"/>
  <c r="CP239" i="69"/>
  <c r="CO239" i="69"/>
  <c r="CN239" i="69"/>
  <c r="CM239" i="69"/>
  <c r="CL239" i="69"/>
  <c r="CK239" i="69"/>
  <c r="CJ239" i="69"/>
  <c r="CI239" i="69"/>
  <c r="CH239" i="69"/>
  <c r="CG239" i="69"/>
  <c r="CE239" i="69"/>
  <c r="CD239" i="69"/>
  <c r="CC239" i="69"/>
  <c r="CB239" i="69"/>
  <c r="CA239" i="69"/>
  <c r="BZ239" i="69"/>
  <c r="BY239" i="69"/>
  <c r="BX239" i="69"/>
  <c r="BW239" i="69"/>
  <c r="BV239" i="69"/>
  <c r="BU239" i="69"/>
  <c r="BT239" i="69"/>
  <c r="BR239" i="69"/>
  <c r="BQ239" i="69"/>
  <c r="BP239" i="69"/>
  <c r="BO239" i="69"/>
  <c r="BN239" i="69"/>
  <c r="BM239" i="69"/>
  <c r="BL239" i="69"/>
  <c r="BK239" i="69"/>
  <c r="BJ239" i="69"/>
  <c r="BI239" i="69"/>
  <c r="BH239" i="69"/>
  <c r="BG239" i="69"/>
  <c r="BE239" i="69"/>
  <c r="BD239" i="69"/>
  <c r="BC239" i="69"/>
  <c r="BB239" i="69"/>
  <c r="BA239" i="69"/>
  <c r="AZ239" i="69"/>
  <c r="AY239" i="69"/>
  <c r="AX239" i="69"/>
  <c r="AW239" i="69"/>
  <c r="AV239" i="69"/>
  <c r="AU239" i="69"/>
  <c r="AT239" i="69"/>
  <c r="AR239" i="69"/>
  <c r="AQ239" i="69"/>
  <c r="AP239" i="69"/>
  <c r="AO239" i="69"/>
  <c r="AN239" i="69"/>
  <c r="AM239" i="69"/>
  <c r="AL239" i="69"/>
  <c r="AK239" i="69"/>
  <c r="AJ239" i="69"/>
  <c r="AI239" i="69"/>
  <c r="AH239" i="69"/>
  <c r="AG239" i="69"/>
  <c r="AE239" i="69"/>
  <c r="AD239" i="69"/>
  <c r="AC239" i="69"/>
  <c r="AB239" i="69"/>
  <c r="AA239" i="69"/>
  <c r="Z239" i="69"/>
  <c r="Y239" i="69"/>
  <c r="X239" i="69"/>
  <c r="W239" i="69"/>
  <c r="V239" i="69"/>
  <c r="U239" i="69"/>
  <c r="T239" i="69"/>
  <c r="R239" i="69"/>
  <c r="Q239" i="69"/>
  <c r="P239" i="69"/>
  <c r="O239" i="69"/>
  <c r="N239" i="69"/>
  <c r="M239" i="69"/>
  <c r="L239" i="69"/>
  <c r="K239" i="69"/>
  <c r="J239" i="69"/>
  <c r="I239" i="69"/>
  <c r="H239" i="69"/>
  <c r="G239" i="69"/>
  <c r="F239" i="69"/>
  <c r="DF238" i="69"/>
  <c r="CS238" i="69"/>
  <c r="CF238" i="69"/>
  <c r="BS238" i="69"/>
  <c r="BF238" i="69"/>
  <c r="AS238" i="69"/>
  <c r="AF238" i="69"/>
  <c r="S238" i="69"/>
  <c r="DF237" i="69"/>
  <c r="CS237" i="69"/>
  <c r="CF237" i="69"/>
  <c r="CF261" i="69" s="1"/>
  <c r="BS237" i="69"/>
  <c r="BF237" i="69"/>
  <c r="BF261" i="69" s="1"/>
  <c r="AS237" i="69"/>
  <c r="AS261" i="69" s="1"/>
  <c r="AF237" i="69"/>
  <c r="AF261" i="69" s="1"/>
  <c r="S237" i="69"/>
  <c r="DG236" i="69"/>
  <c r="DE236" i="69"/>
  <c r="DD236" i="69"/>
  <c r="DC236" i="69"/>
  <c r="DB236" i="69"/>
  <c r="DA236" i="69"/>
  <c r="CZ236" i="69"/>
  <c r="CY236" i="69"/>
  <c r="CX236" i="69"/>
  <c r="CW236" i="69"/>
  <c r="CV236" i="69"/>
  <c r="CU236" i="69"/>
  <c r="CT236" i="69"/>
  <c r="CR236" i="69"/>
  <c r="CQ236" i="69"/>
  <c r="CP236" i="69"/>
  <c r="CO236" i="69"/>
  <c r="CN236" i="69"/>
  <c r="CM236" i="69"/>
  <c r="CL236" i="69"/>
  <c r="CK236" i="69"/>
  <c r="CJ236" i="69"/>
  <c r="CI236" i="69"/>
  <c r="CH236" i="69"/>
  <c r="CG236" i="69"/>
  <c r="CE236" i="69"/>
  <c r="CD236" i="69"/>
  <c r="CC236" i="69"/>
  <c r="CB236" i="69"/>
  <c r="CA236" i="69"/>
  <c r="BZ236" i="69"/>
  <c r="BY236" i="69"/>
  <c r="BX236" i="69"/>
  <c r="BW236" i="69"/>
  <c r="BV236" i="69"/>
  <c r="BU236" i="69"/>
  <c r="BT236" i="69"/>
  <c r="BR236" i="69"/>
  <c r="BQ236" i="69"/>
  <c r="BP236" i="69"/>
  <c r="BO236" i="69"/>
  <c r="BN236" i="69"/>
  <c r="BM236" i="69"/>
  <c r="BL236" i="69"/>
  <c r="BK236" i="69"/>
  <c r="BJ236" i="69"/>
  <c r="BI236" i="69"/>
  <c r="BH236" i="69"/>
  <c r="BS236" i="69" s="1"/>
  <c r="BG236" i="69"/>
  <c r="BE236" i="69"/>
  <c r="BD236" i="69"/>
  <c r="BC236" i="69"/>
  <c r="BB236" i="69"/>
  <c r="BA236" i="69"/>
  <c r="AZ236" i="69"/>
  <c r="AY236" i="69"/>
  <c r="AX236" i="69"/>
  <c r="AW236" i="69"/>
  <c r="AV236" i="69"/>
  <c r="AU236" i="69"/>
  <c r="AT236" i="69"/>
  <c r="AR236" i="69"/>
  <c r="AQ236" i="69"/>
  <c r="AP236" i="69"/>
  <c r="AO236" i="69"/>
  <c r="AN236" i="69"/>
  <c r="AM236" i="69"/>
  <c r="AL236" i="69"/>
  <c r="AK236" i="69"/>
  <c r="AJ236" i="69"/>
  <c r="AI236" i="69"/>
  <c r="AH236" i="69"/>
  <c r="AG236" i="69"/>
  <c r="AE236" i="69"/>
  <c r="AD236" i="69"/>
  <c r="AC236" i="69"/>
  <c r="AB236" i="69"/>
  <c r="AA236" i="69"/>
  <c r="Z236" i="69"/>
  <c r="Y236" i="69"/>
  <c r="X236" i="69"/>
  <c r="W236" i="69"/>
  <c r="V236" i="69"/>
  <c r="U236" i="69"/>
  <c r="T236" i="69"/>
  <c r="R236" i="69"/>
  <c r="Q236" i="69"/>
  <c r="P236" i="69"/>
  <c r="O236" i="69"/>
  <c r="N236" i="69"/>
  <c r="M236" i="69"/>
  <c r="L236" i="69"/>
  <c r="K236" i="69"/>
  <c r="J236" i="69"/>
  <c r="I236" i="69"/>
  <c r="H236" i="69"/>
  <c r="G236" i="69"/>
  <c r="F236" i="69"/>
  <c r="DF235" i="69"/>
  <c r="CS235" i="69"/>
  <c r="CF235" i="69"/>
  <c r="BS235" i="69"/>
  <c r="BF235" i="69"/>
  <c r="AS235" i="69"/>
  <c r="AF235" i="69"/>
  <c r="S235" i="69"/>
  <c r="DF234" i="69"/>
  <c r="CS234" i="69"/>
  <c r="CF234" i="69"/>
  <c r="BS234" i="69"/>
  <c r="BF234" i="69"/>
  <c r="AS234" i="69"/>
  <c r="AF234" i="69"/>
  <c r="S234" i="69"/>
  <c r="DG233" i="69"/>
  <c r="DE233" i="69"/>
  <c r="DD233" i="69"/>
  <c r="DC233" i="69"/>
  <c r="DB233" i="69"/>
  <c r="DA233" i="69"/>
  <c r="CZ233" i="69"/>
  <c r="CY233" i="69"/>
  <c r="CX233" i="69"/>
  <c r="CW233" i="69"/>
  <c r="CV233" i="69"/>
  <c r="CU233" i="69"/>
  <c r="CT233" i="69"/>
  <c r="CR233" i="69"/>
  <c r="CQ233" i="69"/>
  <c r="CP233" i="69"/>
  <c r="CO233" i="69"/>
  <c r="CN233" i="69"/>
  <c r="CM233" i="69"/>
  <c r="CL233" i="69"/>
  <c r="CK233" i="69"/>
  <c r="CJ233" i="69"/>
  <c r="CI233" i="69"/>
  <c r="CH233" i="69"/>
  <c r="CG233" i="69"/>
  <c r="CE233" i="69"/>
  <c r="CD233" i="69"/>
  <c r="CC233" i="69"/>
  <c r="CB233" i="69"/>
  <c r="CA233" i="69"/>
  <c r="BY233" i="69"/>
  <c r="BX233" i="69"/>
  <c r="BW233" i="69"/>
  <c r="BV233" i="69"/>
  <c r="BU233" i="69"/>
  <c r="BT233" i="69"/>
  <c r="BR233" i="69"/>
  <c r="BQ233" i="69"/>
  <c r="BP233" i="69"/>
  <c r="BO233" i="69"/>
  <c r="BN233" i="69"/>
  <c r="BM233" i="69"/>
  <c r="BL233" i="69"/>
  <c r="BK233" i="69"/>
  <c r="BJ233" i="69"/>
  <c r="BI233" i="69"/>
  <c r="BH233" i="69"/>
  <c r="BG233" i="69"/>
  <c r="BE233" i="69"/>
  <c r="BD233" i="69"/>
  <c r="BC233" i="69"/>
  <c r="BB233" i="69"/>
  <c r="BA233" i="69"/>
  <c r="AZ233" i="69"/>
  <c r="AY233" i="69"/>
  <c r="AX233" i="69"/>
  <c r="AW233" i="69"/>
  <c r="AV233" i="69"/>
  <c r="AU233" i="69"/>
  <c r="AT233" i="69"/>
  <c r="AR233" i="69"/>
  <c r="AQ233" i="69"/>
  <c r="AP233" i="69"/>
  <c r="AO233" i="69"/>
  <c r="AN233" i="69"/>
  <c r="AM233" i="69"/>
  <c r="AL233" i="69"/>
  <c r="AK233" i="69"/>
  <c r="AJ233" i="69"/>
  <c r="AI233" i="69"/>
  <c r="AH233" i="69"/>
  <c r="AG233" i="69"/>
  <c r="AE233" i="69"/>
  <c r="AD233" i="69"/>
  <c r="AC233" i="69"/>
  <c r="AB233" i="69"/>
  <c r="AA233" i="69"/>
  <c r="Z233" i="69"/>
  <c r="Y233" i="69"/>
  <c r="X233" i="69"/>
  <c r="W233" i="69"/>
  <c r="V233" i="69"/>
  <c r="U233" i="69"/>
  <c r="T233" i="69"/>
  <c r="R233" i="69"/>
  <c r="Q233" i="69"/>
  <c r="P233" i="69"/>
  <c r="O233" i="69"/>
  <c r="N233" i="69"/>
  <c r="M233" i="69"/>
  <c r="L233" i="69"/>
  <c r="K233" i="69"/>
  <c r="J233" i="69"/>
  <c r="I233" i="69"/>
  <c r="H233" i="69"/>
  <c r="G233" i="69"/>
  <c r="F233" i="69"/>
  <c r="DH232" i="69"/>
  <c r="DF232" i="69"/>
  <c r="CS232" i="69"/>
  <c r="CF232" i="69"/>
  <c r="BS232" i="69"/>
  <c r="BF232" i="69"/>
  <c r="AS232" i="69"/>
  <c r="AF232" i="69"/>
  <c r="S232" i="69"/>
  <c r="DF231" i="69"/>
  <c r="CS231" i="69"/>
  <c r="BZ231" i="69"/>
  <c r="BS231" i="69"/>
  <c r="BF231" i="69"/>
  <c r="AS231" i="69"/>
  <c r="AF231" i="69"/>
  <c r="S231" i="69"/>
  <c r="DH230" i="69"/>
  <c r="DA224" i="69"/>
  <c r="DA228" i="69" s="1"/>
  <c r="DA5" i="69" s="1"/>
  <c r="T224" i="69"/>
  <c r="DE221" i="69"/>
  <c r="DD221" i="69"/>
  <c r="DC221" i="69"/>
  <c r="DB221" i="69"/>
  <c r="DB224" i="69" s="1"/>
  <c r="DB228" i="69" s="1"/>
  <c r="DB5" i="69" s="1"/>
  <c r="DA221" i="69"/>
  <c r="CZ221" i="69"/>
  <c r="CY221" i="69"/>
  <c r="CX221" i="69"/>
  <c r="CW221" i="69"/>
  <c r="CV221" i="69"/>
  <c r="CU221" i="69"/>
  <c r="CT221" i="69"/>
  <c r="CR221" i="69"/>
  <c r="CQ221" i="69"/>
  <c r="CP221" i="69"/>
  <c r="CO221" i="69"/>
  <c r="CN221" i="69"/>
  <c r="CM221" i="69"/>
  <c r="CL221" i="69"/>
  <c r="CK221" i="69"/>
  <c r="CJ221" i="69"/>
  <c r="CI221" i="69"/>
  <c r="CH221" i="69"/>
  <c r="CG221" i="69"/>
  <c r="CE221" i="69"/>
  <c r="CD221" i="69"/>
  <c r="CC221" i="69"/>
  <c r="CB221" i="69"/>
  <c r="CA221" i="69"/>
  <c r="BZ221" i="69"/>
  <c r="BY221" i="69"/>
  <c r="BX221" i="69"/>
  <c r="BW221" i="69"/>
  <c r="BV221" i="69"/>
  <c r="BU221" i="69"/>
  <c r="BT221" i="69"/>
  <c r="BR221" i="69"/>
  <c r="BQ221" i="69"/>
  <c r="BP221" i="69"/>
  <c r="BO221" i="69"/>
  <c r="BN221" i="69"/>
  <c r="BM221" i="69"/>
  <c r="BL221" i="69"/>
  <c r="BK221" i="69"/>
  <c r="BJ221" i="69"/>
  <c r="BI221" i="69"/>
  <c r="BH221" i="69"/>
  <c r="BG221" i="69"/>
  <c r="BF221" i="69"/>
  <c r="AS221" i="69"/>
  <c r="AB221" i="69"/>
  <c r="T221" i="69"/>
  <c r="S221" i="69"/>
  <c r="DE219" i="69"/>
  <c r="DD219" i="69"/>
  <c r="CP219" i="69"/>
  <c r="BK219" i="69"/>
  <c r="AQ219" i="69"/>
  <c r="AO219" i="69"/>
  <c r="AN219" i="69"/>
  <c r="AM219" i="69"/>
  <c r="DG218" i="69"/>
  <c r="DE218" i="69"/>
  <c r="DD218" i="69"/>
  <c r="DC218" i="69"/>
  <c r="DB218" i="69"/>
  <c r="DA218" i="69"/>
  <c r="CZ218" i="69"/>
  <c r="CY218" i="69"/>
  <c r="CX218" i="69"/>
  <c r="CW218" i="69"/>
  <c r="CV218" i="69"/>
  <c r="CU218" i="69"/>
  <c r="CT218" i="69"/>
  <c r="CR218" i="69"/>
  <c r="CQ218" i="69"/>
  <c r="CP218" i="69"/>
  <c r="CO218" i="69"/>
  <c r="CN218" i="69"/>
  <c r="CM218" i="69"/>
  <c r="CL218" i="69"/>
  <c r="CK218" i="69"/>
  <c r="CJ218" i="69"/>
  <c r="CI218" i="69"/>
  <c r="CH218" i="69"/>
  <c r="CG218" i="69"/>
  <c r="CE218" i="69"/>
  <c r="CD218" i="69"/>
  <c r="CC218" i="69"/>
  <c r="CB218" i="69"/>
  <c r="CA218" i="69"/>
  <c r="BZ218" i="69"/>
  <c r="BY218" i="69"/>
  <c r="BX218" i="69"/>
  <c r="BW218" i="69"/>
  <c r="BV218" i="69"/>
  <c r="BU218" i="69"/>
  <c r="BT218" i="69"/>
  <c r="BR218" i="69"/>
  <c r="BQ218" i="69"/>
  <c r="BP218" i="69"/>
  <c r="BO218" i="69"/>
  <c r="BN218" i="69"/>
  <c r="BM218" i="69"/>
  <c r="BL218" i="69"/>
  <c r="BK218" i="69"/>
  <c r="BJ218" i="69"/>
  <c r="BI218" i="69"/>
  <c r="BH218" i="69"/>
  <c r="BG218" i="69"/>
  <c r="BE218" i="69"/>
  <c r="BD218" i="69"/>
  <c r="BC218" i="69"/>
  <c r="BB218" i="69"/>
  <c r="BA218" i="69"/>
  <c r="AZ218" i="69"/>
  <c r="AY218" i="69"/>
  <c r="AX218" i="69"/>
  <c r="AW218" i="69"/>
  <c r="AV218" i="69"/>
  <c r="AU218" i="69"/>
  <c r="AT218" i="69"/>
  <c r="AR218" i="69"/>
  <c r="AQ218" i="69"/>
  <c r="AP218" i="69"/>
  <c r="AO218" i="69"/>
  <c r="AN218" i="69"/>
  <c r="AM218" i="69"/>
  <c r="AL218" i="69"/>
  <c r="AK218" i="69"/>
  <c r="AJ218" i="69"/>
  <c r="AI218" i="69"/>
  <c r="AH218" i="69"/>
  <c r="AG218" i="69"/>
  <c r="AE218" i="69"/>
  <c r="AD218" i="69"/>
  <c r="AC218" i="69"/>
  <c r="AB218" i="69"/>
  <c r="AA218" i="69"/>
  <c r="V218" i="69"/>
  <c r="T218" i="69"/>
  <c r="R218" i="69"/>
  <c r="Q218" i="69"/>
  <c r="P218" i="69"/>
  <c r="O218" i="69"/>
  <c r="N218" i="69"/>
  <c r="M218" i="69"/>
  <c r="L218" i="69"/>
  <c r="K218" i="69"/>
  <c r="J218" i="69"/>
  <c r="I218" i="69"/>
  <c r="H218" i="69"/>
  <c r="G218" i="69"/>
  <c r="F218" i="69"/>
  <c r="DG217" i="69"/>
  <c r="DG219" i="69" s="1"/>
  <c r="DE217" i="69"/>
  <c r="DE241" i="69" s="1"/>
  <c r="DE256" i="69" s="1"/>
  <c r="DD217" i="69"/>
  <c r="DD241" i="69" s="1"/>
  <c r="DC217" i="69"/>
  <c r="DB217" i="69"/>
  <c r="DA217" i="69"/>
  <c r="CZ217" i="69"/>
  <c r="CZ241" i="69" s="1"/>
  <c r="CZ256" i="69" s="1"/>
  <c r="CY217" i="69"/>
  <c r="CY241" i="69" s="1"/>
  <c r="CY256" i="69" s="1"/>
  <c r="CY8" i="69" s="1"/>
  <c r="CX217" i="69"/>
  <c r="CX241" i="69" s="1"/>
  <c r="CX256" i="69" s="1"/>
  <c r="CX8" i="69" s="1"/>
  <c r="CW217" i="69"/>
  <c r="CW241" i="69" s="1"/>
  <c r="CW256" i="69" s="1"/>
  <c r="CW8" i="69" s="1"/>
  <c r="CV217" i="69"/>
  <c r="CV241" i="69" s="1"/>
  <c r="CV256" i="69" s="1"/>
  <c r="CV8" i="69" s="1"/>
  <c r="CU217" i="69"/>
  <c r="CU241" i="69" s="1"/>
  <c r="CU256" i="69" s="1"/>
  <c r="CU8" i="69" s="1"/>
  <c r="CT217" i="69"/>
  <c r="CT241" i="69" s="1"/>
  <c r="CR217" i="69"/>
  <c r="CQ217" i="69"/>
  <c r="CQ241" i="69" s="1"/>
  <c r="CP217" i="69"/>
  <c r="CP241" i="69" s="1"/>
  <c r="CO217" i="69"/>
  <c r="CO241" i="69" s="1"/>
  <c r="CN217" i="69"/>
  <c r="CN241" i="69" s="1"/>
  <c r="CM217" i="69"/>
  <c r="CM241" i="69" s="1"/>
  <c r="CL217" i="69"/>
  <c r="CL241" i="69" s="1"/>
  <c r="CK217" i="69"/>
  <c r="CK241" i="69" s="1"/>
  <c r="CJ217" i="69"/>
  <c r="CI217" i="69"/>
  <c r="CI241" i="69" s="1"/>
  <c r="CH217" i="69"/>
  <c r="CH241" i="69" s="1"/>
  <c r="CG217" i="69"/>
  <c r="CE217" i="69"/>
  <c r="CE241" i="69" s="1"/>
  <c r="CD217" i="69"/>
  <c r="CD241" i="69" s="1"/>
  <c r="CC217" i="69"/>
  <c r="CB217" i="69"/>
  <c r="CB241" i="69" s="1"/>
  <c r="CA217" i="69"/>
  <c r="BZ217" i="69"/>
  <c r="BZ241" i="69" s="1"/>
  <c r="BY217" i="69"/>
  <c r="BY241" i="69" s="1"/>
  <c r="BX217" i="69"/>
  <c r="BX241" i="69" s="1"/>
  <c r="BW217" i="69"/>
  <c r="BV217" i="69"/>
  <c r="BU217" i="69"/>
  <c r="BU241" i="69" s="1"/>
  <c r="BT217" i="69"/>
  <c r="BR217" i="69"/>
  <c r="BR241" i="69" s="1"/>
  <c r="BQ217" i="69"/>
  <c r="BP217" i="69"/>
  <c r="BP241" i="69" s="1"/>
  <c r="BO217" i="69"/>
  <c r="BO241" i="69" s="1"/>
  <c r="BN217" i="69"/>
  <c r="BN241" i="69" s="1"/>
  <c r="BM217" i="69"/>
  <c r="BM241" i="69" s="1"/>
  <c r="BL217" i="69"/>
  <c r="BL241" i="69" s="1"/>
  <c r="BK217" i="69"/>
  <c r="BK241" i="69" s="1"/>
  <c r="BJ217" i="69"/>
  <c r="BJ241" i="69" s="1"/>
  <c r="BI217" i="69"/>
  <c r="BH217" i="69"/>
  <c r="BG217" i="69"/>
  <c r="BE217" i="69"/>
  <c r="BD217" i="69"/>
  <c r="BC217" i="69"/>
  <c r="BC241" i="69" s="1"/>
  <c r="BB217" i="69"/>
  <c r="BB241" i="69" s="1"/>
  <c r="BA217" i="69"/>
  <c r="AZ217" i="69"/>
  <c r="AY217" i="69"/>
  <c r="AY241" i="69" s="1"/>
  <c r="AX217" i="69"/>
  <c r="AX241" i="69" s="1"/>
  <c r="AW217" i="69"/>
  <c r="AW241" i="69" s="1"/>
  <c r="AV217" i="69"/>
  <c r="AV241" i="69" s="1"/>
  <c r="AV256" i="69" s="1"/>
  <c r="AV8" i="69" s="1"/>
  <c r="AU217" i="69"/>
  <c r="AU241" i="69" s="1"/>
  <c r="AU256" i="69" s="1"/>
  <c r="AU8" i="69" s="1"/>
  <c r="AT217" i="69"/>
  <c r="AT241" i="69" s="1"/>
  <c r="AR217" i="69"/>
  <c r="AR219" i="69" s="1"/>
  <c r="AQ217" i="69"/>
  <c r="AQ241" i="69" s="1"/>
  <c r="AP217" i="69"/>
  <c r="AP241" i="69" s="1"/>
  <c r="AP256" i="69" s="1"/>
  <c r="AP8" i="69" s="1"/>
  <c r="AO217" i="69"/>
  <c r="AO241" i="69" s="1"/>
  <c r="AN217" i="69"/>
  <c r="AN241" i="69" s="1"/>
  <c r="AM217" i="69"/>
  <c r="AM241" i="69" s="1"/>
  <c r="AL217" i="69"/>
  <c r="AL241" i="69" s="1"/>
  <c r="AK217" i="69"/>
  <c r="AK241" i="69" s="1"/>
  <c r="AJ217" i="69"/>
  <c r="AJ241" i="69" s="1"/>
  <c r="AI217" i="69"/>
  <c r="AH217" i="69"/>
  <c r="AG217" i="69"/>
  <c r="AG241" i="69" s="1"/>
  <c r="AE217" i="69"/>
  <c r="AD217" i="69"/>
  <c r="AD241" i="69" s="1"/>
  <c r="AD256" i="69" s="1"/>
  <c r="AC217" i="69"/>
  <c r="AC241" i="69" s="1"/>
  <c r="AB217" i="69"/>
  <c r="AB241" i="69" s="1"/>
  <c r="AA217" i="69"/>
  <c r="Z217" i="69"/>
  <c r="Y217" i="69"/>
  <c r="Y241" i="69" s="1"/>
  <c r="X217" i="69"/>
  <c r="W217" i="69"/>
  <c r="V217" i="69"/>
  <c r="U217" i="69"/>
  <c r="U241" i="69" s="1"/>
  <c r="T217" i="69"/>
  <c r="R217" i="69"/>
  <c r="R241" i="69" s="1"/>
  <c r="Q217" i="69"/>
  <c r="P217" i="69"/>
  <c r="O217" i="69"/>
  <c r="O241" i="69" s="1"/>
  <c r="N217" i="69"/>
  <c r="N241" i="69" s="1"/>
  <c r="M217" i="69"/>
  <c r="M241" i="69" s="1"/>
  <c r="L217" i="69"/>
  <c r="L241" i="69" s="1"/>
  <c r="K217" i="69"/>
  <c r="K241" i="69" s="1"/>
  <c r="J217" i="69"/>
  <c r="I217" i="69"/>
  <c r="H217" i="69"/>
  <c r="G217" i="69"/>
  <c r="F217" i="69"/>
  <c r="DG216" i="69"/>
  <c r="DG240" i="69" s="1"/>
  <c r="DE216" i="69"/>
  <c r="DE240" i="69" s="1"/>
  <c r="DD216" i="69"/>
  <c r="DD240" i="69" s="1"/>
  <c r="DC216" i="69"/>
  <c r="DB216" i="69"/>
  <c r="DA216" i="69"/>
  <c r="DA240" i="69" s="1"/>
  <c r="CZ216" i="69"/>
  <c r="CY216" i="69"/>
  <c r="CX216" i="69"/>
  <c r="CW216" i="69"/>
  <c r="CV216" i="69"/>
  <c r="CU216" i="69"/>
  <c r="CT216" i="69"/>
  <c r="CR216" i="69"/>
  <c r="CQ216" i="69"/>
  <c r="CQ240" i="69" s="1"/>
  <c r="CP216" i="69"/>
  <c r="CO216" i="69"/>
  <c r="CN216" i="69"/>
  <c r="CM216" i="69"/>
  <c r="CL216" i="69"/>
  <c r="CL219" i="69" s="1"/>
  <c r="CK216" i="69"/>
  <c r="CK219" i="69" s="1"/>
  <c r="CJ216" i="69"/>
  <c r="CJ240" i="69" s="1"/>
  <c r="CI216" i="69"/>
  <c r="CH216" i="69"/>
  <c r="CG216" i="69"/>
  <c r="CE216" i="69"/>
  <c r="CD216" i="69"/>
  <c r="CF216" i="69" s="1"/>
  <c r="CC216" i="69"/>
  <c r="CB216" i="69"/>
  <c r="CA216" i="69"/>
  <c r="CA240" i="69" s="1"/>
  <c r="BY216" i="69"/>
  <c r="BY240" i="69" s="1"/>
  <c r="BX216" i="69"/>
  <c r="BX240" i="69" s="1"/>
  <c r="BW216" i="69"/>
  <c r="BW240" i="69" s="1"/>
  <c r="BV216" i="69"/>
  <c r="BV240" i="69" s="1"/>
  <c r="BU216" i="69"/>
  <c r="BU240" i="69" s="1"/>
  <c r="BT216" i="69"/>
  <c r="BT240" i="69" s="1"/>
  <c r="BR216" i="69"/>
  <c r="BR219" i="69" s="1"/>
  <c r="BQ216" i="69"/>
  <c r="BP216" i="69"/>
  <c r="BO216" i="69"/>
  <c r="BN216" i="69"/>
  <c r="BM216" i="69"/>
  <c r="BM240" i="69" s="1"/>
  <c r="BL216" i="69"/>
  <c r="BK216" i="69"/>
  <c r="BK240" i="69" s="1"/>
  <c r="BJ216" i="69"/>
  <c r="BJ240" i="69" s="1"/>
  <c r="BI216" i="69"/>
  <c r="BI240" i="69" s="1"/>
  <c r="BH216" i="69"/>
  <c r="BH240" i="69" s="1"/>
  <c r="BG216" i="69"/>
  <c r="BG240" i="69" s="1"/>
  <c r="BE216" i="69"/>
  <c r="BD216" i="69"/>
  <c r="BC216" i="69"/>
  <c r="BB216" i="69"/>
  <c r="BA216" i="69"/>
  <c r="AZ216" i="69"/>
  <c r="AY216" i="69"/>
  <c r="AX216" i="69"/>
  <c r="AW216" i="69"/>
  <c r="AW240" i="69" s="1"/>
  <c r="AV216" i="69"/>
  <c r="AV240" i="69" s="1"/>
  <c r="AU216" i="69"/>
  <c r="AU240" i="69" s="1"/>
  <c r="AU255" i="69" s="1"/>
  <c r="AT216" i="69"/>
  <c r="AR216" i="69"/>
  <c r="AR240" i="69" s="1"/>
  <c r="AQ216" i="69"/>
  <c r="AQ240" i="69" s="1"/>
  <c r="AP216" i="69"/>
  <c r="AP240" i="69" s="1"/>
  <c r="AO216" i="69"/>
  <c r="AO240" i="69" s="1"/>
  <c r="AN216" i="69"/>
  <c r="AN240" i="69" s="1"/>
  <c r="AM216" i="69"/>
  <c r="AM240" i="69" s="1"/>
  <c r="AL216" i="69"/>
  <c r="AK216" i="69"/>
  <c r="AK219" i="69" s="1"/>
  <c r="AJ216" i="69"/>
  <c r="AI216" i="69"/>
  <c r="AI240" i="69" s="1"/>
  <c r="AI255" i="69" s="1"/>
  <c r="AH216" i="69"/>
  <c r="AG216" i="69"/>
  <c r="AG240" i="69" s="1"/>
  <c r="AE216" i="69"/>
  <c r="AE240" i="69" s="1"/>
  <c r="AE255" i="69" s="1"/>
  <c r="AD216" i="69"/>
  <c r="AC216" i="69"/>
  <c r="AB216" i="69"/>
  <c r="AA216" i="69"/>
  <c r="Z216" i="69"/>
  <c r="Y216" i="69"/>
  <c r="X216" i="69"/>
  <c r="W216" i="69"/>
  <c r="V216" i="69"/>
  <c r="U216" i="69"/>
  <c r="T216" i="69"/>
  <c r="R216" i="69"/>
  <c r="Q216" i="69"/>
  <c r="Q240" i="69" s="1"/>
  <c r="Q255" i="69" s="1"/>
  <c r="Q7" i="69" s="1"/>
  <c r="P216" i="69"/>
  <c r="P240" i="69" s="1"/>
  <c r="O216" i="69"/>
  <c r="O240" i="69" s="1"/>
  <c r="O242" i="69" s="1"/>
  <c r="N216" i="69"/>
  <c r="M216" i="69"/>
  <c r="L216" i="69"/>
  <c r="L240" i="69" s="1"/>
  <c r="K216" i="69"/>
  <c r="K240" i="69" s="1"/>
  <c r="K255" i="69" s="1"/>
  <c r="K7" i="69" s="1"/>
  <c r="J216" i="69"/>
  <c r="J240" i="69" s="1"/>
  <c r="I216" i="69"/>
  <c r="H216" i="69"/>
  <c r="H240" i="69" s="1"/>
  <c r="G216" i="69"/>
  <c r="G240" i="69" s="1"/>
  <c r="F216" i="69"/>
  <c r="DG215" i="69"/>
  <c r="DE215" i="69"/>
  <c r="DD215" i="69"/>
  <c r="DC215" i="69"/>
  <c r="DB215" i="69"/>
  <c r="DA215" i="69"/>
  <c r="CZ215" i="69"/>
  <c r="CY215" i="69"/>
  <c r="CX215" i="69"/>
  <c r="CW215" i="69"/>
  <c r="CV215" i="69"/>
  <c r="CU215" i="69"/>
  <c r="CT215" i="69"/>
  <c r="CR215" i="69"/>
  <c r="CQ215" i="69"/>
  <c r="CP215" i="69"/>
  <c r="CO215" i="69"/>
  <c r="CN215" i="69"/>
  <c r="CM215" i="69"/>
  <c r="CL215" i="69"/>
  <c r="CK215" i="69"/>
  <c r="CJ215" i="69"/>
  <c r="CI215" i="69"/>
  <c r="CH215" i="69"/>
  <c r="CG215" i="69"/>
  <c r="CE215" i="69"/>
  <c r="CD215" i="69"/>
  <c r="CC215" i="69"/>
  <c r="CB215" i="69"/>
  <c r="CA215" i="69"/>
  <c r="BZ215" i="69"/>
  <c r="BY215" i="69"/>
  <c r="BX215" i="69"/>
  <c r="BW215" i="69"/>
  <c r="BV215" i="69"/>
  <c r="BU215" i="69"/>
  <c r="BT215" i="69"/>
  <c r="BR215" i="69"/>
  <c r="BQ215" i="69"/>
  <c r="BP215" i="69"/>
  <c r="BO215" i="69"/>
  <c r="BN215" i="69"/>
  <c r="BM215" i="69"/>
  <c r="BL215" i="69"/>
  <c r="BK215" i="69"/>
  <c r="BJ215" i="69"/>
  <c r="BI215" i="69"/>
  <c r="BH215" i="69"/>
  <c r="BG215" i="69"/>
  <c r="BE215" i="69"/>
  <c r="BD215" i="69"/>
  <c r="BC215" i="69"/>
  <c r="BB215" i="69"/>
  <c r="BA215" i="69"/>
  <c r="AZ215" i="69"/>
  <c r="AY215" i="69"/>
  <c r="AX215" i="69"/>
  <c r="AW215" i="69"/>
  <c r="AV215" i="69"/>
  <c r="AU215" i="69"/>
  <c r="AT215" i="69"/>
  <c r="AR215" i="69"/>
  <c r="AQ215" i="69"/>
  <c r="AP215" i="69"/>
  <c r="AO215" i="69"/>
  <c r="AN215" i="69"/>
  <c r="AM215" i="69"/>
  <c r="AL215" i="69"/>
  <c r="AK215" i="69"/>
  <c r="AJ215" i="69"/>
  <c r="AI215" i="69"/>
  <c r="AH215" i="69"/>
  <c r="AG215" i="69"/>
  <c r="AE215" i="69"/>
  <c r="AD215" i="69"/>
  <c r="AC215" i="69"/>
  <c r="AB215" i="69"/>
  <c r="AA215" i="69"/>
  <c r="V215" i="69"/>
  <c r="U215" i="69"/>
  <c r="T215" i="69"/>
  <c r="R215" i="69"/>
  <c r="Q215" i="69"/>
  <c r="P215" i="69"/>
  <c r="O215" i="69"/>
  <c r="N215" i="69"/>
  <c r="M215" i="69"/>
  <c r="L215" i="69"/>
  <c r="K215" i="69"/>
  <c r="J215" i="69"/>
  <c r="I215" i="69"/>
  <c r="H215" i="69"/>
  <c r="G215" i="69"/>
  <c r="F215" i="69"/>
  <c r="DF214" i="69"/>
  <c r="CS214" i="69"/>
  <c r="CF214" i="69"/>
  <c r="BS214" i="69"/>
  <c r="BF214" i="69"/>
  <c r="Z214" i="69"/>
  <c r="Z215" i="69" s="1"/>
  <c r="Y214" i="69"/>
  <c r="Y215" i="69" s="1"/>
  <c r="X214" i="69"/>
  <c r="X215" i="69" s="1"/>
  <c r="W214" i="69"/>
  <c r="W215" i="69" s="1"/>
  <c r="S214" i="69"/>
  <c r="DF213" i="69"/>
  <c r="CS213" i="69"/>
  <c r="CF213" i="69"/>
  <c r="BS213" i="69"/>
  <c r="BF213" i="69"/>
  <c r="S213" i="69"/>
  <c r="DF212" i="69"/>
  <c r="CS212" i="69"/>
  <c r="CF212" i="69"/>
  <c r="BS212" i="69"/>
  <c r="BF212" i="69"/>
  <c r="S212" i="69"/>
  <c r="DH212" i="69" s="1"/>
  <c r="DG211" i="69"/>
  <c r="DE211" i="69"/>
  <c r="DD211" i="69"/>
  <c r="DC211" i="69"/>
  <c r="DB211" i="69"/>
  <c r="DA211" i="69"/>
  <c r="CZ211" i="69"/>
  <c r="CY211" i="69"/>
  <c r="CX211" i="69"/>
  <c r="CW211" i="69"/>
  <c r="CV211" i="69"/>
  <c r="CU211" i="69"/>
  <c r="CT211" i="69"/>
  <c r="CR211" i="69"/>
  <c r="CQ211" i="69"/>
  <c r="CP211" i="69"/>
  <c r="CO211" i="69"/>
  <c r="CN211" i="69"/>
  <c r="CM211" i="69"/>
  <c r="CL211" i="69"/>
  <c r="CK211" i="69"/>
  <c r="CJ211" i="69"/>
  <c r="CI211" i="69"/>
  <c r="CH211" i="69"/>
  <c r="CG211" i="69"/>
  <c r="CE211" i="69"/>
  <c r="CD211" i="69"/>
  <c r="CC211" i="69"/>
  <c r="CB211" i="69"/>
  <c r="CA211" i="69"/>
  <c r="BZ211" i="69"/>
  <c r="BY211" i="69"/>
  <c r="BX211" i="69"/>
  <c r="CF211" i="69" s="1"/>
  <c r="BW211" i="69"/>
  <c r="BV211" i="69"/>
  <c r="BU211" i="69"/>
  <c r="BT211" i="69"/>
  <c r="BR211" i="69"/>
  <c r="BQ211" i="69"/>
  <c r="BP211" i="69"/>
  <c r="BO211" i="69"/>
  <c r="BN211" i="69"/>
  <c r="BM211" i="69"/>
  <c r="BL211" i="69"/>
  <c r="BK211" i="69"/>
  <c r="BJ211" i="69"/>
  <c r="BI211" i="69"/>
  <c r="BH211" i="69"/>
  <c r="BG211" i="69"/>
  <c r="BE211" i="69"/>
  <c r="BD211" i="69"/>
  <c r="BC211" i="69"/>
  <c r="BB211" i="69"/>
  <c r="BA211" i="69"/>
  <c r="AZ211" i="69"/>
  <c r="AY211" i="69"/>
  <c r="AX211" i="69"/>
  <c r="AW211" i="69"/>
  <c r="AV211" i="69"/>
  <c r="AU211" i="69"/>
  <c r="AT211" i="69"/>
  <c r="AR211" i="69"/>
  <c r="AQ211" i="69"/>
  <c r="AP211" i="69"/>
  <c r="AO211" i="69"/>
  <c r="AN211" i="69"/>
  <c r="AM211" i="69"/>
  <c r="AL211" i="69"/>
  <c r="AK211" i="69"/>
  <c r="AJ211" i="69"/>
  <c r="AI211" i="69"/>
  <c r="AH211" i="69"/>
  <c r="AG211" i="69"/>
  <c r="AE211" i="69"/>
  <c r="AD211" i="69"/>
  <c r="AC211" i="69"/>
  <c r="AB211" i="69"/>
  <c r="AA211" i="69"/>
  <c r="Y211" i="69"/>
  <c r="V211" i="69"/>
  <c r="U211" i="69"/>
  <c r="T211" i="69"/>
  <c r="R211" i="69"/>
  <c r="Q211" i="69"/>
  <c r="P211" i="69"/>
  <c r="O211" i="69"/>
  <c r="N211" i="69"/>
  <c r="M211" i="69"/>
  <c r="L211" i="69"/>
  <c r="K211" i="69"/>
  <c r="J211" i="69"/>
  <c r="I211" i="69"/>
  <c r="H211" i="69"/>
  <c r="G211" i="69"/>
  <c r="F211" i="69"/>
  <c r="DF210" i="69"/>
  <c r="CS210" i="69"/>
  <c r="CF210" i="69"/>
  <c r="BS210" i="69"/>
  <c r="BF210" i="69"/>
  <c r="Z210" i="69"/>
  <c r="Z211" i="69" s="1"/>
  <c r="Y210" i="69"/>
  <c r="X210" i="69"/>
  <c r="X211" i="69" s="1"/>
  <c r="W210" i="69"/>
  <c r="W211" i="69" s="1"/>
  <c r="S210" i="69"/>
  <c r="DF209" i="69"/>
  <c r="CS209" i="69"/>
  <c r="CF209" i="69"/>
  <c r="BS209" i="69"/>
  <c r="BF209" i="69"/>
  <c r="S209" i="69"/>
  <c r="DF208" i="69"/>
  <c r="CS208" i="69"/>
  <c r="CF208" i="69"/>
  <c r="BS208" i="69"/>
  <c r="DH208" i="69" s="1"/>
  <c r="BF208" i="69"/>
  <c r="S208" i="69"/>
  <c r="DG207" i="69"/>
  <c r="DE207" i="69"/>
  <c r="DD207" i="69"/>
  <c r="DC207" i="69"/>
  <c r="DB207" i="69"/>
  <c r="DA207" i="69"/>
  <c r="CZ207" i="69"/>
  <c r="CY207" i="69"/>
  <c r="CX207" i="69"/>
  <c r="CW207" i="69"/>
  <c r="CV207" i="69"/>
  <c r="CU207" i="69"/>
  <c r="CT207" i="69"/>
  <c r="CR207" i="69"/>
  <c r="CQ207" i="69"/>
  <c r="CP207" i="69"/>
  <c r="CO207" i="69"/>
  <c r="CN207" i="69"/>
  <c r="CM207" i="69"/>
  <c r="CL207" i="69"/>
  <c r="CK207" i="69"/>
  <c r="CJ207" i="69"/>
  <c r="CI207" i="69"/>
  <c r="CH207" i="69"/>
  <c r="CG207" i="69"/>
  <c r="CE207" i="69"/>
  <c r="CD207" i="69"/>
  <c r="CC207" i="69"/>
  <c r="CB207" i="69"/>
  <c r="CA207" i="69"/>
  <c r="BZ207" i="69"/>
  <c r="BY207" i="69"/>
  <c r="BX207" i="69"/>
  <c r="BW207" i="69"/>
  <c r="BV207" i="69"/>
  <c r="BU207" i="69"/>
  <c r="BT207" i="69"/>
  <c r="BR207" i="69"/>
  <c r="BQ207" i="69"/>
  <c r="BP207" i="69"/>
  <c r="BO207" i="69"/>
  <c r="BN207" i="69"/>
  <c r="BM207" i="69"/>
  <c r="BS207" i="69" s="1"/>
  <c r="BL207" i="69"/>
  <c r="BK207" i="69"/>
  <c r="BJ207" i="69"/>
  <c r="BI207" i="69"/>
  <c r="BH207" i="69"/>
  <c r="BG207" i="69"/>
  <c r="BE207" i="69"/>
  <c r="BD207" i="69"/>
  <c r="BC207" i="69"/>
  <c r="BB207" i="69"/>
  <c r="BA207" i="69"/>
  <c r="AZ207" i="69"/>
  <c r="AY207" i="69"/>
  <c r="AX207" i="69"/>
  <c r="AW207" i="69"/>
  <c r="BF207" i="69" s="1"/>
  <c r="AV207" i="69"/>
  <c r="AU207" i="69"/>
  <c r="AT207" i="69"/>
  <c r="AR207" i="69"/>
  <c r="AQ207" i="69"/>
  <c r="AP207" i="69"/>
  <c r="AO207" i="69"/>
  <c r="AN207" i="69"/>
  <c r="AM207" i="69"/>
  <c r="AL207" i="69"/>
  <c r="AK207" i="69"/>
  <c r="AJ207" i="69"/>
  <c r="AI207" i="69"/>
  <c r="AH207" i="69"/>
  <c r="AG207" i="69"/>
  <c r="AE207" i="69"/>
  <c r="AD207" i="69"/>
  <c r="AC207" i="69"/>
  <c r="AB207" i="69"/>
  <c r="AA207" i="69"/>
  <c r="W207" i="69"/>
  <c r="V207" i="69"/>
  <c r="U207" i="69"/>
  <c r="T207" i="69"/>
  <c r="R207" i="69"/>
  <c r="Q207" i="69"/>
  <c r="P207" i="69"/>
  <c r="O207" i="69"/>
  <c r="N207" i="69"/>
  <c r="M207" i="69"/>
  <c r="L207" i="69"/>
  <c r="K207" i="69"/>
  <c r="J207" i="69"/>
  <c r="I207" i="69"/>
  <c r="H207" i="69"/>
  <c r="G207" i="69"/>
  <c r="F207" i="69"/>
  <c r="DF206" i="69"/>
  <c r="CS206" i="69"/>
  <c r="CF206" i="69"/>
  <c r="BS206" i="69"/>
  <c r="BF206" i="69"/>
  <c r="AS206" i="69"/>
  <c r="Z206" i="69"/>
  <c r="Y206" i="69"/>
  <c r="X206" i="69"/>
  <c r="X207" i="69" s="1"/>
  <c r="W206" i="69"/>
  <c r="S206" i="69"/>
  <c r="DF205" i="69"/>
  <c r="CS205" i="69"/>
  <c r="CF205" i="69"/>
  <c r="BS205" i="69"/>
  <c r="BF205" i="69"/>
  <c r="AS205" i="69"/>
  <c r="AF205" i="69"/>
  <c r="S205" i="69"/>
  <c r="DF204" i="69"/>
  <c r="CS204" i="69"/>
  <c r="CF204" i="69"/>
  <c r="BS204" i="69"/>
  <c r="BF204" i="69"/>
  <c r="AS204" i="69"/>
  <c r="DH204" i="69" s="1"/>
  <c r="AF204" i="69"/>
  <c r="S204" i="69"/>
  <c r="DG203" i="69"/>
  <c r="DE203" i="69"/>
  <c r="DD203" i="69"/>
  <c r="DC203" i="69"/>
  <c r="DB203" i="69"/>
  <c r="DA203" i="69"/>
  <c r="CZ203" i="69"/>
  <c r="CY203" i="69"/>
  <c r="CX203" i="69"/>
  <c r="CW203" i="69"/>
  <c r="CV203" i="69"/>
  <c r="CU203" i="69"/>
  <c r="CT203" i="69"/>
  <c r="DF203" i="69" s="1"/>
  <c r="CR203" i="69"/>
  <c r="CQ203" i="69"/>
  <c r="CP203" i="69"/>
  <c r="CO203" i="69"/>
  <c r="CN203" i="69"/>
  <c r="CM203" i="69"/>
  <c r="CL203" i="69"/>
  <c r="CK203" i="69"/>
  <c r="CJ203" i="69"/>
  <c r="CI203" i="69"/>
  <c r="CH203" i="69"/>
  <c r="CG203" i="69"/>
  <c r="CE203" i="69"/>
  <c r="CD203" i="69"/>
  <c r="CC203" i="69"/>
  <c r="CB203" i="69"/>
  <c r="CA203" i="69"/>
  <c r="BZ203" i="69"/>
  <c r="BY203" i="69"/>
  <c r="BX203" i="69"/>
  <c r="BW203" i="69"/>
  <c r="BV203" i="69"/>
  <c r="BU203" i="69"/>
  <c r="BT203" i="69"/>
  <c r="BR203" i="69"/>
  <c r="BQ203" i="69"/>
  <c r="BP203" i="69"/>
  <c r="BO203" i="69"/>
  <c r="BN203" i="69"/>
  <c r="BM203" i="69"/>
  <c r="BL203" i="69"/>
  <c r="BK203" i="69"/>
  <c r="BJ203" i="69"/>
  <c r="BI203" i="69"/>
  <c r="BH203" i="69"/>
  <c r="BG203" i="69"/>
  <c r="BE203" i="69"/>
  <c r="BD203" i="69"/>
  <c r="BC203" i="69"/>
  <c r="BB203" i="69"/>
  <c r="BA203" i="69"/>
  <c r="AZ203" i="69"/>
  <c r="AY203" i="69"/>
  <c r="AX203" i="69"/>
  <c r="AW203" i="69"/>
  <c r="AV203" i="69"/>
  <c r="AU203" i="69"/>
  <c r="BF203" i="69" s="1"/>
  <c r="AT203" i="69"/>
  <c r="AR203" i="69"/>
  <c r="AQ203" i="69"/>
  <c r="AP203" i="69"/>
  <c r="AO203" i="69"/>
  <c r="AN203" i="69"/>
  <c r="AM203" i="69"/>
  <c r="AL203" i="69"/>
  <c r="AK203" i="69"/>
  <c r="AJ203" i="69"/>
  <c r="AI203" i="69"/>
  <c r="AH203" i="69"/>
  <c r="AG203" i="69"/>
  <c r="AE203" i="69"/>
  <c r="AD203" i="69"/>
  <c r="AC203" i="69"/>
  <c r="AB203" i="69"/>
  <c r="AA203" i="69"/>
  <c r="Z203" i="69"/>
  <c r="Y203" i="69"/>
  <c r="X203" i="69"/>
  <c r="W203" i="69"/>
  <c r="V203" i="69"/>
  <c r="U203" i="69"/>
  <c r="T203" i="69"/>
  <c r="R203" i="69"/>
  <c r="Q203" i="69"/>
  <c r="P203" i="69"/>
  <c r="O203" i="69"/>
  <c r="N203" i="69"/>
  <c r="M203" i="69"/>
  <c r="L203" i="69"/>
  <c r="K203" i="69"/>
  <c r="J203" i="69"/>
  <c r="I203" i="69"/>
  <c r="H203" i="69"/>
  <c r="G203" i="69"/>
  <c r="F203" i="69"/>
  <c r="DF202" i="69"/>
  <c r="CS202" i="69"/>
  <c r="CF202" i="69"/>
  <c r="BS202" i="69"/>
  <c r="BF202" i="69"/>
  <c r="AS202" i="69"/>
  <c r="AF202" i="69"/>
  <c r="S202" i="69"/>
  <c r="DH202" i="69" s="1"/>
  <c r="E202" i="69"/>
  <c r="DI202" i="69" s="1"/>
  <c r="DJ202" i="69" s="1"/>
  <c r="DF201" i="69"/>
  <c r="CS201" i="69"/>
  <c r="CF201" i="69"/>
  <c r="BS201" i="69"/>
  <c r="BF201" i="69"/>
  <c r="AS201" i="69"/>
  <c r="AF201" i="69"/>
  <c r="S201" i="69"/>
  <c r="DF200" i="69"/>
  <c r="CS200" i="69"/>
  <c r="CF200" i="69"/>
  <c r="BS200" i="69"/>
  <c r="BF200" i="69"/>
  <c r="AS200" i="69"/>
  <c r="AF200" i="69"/>
  <c r="S200" i="69"/>
  <c r="DH200" i="69" s="1"/>
  <c r="E200" i="69"/>
  <c r="DG199" i="69"/>
  <c r="DE199" i="69"/>
  <c r="DD199" i="69"/>
  <c r="DC199" i="69"/>
  <c r="DB199" i="69"/>
  <c r="DA199" i="69"/>
  <c r="CZ199" i="69"/>
  <c r="CY199" i="69"/>
  <c r="CX199" i="69"/>
  <c r="CW199" i="69"/>
  <c r="CV199" i="69"/>
  <c r="CU199" i="69"/>
  <c r="CT199" i="69"/>
  <c r="CR199" i="69"/>
  <c r="CQ199" i="69"/>
  <c r="CS199" i="69" s="1"/>
  <c r="CP199" i="69"/>
  <c r="CO199" i="69"/>
  <c r="CN199" i="69"/>
  <c r="CM199" i="69"/>
  <c r="CL199" i="69"/>
  <c r="CK199" i="69"/>
  <c r="CJ199" i="69"/>
  <c r="CI199" i="69"/>
  <c r="CH199" i="69"/>
  <c r="CG199" i="69"/>
  <c r="CE199" i="69"/>
  <c r="CD199" i="69"/>
  <c r="CC199" i="69"/>
  <c r="CB199" i="69"/>
  <c r="CA199" i="69"/>
  <c r="BZ199" i="69"/>
  <c r="BY199" i="69"/>
  <c r="BX199" i="69"/>
  <c r="BW199" i="69"/>
  <c r="BV199" i="69"/>
  <c r="BU199" i="69"/>
  <c r="BT199" i="69"/>
  <c r="BR199" i="69"/>
  <c r="BQ199" i="69"/>
  <c r="BP199" i="69"/>
  <c r="BO199" i="69"/>
  <c r="BN199" i="69"/>
  <c r="BM199" i="69"/>
  <c r="BL199" i="69"/>
  <c r="BK199" i="69"/>
  <c r="BJ199" i="69"/>
  <c r="BI199" i="69"/>
  <c r="BH199" i="69"/>
  <c r="BG199" i="69"/>
  <c r="BE199" i="69"/>
  <c r="BD199" i="69"/>
  <c r="BC199" i="69"/>
  <c r="BB199" i="69"/>
  <c r="BA199" i="69"/>
  <c r="AZ199" i="69"/>
  <c r="AY199" i="69"/>
  <c r="AX199" i="69"/>
  <c r="AW199" i="69"/>
  <c r="AV199" i="69"/>
  <c r="AU199" i="69"/>
  <c r="AT199" i="69"/>
  <c r="AR199" i="69"/>
  <c r="AQ199" i="69"/>
  <c r="AP199" i="69"/>
  <c r="AO199" i="69"/>
  <c r="AN199" i="69"/>
  <c r="AM199" i="69"/>
  <c r="AL199" i="69"/>
  <c r="AK199" i="69"/>
  <c r="AJ199" i="69"/>
  <c r="AI199" i="69"/>
  <c r="AH199" i="69"/>
  <c r="AG199" i="69"/>
  <c r="AE199" i="69"/>
  <c r="AD199" i="69"/>
  <c r="AC199" i="69"/>
  <c r="AB199" i="69"/>
  <c r="AA199" i="69"/>
  <c r="Z199" i="69"/>
  <c r="Y199" i="69"/>
  <c r="X199" i="69"/>
  <c r="W199" i="69"/>
  <c r="V199" i="69"/>
  <c r="U199" i="69"/>
  <c r="T199" i="69"/>
  <c r="R199" i="69"/>
  <c r="Q199" i="69"/>
  <c r="P199" i="69"/>
  <c r="O199" i="69"/>
  <c r="N199" i="69"/>
  <c r="M199" i="69"/>
  <c r="L199" i="69"/>
  <c r="K199" i="69"/>
  <c r="J199" i="69"/>
  <c r="I199" i="69"/>
  <c r="H199" i="69"/>
  <c r="G199" i="69"/>
  <c r="F199" i="69"/>
  <c r="DF198" i="69"/>
  <c r="CS198" i="69"/>
  <c r="CF198" i="69"/>
  <c r="BS198" i="69"/>
  <c r="BF198" i="69"/>
  <c r="AS198" i="69"/>
  <c r="AF198" i="69"/>
  <c r="S198" i="69"/>
  <c r="DH198" i="69" s="1"/>
  <c r="DF197" i="69"/>
  <c r="CS197" i="69"/>
  <c r="CF197" i="69"/>
  <c r="BS197" i="69"/>
  <c r="BF197" i="69"/>
  <c r="AS197" i="69"/>
  <c r="AF197" i="69"/>
  <c r="S197" i="69"/>
  <c r="DF196" i="69"/>
  <c r="CS196" i="69"/>
  <c r="BZ196" i="69"/>
  <c r="BZ216" i="69" s="1"/>
  <c r="BS196" i="69"/>
  <c r="BF196" i="69"/>
  <c r="AS196" i="69"/>
  <c r="AF196" i="69"/>
  <c r="S196" i="69"/>
  <c r="DH196" i="69" s="1"/>
  <c r="DG195" i="69"/>
  <c r="DE195" i="69"/>
  <c r="DD195" i="69"/>
  <c r="DC195" i="69"/>
  <c r="DB195" i="69"/>
  <c r="DA195" i="69"/>
  <c r="CZ195" i="69"/>
  <c r="CY195" i="69"/>
  <c r="CX195" i="69"/>
  <c r="CW195" i="69"/>
  <c r="CV195" i="69"/>
  <c r="CU195" i="69"/>
  <c r="CT195" i="69"/>
  <c r="CR195" i="69"/>
  <c r="CQ195" i="69"/>
  <c r="CP195" i="69"/>
  <c r="CO195" i="69"/>
  <c r="CS195" i="69" s="1"/>
  <c r="CN195" i="69"/>
  <c r="CM195" i="69"/>
  <c r="CL195" i="69"/>
  <c r="CK195" i="69"/>
  <c r="CJ195" i="69"/>
  <c r="CI195" i="69"/>
  <c r="CH195" i="69"/>
  <c r="CG195" i="69"/>
  <c r="CE195" i="69"/>
  <c r="CD195" i="69"/>
  <c r="CC195" i="69"/>
  <c r="CB195" i="69"/>
  <c r="CA195" i="69"/>
  <c r="BZ195" i="69"/>
  <c r="BY195" i="69"/>
  <c r="BX195" i="69"/>
  <c r="BW195" i="69"/>
  <c r="BV195" i="69"/>
  <c r="BU195" i="69"/>
  <c r="BT195" i="69"/>
  <c r="BR195" i="69"/>
  <c r="BQ195" i="69"/>
  <c r="BP195" i="69"/>
  <c r="BO195" i="69"/>
  <c r="BN195" i="69"/>
  <c r="BM195" i="69"/>
  <c r="BL195" i="69"/>
  <c r="BK195" i="69"/>
  <c r="BJ195" i="69"/>
  <c r="BI195" i="69"/>
  <c r="BH195" i="69"/>
  <c r="BG195" i="69"/>
  <c r="BE195" i="69"/>
  <c r="BD195" i="69"/>
  <c r="BC195" i="69"/>
  <c r="BB195" i="69"/>
  <c r="BA195" i="69"/>
  <c r="AZ195" i="69"/>
  <c r="AY195" i="69"/>
  <c r="AX195" i="69"/>
  <c r="AW195" i="69"/>
  <c r="AV195" i="69"/>
  <c r="AU195" i="69"/>
  <c r="AT195" i="69"/>
  <c r="BF195" i="69" s="1"/>
  <c r="AR195" i="69"/>
  <c r="AQ195" i="69"/>
  <c r="AP195" i="69"/>
  <c r="AO195" i="69"/>
  <c r="AN195" i="69"/>
  <c r="AM195" i="69"/>
  <c r="AL195" i="69"/>
  <c r="AK195" i="69"/>
  <c r="AJ195" i="69"/>
  <c r="AI195" i="69"/>
  <c r="AH195" i="69"/>
  <c r="AG195" i="69"/>
  <c r="AE195" i="69"/>
  <c r="AD195" i="69"/>
  <c r="AC195" i="69"/>
  <c r="AB195" i="69"/>
  <c r="AA195" i="69"/>
  <c r="Z195" i="69"/>
  <c r="W195" i="69"/>
  <c r="V195" i="69"/>
  <c r="T195" i="69"/>
  <c r="R195" i="69"/>
  <c r="Q195" i="69"/>
  <c r="P195" i="69"/>
  <c r="O195" i="69"/>
  <c r="N195" i="69"/>
  <c r="M195" i="69"/>
  <c r="L195" i="69"/>
  <c r="K195" i="69"/>
  <c r="J195" i="69"/>
  <c r="I195" i="69"/>
  <c r="H195" i="69"/>
  <c r="G195" i="69"/>
  <c r="F195" i="69"/>
  <c r="DF194" i="69"/>
  <c r="CS194" i="69"/>
  <c r="CF194" i="69"/>
  <c r="BS194" i="69"/>
  <c r="BF194" i="69"/>
  <c r="AS194" i="69"/>
  <c r="Z194" i="69"/>
  <c r="Y194" i="69"/>
  <c r="X194" i="69"/>
  <c r="U194" i="69"/>
  <c r="S194" i="69"/>
  <c r="DF193" i="69"/>
  <c r="CS193" i="69"/>
  <c r="CF193" i="69"/>
  <c r="BS193" i="69"/>
  <c r="BF193" i="69"/>
  <c r="AS193" i="69"/>
  <c r="AF193" i="69"/>
  <c r="S193" i="69"/>
  <c r="DF192" i="69"/>
  <c r="CS192" i="69"/>
  <c r="CF192" i="69"/>
  <c r="BS192" i="69"/>
  <c r="BF192" i="69"/>
  <c r="AS192" i="69"/>
  <c r="AF192" i="69"/>
  <c r="S192" i="69"/>
  <c r="CK190" i="69"/>
  <c r="CJ190" i="69"/>
  <c r="CI190" i="69"/>
  <c r="AE190" i="69"/>
  <c r="O190" i="69"/>
  <c r="N190" i="69"/>
  <c r="DG189" i="69"/>
  <c r="DE189" i="69"/>
  <c r="DD189" i="69"/>
  <c r="DC189" i="69"/>
  <c r="DB189" i="69"/>
  <c r="DA189" i="69"/>
  <c r="CZ189" i="69"/>
  <c r="CY189" i="69"/>
  <c r="CX189" i="69"/>
  <c r="CW189" i="69"/>
  <c r="CV189" i="69"/>
  <c r="CU189" i="69"/>
  <c r="CU190" i="69" s="1"/>
  <c r="CT189" i="69"/>
  <c r="CR189" i="69"/>
  <c r="CQ189" i="69"/>
  <c r="CP189" i="69"/>
  <c r="CO189" i="69"/>
  <c r="CN189" i="69"/>
  <c r="CM189" i="69"/>
  <c r="CL189" i="69"/>
  <c r="CK189" i="69"/>
  <c r="CJ189" i="69"/>
  <c r="CI189" i="69"/>
  <c r="CH189" i="69"/>
  <c r="CG189" i="69"/>
  <c r="BR189" i="69"/>
  <c r="BP189" i="69"/>
  <c r="BN189" i="69"/>
  <c r="BJ189" i="69"/>
  <c r="BJ190" i="69" s="1"/>
  <c r="BI189" i="69"/>
  <c r="BI190" i="69" s="1"/>
  <c r="BD189" i="69"/>
  <c r="BB189" i="69"/>
  <c r="BA189" i="69"/>
  <c r="AZ189" i="69"/>
  <c r="AY189" i="69"/>
  <c r="AU189" i="69"/>
  <c r="AT189" i="69"/>
  <c r="AR189" i="69"/>
  <c r="AQ189" i="69"/>
  <c r="AP189" i="69"/>
  <c r="AO189" i="69"/>
  <c r="AO190" i="69" s="1"/>
  <c r="AN189" i="69"/>
  <c r="AM189" i="69"/>
  <c r="AL189" i="69"/>
  <c r="AK189" i="69"/>
  <c r="AJ189" i="69"/>
  <c r="AJ224" i="69" s="1"/>
  <c r="AJ228" i="69" s="1"/>
  <c r="AJ5" i="69" s="1"/>
  <c r="AI189" i="69"/>
  <c r="AH189" i="69"/>
  <c r="AG189" i="69"/>
  <c r="AE189" i="69"/>
  <c r="AD189" i="69"/>
  <c r="AC189" i="69"/>
  <c r="AB189" i="69"/>
  <c r="AA189" i="69"/>
  <c r="Z189" i="69"/>
  <c r="Y189" i="69"/>
  <c r="Y190" i="69" s="1"/>
  <c r="X189" i="69"/>
  <c r="W189" i="69"/>
  <c r="V189" i="69"/>
  <c r="U189" i="69"/>
  <c r="T189" i="69"/>
  <c r="R189" i="69"/>
  <c r="Q189" i="69"/>
  <c r="P189" i="69"/>
  <c r="O189" i="69"/>
  <c r="N189" i="69"/>
  <c r="M189" i="69"/>
  <c r="L189" i="69"/>
  <c r="K189" i="69"/>
  <c r="J189" i="69"/>
  <c r="I189" i="69"/>
  <c r="H189" i="69"/>
  <c r="F189" i="69"/>
  <c r="DG188" i="69"/>
  <c r="DG190" i="69" s="1"/>
  <c r="DE188" i="69"/>
  <c r="DD188" i="69"/>
  <c r="DC188" i="69"/>
  <c r="DC223" i="69" s="1"/>
  <c r="DB188" i="69"/>
  <c r="DB190" i="69" s="1"/>
  <c r="DA188" i="69"/>
  <c r="DA190" i="69" s="1"/>
  <c r="CZ188" i="69"/>
  <c r="CZ190" i="69" s="1"/>
  <c r="CY188" i="69"/>
  <c r="CX188" i="69"/>
  <c r="CW188" i="69"/>
  <c r="CV188" i="69"/>
  <c r="CU188" i="69"/>
  <c r="CT188" i="69"/>
  <c r="CR188" i="69"/>
  <c r="CR190" i="69" s="1"/>
  <c r="CQ188" i="69"/>
  <c r="CQ190" i="69" s="1"/>
  <c r="CP188" i="69"/>
  <c r="CP190" i="69" s="1"/>
  <c r="CO188" i="69"/>
  <c r="CN188" i="69"/>
  <c r="CN190" i="69" s="1"/>
  <c r="CM188" i="69"/>
  <c r="CL188" i="69"/>
  <c r="CK188" i="69"/>
  <c r="CJ188" i="69"/>
  <c r="CI188" i="69"/>
  <c r="CH188" i="69"/>
  <c r="CH190" i="69" s="1"/>
  <c r="CG188" i="69"/>
  <c r="BR188" i="69"/>
  <c r="BQ188" i="69"/>
  <c r="BP188" i="69"/>
  <c r="BO188" i="69"/>
  <c r="BN188" i="69"/>
  <c r="BM188" i="69"/>
  <c r="BL188" i="69"/>
  <c r="BL190" i="69" s="1"/>
  <c r="BK188" i="69"/>
  <c r="BJ188" i="69"/>
  <c r="BI188" i="69"/>
  <c r="BH188" i="69"/>
  <c r="BG188" i="69"/>
  <c r="BE188" i="69"/>
  <c r="BD188" i="69"/>
  <c r="BC188" i="69"/>
  <c r="BB188" i="69"/>
  <c r="BA188" i="69"/>
  <c r="BA190" i="69" s="1"/>
  <c r="AZ188" i="69"/>
  <c r="AZ190" i="69" s="1"/>
  <c r="AY188" i="69"/>
  <c r="AY190" i="69" s="1"/>
  <c r="AX188" i="69"/>
  <c r="AV188" i="69"/>
  <c r="AU188" i="69"/>
  <c r="AU190" i="69" s="1"/>
  <c r="AT188" i="69"/>
  <c r="AT190" i="69" s="1"/>
  <c r="AR188" i="69"/>
  <c r="AR190" i="69" s="1"/>
  <c r="AQ188" i="69"/>
  <c r="AP188" i="69"/>
  <c r="AP190" i="69" s="1"/>
  <c r="AO188" i="69"/>
  <c r="AN188" i="69"/>
  <c r="AM188" i="69"/>
  <c r="AL188" i="69"/>
  <c r="AK188" i="69"/>
  <c r="AJ188" i="69"/>
  <c r="AI188" i="69"/>
  <c r="AH188" i="69"/>
  <c r="AH190" i="69" s="1"/>
  <c r="AG188" i="69"/>
  <c r="AE188" i="69"/>
  <c r="AD188" i="69"/>
  <c r="AC188" i="69"/>
  <c r="AB188" i="69"/>
  <c r="AB190" i="69" s="1"/>
  <c r="AA188" i="69"/>
  <c r="Z188" i="69"/>
  <c r="Y188" i="69"/>
  <c r="X188" i="69"/>
  <c r="W188" i="69"/>
  <c r="V188" i="69"/>
  <c r="U188" i="69"/>
  <c r="T188" i="69"/>
  <c r="R188" i="69"/>
  <c r="Q188" i="69"/>
  <c r="P188" i="69"/>
  <c r="P190" i="69" s="1"/>
  <c r="O188" i="69"/>
  <c r="N188" i="69"/>
  <c r="M188" i="69"/>
  <c r="L188" i="69"/>
  <c r="L190" i="69" s="1"/>
  <c r="K188" i="69"/>
  <c r="J188" i="69"/>
  <c r="J190" i="69" s="1"/>
  <c r="I188" i="69"/>
  <c r="H188" i="69"/>
  <c r="G188" i="69"/>
  <c r="F188" i="69"/>
  <c r="DG187" i="69"/>
  <c r="DE187" i="69"/>
  <c r="DD187" i="69"/>
  <c r="DC187" i="69"/>
  <c r="DB187" i="69"/>
  <c r="DA187" i="69"/>
  <c r="CZ187" i="69"/>
  <c r="CY187" i="69"/>
  <c r="CX187" i="69"/>
  <c r="CW187" i="69"/>
  <c r="CV187" i="69"/>
  <c r="CU187" i="69"/>
  <c r="CT187" i="69"/>
  <c r="CR187" i="69"/>
  <c r="CQ187" i="69"/>
  <c r="CP187" i="69"/>
  <c r="CO187" i="69"/>
  <c r="CN187" i="69"/>
  <c r="CM187" i="69"/>
  <c r="CL187" i="69"/>
  <c r="CK187" i="69"/>
  <c r="CJ187" i="69"/>
  <c r="CI187" i="69"/>
  <c r="CH187" i="69"/>
  <c r="CG187" i="69"/>
  <c r="CE187" i="69"/>
  <c r="CD187" i="69"/>
  <c r="CC187" i="69"/>
  <c r="CB187" i="69"/>
  <c r="CA187" i="69"/>
  <c r="BZ187" i="69"/>
  <c r="BY187" i="69"/>
  <c r="BX187" i="69"/>
  <c r="BW187" i="69"/>
  <c r="BV187" i="69"/>
  <c r="BU187" i="69"/>
  <c r="BT187" i="69"/>
  <c r="BR187" i="69"/>
  <c r="BQ187" i="69"/>
  <c r="BP187" i="69"/>
  <c r="BO187" i="69"/>
  <c r="BN187" i="69"/>
  <c r="BM187" i="69"/>
  <c r="BL187" i="69"/>
  <c r="BK187" i="69"/>
  <c r="BJ187" i="69"/>
  <c r="BI187" i="69"/>
  <c r="BH187" i="69"/>
  <c r="BG187" i="69"/>
  <c r="BE187" i="69"/>
  <c r="BD187" i="69"/>
  <c r="BC187" i="69"/>
  <c r="BB187" i="69"/>
  <c r="BA187" i="69"/>
  <c r="AZ187" i="69"/>
  <c r="AY187" i="69"/>
  <c r="AX187" i="69"/>
  <c r="AW187" i="69"/>
  <c r="AV187" i="69"/>
  <c r="AU187" i="69"/>
  <c r="AT187" i="69"/>
  <c r="AR187" i="69"/>
  <c r="AQ187" i="69"/>
  <c r="AP187" i="69"/>
  <c r="AO187" i="69"/>
  <c r="AN187" i="69"/>
  <c r="AM187" i="69"/>
  <c r="AL187" i="69"/>
  <c r="AK187" i="69"/>
  <c r="AJ187" i="69"/>
  <c r="AI187" i="69"/>
  <c r="AH187" i="69"/>
  <c r="AG187" i="69"/>
  <c r="AS187" i="69" s="1"/>
  <c r="AE187" i="69"/>
  <c r="AD187" i="69"/>
  <c r="AC187" i="69"/>
  <c r="AB187" i="69"/>
  <c r="AA187" i="69"/>
  <c r="Z187" i="69"/>
  <c r="Y187" i="69"/>
  <c r="X187" i="69"/>
  <c r="W187" i="69"/>
  <c r="V187" i="69"/>
  <c r="U187" i="69"/>
  <c r="T187" i="69"/>
  <c r="R187" i="69"/>
  <c r="Q187" i="69"/>
  <c r="P187" i="69"/>
  <c r="O187" i="69"/>
  <c r="N187" i="69"/>
  <c r="M187" i="69"/>
  <c r="L187" i="69"/>
  <c r="K187" i="69"/>
  <c r="J187" i="69"/>
  <c r="I187" i="69"/>
  <c r="H187" i="69"/>
  <c r="G187" i="69"/>
  <c r="F187" i="69"/>
  <c r="DF186" i="69"/>
  <c r="CS186" i="69"/>
  <c r="CF186" i="69"/>
  <c r="BS186" i="69"/>
  <c r="AW186" i="69"/>
  <c r="AS186" i="69"/>
  <c r="AF186" i="69"/>
  <c r="DF185" i="69"/>
  <c r="CS185" i="69"/>
  <c r="CF185" i="69"/>
  <c r="BS185" i="69"/>
  <c r="AW185" i="69"/>
  <c r="AW188" i="69" s="1"/>
  <c r="AS185" i="69"/>
  <c r="AF185" i="69"/>
  <c r="DG184" i="69"/>
  <c r="DE184" i="69"/>
  <c r="DD184" i="69"/>
  <c r="DC184" i="69"/>
  <c r="DB184" i="69"/>
  <c r="DA184" i="69"/>
  <c r="CZ184" i="69"/>
  <c r="CY184" i="69"/>
  <c r="CX184" i="69"/>
  <c r="CW184" i="69"/>
  <c r="CV184" i="69"/>
  <c r="CU184" i="69"/>
  <c r="CT184" i="69"/>
  <c r="CR184" i="69"/>
  <c r="CQ184" i="69"/>
  <c r="CP184" i="69"/>
  <c r="CO184" i="69"/>
  <c r="CN184" i="69"/>
  <c r="CM184" i="69"/>
  <c r="CL184" i="69"/>
  <c r="CK184" i="69"/>
  <c r="CJ184" i="69"/>
  <c r="CI184" i="69"/>
  <c r="CH184" i="69"/>
  <c r="CG184" i="69"/>
  <c r="CS184" i="69" s="1"/>
  <c r="CE184" i="69"/>
  <c r="CD184" i="69"/>
  <c r="CC184" i="69"/>
  <c r="CB184" i="69"/>
  <c r="CA184" i="69"/>
  <c r="BZ184" i="69"/>
  <c r="BY184" i="69"/>
  <c r="BX184" i="69"/>
  <c r="BW184" i="69"/>
  <c r="BV184" i="69"/>
  <c r="BU184" i="69"/>
  <c r="BT184" i="69"/>
  <c r="BR184" i="69"/>
  <c r="BQ184" i="69"/>
  <c r="BP184" i="69"/>
  <c r="BO184" i="69"/>
  <c r="BN184" i="69"/>
  <c r="BM184" i="69"/>
  <c r="BL184" i="69"/>
  <c r="BK184" i="69"/>
  <c r="BJ184" i="69"/>
  <c r="BI184" i="69"/>
  <c r="BH184" i="69"/>
  <c r="BG184" i="69"/>
  <c r="BE184" i="69"/>
  <c r="BD184" i="69"/>
  <c r="BC184" i="69"/>
  <c r="BB184" i="69"/>
  <c r="BA184" i="69"/>
  <c r="AZ184" i="69"/>
  <c r="AY184" i="69"/>
  <c r="AX184" i="69"/>
  <c r="AW184" i="69"/>
  <c r="AV184" i="69"/>
  <c r="AU184" i="69"/>
  <c r="AT184" i="69"/>
  <c r="AR184" i="69"/>
  <c r="AQ184" i="69"/>
  <c r="AP184" i="69"/>
  <c r="AO184" i="69"/>
  <c r="AN184" i="69"/>
  <c r="AM184" i="69"/>
  <c r="AL184" i="69"/>
  <c r="AK184" i="69"/>
  <c r="AJ184" i="69"/>
  <c r="AI184" i="69"/>
  <c r="AH184" i="69"/>
  <c r="AG184" i="69"/>
  <c r="AE184" i="69"/>
  <c r="AD184" i="69"/>
  <c r="AC184" i="69"/>
  <c r="AB184" i="69"/>
  <c r="AA184" i="69"/>
  <c r="Z184" i="69"/>
  <c r="Y184" i="69"/>
  <c r="X184" i="69"/>
  <c r="W184" i="69"/>
  <c r="V184" i="69"/>
  <c r="U184" i="69"/>
  <c r="T184" i="69"/>
  <c r="R184" i="69"/>
  <c r="Q184" i="69"/>
  <c r="P184" i="69"/>
  <c r="O184" i="69"/>
  <c r="N184" i="69"/>
  <c r="M184" i="69"/>
  <c r="L184" i="69"/>
  <c r="K184" i="69"/>
  <c r="J184" i="69"/>
  <c r="I184" i="69"/>
  <c r="H184" i="69"/>
  <c r="G184" i="69"/>
  <c r="F184" i="69"/>
  <c r="DF183" i="69"/>
  <c r="CS183" i="69"/>
  <c r="CF183" i="69"/>
  <c r="BS183" i="69"/>
  <c r="BF183" i="69"/>
  <c r="AS183" i="69"/>
  <c r="AF183" i="69"/>
  <c r="DH183" i="69" s="1"/>
  <c r="DF182" i="69"/>
  <c r="CS182" i="69"/>
  <c r="E182" i="69" s="1"/>
  <c r="DI182" i="69" s="1"/>
  <c r="CF182" i="69"/>
  <c r="BS182" i="69"/>
  <c r="BF182" i="69"/>
  <c r="AS182" i="69"/>
  <c r="AF182" i="69"/>
  <c r="DG181" i="69"/>
  <c r="DE181" i="69"/>
  <c r="DD181" i="69"/>
  <c r="DC181" i="69"/>
  <c r="DB181" i="69"/>
  <c r="DA181" i="69"/>
  <c r="CZ181" i="69"/>
  <c r="CY181" i="69"/>
  <c r="CX181" i="69"/>
  <c r="CW181" i="69"/>
  <c r="CV181" i="69"/>
  <c r="CU181" i="69"/>
  <c r="CT181" i="69"/>
  <c r="CR181" i="69"/>
  <c r="CQ181" i="69"/>
  <c r="CP181" i="69"/>
  <c r="CO181" i="69"/>
  <c r="CN181" i="69"/>
  <c r="CM181" i="69"/>
  <c r="CL181" i="69"/>
  <c r="CK181" i="69"/>
  <c r="CJ181" i="69"/>
  <c r="CI181" i="69"/>
  <c r="CH181" i="69"/>
  <c r="CG181" i="69"/>
  <c r="CE181" i="69"/>
  <c r="CD181" i="69"/>
  <c r="CC181" i="69"/>
  <c r="CB181" i="69"/>
  <c r="CA181" i="69"/>
  <c r="BZ181" i="69"/>
  <c r="BY181" i="69"/>
  <c r="BX181" i="69"/>
  <c r="BW181" i="69"/>
  <c r="BV181" i="69"/>
  <c r="BU181" i="69"/>
  <c r="BT181" i="69"/>
  <c r="BR181" i="69"/>
  <c r="BQ181" i="69"/>
  <c r="BP181" i="69"/>
  <c r="BO181" i="69"/>
  <c r="BN181" i="69"/>
  <c r="BM181" i="69"/>
  <c r="BL181" i="69"/>
  <c r="BK181" i="69"/>
  <c r="BJ181" i="69"/>
  <c r="BI181" i="69"/>
  <c r="BH181" i="69"/>
  <c r="BG181" i="69"/>
  <c r="BE181" i="69"/>
  <c r="BD181" i="69"/>
  <c r="BC181" i="69"/>
  <c r="BB181" i="69"/>
  <c r="BA181" i="69"/>
  <c r="AZ181" i="69"/>
  <c r="AY181" i="69"/>
  <c r="AX181" i="69"/>
  <c r="AW181" i="69"/>
  <c r="AV181" i="69"/>
  <c r="AU181" i="69"/>
  <c r="AT181" i="69"/>
  <c r="AR181" i="69"/>
  <c r="AQ181" i="69"/>
  <c r="AP181" i="69"/>
  <c r="AO181" i="69"/>
  <c r="AN181" i="69"/>
  <c r="AM181" i="69"/>
  <c r="AL181" i="69"/>
  <c r="AK181" i="69"/>
  <c r="AJ181" i="69"/>
  <c r="AI181" i="69"/>
  <c r="AH181" i="69"/>
  <c r="AG181" i="69"/>
  <c r="AE181" i="69"/>
  <c r="AD181" i="69"/>
  <c r="AC181" i="69"/>
  <c r="AB181" i="69"/>
  <c r="AA181" i="69"/>
  <c r="Z181" i="69"/>
  <c r="Y181" i="69"/>
  <c r="X181" i="69"/>
  <c r="W181" i="69"/>
  <c r="V181" i="69"/>
  <c r="U181" i="69"/>
  <c r="T181" i="69"/>
  <c r="R181" i="69"/>
  <c r="Q181" i="69"/>
  <c r="P181" i="69"/>
  <c r="O181" i="69"/>
  <c r="N181" i="69"/>
  <c r="M181" i="69"/>
  <c r="L181" i="69"/>
  <c r="K181" i="69"/>
  <c r="J181" i="69"/>
  <c r="I181" i="69"/>
  <c r="H181" i="69"/>
  <c r="G181" i="69"/>
  <c r="F181" i="69"/>
  <c r="DF180" i="69"/>
  <c r="CS180" i="69"/>
  <c r="CF180" i="69"/>
  <c r="BS180" i="69"/>
  <c r="BF180" i="69"/>
  <c r="AS180" i="69"/>
  <c r="AF180" i="69"/>
  <c r="DH180" i="69" s="1"/>
  <c r="DF179" i="69"/>
  <c r="CS179" i="69"/>
  <c r="CF179" i="69"/>
  <c r="BS179" i="69"/>
  <c r="BF179" i="69"/>
  <c r="AS179" i="69"/>
  <c r="AF179" i="69"/>
  <c r="DI178" i="69"/>
  <c r="DG178" i="69"/>
  <c r="DE178" i="69"/>
  <c r="DD178" i="69"/>
  <c r="DC178" i="69"/>
  <c r="DB178" i="69"/>
  <c r="DA178" i="69"/>
  <c r="CZ178" i="69"/>
  <c r="CY178" i="69"/>
  <c r="CX178" i="69"/>
  <c r="CW178" i="69"/>
  <c r="CV178" i="69"/>
  <c r="CU178" i="69"/>
  <c r="CT178" i="69"/>
  <c r="CR178" i="69"/>
  <c r="CQ178" i="69"/>
  <c r="CP178" i="69"/>
  <c r="CO178" i="69"/>
  <c r="CN178" i="69"/>
  <c r="CM178" i="69"/>
  <c r="CL178" i="69"/>
  <c r="CK178" i="69"/>
  <c r="CJ178" i="69"/>
  <c r="CI178" i="69"/>
  <c r="CH178" i="69"/>
  <c r="CG178" i="69"/>
  <c r="CE178" i="69"/>
  <c r="CD178" i="69"/>
  <c r="CC178" i="69"/>
  <c r="CB178" i="69"/>
  <c r="CA178" i="69"/>
  <c r="BZ178" i="69"/>
  <c r="BY178" i="69"/>
  <c r="BX178" i="69"/>
  <c r="BW178" i="69"/>
  <c r="BV178" i="69"/>
  <c r="BU178" i="69"/>
  <c r="BT178" i="69"/>
  <c r="BR178" i="69"/>
  <c r="BQ178" i="69"/>
  <c r="BS178" i="69" s="1"/>
  <c r="BP178" i="69"/>
  <c r="BO178" i="69"/>
  <c r="BN178" i="69"/>
  <c r="BM178" i="69"/>
  <c r="BL178" i="69"/>
  <c r="BK178" i="69"/>
  <c r="BJ178" i="69"/>
  <c r="BI178" i="69"/>
  <c r="BH178" i="69"/>
  <c r="BG178" i="69"/>
  <c r="BE178" i="69"/>
  <c r="BD178" i="69"/>
  <c r="BC178" i="69"/>
  <c r="BB178" i="69"/>
  <c r="BA178" i="69"/>
  <c r="AZ178" i="69"/>
  <c r="AY178" i="69"/>
  <c r="AX178" i="69"/>
  <c r="AW178" i="69"/>
  <c r="AV178" i="69"/>
  <c r="AU178" i="69"/>
  <c r="AT178" i="69"/>
  <c r="AR178" i="69"/>
  <c r="AQ178" i="69"/>
  <c r="AP178" i="69"/>
  <c r="AO178" i="69"/>
  <c r="AN178" i="69"/>
  <c r="AM178" i="69"/>
  <c r="AL178" i="69"/>
  <c r="AK178" i="69"/>
  <c r="AJ178" i="69"/>
  <c r="AI178" i="69"/>
  <c r="AH178" i="69"/>
  <c r="AG178" i="69"/>
  <c r="AE178" i="69"/>
  <c r="AD178" i="69"/>
  <c r="AC178" i="69"/>
  <c r="AB178" i="69"/>
  <c r="AA178" i="69"/>
  <c r="Z178" i="69"/>
  <c r="Y178" i="69"/>
  <c r="X178" i="69"/>
  <c r="W178" i="69"/>
  <c r="V178" i="69"/>
  <c r="U178" i="69"/>
  <c r="T178" i="69"/>
  <c r="R178" i="69"/>
  <c r="Q178" i="69"/>
  <c r="P178" i="69"/>
  <c r="O178" i="69"/>
  <c r="N178" i="69"/>
  <c r="M178" i="69"/>
  <c r="L178" i="69"/>
  <c r="K178" i="69"/>
  <c r="J178" i="69"/>
  <c r="I178" i="69"/>
  <c r="H178" i="69"/>
  <c r="G178" i="69"/>
  <c r="F178" i="69"/>
  <c r="DF177" i="69"/>
  <c r="CS177" i="69"/>
  <c r="CF177" i="69"/>
  <c r="BS177" i="69"/>
  <c r="DH177" i="69" s="1"/>
  <c r="BF177" i="69"/>
  <c r="AS177" i="69"/>
  <c r="AF177" i="69"/>
  <c r="S177" i="69"/>
  <c r="DF176" i="69"/>
  <c r="CS176" i="69"/>
  <c r="CF176" i="69"/>
  <c r="BS176" i="69"/>
  <c r="BF176" i="69"/>
  <c r="AS176" i="69"/>
  <c r="AF176" i="69"/>
  <c r="S176" i="69"/>
  <c r="DI175" i="69"/>
  <c r="DG175" i="69"/>
  <c r="DE175" i="69"/>
  <c r="DD175" i="69"/>
  <c r="DC175" i="69"/>
  <c r="DB175" i="69"/>
  <c r="DA175" i="69"/>
  <c r="CZ175" i="69"/>
  <c r="CY175" i="69"/>
  <c r="CX175" i="69"/>
  <c r="CW175" i="69"/>
  <c r="CV175" i="69"/>
  <c r="CU175" i="69"/>
  <c r="CT175" i="69"/>
  <c r="CR175" i="69"/>
  <c r="CQ175" i="69"/>
  <c r="CP175" i="69"/>
  <c r="CO175" i="69"/>
  <c r="CN175" i="69"/>
  <c r="CM175" i="69"/>
  <c r="CL175" i="69"/>
  <c r="CK175" i="69"/>
  <c r="CJ175" i="69"/>
  <c r="CI175" i="69"/>
  <c r="CH175" i="69"/>
  <c r="CG175" i="69"/>
  <c r="BR175" i="69"/>
  <c r="BP175" i="69"/>
  <c r="BL175" i="69"/>
  <c r="BJ175" i="69"/>
  <c r="BI175" i="69"/>
  <c r="BD175" i="69"/>
  <c r="BB175" i="69"/>
  <c r="BA175" i="69"/>
  <c r="AZ175" i="69"/>
  <c r="AY175" i="69"/>
  <c r="AX175" i="69"/>
  <c r="AW175" i="69"/>
  <c r="AV175" i="69"/>
  <c r="AU175" i="69"/>
  <c r="AT175" i="69"/>
  <c r="AR175" i="69"/>
  <c r="AQ175" i="69"/>
  <c r="AP175" i="69"/>
  <c r="AO175" i="69"/>
  <c r="AN175" i="69"/>
  <c r="AM175" i="69"/>
  <c r="AL175" i="69"/>
  <c r="AK175" i="69"/>
  <c r="AJ175" i="69"/>
  <c r="AI175" i="69"/>
  <c r="AH175" i="69"/>
  <c r="AG175" i="69"/>
  <c r="AE175" i="69"/>
  <c r="AD175" i="69"/>
  <c r="AC175" i="69"/>
  <c r="AB175" i="69"/>
  <c r="AA175" i="69"/>
  <c r="Z175" i="69"/>
  <c r="Y175" i="69"/>
  <c r="X175" i="69"/>
  <c r="W175" i="69"/>
  <c r="V175" i="69"/>
  <c r="U175" i="69"/>
  <c r="T175" i="69"/>
  <c r="R175" i="69"/>
  <c r="S175" i="69" s="1"/>
  <c r="Q175" i="69"/>
  <c r="P175" i="69"/>
  <c r="O175" i="69"/>
  <c r="N175" i="69"/>
  <c r="M175" i="69"/>
  <c r="L175" i="69"/>
  <c r="K175" i="69"/>
  <c r="J175" i="69"/>
  <c r="I175" i="69"/>
  <c r="H175" i="69"/>
  <c r="G175" i="69"/>
  <c r="F175" i="69"/>
  <c r="DF174" i="69"/>
  <c r="CS174" i="69"/>
  <c r="CE174" i="69"/>
  <c r="CD174" i="69"/>
  <c r="BR174" i="69"/>
  <c r="BQ174" i="69"/>
  <c r="BP174" i="69"/>
  <c r="BO174" i="69"/>
  <c r="BO189" i="69" s="1"/>
  <c r="BN174" i="69"/>
  <c r="BN175" i="69" s="1"/>
  <c r="BM174" i="69"/>
  <c r="BL174" i="69"/>
  <c r="BL189" i="69" s="1"/>
  <c r="BK174" i="69"/>
  <c r="BJ174" i="69"/>
  <c r="BI174" i="69"/>
  <c r="BH174" i="69"/>
  <c r="BH175" i="69" s="1"/>
  <c r="BG174" i="69"/>
  <c r="BE174" i="69"/>
  <c r="BD174" i="69"/>
  <c r="BC174" i="69"/>
  <c r="AS174" i="69"/>
  <c r="AF174" i="69"/>
  <c r="S174" i="69"/>
  <c r="DF173" i="69"/>
  <c r="CS173" i="69"/>
  <c r="CE173" i="69"/>
  <c r="CE188" i="69" s="1"/>
  <c r="CD173" i="69"/>
  <c r="CD188" i="69" s="1"/>
  <c r="CC173" i="69"/>
  <c r="CC174" i="69" s="1"/>
  <c r="CC189" i="69" s="1"/>
  <c r="CB173" i="69"/>
  <c r="CA173" i="69"/>
  <c r="BZ173" i="69"/>
  <c r="BY173" i="69"/>
  <c r="BX173" i="69"/>
  <c r="BX188" i="69" s="1"/>
  <c r="BW173" i="69"/>
  <c r="BV173" i="69"/>
  <c r="BU173" i="69"/>
  <c r="BT173" i="69"/>
  <c r="BS173" i="69"/>
  <c r="BF173" i="69"/>
  <c r="AS173" i="69"/>
  <c r="AF173" i="69"/>
  <c r="S173" i="69"/>
  <c r="DI172" i="69"/>
  <c r="DG172" i="69"/>
  <c r="DE172" i="69"/>
  <c r="DD172" i="69"/>
  <c r="DC172" i="69"/>
  <c r="DB172" i="69"/>
  <c r="DA172" i="69"/>
  <c r="CZ172" i="69"/>
  <c r="CY172" i="69"/>
  <c r="CX172" i="69"/>
  <c r="CW172" i="69"/>
  <c r="CV172" i="69"/>
  <c r="CU172" i="69"/>
  <c r="CT172" i="69"/>
  <c r="CR172" i="69"/>
  <c r="CQ172" i="69"/>
  <c r="CP172" i="69"/>
  <c r="CO172" i="69"/>
  <c r="CN172" i="69"/>
  <c r="CM172" i="69"/>
  <c r="CL172" i="69"/>
  <c r="CK172" i="69"/>
  <c r="CJ172" i="69"/>
  <c r="CI172" i="69"/>
  <c r="CH172" i="69"/>
  <c r="CG172" i="69"/>
  <c r="CE172" i="69"/>
  <c r="CD172" i="69"/>
  <c r="CC172" i="69"/>
  <c r="CB172" i="69"/>
  <c r="CA172" i="69"/>
  <c r="BZ172" i="69"/>
  <c r="BY172" i="69"/>
  <c r="BX172" i="69"/>
  <c r="BW172" i="69"/>
  <c r="BV172" i="69"/>
  <c r="BU172" i="69"/>
  <c r="BT172" i="69"/>
  <c r="BR172" i="69"/>
  <c r="BQ172" i="69"/>
  <c r="BP172" i="69"/>
  <c r="BO172" i="69"/>
  <c r="BN172" i="69"/>
  <c r="BM172" i="69"/>
  <c r="BL172" i="69"/>
  <c r="BK172" i="69"/>
  <c r="BJ172" i="69"/>
  <c r="BI172" i="69"/>
  <c r="BH172" i="69"/>
  <c r="BG172" i="69"/>
  <c r="BE172" i="69"/>
  <c r="BD172" i="69"/>
  <c r="BC172" i="69"/>
  <c r="BB172" i="69"/>
  <c r="BA172" i="69"/>
  <c r="AZ172" i="69"/>
  <c r="AY172" i="69"/>
  <c r="AU172" i="69"/>
  <c r="AT172" i="69"/>
  <c r="AR172" i="69"/>
  <c r="AQ172" i="69"/>
  <c r="AP172" i="69"/>
  <c r="AO172" i="69"/>
  <c r="AN172" i="69"/>
  <c r="AM172" i="69"/>
  <c r="AL172" i="69"/>
  <c r="AK172" i="69"/>
  <c r="AJ172" i="69"/>
  <c r="AI172" i="69"/>
  <c r="AH172" i="69"/>
  <c r="AG172" i="69"/>
  <c r="AE172" i="69"/>
  <c r="AD172" i="69"/>
  <c r="AC172" i="69"/>
  <c r="AB172" i="69"/>
  <c r="AA172" i="69"/>
  <c r="Z172" i="69"/>
  <c r="Y172" i="69"/>
  <c r="X172" i="69"/>
  <c r="W172" i="69"/>
  <c r="V172" i="69"/>
  <c r="U172" i="69"/>
  <c r="T172" i="69"/>
  <c r="R172" i="69"/>
  <c r="Q172" i="69"/>
  <c r="P172" i="69"/>
  <c r="O172" i="69"/>
  <c r="N172" i="69"/>
  <c r="M172" i="69"/>
  <c r="L172" i="69"/>
  <c r="K172" i="69"/>
  <c r="J172" i="69"/>
  <c r="I172" i="69"/>
  <c r="H172" i="69"/>
  <c r="G172" i="69"/>
  <c r="F172" i="69"/>
  <c r="DF171" i="69"/>
  <c r="CS171" i="69"/>
  <c r="CF171" i="69"/>
  <c r="BS171" i="69"/>
  <c r="AX171" i="69"/>
  <c r="BF171" i="69" s="1"/>
  <c r="AW171" i="69"/>
  <c r="AW172" i="69" s="1"/>
  <c r="AV171" i="69"/>
  <c r="AV189" i="69" s="1"/>
  <c r="AS171" i="69"/>
  <c r="AF171" i="69"/>
  <c r="S171" i="69"/>
  <c r="DF170" i="69"/>
  <c r="CS170" i="69"/>
  <c r="CF170" i="69"/>
  <c r="BS170" i="69"/>
  <c r="E170" i="69" s="1"/>
  <c r="DI170" i="69" s="1"/>
  <c r="BF170" i="69"/>
  <c r="AS170" i="69"/>
  <c r="AF170" i="69"/>
  <c r="S170" i="69"/>
  <c r="DI169" i="69"/>
  <c r="DG169" i="69"/>
  <c r="DE169" i="69"/>
  <c r="DD169" i="69"/>
  <c r="DC169" i="69"/>
  <c r="DB169" i="69"/>
  <c r="DA169" i="69"/>
  <c r="CZ169" i="69"/>
  <c r="CY169" i="69"/>
  <c r="CX169" i="69"/>
  <c r="CW169" i="69"/>
  <c r="CV169" i="69"/>
  <c r="CU169" i="69"/>
  <c r="CT169" i="69"/>
  <c r="CR169" i="69"/>
  <c r="CQ169" i="69"/>
  <c r="CP169" i="69"/>
  <c r="CO169" i="69"/>
  <c r="CN169" i="69"/>
  <c r="CM169" i="69"/>
  <c r="CL169" i="69"/>
  <c r="CK169" i="69"/>
  <c r="CJ169" i="69"/>
  <c r="CI169" i="69"/>
  <c r="CH169" i="69"/>
  <c r="CG169" i="69"/>
  <c r="CS169" i="69" s="1"/>
  <c r="CE169" i="69"/>
  <c r="CD169" i="69"/>
  <c r="CC169" i="69"/>
  <c r="CB169" i="69"/>
  <c r="CA169" i="69"/>
  <c r="BZ169" i="69"/>
  <c r="BY169" i="69"/>
  <c r="BX169" i="69"/>
  <c r="BW169" i="69"/>
  <c r="BV169" i="69"/>
  <c r="BU169" i="69"/>
  <c r="BT169" i="69"/>
  <c r="BR169" i="69"/>
  <c r="BQ169" i="69"/>
  <c r="BP169" i="69"/>
  <c r="BO169" i="69"/>
  <c r="BN169" i="69"/>
  <c r="BM169" i="69"/>
  <c r="BL169" i="69"/>
  <c r="BK169" i="69"/>
  <c r="BJ169" i="69"/>
  <c r="BI169" i="69"/>
  <c r="BH169" i="69"/>
  <c r="BG169" i="69"/>
  <c r="BE169" i="69"/>
  <c r="BD169" i="69"/>
  <c r="BC169" i="69"/>
  <c r="BB169" i="69"/>
  <c r="BA169" i="69"/>
  <c r="AZ169" i="69"/>
  <c r="AY169" i="69"/>
  <c r="AX169" i="69"/>
  <c r="AW169" i="69"/>
  <c r="AV169" i="69"/>
  <c r="AU169" i="69"/>
  <c r="AT169" i="69"/>
  <c r="AR169" i="69"/>
  <c r="AQ169" i="69"/>
  <c r="AP169" i="69"/>
  <c r="AO169" i="69"/>
  <c r="AN169" i="69"/>
  <c r="AM169" i="69"/>
  <c r="AL169" i="69"/>
  <c r="AK169" i="69"/>
  <c r="AJ169" i="69"/>
  <c r="AI169" i="69"/>
  <c r="AH169" i="69"/>
  <c r="AS169" i="69" s="1"/>
  <c r="AG169" i="69"/>
  <c r="AE169" i="69"/>
  <c r="AD169" i="69"/>
  <c r="AC169" i="69"/>
  <c r="AB169" i="69"/>
  <c r="AA169" i="69"/>
  <c r="Z169" i="69"/>
  <c r="Y169" i="69"/>
  <c r="X169" i="69"/>
  <c r="W169" i="69"/>
  <c r="V169" i="69"/>
  <c r="U169" i="69"/>
  <c r="T169" i="69"/>
  <c r="R169" i="69"/>
  <c r="Q169" i="69"/>
  <c r="P169" i="69"/>
  <c r="O169" i="69"/>
  <c r="N169" i="69"/>
  <c r="M169" i="69"/>
  <c r="L169" i="69"/>
  <c r="K169" i="69"/>
  <c r="J169" i="69"/>
  <c r="I169" i="69"/>
  <c r="H169" i="69"/>
  <c r="G169" i="69"/>
  <c r="F169" i="69"/>
  <c r="DF168" i="69"/>
  <c r="CS168" i="69"/>
  <c r="CF168" i="69"/>
  <c r="BS168" i="69"/>
  <c r="BF168" i="69"/>
  <c r="AS168" i="69"/>
  <c r="AF168" i="69"/>
  <c r="S168" i="69"/>
  <c r="DF167" i="69"/>
  <c r="CS167" i="69"/>
  <c r="CF167" i="69"/>
  <c r="BS167" i="69"/>
  <c r="BF167" i="69"/>
  <c r="AS167" i="69"/>
  <c r="AF167" i="69"/>
  <c r="S167" i="69"/>
  <c r="DI166" i="69"/>
  <c r="DG166" i="69"/>
  <c r="DE166" i="69"/>
  <c r="DD166" i="69"/>
  <c r="DC166" i="69"/>
  <c r="DB166" i="69"/>
  <c r="DA166" i="69"/>
  <c r="CZ166" i="69"/>
  <c r="CY166" i="69"/>
  <c r="CX166" i="69"/>
  <c r="CW166" i="69"/>
  <c r="CV166" i="69"/>
  <c r="CU166" i="69"/>
  <c r="CT166" i="69"/>
  <c r="CR166" i="69"/>
  <c r="CQ166" i="69"/>
  <c r="CP166" i="69"/>
  <c r="CO166" i="69"/>
  <c r="CN166" i="69"/>
  <c r="CM166" i="69"/>
  <c r="CL166" i="69"/>
  <c r="CK166" i="69"/>
  <c r="CJ166" i="69"/>
  <c r="CI166" i="69"/>
  <c r="CH166" i="69"/>
  <c r="CG166" i="69"/>
  <c r="CE166" i="69"/>
  <c r="CD166" i="69"/>
  <c r="CC166" i="69"/>
  <c r="CB166" i="69"/>
  <c r="CA166" i="69"/>
  <c r="BZ166" i="69"/>
  <c r="BY166" i="69"/>
  <c r="BX166" i="69"/>
  <c r="BW166" i="69"/>
  <c r="BV166" i="69"/>
  <c r="BU166" i="69"/>
  <c r="BT166" i="69"/>
  <c r="BR166" i="69"/>
  <c r="BQ166" i="69"/>
  <c r="BP166" i="69"/>
  <c r="BO166" i="69"/>
  <c r="BN166" i="69"/>
  <c r="BM166" i="69"/>
  <c r="BL166" i="69"/>
  <c r="BK166" i="69"/>
  <c r="BJ166" i="69"/>
  <c r="BI166" i="69"/>
  <c r="BH166" i="69"/>
  <c r="BG166" i="69"/>
  <c r="BE166" i="69"/>
  <c r="BD166" i="69"/>
  <c r="BC166" i="69"/>
  <c r="BF166" i="69" s="1"/>
  <c r="BB166" i="69"/>
  <c r="BA166" i="69"/>
  <c r="AZ166" i="69"/>
  <c r="AY166" i="69"/>
  <c r="AX166" i="69"/>
  <c r="AW166" i="69"/>
  <c r="AV166" i="69"/>
  <c r="AU166" i="69"/>
  <c r="AT166" i="69"/>
  <c r="AR166" i="69"/>
  <c r="AQ166" i="69"/>
  <c r="AP166" i="69"/>
  <c r="AO166" i="69"/>
  <c r="AN166" i="69"/>
  <c r="AM166" i="69"/>
  <c r="AL166" i="69"/>
  <c r="AK166" i="69"/>
  <c r="AJ166" i="69"/>
  <c r="AI166" i="69"/>
  <c r="AH166" i="69"/>
  <c r="AG166" i="69"/>
  <c r="AE166" i="69"/>
  <c r="AD166" i="69"/>
  <c r="AC166" i="69"/>
  <c r="AB166" i="69"/>
  <c r="AA166" i="69"/>
  <c r="Z166" i="69"/>
  <c r="Y166" i="69"/>
  <c r="X166" i="69"/>
  <c r="W166" i="69"/>
  <c r="V166" i="69"/>
  <c r="U166" i="69"/>
  <c r="T166" i="69"/>
  <c r="R166" i="69"/>
  <c r="Q166" i="69"/>
  <c r="P166" i="69"/>
  <c r="O166" i="69"/>
  <c r="N166" i="69"/>
  <c r="M166" i="69"/>
  <c r="L166" i="69"/>
  <c r="K166" i="69"/>
  <c r="J166" i="69"/>
  <c r="I166" i="69"/>
  <c r="H166" i="69"/>
  <c r="G166" i="69"/>
  <c r="F166" i="69"/>
  <c r="DI165" i="69"/>
  <c r="DF165" i="69"/>
  <c r="CS165" i="69"/>
  <c r="CF165" i="69"/>
  <c r="BS165" i="69"/>
  <c r="BF165" i="69"/>
  <c r="AS165" i="69"/>
  <c r="AF165" i="69"/>
  <c r="S165" i="69"/>
  <c r="DI164" i="69"/>
  <c r="DF164" i="69"/>
  <c r="CS164" i="69"/>
  <c r="CF164" i="69"/>
  <c r="BS164" i="69"/>
  <c r="BF164" i="69"/>
  <c r="AS164" i="69"/>
  <c r="AF164" i="69"/>
  <c r="S164" i="69"/>
  <c r="DH164" i="69" s="1"/>
  <c r="DI163" i="69"/>
  <c r="DG163" i="69"/>
  <c r="DE163" i="69"/>
  <c r="DD163" i="69"/>
  <c r="DC163" i="69"/>
  <c r="DB163" i="69"/>
  <c r="DA163" i="69"/>
  <c r="CZ163" i="69"/>
  <c r="CY163" i="69"/>
  <c r="CX163" i="69"/>
  <c r="CW163" i="69"/>
  <c r="CV163" i="69"/>
  <c r="CU163" i="69"/>
  <c r="CT163" i="69"/>
  <c r="CR163" i="69"/>
  <c r="CQ163" i="69"/>
  <c r="CP163" i="69"/>
  <c r="CO163" i="69"/>
  <c r="CN163" i="69"/>
  <c r="CM163" i="69"/>
  <c r="CL163" i="69"/>
  <c r="CK163" i="69"/>
  <c r="CJ163" i="69"/>
  <c r="CI163" i="69"/>
  <c r="CH163" i="69"/>
  <c r="CG163" i="69"/>
  <c r="CE163" i="69"/>
  <c r="CD163" i="69"/>
  <c r="CC163" i="69"/>
  <c r="CB163" i="69"/>
  <c r="CA163" i="69"/>
  <c r="BZ163" i="69"/>
  <c r="BY163" i="69"/>
  <c r="BX163" i="69"/>
  <c r="BW163" i="69"/>
  <c r="BV163" i="69"/>
  <c r="BU163" i="69"/>
  <c r="BT163" i="69"/>
  <c r="BR163" i="69"/>
  <c r="BQ163" i="69"/>
  <c r="BP163" i="69"/>
  <c r="BO163" i="69"/>
  <c r="BN163" i="69"/>
  <c r="BM163" i="69"/>
  <c r="BL163" i="69"/>
  <c r="BK163" i="69"/>
  <c r="BJ163" i="69"/>
  <c r="BI163" i="69"/>
  <c r="BH163" i="69"/>
  <c r="BG163" i="69"/>
  <c r="BE163" i="69"/>
  <c r="BD163" i="69"/>
  <c r="BC163" i="69"/>
  <c r="BB163" i="69"/>
  <c r="BA163" i="69"/>
  <c r="AZ163" i="69"/>
  <c r="AY163" i="69"/>
  <c r="AX163" i="69"/>
  <c r="AW163" i="69"/>
  <c r="AV163" i="69"/>
  <c r="AU163" i="69"/>
  <c r="AT163" i="69"/>
  <c r="AR163" i="69"/>
  <c r="AQ163" i="69"/>
  <c r="AP163" i="69"/>
  <c r="AO163" i="69"/>
  <c r="AN163" i="69"/>
  <c r="AM163" i="69"/>
  <c r="AL163" i="69"/>
  <c r="AK163" i="69"/>
  <c r="AJ163" i="69"/>
  <c r="AI163" i="69"/>
  <c r="AH163" i="69"/>
  <c r="AG163" i="69"/>
  <c r="AE163" i="69"/>
  <c r="AD163" i="69"/>
  <c r="AC163" i="69"/>
  <c r="AB163" i="69"/>
  <c r="AA163" i="69"/>
  <c r="Z163" i="69"/>
  <c r="Y163" i="69"/>
  <c r="X163" i="69"/>
  <c r="W163" i="69"/>
  <c r="V163" i="69"/>
  <c r="U163" i="69"/>
  <c r="T163" i="69"/>
  <c r="R163" i="69"/>
  <c r="Q163" i="69"/>
  <c r="P163" i="69"/>
  <c r="O163" i="69"/>
  <c r="N163" i="69"/>
  <c r="M163" i="69"/>
  <c r="L163" i="69"/>
  <c r="K163" i="69"/>
  <c r="J163" i="69"/>
  <c r="I163" i="69"/>
  <c r="H163" i="69"/>
  <c r="G163" i="69"/>
  <c r="F163" i="69"/>
  <c r="DI162" i="69"/>
  <c r="DF162" i="69"/>
  <c r="CS162" i="69"/>
  <c r="CF162" i="69"/>
  <c r="BS162" i="69"/>
  <c r="BF162" i="69"/>
  <c r="AS162" i="69"/>
  <c r="AF162" i="69"/>
  <c r="S162" i="69"/>
  <c r="DH162" i="69" s="1"/>
  <c r="DI161" i="69"/>
  <c r="DH161" i="69"/>
  <c r="DF161" i="69"/>
  <c r="CS161" i="69"/>
  <c r="CF161" i="69"/>
  <c r="BS161" i="69"/>
  <c r="BF161" i="69"/>
  <c r="AS161" i="69"/>
  <c r="AF161" i="69"/>
  <c r="S161" i="69"/>
  <c r="DG160" i="69"/>
  <c r="DE160" i="69"/>
  <c r="DD160" i="69"/>
  <c r="DC160" i="69"/>
  <c r="DB160" i="69"/>
  <c r="DA160" i="69"/>
  <c r="CZ160" i="69"/>
  <c r="CY160" i="69"/>
  <c r="CX160" i="69"/>
  <c r="CW160" i="69"/>
  <c r="CV160" i="69"/>
  <c r="CU160" i="69"/>
  <c r="CT160" i="69"/>
  <c r="CR160" i="69"/>
  <c r="CQ160" i="69"/>
  <c r="CP160" i="69"/>
  <c r="CO160" i="69"/>
  <c r="CN160" i="69"/>
  <c r="CM160" i="69"/>
  <c r="CL160" i="69"/>
  <c r="CK160" i="69"/>
  <c r="CJ160" i="69"/>
  <c r="CI160" i="69"/>
  <c r="CH160" i="69"/>
  <c r="CG160" i="69"/>
  <c r="CE160" i="69"/>
  <c r="CD160" i="69"/>
  <c r="CC160" i="69"/>
  <c r="CB160" i="69"/>
  <c r="CA160" i="69"/>
  <c r="BZ160" i="69"/>
  <c r="BY160" i="69"/>
  <c r="BX160" i="69"/>
  <c r="BW160" i="69"/>
  <c r="BV160" i="69"/>
  <c r="BU160" i="69"/>
  <c r="BT160" i="69"/>
  <c r="BR160" i="69"/>
  <c r="BQ160" i="69"/>
  <c r="BP160" i="69"/>
  <c r="BO160" i="69"/>
  <c r="BS160" i="69" s="1"/>
  <c r="BN160" i="69"/>
  <c r="BM160" i="69"/>
  <c r="BL160" i="69"/>
  <c r="BK160" i="69"/>
  <c r="BJ160" i="69"/>
  <c r="BI160" i="69"/>
  <c r="BH160" i="69"/>
  <c r="BG160" i="69"/>
  <c r="BE160" i="69"/>
  <c r="BD160" i="69"/>
  <c r="BC160" i="69"/>
  <c r="BB160" i="69"/>
  <c r="BA160" i="69"/>
  <c r="AZ160" i="69"/>
  <c r="AY160" i="69"/>
  <c r="AX160" i="69"/>
  <c r="AW160" i="69"/>
  <c r="AV160" i="69"/>
  <c r="AU160" i="69"/>
  <c r="AT160" i="69"/>
  <c r="AR160" i="69"/>
  <c r="AQ160" i="69"/>
  <c r="AP160" i="69"/>
  <c r="AO160" i="69"/>
  <c r="AN160" i="69"/>
  <c r="AM160" i="69"/>
  <c r="AL160" i="69"/>
  <c r="AK160" i="69"/>
  <c r="AJ160" i="69"/>
  <c r="AI160" i="69"/>
  <c r="AH160" i="69"/>
  <c r="AG160" i="69"/>
  <c r="AE160" i="69"/>
  <c r="AD160" i="69"/>
  <c r="AC160" i="69"/>
  <c r="AB160" i="69"/>
  <c r="AA160" i="69"/>
  <c r="Z160" i="69"/>
  <c r="Y160" i="69"/>
  <c r="X160" i="69"/>
  <c r="W160" i="69"/>
  <c r="V160" i="69"/>
  <c r="U160" i="69"/>
  <c r="T160" i="69"/>
  <c r="R160" i="69"/>
  <c r="Q160" i="69"/>
  <c r="P160" i="69"/>
  <c r="O160" i="69"/>
  <c r="N160" i="69"/>
  <c r="M160" i="69"/>
  <c r="L160" i="69"/>
  <c r="K160" i="69"/>
  <c r="J160" i="69"/>
  <c r="I160" i="69"/>
  <c r="H160" i="69"/>
  <c r="G160" i="69"/>
  <c r="F160" i="69"/>
  <c r="E160" i="69"/>
  <c r="DI160" i="69" s="1"/>
  <c r="DI159" i="69"/>
  <c r="DF159" i="69"/>
  <c r="CS159" i="69"/>
  <c r="CF159" i="69"/>
  <c r="BS159" i="69"/>
  <c r="DH159" i="69" s="1"/>
  <c r="BF159" i="69"/>
  <c r="AS159" i="69"/>
  <c r="AF159" i="69"/>
  <c r="S159" i="69"/>
  <c r="DI158" i="69"/>
  <c r="DF158" i="69"/>
  <c r="CS158" i="69"/>
  <c r="CF158" i="69"/>
  <c r="BS158" i="69"/>
  <c r="BF158" i="69"/>
  <c r="AS158" i="69"/>
  <c r="AF158" i="69"/>
  <c r="S158" i="69"/>
  <c r="DG157" i="69"/>
  <c r="DE157" i="69"/>
  <c r="DD157" i="69"/>
  <c r="DC157" i="69"/>
  <c r="DB157" i="69"/>
  <c r="DA157" i="69"/>
  <c r="CZ157" i="69"/>
  <c r="CY157" i="69"/>
  <c r="CX157" i="69"/>
  <c r="CW157" i="69"/>
  <c r="CV157" i="69"/>
  <c r="CU157" i="69"/>
  <c r="CT157" i="69"/>
  <c r="CR157" i="69"/>
  <c r="CQ157" i="69"/>
  <c r="CP157" i="69"/>
  <c r="CO157" i="69"/>
  <c r="CN157" i="69"/>
  <c r="CM157" i="69"/>
  <c r="CL157" i="69"/>
  <c r="CK157" i="69"/>
  <c r="CJ157" i="69"/>
  <c r="CI157" i="69"/>
  <c r="CH157" i="69"/>
  <c r="CG157" i="69"/>
  <c r="CE157" i="69"/>
  <c r="CD157" i="69"/>
  <c r="CC157" i="69"/>
  <c r="CB157" i="69"/>
  <c r="CA157" i="69"/>
  <c r="BZ157" i="69"/>
  <c r="BY157" i="69"/>
  <c r="BX157" i="69"/>
  <c r="BW157" i="69"/>
  <c r="BV157" i="69"/>
  <c r="BU157" i="69"/>
  <c r="BT157" i="69"/>
  <c r="BR157" i="69"/>
  <c r="BQ157" i="69"/>
  <c r="BP157" i="69"/>
  <c r="BO157" i="69"/>
  <c r="BN157" i="69"/>
  <c r="BM157" i="69"/>
  <c r="BL157" i="69"/>
  <c r="BK157" i="69"/>
  <c r="BJ157" i="69"/>
  <c r="BI157" i="69"/>
  <c r="BH157" i="69"/>
  <c r="BG157" i="69"/>
  <c r="BE157" i="69"/>
  <c r="BD157" i="69"/>
  <c r="BC157" i="69"/>
  <c r="BB157" i="69"/>
  <c r="BA157" i="69"/>
  <c r="AZ157" i="69"/>
  <c r="AY157" i="69"/>
  <c r="AX157" i="69"/>
  <c r="AW157" i="69"/>
  <c r="AV157" i="69"/>
  <c r="AU157" i="69"/>
  <c r="AT157" i="69"/>
  <c r="AR157" i="69"/>
  <c r="AQ157" i="69"/>
  <c r="AP157" i="69"/>
  <c r="AO157" i="69"/>
  <c r="AN157" i="69"/>
  <c r="AM157" i="69"/>
  <c r="AL157" i="69"/>
  <c r="AK157" i="69"/>
  <c r="AJ157" i="69"/>
  <c r="AI157" i="69"/>
  <c r="AH157" i="69"/>
  <c r="AG157" i="69"/>
  <c r="AE157" i="69"/>
  <c r="AD157" i="69"/>
  <c r="AC157" i="69"/>
  <c r="AB157" i="69"/>
  <c r="AA157" i="69"/>
  <c r="Z157" i="69"/>
  <c r="Y157" i="69"/>
  <c r="X157" i="69"/>
  <c r="W157" i="69"/>
  <c r="V157" i="69"/>
  <c r="U157" i="69"/>
  <c r="T157" i="69"/>
  <c r="R157" i="69"/>
  <c r="Q157" i="69"/>
  <c r="P157" i="69"/>
  <c r="O157" i="69"/>
  <c r="N157" i="69"/>
  <c r="M157" i="69"/>
  <c r="L157" i="69"/>
  <c r="K157" i="69"/>
  <c r="J157" i="69"/>
  <c r="I157" i="69"/>
  <c r="H157" i="69"/>
  <c r="G157" i="69"/>
  <c r="F157" i="69"/>
  <c r="DF156" i="69"/>
  <c r="CS156" i="69"/>
  <c r="CF156" i="69"/>
  <c r="BS156" i="69"/>
  <c r="BF156" i="69"/>
  <c r="AS156" i="69"/>
  <c r="AF156" i="69"/>
  <c r="S156" i="69"/>
  <c r="DF155" i="69"/>
  <c r="CS155" i="69"/>
  <c r="CF155" i="69"/>
  <c r="BS155" i="69"/>
  <c r="BF155" i="69"/>
  <c r="AS155" i="69"/>
  <c r="AF155" i="69"/>
  <c r="S155" i="69"/>
  <c r="DH155" i="69" s="1"/>
  <c r="E155" i="69"/>
  <c r="DI155" i="69" s="1"/>
  <c r="DJ155" i="69" s="1"/>
  <c r="DG154" i="69"/>
  <c r="DE154" i="69"/>
  <c r="DD154" i="69"/>
  <c r="DC154" i="69"/>
  <c r="DB154" i="69"/>
  <c r="DA154" i="69"/>
  <c r="CZ154" i="69"/>
  <c r="CY154" i="69"/>
  <c r="CX154" i="69"/>
  <c r="CW154" i="69"/>
  <c r="CV154" i="69"/>
  <c r="CU154" i="69"/>
  <c r="CT154" i="69"/>
  <c r="CR154" i="69"/>
  <c r="CQ154" i="69"/>
  <c r="CP154" i="69"/>
  <c r="CO154" i="69"/>
  <c r="CN154" i="69"/>
  <c r="CM154" i="69"/>
  <c r="CL154" i="69"/>
  <c r="CK154" i="69"/>
  <c r="CJ154" i="69"/>
  <c r="CI154" i="69"/>
  <c r="CH154" i="69"/>
  <c r="CG154" i="69"/>
  <c r="CE154" i="69"/>
  <c r="CD154" i="69"/>
  <c r="CC154" i="69"/>
  <c r="CB154" i="69"/>
  <c r="CA154" i="69"/>
  <c r="BZ154" i="69"/>
  <c r="BY154" i="69"/>
  <c r="BX154" i="69"/>
  <c r="BW154" i="69"/>
  <c r="BV154" i="69"/>
  <c r="BU154" i="69"/>
  <c r="BT154" i="69"/>
  <c r="BR154" i="69"/>
  <c r="BQ154" i="69"/>
  <c r="BP154" i="69"/>
  <c r="BO154" i="69"/>
  <c r="BN154" i="69"/>
  <c r="BM154" i="69"/>
  <c r="BL154" i="69"/>
  <c r="BK154" i="69"/>
  <c r="BJ154" i="69"/>
  <c r="BI154" i="69"/>
  <c r="BH154" i="69"/>
  <c r="BG154" i="69"/>
  <c r="BE154" i="69"/>
  <c r="BD154" i="69"/>
  <c r="BC154" i="69"/>
  <c r="BB154" i="69"/>
  <c r="BA154" i="69"/>
  <c r="AZ154" i="69"/>
  <c r="AY154" i="69"/>
  <c r="AX154" i="69"/>
  <c r="AW154" i="69"/>
  <c r="AV154" i="69"/>
  <c r="AU154" i="69"/>
  <c r="AT154" i="69"/>
  <c r="AR154" i="69"/>
  <c r="AQ154" i="69"/>
  <c r="AP154" i="69"/>
  <c r="AO154" i="69"/>
  <c r="AN154" i="69"/>
  <c r="AM154" i="69"/>
  <c r="AL154" i="69"/>
  <c r="AK154" i="69"/>
  <c r="AJ154" i="69"/>
  <c r="AI154" i="69"/>
  <c r="AH154" i="69"/>
  <c r="AG154" i="69"/>
  <c r="AE154" i="69"/>
  <c r="AD154" i="69"/>
  <c r="AC154" i="69"/>
  <c r="AB154" i="69"/>
  <c r="AA154" i="69"/>
  <c r="Z154" i="69"/>
  <c r="Y154" i="69"/>
  <c r="X154" i="69"/>
  <c r="W154" i="69"/>
  <c r="V154" i="69"/>
  <c r="U154" i="69"/>
  <c r="T154" i="69"/>
  <c r="R154" i="69"/>
  <c r="Q154" i="69"/>
  <c r="P154" i="69"/>
  <c r="O154" i="69"/>
  <c r="N154" i="69"/>
  <c r="M154" i="69"/>
  <c r="L154" i="69"/>
  <c r="K154" i="69"/>
  <c r="J154" i="69"/>
  <c r="I154" i="69"/>
  <c r="H154" i="69"/>
  <c r="G154" i="69"/>
  <c r="F154" i="69"/>
  <c r="DF153" i="69"/>
  <c r="CS153" i="69"/>
  <c r="CF153" i="69"/>
  <c r="BS153" i="69"/>
  <c r="BF153" i="69"/>
  <c r="AS153" i="69"/>
  <c r="AF153" i="69"/>
  <c r="S153" i="69"/>
  <c r="DF152" i="69"/>
  <c r="CS152" i="69"/>
  <c r="CF152" i="69"/>
  <c r="BS152" i="69"/>
  <c r="BF152" i="69"/>
  <c r="AS152" i="69"/>
  <c r="AF152" i="69"/>
  <c r="S152" i="69"/>
  <c r="DG151" i="69"/>
  <c r="DE151" i="69"/>
  <c r="DD151" i="69"/>
  <c r="DC151" i="69"/>
  <c r="DB151" i="69"/>
  <c r="DA151" i="69"/>
  <c r="CZ151" i="69"/>
  <c r="CY151" i="69"/>
  <c r="CX151" i="69"/>
  <c r="CW151" i="69"/>
  <c r="CV151" i="69"/>
  <c r="CU151" i="69"/>
  <c r="CT151" i="69"/>
  <c r="DF151" i="69" s="1"/>
  <c r="CS151" i="69"/>
  <c r="CR151" i="69"/>
  <c r="CQ151" i="69"/>
  <c r="CP151" i="69"/>
  <c r="CO151" i="69"/>
  <c r="CN151" i="69"/>
  <c r="CM151" i="69"/>
  <c r="CL151" i="69"/>
  <c r="CK151" i="69"/>
  <c r="CJ151" i="69"/>
  <c r="CI151" i="69"/>
  <c r="CH151" i="69"/>
  <c r="CG151" i="69"/>
  <c r="CE151" i="69"/>
  <c r="CD151" i="69"/>
  <c r="CC151" i="69"/>
  <c r="CB151" i="69"/>
  <c r="CA151" i="69"/>
  <c r="BZ151" i="69"/>
  <c r="BY151" i="69"/>
  <c r="BX151" i="69"/>
  <c r="BW151" i="69"/>
  <c r="BV151" i="69"/>
  <c r="BU151" i="69"/>
  <c r="BT151" i="69"/>
  <c r="BR151" i="69"/>
  <c r="BQ151" i="69"/>
  <c r="BP151" i="69"/>
  <c r="BO151" i="69"/>
  <c r="BN151" i="69"/>
  <c r="BM151" i="69"/>
  <c r="BL151" i="69"/>
  <c r="BK151" i="69"/>
  <c r="BJ151" i="69"/>
  <c r="BI151" i="69"/>
  <c r="BH151" i="69"/>
  <c r="BG151" i="69"/>
  <c r="BE151" i="69"/>
  <c r="BD151" i="69"/>
  <c r="BC151" i="69"/>
  <c r="BB151" i="69"/>
  <c r="BA151" i="69"/>
  <c r="AZ151" i="69"/>
  <c r="AY151" i="69"/>
  <c r="AX151" i="69"/>
  <c r="AW151" i="69"/>
  <c r="AV151" i="69"/>
  <c r="AU151" i="69"/>
  <c r="AT151" i="69"/>
  <c r="AR151" i="69"/>
  <c r="AQ151" i="69"/>
  <c r="AP151" i="69"/>
  <c r="AO151" i="69"/>
  <c r="AN151" i="69"/>
  <c r="AM151" i="69"/>
  <c r="AL151" i="69"/>
  <c r="AK151" i="69"/>
  <c r="AJ151" i="69"/>
  <c r="AI151" i="69"/>
  <c r="AH151" i="69"/>
  <c r="AG151" i="69"/>
  <c r="AE151" i="69"/>
  <c r="AD151" i="69"/>
  <c r="AC151" i="69"/>
  <c r="AF151" i="69" s="1"/>
  <c r="AB151" i="69"/>
  <c r="AA151" i="69"/>
  <c r="Z151" i="69"/>
  <c r="Y151" i="69"/>
  <c r="X151" i="69"/>
  <c r="W151" i="69"/>
  <c r="V151" i="69"/>
  <c r="U151" i="69"/>
  <c r="T151" i="69"/>
  <c r="R151" i="69"/>
  <c r="Q151" i="69"/>
  <c r="P151" i="69"/>
  <c r="O151" i="69"/>
  <c r="N151" i="69"/>
  <c r="M151" i="69"/>
  <c r="L151" i="69"/>
  <c r="K151" i="69"/>
  <c r="J151" i="69"/>
  <c r="I151" i="69"/>
  <c r="H151" i="69"/>
  <c r="G151" i="69"/>
  <c r="F151" i="69"/>
  <c r="DF150" i="69"/>
  <c r="CS150" i="69"/>
  <c r="CF150" i="69"/>
  <c r="BS150" i="69"/>
  <c r="BF150" i="69"/>
  <c r="AS150" i="69"/>
  <c r="AF150" i="69"/>
  <c r="S150" i="69"/>
  <c r="DH150" i="69" s="1"/>
  <c r="DK150" i="69" s="1"/>
  <c r="DF149" i="69"/>
  <c r="CS149" i="69"/>
  <c r="E149" i="69" s="1"/>
  <c r="CF149" i="69"/>
  <c r="BS149" i="69"/>
  <c r="BF149" i="69"/>
  <c r="AS149" i="69"/>
  <c r="AF149" i="69"/>
  <c r="S149" i="69"/>
  <c r="DH149" i="69" s="1"/>
  <c r="DG148" i="69"/>
  <c r="DE148" i="69"/>
  <c r="DD148" i="69"/>
  <c r="DC148" i="69"/>
  <c r="DB148" i="69"/>
  <c r="DA148" i="69"/>
  <c r="CZ148" i="69"/>
  <c r="CY148" i="69"/>
  <c r="CX148" i="69"/>
  <c r="CW148" i="69"/>
  <c r="CV148" i="69"/>
  <c r="CU148" i="69"/>
  <c r="CT148" i="69"/>
  <c r="CR148" i="69"/>
  <c r="CQ148" i="69"/>
  <c r="CP148" i="69"/>
  <c r="CO148" i="69"/>
  <c r="CN148" i="69"/>
  <c r="CM148" i="69"/>
  <c r="CL148" i="69"/>
  <c r="CK148" i="69"/>
  <c r="CJ148" i="69"/>
  <c r="CI148" i="69"/>
  <c r="CH148" i="69"/>
  <c r="CG148" i="69"/>
  <c r="CE148" i="69"/>
  <c r="CD148" i="69"/>
  <c r="CC148" i="69"/>
  <c r="CB148" i="69"/>
  <c r="CA148" i="69"/>
  <c r="BZ148" i="69"/>
  <c r="BY148" i="69"/>
  <c r="BX148" i="69"/>
  <c r="BW148" i="69"/>
  <c r="BV148" i="69"/>
  <c r="BU148" i="69"/>
  <c r="BT148" i="69"/>
  <c r="CF148" i="69" s="1"/>
  <c r="BR148" i="69"/>
  <c r="BQ148" i="69"/>
  <c r="BP148" i="69"/>
  <c r="BO148" i="69"/>
  <c r="BN148" i="69"/>
  <c r="BM148" i="69"/>
  <c r="BL148" i="69"/>
  <c r="BK148" i="69"/>
  <c r="BJ148" i="69"/>
  <c r="BI148" i="69"/>
  <c r="BH148" i="69"/>
  <c r="BG148" i="69"/>
  <c r="BE148" i="69"/>
  <c r="BD148" i="69"/>
  <c r="BC148" i="69"/>
  <c r="BB148" i="69"/>
  <c r="BA148" i="69"/>
  <c r="AZ148" i="69"/>
  <c r="AY148" i="69"/>
  <c r="AX148" i="69"/>
  <c r="AW148" i="69"/>
  <c r="AV148" i="69"/>
  <c r="AU148" i="69"/>
  <c r="AT148" i="69"/>
  <c r="AR148" i="69"/>
  <c r="AQ148" i="69"/>
  <c r="AP148" i="69"/>
  <c r="AO148" i="69"/>
  <c r="AN148" i="69"/>
  <c r="AM148" i="69"/>
  <c r="AL148" i="69"/>
  <c r="AK148" i="69"/>
  <c r="AJ148" i="69"/>
  <c r="AI148" i="69"/>
  <c r="AH148" i="69"/>
  <c r="AG148" i="69"/>
  <c r="AE148" i="69"/>
  <c r="AD148" i="69"/>
  <c r="AC148" i="69"/>
  <c r="AB148" i="69"/>
  <c r="AA148" i="69"/>
  <c r="Z148" i="69"/>
  <c r="Y148" i="69"/>
  <c r="X148" i="69"/>
  <c r="W148" i="69"/>
  <c r="V148" i="69"/>
  <c r="U148" i="69"/>
  <c r="T148" i="69"/>
  <c r="R148" i="69"/>
  <c r="Q148" i="69"/>
  <c r="P148" i="69"/>
  <c r="O148" i="69"/>
  <c r="N148" i="69"/>
  <c r="M148" i="69"/>
  <c r="L148" i="69"/>
  <c r="K148" i="69"/>
  <c r="J148" i="69"/>
  <c r="I148" i="69"/>
  <c r="H148" i="69"/>
  <c r="G148" i="69"/>
  <c r="F148" i="69"/>
  <c r="DF147" i="69"/>
  <c r="CS147" i="69"/>
  <c r="CF147" i="69"/>
  <c r="BS147" i="69"/>
  <c r="BF147" i="69"/>
  <c r="AS147" i="69"/>
  <c r="DH147" i="69" s="1"/>
  <c r="DK147" i="69" s="1"/>
  <c r="AF147" i="69"/>
  <c r="S147" i="69"/>
  <c r="DF146" i="69"/>
  <c r="CS146" i="69"/>
  <c r="CF146" i="69"/>
  <c r="BS146" i="69"/>
  <c r="BF146" i="69"/>
  <c r="AS146" i="69"/>
  <c r="AF146" i="69"/>
  <c r="S146" i="69"/>
  <c r="DH146" i="69" s="1"/>
  <c r="DI145" i="69"/>
  <c r="DG145" i="69"/>
  <c r="DE145" i="69"/>
  <c r="DD145" i="69"/>
  <c r="DC145" i="69"/>
  <c r="DB145" i="69"/>
  <c r="DA145" i="69"/>
  <c r="CZ145" i="69"/>
  <c r="CY145" i="69"/>
  <c r="CX145" i="69"/>
  <c r="CW145" i="69"/>
  <c r="CV145" i="69"/>
  <c r="CU145" i="69"/>
  <c r="CT145" i="69"/>
  <c r="CR145" i="69"/>
  <c r="CQ145" i="69"/>
  <c r="CP145" i="69"/>
  <c r="CO145" i="69"/>
  <c r="CN145" i="69"/>
  <c r="CM145" i="69"/>
  <c r="CL145" i="69"/>
  <c r="CK145" i="69"/>
  <c r="CJ145" i="69"/>
  <c r="CI145" i="69"/>
  <c r="CH145" i="69"/>
  <c r="CG145" i="69"/>
  <c r="CE145" i="69"/>
  <c r="CD145" i="69"/>
  <c r="CC145" i="69"/>
  <c r="CB145" i="69"/>
  <c r="CA145" i="69"/>
  <c r="BZ145" i="69"/>
  <c r="BY145" i="69"/>
  <c r="BX145" i="69"/>
  <c r="BW145" i="69"/>
  <c r="BV145" i="69"/>
  <c r="BU145" i="69"/>
  <c r="BT145" i="69"/>
  <c r="BR145" i="69"/>
  <c r="BQ145" i="69"/>
  <c r="BP145" i="69"/>
  <c r="BO145" i="69"/>
  <c r="BN145" i="69"/>
  <c r="BM145" i="69"/>
  <c r="BL145" i="69"/>
  <c r="BK145" i="69"/>
  <c r="BJ145" i="69"/>
  <c r="BI145" i="69"/>
  <c r="BH145" i="69"/>
  <c r="BG145" i="69"/>
  <c r="BE145" i="69"/>
  <c r="BD145" i="69"/>
  <c r="BC145" i="69"/>
  <c r="BB145" i="69"/>
  <c r="BA145" i="69"/>
  <c r="AZ145" i="69"/>
  <c r="AY145" i="69"/>
  <c r="AX145" i="69"/>
  <c r="AW145" i="69"/>
  <c r="AV145" i="69"/>
  <c r="AU145" i="69"/>
  <c r="AT145" i="69"/>
  <c r="AR145" i="69"/>
  <c r="AQ145" i="69"/>
  <c r="AP145" i="69"/>
  <c r="AO145" i="69"/>
  <c r="AN145" i="69"/>
  <c r="AM145" i="69"/>
  <c r="AL145" i="69"/>
  <c r="AK145" i="69"/>
  <c r="AJ145" i="69"/>
  <c r="AI145" i="69"/>
  <c r="AH145" i="69"/>
  <c r="AG145" i="69"/>
  <c r="AE145" i="69"/>
  <c r="AD145" i="69"/>
  <c r="AC145" i="69"/>
  <c r="AB145" i="69"/>
  <c r="AA145" i="69"/>
  <c r="Z145" i="69"/>
  <c r="Y145" i="69"/>
  <c r="X145" i="69"/>
  <c r="W145" i="69"/>
  <c r="V145" i="69"/>
  <c r="U145" i="69"/>
  <c r="T145" i="69"/>
  <c r="R145" i="69"/>
  <c r="Q145" i="69"/>
  <c r="P145" i="69"/>
  <c r="O145" i="69"/>
  <c r="N145" i="69"/>
  <c r="M145" i="69"/>
  <c r="L145" i="69"/>
  <c r="K145" i="69"/>
  <c r="J145" i="69"/>
  <c r="I145" i="69"/>
  <c r="H145" i="69"/>
  <c r="G145" i="69"/>
  <c r="F145" i="69"/>
  <c r="DH144" i="69"/>
  <c r="DF144" i="69"/>
  <c r="CS144" i="69"/>
  <c r="CF144" i="69"/>
  <c r="BS144" i="69"/>
  <c r="BF144" i="69"/>
  <c r="AS144" i="69"/>
  <c r="S144" i="69"/>
  <c r="DF143" i="69"/>
  <c r="CS143" i="69"/>
  <c r="CF143" i="69"/>
  <c r="BS143" i="69"/>
  <c r="BF143" i="69"/>
  <c r="AS143" i="69"/>
  <c r="S143" i="69"/>
  <c r="DI142" i="69"/>
  <c r="DG142" i="69"/>
  <c r="DE142" i="69"/>
  <c r="DD142" i="69"/>
  <c r="DC142" i="69"/>
  <c r="DB142" i="69"/>
  <c r="DA142" i="69"/>
  <c r="CZ142" i="69"/>
  <c r="CY142" i="69"/>
  <c r="CX142" i="69"/>
  <c r="CW142" i="69"/>
  <c r="CV142" i="69"/>
  <c r="CU142" i="69"/>
  <c r="CT142" i="69"/>
  <c r="CR142" i="69"/>
  <c r="CQ142" i="69"/>
  <c r="CP142" i="69"/>
  <c r="CO142" i="69"/>
  <c r="CN142" i="69"/>
  <c r="CM142" i="69"/>
  <c r="CL142" i="69"/>
  <c r="CK142" i="69"/>
  <c r="CJ142" i="69"/>
  <c r="CI142" i="69"/>
  <c r="CH142" i="69"/>
  <c r="CG142" i="69"/>
  <c r="CE142" i="69"/>
  <c r="CD142" i="69"/>
  <c r="CC142" i="69"/>
  <c r="CB142" i="69"/>
  <c r="CA142" i="69"/>
  <c r="BZ142" i="69"/>
  <c r="BY142" i="69"/>
  <c r="BX142" i="69"/>
  <c r="BW142" i="69"/>
  <c r="BV142" i="69"/>
  <c r="BU142" i="69"/>
  <c r="BT142" i="69"/>
  <c r="BR142" i="69"/>
  <c r="BQ142" i="69"/>
  <c r="BP142" i="69"/>
  <c r="BO142" i="69"/>
  <c r="BN142" i="69"/>
  <c r="BM142" i="69"/>
  <c r="BL142" i="69"/>
  <c r="BK142" i="69"/>
  <c r="BJ142" i="69"/>
  <c r="BI142" i="69"/>
  <c r="BH142" i="69"/>
  <c r="BG142" i="69"/>
  <c r="BF142" i="69"/>
  <c r="BE142" i="69"/>
  <c r="BD142" i="69"/>
  <c r="BC142" i="69"/>
  <c r="BB142" i="69"/>
  <c r="BA142" i="69"/>
  <c r="AZ142" i="69"/>
  <c r="AY142" i="69"/>
  <c r="AX142" i="69"/>
  <c r="AW142" i="69"/>
  <c r="AV142" i="69"/>
  <c r="AU142" i="69"/>
  <c r="AT142" i="69"/>
  <c r="AR142" i="69"/>
  <c r="AQ142" i="69"/>
  <c r="AP142" i="69"/>
  <c r="AO142" i="69"/>
  <c r="AN142" i="69"/>
  <c r="AM142" i="69"/>
  <c r="AL142" i="69"/>
  <c r="AK142" i="69"/>
  <c r="AJ142" i="69"/>
  <c r="AI142" i="69"/>
  <c r="AH142" i="69"/>
  <c r="AG142" i="69"/>
  <c r="AE142" i="69"/>
  <c r="AD142" i="69"/>
  <c r="AC142" i="69"/>
  <c r="AB142" i="69"/>
  <c r="AA142" i="69"/>
  <c r="Z142" i="69"/>
  <c r="Y142" i="69"/>
  <c r="X142" i="69"/>
  <c r="W142" i="69"/>
  <c r="V142" i="69"/>
  <c r="U142" i="69"/>
  <c r="T142" i="69"/>
  <c r="R142" i="69"/>
  <c r="Q142" i="69"/>
  <c r="P142" i="69"/>
  <c r="O142" i="69"/>
  <c r="N142" i="69"/>
  <c r="M142" i="69"/>
  <c r="L142" i="69"/>
  <c r="K142" i="69"/>
  <c r="J142" i="69"/>
  <c r="I142" i="69"/>
  <c r="H142" i="69"/>
  <c r="G142" i="69"/>
  <c r="S142" i="69" s="1"/>
  <c r="F142" i="69"/>
  <c r="DF141" i="69"/>
  <c r="CS141" i="69"/>
  <c r="CF141" i="69"/>
  <c r="BS141" i="69"/>
  <c r="BF141" i="69"/>
  <c r="AS141" i="69"/>
  <c r="S141" i="69"/>
  <c r="DF140" i="69"/>
  <c r="CS140" i="69"/>
  <c r="CF140" i="69"/>
  <c r="BS140" i="69"/>
  <c r="BF140" i="69"/>
  <c r="AS140" i="69"/>
  <c r="S140" i="69"/>
  <c r="DH140" i="69" s="1"/>
  <c r="DI139" i="69"/>
  <c r="DG139" i="69"/>
  <c r="DE139" i="69"/>
  <c r="DD139" i="69"/>
  <c r="DC139" i="69"/>
  <c r="DB139" i="69"/>
  <c r="DA139" i="69"/>
  <c r="CZ139" i="69"/>
  <c r="CY139" i="69"/>
  <c r="CX139" i="69"/>
  <c r="CW139" i="69"/>
  <c r="CV139" i="69"/>
  <c r="CU139" i="69"/>
  <c r="CT139" i="69"/>
  <c r="CR139" i="69"/>
  <c r="CQ139" i="69"/>
  <c r="CP139" i="69"/>
  <c r="CO139" i="69"/>
  <c r="CN139" i="69"/>
  <c r="CM139" i="69"/>
  <c r="CL139" i="69"/>
  <c r="CK139" i="69"/>
  <c r="CJ139" i="69"/>
  <c r="CI139" i="69"/>
  <c r="CH139" i="69"/>
  <c r="CG139" i="69"/>
  <c r="CE139" i="69"/>
  <c r="CD139" i="69"/>
  <c r="CC139" i="69"/>
  <c r="CB139" i="69"/>
  <c r="CA139" i="69"/>
  <c r="BZ139" i="69"/>
  <c r="BY139" i="69"/>
  <c r="BX139" i="69"/>
  <c r="BW139" i="69"/>
  <c r="BV139" i="69"/>
  <c r="BU139" i="69"/>
  <c r="BT139" i="69"/>
  <c r="BR139" i="69"/>
  <c r="BQ139" i="69"/>
  <c r="BP139" i="69"/>
  <c r="BO139" i="69"/>
  <c r="BN139" i="69"/>
  <c r="BM139" i="69"/>
  <c r="BL139" i="69"/>
  <c r="BK139" i="69"/>
  <c r="BJ139" i="69"/>
  <c r="BI139" i="69"/>
  <c r="BH139" i="69"/>
  <c r="BG139" i="69"/>
  <c r="BE139" i="69"/>
  <c r="BD139" i="69"/>
  <c r="BC139" i="69"/>
  <c r="BB139" i="69"/>
  <c r="BA139" i="69"/>
  <c r="AZ139" i="69"/>
  <c r="AY139" i="69"/>
  <c r="AX139" i="69"/>
  <c r="AW139" i="69"/>
  <c r="AV139" i="69"/>
  <c r="AU139" i="69"/>
  <c r="AT139" i="69"/>
  <c r="BF139" i="69" s="1"/>
  <c r="AR139" i="69"/>
  <c r="AQ139" i="69"/>
  <c r="AP139" i="69"/>
  <c r="AO139" i="69"/>
  <c r="AN139" i="69"/>
  <c r="AM139" i="69"/>
  <c r="AL139" i="69"/>
  <c r="AK139" i="69"/>
  <c r="AJ139" i="69"/>
  <c r="AI139" i="69"/>
  <c r="AH139" i="69"/>
  <c r="AG139" i="69"/>
  <c r="AE139" i="69"/>
  <c r="AD139" i="69"/>
  <c r="AC139" i="69"/>
  <c r="AB139" i="69"/>
  <c r="AA139" i="69"/>
  <c r="Z139" i="69"/>
  <c r="Y139" i="69"/>
  <c r="X139" i="69"/>
  <c r="W139" i="69"/>
  <c r="V139" i="69"/>
  <c r="U139" i="69"/>
  <c r="T139" i="69"/>
  <c r="R139" i="69"/>
  <c r="Q139" i="69"/>
  <c r="P139" i="69"/>
  <c r="O139" i="69"/>
  <c r="N139" i="69"/>
  <c r="M139" i="69"/>
  <c r="L139" i="69"/>
  <c r="K139" i="69"/>
  <c r="J139" i="69"/>
  <c r="I139" i="69"/>
  <c r="H139" i="69"/>
  <c r="G139" i="69"/>
  <c r="F139" i="69"/>
  <c r="DF138" i="69"/>
  <c r="CS138" i="69"/>
  <c r="CF138" i="69"/>
  <c r="BS138" i="69"/>
  <c r="BF138" i="69"/>
  <c r="AS138" i="69"/>
  <c r="AF138" i="69"/>
  <c r="S138" i="69"/>
  <c r="DF137" i="69"/>
  <c r="CS137" i="69"/>
  <c r="CF137" i="69"/>
  <c r="BS137" i="69"/>
  <c r="BF137" i="69"/>
  <c r="AS137" i="69"/>
  <c r="AF137" i="69"/>
  <c r="S137" i="69"/>
  <c r="DG136" i="69"/>
  <c r="DE136" i="69"/>
  <c r="DD136" i="69"/>
  <c r="DC136" i="69"/>
  <c r="DB136" i="69"/>
  <c r="DA136" i="69"/>
  <c r="CZ136" i="69"/>
  <c r="CY136" i="69"/>
  <c r="CX136" i="69"/>
  <c r="CW136" i="69"/>
  <c r="CV136" i="69"/>
  <c r="CU136" i="69"/>
  <c r="CT136" i="69"/>
  <c r="CR136" i="69"/>
  <c r="CQ136" i="69"/>
  <c r="CP136" i="69"/>
  <c r="CO136" i="69"/>
  <c r="CN136" i="69"/>
  <c r="CM136" i="69"/>
  <c r="CL136" i="69"/>
  <c r="CK136" i="69"/>
  <c r="CJ136" i="69"/>
  <c r="CI136" i="69"/>
  <c r="CH136" i="69"/>
  <c r="CG136" i="69"/>
  <c r="CE136" i="69"/>
  <c r="CD136" i="69"/>
  <c r="CC136" i="69"/>
  <c r="CB136" i="69"/>
  <c r="CA136" i="69"/>
  <c r="BZ136" i="69"/>
  <c r="BY136" i="69"/>
  <c r="BX136" i="69"/>
  <c r="BW136" i="69"/>
  <c r="BV136" i="69"/>
  <c r="BU136" i="69"/>
  <c r="BT136" i="69"/>
  <c r="BR136" i="69"/>
  <c r="BQ136" i="69"/>
  <c r="BP136" i="69"/>
  <c r="BO136" i="69"/>
  <c r="BN136" i="69"/>
  <c r="BM136" i="69"/>
  <c r="BL136" i="69"/>
  <c r="BK136" i="69"/>
  <c r="BJ136" i="69"/>
  <c r="BI136" i="69"/>
  <c r="BH136" i="69"/>
  <c r="BG136" i="69"/>
  <c r="BE136" i="69"/>
  <c r="BD136" i="69"/>
  <c r="BC136" i="69"/>
  <c r="BB136" i="69"/>
  <c r="BA136" i="69"/>
  <c r="AZ136" i="69"/>
  <c r="AY136" i="69"/>
  <c r="AX136" i="69"/>
  <c r="AW136" i="69"/>
  <c r="AV136" i="69"/>
  <c r="AU136" i="69"/>
  <c r="AT136" i="69"/>
  <c r="AR136" i="69"/>
  <c r="AQ136" i="69"/>
  <c r="AP136" i="69"/>
  <c r="AO136" i="69"/>
  <c r="AN136" i="69"/>
  <c r="AM136" i="69"/>
  <c r="AL136" i="69"/>
  <c r="AK136" i="69"/>
  <c r="AJ136" i="69"/>
  <c r="AI136" i="69"/>
  <c r="AH136" i="69"/>
  <c r="AG136" i="69"/>
  <c r="AE136" i="69"/>
  <c r="AD136" i="69"/>
  <c r="AC136" i="69"/>
  <c r="AB136" i="69"/>
  <c r="AA136" i="69"/>
  <c r="Z136" i="69"/>
  <c r="Y136" i="69"/>
  <c r="X136" i="69"/>
  <c r="W136" i="69"/>
  <c r="V136" i="69"/>
  <c r="U136" i="69"/>
  <c r="T136" i="69"/>
  <c r="R136" i="69"/>
  <c r="Q136" i="69"/>
  <c r="P136" i="69"/>
  <c r="O136" i="69"/>
  <c r="N136" i="69"/>
  <c r="M136" i="69"/>
  <c r="L136" i="69"/>
  <c r="K136" i="69"/>
  <c r="J136" i="69"/>
  <c r="I136" i="69"/>
  <c r="H136" i="69"/>
  <c r="G136" i="69"/>
  <c r="F136" i="69"/>
  <c r="DF135" i="69"/>
  <c r="CS135" i="69"/>
  <c r="CF135" i="69"/>
  <c r="BS135" i="69"/>
  <c r="BF135" i="69"/>
  <c r="AS135" i="69"/>
  <c r="AF135" i="69"/>
  <c r="DH135" i="69" s="1"/>
  <c r="E135" i="69"/>
  <c r="DI135" i="69" s="1"/>
  <c r="DJ135" i="69" s="1"/>
  <c r="DH134" i="69"/>
  <c r="DF134" i="69"/>
  <c r="E134" i="69" s="1"/>
  <c r="CS134" i="69"/>
  <c r="CF134" i="69"/>
  <c r="BS134" i="69"/>
  <c r="BF134" i="69"/>
  <c r="AS134" i="69"/>
  <c r="AF134" i="69"/>
  <c r="DG133" i="69"/>
  <c r="DE133" i="69"/>
  <c r="DD133" i="69"/>
  <c r="DC133" i="69"/>
  <c r="DB133" i="69"/>
  <c r="DA133" i="69"/>
  <c r="CZ133" i="69"/>
  <c r="CY133" i="69"/>
  <c r="CX133" i="69"/>
  <c r="CW133" i="69"/>
  <c r="CV133" i="69"/>
  <c r="CU133" i="69"/>
  <c r="CT133" i="69"/>
  <c r="CR133" i="69"/>
  <c r="CQ133" i="69"/>
  <c r="CP133" i="69"/>
  <c r="CO133" i="69"/>
  <c r="CN133" i="69"/>
  <c r="CM133" i="69"/>
  <c r="CL133" i="69"/>
  <c r="CK133" i="69"/>
  <c r="CJ133" i="69"/>
  <c r="CI133" i="69"/>
  <c r="CH133" i="69"/>
  <c r="CG133" i="69"/>
  <c r="CE133" i="69"/>
  <c r="CD133" i="69"/>
  <c r="CC133" i="69"/>
  <c r="CB133" i="69"/>
  <c r="CA133" i="69"/>
  <c r="BZ133" i="69"/>
  <c r="BY133" i="69"/>
  <c r="BX133" i="69"/>
  <c r="BW133" i="69"/>
  <c r="BV133" i="69"/>
  <c r="BU133" i="69"/>
  <c r="BT133" i="69"/>
  <c r="BR133" i="69"/>
  <c r="BQ133" i="69"/>
  <c r="BP133" i="69"/>
  <c r="BO133" i="69"/>
  <c r="BN133" i="69"/>
  <c r="BM133" i="69"/>
  <c r="BL133" i="69"/>
  <c r="BK133" i="69"/>
  <c r="BJ133" i="69"/>
  <c r="BI133" i="69"/>
  <c r="BH133" i="69"/>
  <c r="BG133" i="69"/>
  <c r="BE133" i="69"/>
  <c r="BD133" i="69"/>
  <c r="BC133" i="69"/>
  <c r="BB133" i="69"/>
  <c r="BA133" i="69"/>
  <c r="AZ133" i="69"/>
  <c r="AY133" i="69"/>
  <c r="AX133" i="69"/>
  <c r="AW133" i="69"/>
  <c r="AV133" i="69"/>
  <c r="AU133" i="69"/>
  <c r="AT133" i="69"/>
  <c r="AR133" i="69"/>
  <c r="AQ133" i="69"/>
  <c r="AP133" i="69"/>
  <c r="AO133" i="69"/>
  <c r="AN133" i="69"/>
  <c r="AM133" i="69"/>
  <c r="AL133" i="69"/>
  <c r="AK133" i="69"/>
  <c r="AJ133" i="69"/>
  <c r="AI133" i="69"/>
  <c r="AH133" i="69"/>
  <c r="AG133" i="69"/>
  <c r="AS133" i="69" s="1"/>
  <c r="AE133" i="69"/>
  <c r="AD133" i="69"/>
  <c r="AC133" i="69"/>
  <c r="AB133" i="69"/>
  <c r="AA133" i="69"/>
  <c r="Z133" i="69"/>
  <c r="Y133" i="69"/>
  <c r="X133" i="69"/>
  <c r="W133" i="69"/>
  <c r="V133" i="69"/>
  <c r="U133" i="69"/>
  <c r="T133" i="69"/>
  <c r="R133" i="69"/>
  <c r="Q133" i="69"/>
  <c r="P133" i="69"/>
  <c r="O133" i="69"/>
  <c r="N133" i="69"/>
  <c r="M133" i="69"/>
  <c r="L133" i="69"/>
  <c r="K133" i="69"/>
  <c r="J133" i="69"/>
  <c r="I133" i="69"/>
  <c r="H133" i="69"/>
  <c r="G133" i="69"/>
  <c r="F133" i="69"/>
  <c r="DF132" i="69"/>
  <c r="CS132" i="69"/>
  <c r="CF132" i="69"/>
  <c r="BS132" i="69"/>
  <c r="BF132" i="69"/>
  <c r="AS132" i="69"/>
  <c r="AF132" i="69"/>
  <c r="E132" i="69" s="1"/>
  <c r="DI132" i="69" s="1"/>
  <c r="DF131" i="69"/>
  <c r="CS131" i="69"/>
  <c r="CF131" i="69"/>
  <c r="BS131" i="69"/>
  <c r="BF131" i="69"/>
  <c r="AS131" i="69"/>
  <c r="AF131" i="69"/>
  <c r="DG130" i="69"/>
  <c r="DE130" i="69"/>
  <c r="DD130" i="69"/>
  <c r="DC130" i="69"/>
  <c r="DB130" i="69"/>
  <c r="DA130" i="69"/>
  <c r="CZ130" i="69"/>
  <c r="CY130" i="69"/>
  <c r="CX130" i="69"/>
  <c r="CW130" i="69"/>
  <c r="CV130" i="69"/>
  <c r="CU130" i="69"/>
  <c r="CT130" i="69"/>
  <c r="CR130" i="69"/>
  <c r="CQ130" i="69"/>
  <c r="CP130" i="69"/>
  <c r="CO130" i="69"/>
  <c r="CN130" i="69"/>
  <c r="CM130" i="69"/>
  <c r="CL130" i="69"/>
  <c r="CK130" i="69"/>
  <c r="CJ130" i="69"/>
  <c r="CI130" i="69"/>
  <c r="CH130" i="69"/>
  <c r="CG130" i="69"/>
  <c r="CE130" i="69"/>
  <c r="CD130" i="69"/>
  <c r="CC130" i="69"/>
  <c r="CB130" i="69"/>
  <c r="CA130" i="69"/>
  <c r="BZ130" i="69"/>
  <c r="BY130" i="69"/>
  <c r="BX130" i="69"/>
  <c r="BW130" i="69"/>
  <c r="BV130" i="69"/>
  <c r="BU130" i="69"/>
  <c r="BT130" i="69"/>
  <c r="BR130" i="69"/>
  <c r="BQ130" i="69"/>
  <c r="BP130" i="69"/>
  <c r="BO130" i="69"/>
  <c r="BN130" i="69"/>
  <c r="BM130" i="69"/>
  <c r="BL130" i="69"/>
  <c r="BK130" i="69"/>
  <c r="BJ130" i="69"/>
  <c r="BI130" i="69"/>
  <c r="BH130" i="69"/>
  <c r="BG130" i="69"/>
  <c r="BE130" i="69"/>
  <c r="BD130" i="69"/>
  <c r="BC130" i="69"/>
  <c r="BB130" i="69"/>
  <c r="BA130" i="69"/>
  <c r="AZ130" i="69"/>
  <c r="AY130" i="69"/>
  <c r="AX130" i="69"/>
  <c r="AW130" i="69"/>
  <c r="AV130" i="69"/>
  <c r="AU130" i="69"/>
  <c r="AT130" i="69"/>
  <c r="AR130" i="69"/>
  <c r="AQ130" i="69"/>
  <c r="AP130" i="69"/>
  <c r="AO130" i="69"/>
  <c r="AN130" i="69"/>
  <c r="AM130" i="69"/>
  <c r="AL130" i="69"/>
  <c r="AK130" i="69"/>
  <c r="AJ130" i="69"/>
  <c r="AI130" i="69"/>
  <c r="AH130" i="69"/>
  <c r="AG130" i="69"/>
  <c r="AE130" i="69"/>
  <c r="AD130" i="69"/>
  <c r="AC130" i="69"/>
  <c r="AB130" i="69"/>
  <c r="AA130" i="69"/>
  <c r="Z130" i="69"/>
  <c r="Y130" i="69"/>
  <c r="X130" i="69"/>
  <c r="W130" i="69"/>
  <c r="V130" i="69"/>
  <c r="U130" i="69"/>
  <c r="T130" i="69"/>
  <c r="R130" i="69"/>
  <c r="Q130" i="69"/>
  <c r="P130" i="69"/>
  <c r="O130" i="69"/>
  <c r="N130" i="69"/>
  <c r="M130" i="69"/>
  <c r="L130" i="69"/>
  <c r="K130" i="69"/>
  <c r="J130" i="69"/>
  <c r="I130" i="69"/>
  <c r="H130" i="69"/>
  <c r="G130" i="69"/>
  <c r="F130" i="69"/>
  <c r="DF129" i="69"/>
  <c r="CS129" i="69"/>
  <c r="CF129" i="69"/>
  <c r="BS129" i="69"/>
  <c r="BF129" i="69"/>
  <c r="AS129" i="69"/>
  <c r="AF129" i="69"/>
  <c r="S129" i="69"/>
  <c r="DF128" i="69"/>
  <c r="CS128" i="69"/>
  <c r="CF128" i="69"/>
  <c r="BS128" i="69"/>
  <c r="BF128" i="69"/>
  <c r="AS128" i="69"/>
  <c r="AF128" i="69"/>
  <c r="S128" i="69"/>
  <c r="DH128" i="69" s="1"/>
  <c r="DG127" i="69"/>
  <c r="DE127" i="69"/>
  <c r="DD127" i="69"/>
  <c r="DC127" i="69"/>
  <c r="DB127" i="69"/>
  <c r="DA127" i="69"/>
  <c r="CZ127" i="69"/>
  <c r="CY127" i="69"/>
  <c r="CX127" i="69"/>
  <c r="CW127" i="69"/>
  <c r="CV127" i="69"/>
  <c r="CU127" i="69"/>
  <c r="CT127" i="69"/>
  <c r="CR127" i="69"/>
  <c r="CQ127" i="69"/>
  <c r="CP127" i="69"/>
  <c r="CO127" i="69"/>
  <c r="CN127" i="69"/>
  <c r="CM127" i="69"/>
  <c r="CL127" i="69"/>
  <c r="CK127" i="69"/>
  <c r="CJ127" i="69"/>
  <c r="CI127" i="69"/>
  <c r="CH127" i="69"/>
  <c r="CG127" i="69"/>
  <c r="CE127" i="69"/>
  <c r="CD127" i="69"/>
  <c r="CC127" i="69"/>
  <c r="CB127" i="69"/>
  <c r="CA127" i="69"/>
  <c r="BZ127" i="69"/>
  <c r="BY127" i="69"/>
  <c r="BX127" i="69"/>
  <c r="BW127" i="69"/>
  <c r="BV127" i="69"/>
  <c r="BU127" i="69"/>
  <c r="BT127" i="69"/>
  <c r="BR127" i="69"/>
  <c r="BQ127" i="69"/>
  <c r="BP127" i="69"/>
  <c r="BO127" i="69"/>
  <c r="BN127" i="69"/>
  <c r="BM127" i="69"/>
  <c r="BL127" i="69"/>
  <c r="BK127" i="69"/>
  <c r="BJ127" i="69"/>
  <c r="BI127" i="69"/>
  <c r="BH127" i="69"/>
  <c r="BG127" i="69"/>
  <c r="BE127" i="69"/>
  <c r="BD127" i="69"/>
  <c r="BF127" i="69" s="1"/>
  <c r="BC127" i="69"/>
  <c r="BB127" i="69"/>
  <c r="BA127" i="69"/>
  <c r="AZ127" i="69"/>
  <c r="AY127" i="69"/>
  <c r="AX127" i="69"/>
  <c r="AW127" i="69"/>
  <c r="AV127" i="69"/>
  <c r="AU127" i="69"/>
  <c r="AT127" i="69"/>
  <c r="AR127" i="69"/>
  <c r="AQ127" i="69"/>
  <c r="AP127" i="69"/>
  <c r="AO127" i="69"/>
  <c r="AN127" i="69"/>
  <c r="AM127" i="69"/>
  <c r="AL127" i="69"/>
  <c r="AK127" i="69"/>
  <c r="AJ127" i="69"/>
  <c r="AI127" i="69"/>
  <c r="AH127" i="69"/>
  <c r="AG127" i="69"/>
  <c r="AE127" i="69"/>
  <c r="AD127" i="69"/>
  <c r="AC127" i="69"/>
  <c r="AB127" i="69"/>
  <c r="AA127" i="69"/>
  <c r="Z127" i="69"/>
  <c r="Y127" i="69"/>
  <c r="X127" i="69"/>
  <c r="W127" i="69"/>
  <c r="V127" i="69"/>
  <c r="U127" i="69"/>
  <c r="T127" i="69"/>
  <c r="R127" i="69"/>
  <c r="Q127" i="69"/>
  <c r="P127" i="69"/>
  <c r="O127" i="69"/>
  <c r="N127" i="69"/>
  <c r="M127" i="69"/>
  <c r="L127" i="69"/>
  <c r="K127" i="69"/>
  <c r="J127" i="69"/>
  <c r="I127" i="69"/>
  <c r="H127" i="69"/>
  <c r="G127" i="69"/>
  <c r="F127" i="69"/>
  <c r="DF126" i="69"/>
  <c r="CS126" i="69"/>
  <c r="CF126" i="69"/>
  <c r="BS126" i="69"/>
  <c r="BF126" i="69"/>
  <c r="AS126" i="69"/>
  <c r="AF126" i="69"/>
  <c r="S126" i="69"/>
  <c r="DH126" i="69" s="1"/>
  <c r="DF125" i="69"/>
  <c r="CS125" i="69"/>
  <c r="CF125" i="69"/>
  <c r="BS125" i="69"/>
  <c r="BF125" i="69"/>
  <c r="AS125" i="69"/>
  <c r="AF125" i="69"/>
  <c r="S125" i="69"/>
  <c r="DG124" i="69"/>
  <c r="DE124" i="69"/>
  <c r="DD124" i="69"/>
  <c r="DC124" i="69"/>
  <c r="DB124" i="69"/>
  <c r="DA124" i="69"/>
  <c r="CZ124" i="69"/>
  <c r="CY124" i="69"/>
  <c r="CX124" i="69"/>
  <c r="CW124" i="69"/>
  <c r="CV124" i="69"/>
  <c r="CU124" i="69"/>
  <c r="CT124" i="69"/>
  <c r="CR124" i="69"/>
  <c r="CQ124" i="69"/>
  <c r="CP124" i="69"/>
  <c r="CO124" i="69"/>
  <c r="CN124" i="69"/>
  <c r="CM124" i="69"/>
  <c r="CL124" i="69"/>
  <c r="CK124" i="69"/>
  <c r="CJ124" i="69"/>
  <c r="CI124" i="69"/>
  <c r="CH124" i="69"/>
  <c r="CG124" i="69"/>
  <c r="CE124" i="69"/>
  <c r="CD124" i="69"/>
  <c r="CC124" i="69"/>
  <c r="CB124" i="69"/>
  <c r="CA124" i="69"/>
  <c r="BZ124" i="69"/>
  <c r="BY124" i="69"/>
  <c r="BX124" i="69"/>
  <c r="BW124" i="69"/>
  <c r="BV124" i="69"/>
  <c r="BU124" i="69"/>
  <c r="BT124" i="69"/>
  <c r="BR124" i="69"/>
  <c r="BQ124" i="69"/>
  <c r="BP124" i="69"/>
  <c r="BO124" i="69"/>
  <c r="BN124" i="69"/>
  <c r="BM124" i="69"/>
  <c r="BL124" i="69"/>
  <c r="BK124" i="69"/>
  <c r="BJ124" i="69"/>
  <c r="BI124" i="69"/>
  <c r="BH124" i="69"/>
  <c r="BG124" i="69"/>
  <c r="BE124" i="69"/>
  <c r="BD124" i="69"/>
  <c r="BC124" i="69"/>
  <c r="BB124" i="69"/>
  <c r="BA124" i="69"/>
  <c r="AZ124" i="69"/>
  <c r="AY124" i="69"/>
  <c r="AX124" i="69"/>
  <c r="AW124" i="69"/>
  <c r="AV124" i="69"/>
  <c r="AU124" i="69"/>
  <c r="AT124" i="69"/>
  <c r="BF124" i="69" s="1"/>
  <c r="AR124" i="69"/>
  <c r="AQ124" i="69"/>
  <c r="AP124" i="69"/>
  <c r="AO124" i="69"/>
  <c r="AN124" i="69"/>
  <c r="AM124" i="69"/>
  <c r="AL124" i="69"/>
  <c r="AK124" i="69"/>
  <c r="AJ124" i="69"/>
  <c r="AI124" i="69"/>
  <c r="AH124" i="69"/>
  <c r="AG124" i="69"/>
  <c r="AE124" i="69"/>
  <c r="AD124" i="69"/>
  <c r="AC124" i="69"/>
  <c r="AB124" i="69"/>
  <c r="AA124" i="69"/>
  <c r="Z124" i="69"/>
  <c r="Y124" i="69"/>
  <c r="X124" i="69"/>
  <c r="W124" i="69"/>
  <c r="V124" i="69"/>
  <c r="U124" i="69"/>
  <c r="T124" i="69"/>
  <c r="R124" i="69"/>
  <c r="Q124" i="69"/>
  <c r="P124" i="69"/>
  <c r="O124" i="69"/>
  <c r="N124" i="69"/>
  <c r="M124" i="69"/>
  <c r="L124" i="69"/>
  <c r="K124" i="69"/>
  <c r="J124" i="69"/>
  <c r="I124" i="69"/>
  <c r="H124" i="69"/>
  <c r="G124" i="69"/>
  <c r="F124" i="69"/>
  <c r="DF123" i="69"/>
  <c r="CS123" i="69"/>
  <c r="CF123" i="69"/>
  <c r="BS123" i="69"/>
  <c r="BF123" i="69"/>
  <c r="AS123" i="69"/>
  <c r="AF123" i="69"/>
  <c r="S123" i="69"/>
  <c r="DH123" i="69" s="1"/>
  <c r="DF122" i="69"/>
  <c r="CS122" i="69"/>
  <c r="CF122" i="69"/>
  <c r="BS122" i="69"/>
  <c r="BF122" i="69"/>
  <c r="DH122" i="69" s="1"/>
  <c r="AS122" i="69"/>
  <c r="AF122" i="69"/>
  <c r="S122" i="69"/>
  <c r="E122" i="69"/>
  <c r="DG121" i="69"/>
  <c r="DE121" i="69"/>
  <c r="DD121" i="69"/>
  <c r="DC121" i="69"/>
  <c r="DB121" i="69"/>
  <c r="DA121" i="69"/>
  <c r="CZ121" i="69"/>
  <c r="CY121" i="69"/>
  <c r="CX121" i="69"/>
  <c r="CW121" i="69"/>
  <c r="CV121" i="69"/>
  <c r="CU121" i="69"/>
  <c r="CT121" i="69"/>
  <c r="CR121" i="69"/>
  <c r="CQ121" i="69"/>
  <c r="CP121" i="69"/>
  <c r="CO121" i="69"/>
  <c r="CN121" i="69"/>
  <c r="CM121" i="69"/>
  <c r="CL121" i="69"/>
  <c r="CK121" i="69"/>
  <c r="CJ121" i="69"/>
  <c r="CI121" i="69"/>
  <c r="CH121" i="69"/>
  <c r="CG121" i="69"/>
  <c r="CE121" i="69"/>
  <c r="CD121" i="69"/>
  <c r="CC121" i="69"/>
  <c r="CB121" i="69"/>
  <c r="CA121" i="69"/>
  <c r="BZ121" i="69"/>
  <c r="BY121" i="69"/>
  <c r="BX121" i="69"/>
  <c r="BW121" i="69"/>
  <c r="BV121" i="69"/>
  <c r="BU121" i="69"/>
  <c r="BT121" i="69"/>
  <c r="BR121" i="69"/>
  <c r="BQ121" i="69"/>
  <c r="BP121" i="69"/>
  <c r="BO121" i="69"/>
  <c r="BN121" i="69"/>
  <c r="BM121" i="69"/>
  <c r="BL121" i="69"/>
  <c r="BK121" i="69"/>
  <c r="BJ121" i="69"/>
  <c r="BI121" i="69"/>
  <c r="BH121" i="69"/>
  <c r="BG121" i="69"/>
  <c r="BE121" i="69"/>
  <c r="BD121" i="69"/>
  <c r="BC121" i="69"/>
  <c r="BB121" i="69"/>
  <c r="BA121" i="69"/>
  <c r="AZ121" i="69"/>
  <c r="AY121" i="69"/>
  <c r="AX121" i="69"/>
  <c r="AW121" i="69"/>
  <c r="AV121" i="69"/>
  <c r="AU121" i="69"/>
  <c r="AT121" i="69"/>
  <c r="AR121" i="69"/>
  <c r="AQ121" i="69"/>
  <c r="AP121" i="69"/>
  <c r="AO121" i="69"/>
  <c r="AN121" i="69"/>
  <c r="AM121" i="69"/>
  <c r="AL121" i="69"/>
  <c r="AK121" i="69"/>
  <c r="AJ121" i="69"/>
  <c r="AI121" i="69"/>
  <c r="AH121" i="69"/>
  <c r="AG121" i="69"/>
  <c r="AS121" i="69" s="1"/>
  <c r="AE121" i="69"/>
  <c r="AD121" i="69"/>
  <c r="AF121" i="69" s="1"/>
  <c r="AC121" i="69"/>
  <c r="AB121" i="69"/>
  <c r="AA121" i="69"/>
  <c r="Z121" i="69"/>
  <c r="Y121" i="69"/>
  <c r="X121" i="69"/>
  <c r="W121" i="69"/>
  <c r="V121" i="69"/>
  <c r="U121" i="69"/>
  <c r="T121" i="69"/>
  <c r="R121" i="69"/>
  <c r="Q121" i="69"/>
  <c r="P121" i="69"/>
  <c r="O121" i="69"/>
  <c r="N121" i="69"/>
  <c r="M121" i="69"/>
  <c r="L121" i="69"/>
  <c r="K121" i="69"/>
  <c r="J121" i="69"/>
  <c r="I121" i="69"/>
  <c r="H121" i="69"/>
  <c r="G121" i="69"/>
  <c r="F121" i="69"/>
  <c r="DF120" i="69"/>
  <c r="CS120" i="69"/>
  <c r="CF120" i="69"/>
  <c r="BS120" i="69"/>
  <c r="BF120" i="69"/>
  <c r="AS120" i="69"/>
  <c r="AF120" i="69"/>
  <c r="S120" i="69"/>
  <c r="DF119" i="69"/>
  <c r="CS119" i="69"/>
  <c r="CF119" i="69"/>
  <c r="BS119" i="69"/>
  <c r="BF119" i="69"/>
  <c r="AS119" i="69"/>
  <c r="AF119" i="69"/>
  <c r="S119" i="69"/>
  <c r="DG118" i="69"/>
  <c r="DE118" i="69"/>
  <c r="DD118" i="69"/>
  <c r="DC118" i="69"/>
  <c r="DB118" i="69"/>
  <c r="DA118" i="69"/>
  <c r="CZ118" i="69"/>
  <c r="CY118" i="69"/>
  <c r="CX118" i="69"/>
  <c r="CW118" i="69"/>
  <c r="CV118" i="69"/>
  <c r="CU118" i="69"/>
  <c r="CT118" i="69"/>
  <c r="CR118" i="69"/>
  <c r="CQ118" i="69"/>
  <c r="CP118" i="69"/>
  <c r="CO118" i="69"/>
  <c r="CN118" i="69"/>
  <c r="CM118" i="69"/>
  <c r="CL118" i="69"/>
  <c r="CK118" i="69"/>
  <c r="CJ118" i="69"/>
  <c r="CI118" i="69"/>
  <c r="CH118" i="69"/>
  <c r="CG118" i="69"/>
  <c r="CE118" i="69"/>
  <c r="CD118" i="69"/>
  <c r="CC118" i="69"/>
  <c r="CB118" i="69"/>
  <c r="CA118" i="69"/>
  <c r="BZ118" i="69"/>
  <c r="BY118" i="69"/>
  <c r="BX118" i="69"/>
  <c r="BW118" i="69"/>
  <c r="BV118" i="69"/>
  <c r="BU118" i="69"/>
  <c r="BT118" i="69"/>
  <c r="BR118" i="69"/>
  <c r="BQ118" i="69"/>
  <c r="BP118" i="69"/>
  <c r="BS118" i="69" s="1"/>
  <c r="BO118" i="69"/>
  <c r="BN118" i="69"/>
  <c r="BM118" i="69"/>
  <c r="BL118" i="69"/>
  <c r="BK118" i="69"/>
  <c r="BJ118" i="69"/>
  <c r="BI118" i="69"/>
  <c r="BH118" i="69"/>
  <c r="BG118" i="69"/>
  <c r="BE118" i="69"/>
  <c r="BD118" i="69"/>
  <c r="BC118" i="69"/>
  <c r="BB118" i="69"/>
  <c r="BA118" i="69"/>
  <c r="AZ118" i="69"/>
  <c r="AY118" i="69"/>
  <c r="AX118" i="69"/>
  <c r="AW118" i="69"/>
  <c r="AV118" i="69"/>
  <c r="AU118" i="69"/>
  <c r="AT118" i="69"/>
  <c r="AR118" i="69"/>
  <c r="AQ118" i="69"/>
  <c r="AP118" i="69"/>
  <c r="AO118" i="69"/>
  <c r="AN118" i="69"/>
  <c r="AM118" i="69"/>
  <c r="AL118" i="69"/>
  <c r="AK118" i="69"/>
  <c r="AJ118" i="69"/>
  <c r="AI118" i="69"/>
  <c r="AH118" i="69"/>
  <c r="AG118" i="69"/>
  <c r="AE118" i="69"/>
  <c r="AD118" i="69"/>
  <c r="AC118" i="69"/>
  <c r="AB118" i="69"/>
  <c r="AA118" i="69"/>
  <c r="Z118" i="69"/>
  <c r="Y118" i="69"/>
  <c r="X118" i="69"/>
  <c r="W118" i="69"/>
  <c r="V118" i="69"/>
  <c r="U118" i="69"/>
  <c r="T118" i="69"/>
  <c r="AF118" i="69" s="1"/>
  <c r="R118" i="69"/>
  <c r="Q118" i="69"/>
  <c r="P118" i="69"/>
  <c r="O118" i="69"/>
  <c r="N118" i="69"/>
  <c r="M118" i="69"/>
  <c r="L118" i="69"/>
  <c r="K118" i="69"/>
  <c r="J118" i="69"/>
  <c r="I118" i="69"/>
  <c r="H118" i="69"/>
  <c r="F118" i="69"/>
  <c r="DF117" i="69"/>
  <c r="CS117" i="69"/>
  <c r="CF117" i="69"/>
  <c r="BS117" i="69"/>
  <c r="BF117" i="69"/>
  <c r="AS117" i="69"/>
  <c r="AF117" i="69"/>
  <c r="G117" i="69"/>
  <c r="S117" i="69" s="1"/>
  <c r="DF116" i="69"/>
  <c r="CS116" i="69"/>
  <c r="CF116" i="69"/>
  <c r="BS116" i="69"/>
  <c r="BF116" i="69"/>
  <c r="E116" i="69" s="1"/>
  <c r="AS116" i="69"/>
  <c r="AF116" i="69"/>
  <c r="S116" i="69"/>
  <c r="DG114" i="69"/>
  <c r="DD114" i="69"/>
  <c r="DC114" i="69"/>
  <c r="W114" i="69"/>
  <c r="Q114" i="69"/>
  <c r="N114" i="69"/>
  <c r="DG113" i="69"/>
  <c r="DE113" i="69"/>
  <c r="DD113" i="69"/>
  <c r="DC113" i="69"/>
  <c r="DB113" i="69"/>
  <c r="DA113" i="69"/>
  <c r="CZ113" i="69"/>
  <c r="CZ224" i="69" s="1"/>
  <c r="CZ228" i="69" s="1"/>
  <c r="CZ5" i="69" s="1"/>
  <c r="CZ11" i="69" s="1"/>
  <c r="CY113" i="69"/>
  <c r="CX113" i="69"/>
  <c r="CW113" i="69"/>
  <c r="CV113" i="69"/>
  <c r="CU113" i="69"/>
  <c r="CU224" i="69" s="1"/>
  <c r="CU228" i="69" s="1"/>
  <c r="CU5" i="69" s="1"/>
  <c r="CU11" i="69" s="1"/>
  <c r="CT113" i="69"/>
  <c r="CR113" i="69"/>
  <c r="CR224" i="69" s="1"/>
  <c r="CR228" i="69" s="1"/>
  <c r="CR5" i="69" s="1"/>
  <c r="CQ113" i="69"/>
  <c r="CP113" i="69"/>
  <c r="CP224" i="69" s="1"/>
  <c r="CP228" i="69" s="1"/>
  <c r="CO113" i="69"/>
  <c r="CN113" i="69"/>
  <c r="CM113" i="69"/>
  <c r="CL113" i="69"/>
  <c r="CK113" i="69"/>
  <c r="CJ113" i="69"/>
  <c r="CI113" i="69"/>
  <c r="CI224" i="69" s="1"/>
  <c r="CI228" i="69" s="1"/>
  <c r="CI5" i="69" s="1"/>
  <c r="CH113" i="69"/>
  <c r="CG113" i="69"/>
  <c r="CE113" i="69"/>
  <c r="CD113" i="69"/>
  <c r="CC113" i="69"/>
  <c r="CB113" i="69"/>
  <c r="CA113" i="69"/>
  <c r="BZ113" i="69"/>
  <c r="BY113" i="69"/>
  <c r="BX113" i="69"/>
  <c r="BW113" i="69"/>
  <c r="BV113" i="69"/>
  <c r="BU113" i="69"/>
  <c r="BT113" i="69"/>
  <c r="BR113" i="69"/>
  <c r="BQ113" i="69"/>
  <c r="BP113" i="69"/>
  <c r="BO113" i="69"/>
  <c r="BN113" i="69"/>
  <c r="BM113" i="69"/>
  <c r="BL113" i="69"/>
  <c r="BK113" i="69"/>
  <c r="BJ113" i="69"/>
  <c r="BI113" i="69"/>
  <c r="BH113" i="69"/>
  <c r="BD113" i="69"/>
  <c r="BC113" i="69"/>
  <c r="AZ113" i="69"/>
  <c r="AY113" i="69"/>
  <c r="AX113" i="69"/>
  <c r="AV113" i="69"/>
  <c r="AU113" i="69"/>
  <c r="AT113" i="69"/>
  <c r="AR113" i="69"/>
  <c r="AR224" i="69" s="1"/>
  <c r="AR228" i="69" s="1"/>
  <c r="AR5" i="69" s="1"/>
  <c r="AQ113" i="69"/>
  <c r="AP113" i="69"/>
  <c r="AO113" i="69"/>
  <c r="AS113" i="69" s="1"/>
  <c r="AN113" i="69"/>
  <c r="AM113" i="69"/>
  <c r="AL113" i="69"/>
  <c r="AK113" i="69"/>
  <c r="AJ113" i="69"/>
  <c r="AI113" i="69"/>
  <c r="AH113" i="69"/>
  <c r="AG113" i="69"/>
  <c r="AE113" i="69"/>
  <c r="AD113" i="69"/>
  <c r="AC113" i="69"/>
  <c r="AB113" i="69"/>
  <c r="AA113" i="69"/>
  <c r="Z113" i="69"/>
  <c r="Y113" i="69"/>
  <c r="X113" i="69"/>
  <c r="W113" i="69"/>
  <c r="V113" i="69"/>
  <c r="U113" i="69"/>
  <c r="T113" i="69"/>
  <c r="R113" i="69"/>
  <c r="Q113" i="69"/>
  <c r="P113" i="69"/>
  <c r="O113" i="69"/>
  <c r="N113" i="69"/>
  <c r="M113" i="69"/>
  <c r="L113" i="69"/>
  <c r="K113" i="69"/>
  <c r="J113" i="69"/>
  <c r="I113" i="69"/>
  <c r="H113" i="69"/>
  <c r="G113" i="69"/>
  <c r="F113" i="69"/>
  <c r="DG112" i="69"/>
  <c r="DE112" i="69"/>
  <c r="DD112" i="69"/>
  <c r="DC112" i="69"/>
  <c r="DB112" i="69"/>
  <c r="DA112" i="69"/>
  <c r="CZ112" i="69"/>
  <c r="CY112" i="69"/>
  <c r="CX112" i="69"/>
  <c r="CW112" i="69"/>
  <c r="CV112" i="69"/>
  <c r="CU112" i="69"/>
  <c r="CT112" i="69"/>
  <c r="CR112" i="69"/>
  <c r="CQ112" i="69"/>
  <c r="CP112" i="69"/>
  <c r="CO112" i="69"/>
  <c r="CN112" i="69"/>
  <c r="CM112" i="69"/>
  <c r="CL112" i="69"/>
  <c r="CK112" i="69"/>
  <c r="CJ112" i="69"/>
  <c r="CI112" i="69"/>
  <c r="CH112" i="69"/>
  <c r="CG112" i="69"/>
  <c r="CE112" i="69"/>
  <c r="CE223" i="69" s="1"/>
  <c r="CD112" i="69"/>
  <c r="CC112" i="69"/>
  <c r="CB112" i="69"/>
  <c r="CA112" i="69"/>
  <c r="BZ112" i="69"/>
  <c r="BZ114" i="69" s="1"/>
  <c r="BY112" i="69"/>
  <c r="BX112" i="69"/>
  <c r="BW112" i="69"/>
  <c r="BV112" i="69"/>
  <c r="BU112" i="69"/>
  <c r="BU114" i="69" s="1"/>
  <c r="BT112" i="69"/>
  <c r="BR112" i="69"/>
  <c r="BQ112" i="69"/>
  <c r="BP112" i="69"/>
  <c r="BO112" i="69"/>
  <c r="BN112" i="69"/>
  <c r="BM112" i="69"/>
  <c r="BL112" i="69"/>
  <c r="BK112" i="69"/>
  <c r="BJ112" i="69"/>
  <c r="BI112" i="69"/>
  <c r="BH112" i="69"/>
  <c r="BG112" i="69"/>
  <c r="BE112" i="69"/>
  <c r="BD112" i="69"/>
  <c r="BD114" i="69" s="1"/>
  <c r="BC112" i="69"/>
  <c r="BB112" i="69"/>
  <c r="AZ112" i="69"/>
  <c r="AY112" i="69"/>
  <c r="AX112" i="69"/>
  <c r="AV112" i="69"/>
  <c r="AU112" i="69"/>
  <c r="AU223" i="69" s="1"/>
  <c r="AU227" i="69" s="1"/>
  <c r="AT112" i="69"/>
  <c r="AR112" i="69"/>
  <c r="AQ112" i="69"/>
  <c r="AP112" i="69"/>
  <c r="AO112" i="69"/>
  <c r="AO114" i="69" s="1"/>
  <c r="AN112" i="69"/>
  <c r="AN114" i="69" s="1"/>
  <c r="AM112" i="69"/>
  <c r="AM114" i="69" s="1"/>
  <c r="AL112" i="69"/>
  <c r="AK112" i="69"/>
  <c r="AK114" i="69" s="1"/>
  <c r="AJ112" i="69"/>
  <c r="AI112" i="69"/>
  <c r="AI114" i="69" s="1"/>
  <c r="AH112" i="69"/>
  <c r="AG112" i="69"/>
  <c r="AG114" i="69" s="1"/>
  <c r="AE112" i="69"/>
  <c r="AD112" i="69"/>
  <c r="AC112" i="69"/>
  <c r="AB112" i="69"/>
  <c r="AA112" i="69"/>
  <c r="Z112" i="69"/>
  <c r="Z223" i="69" s="1"/>
  <c r="Y112" i="69"/>
  <c r="Y223" i="69" s="1"/>
  <c r="X112" i="69"/>
  <c r="X114" i="69" s="1"/>
  <c r="W112" i="69"/>
  <c r="V112" i="69"/>
  <c r="U112" i="69"/>
  <c r="T112" i="69"/>
  <c r="R112" i="69"/>
  <c r="R114" i="69" s="1"/>
  <c r="Q112" i="69"/>
  <c r="P112" i="69"/>
  <c r="O112" i="69"/>
  <c r="N112" i="69"/>
  <c r="M112" i="69"/>
  <c r="L112" i="69"/>
  <c r="K112" i="69"/>
  <c r="J112" i="69"/>
  <c r="J114" i="69" s="1"/>
  <c r="I112" i="69"/>
  <c r="I223" i="69" s="1"/>
  <c r="H112" i="69"/>
  <c r="H114" i="69" s="1"/>
  <c r="G112" i="69"/>
  <c r="G114" i="69" s="1"/>
  <c r="F112" i="69"/>
  <c r="DI111" i="69"/>
  <c r="DG111" i="69"/>
  <c r="DE111" i="69"/>
  <c r="DD111" i="69"/>
  <c r="DC111" i="69"/>
  <c r="DB111" i="69"/>
  <c r="DA111" i="69"/>
  <c r="CZ111" i="69"/>
  <c r="CY111" i="69"/>
  <c r="CX111" i="69"/>
  <c r="CW111" i="69"/>
  <c r="CV111" i="69"/>
  <c r="CU111" i="69"/>
  <c r="CT111" i="69"/>
  <c r="DF111" i="69" s="1"/>
  <c r="CR111" i="69"/>
  <c r="CQ111" i="69"/>
  <c r="CP111" i="69"/>
  <c r="CO111" i="69"/>
  <c r="CN111" i="69"/>
  <c r="CM111" i="69"/>
  <c r="CL111" i="69"/>
  <c r="CK111" i="69"/>
  <c r="CJ111" i="69"/>
  <c r="CI111" i="69"/>
  <c r="CH111" i="69"/>
  <c r="CG111" i="69"/>
  <c r="CE111" i="69"/>
  <c r="CD111" i="69"/>
  <c r="CC111" i="69"/>
  <c r="CB111" i="69"/>
  <c r="CA111" i="69"/>
  <c r="BZ111" i="69"/>
  <c r="BY111" i="69"/>
  <c r="BX111" i="69"/>
  <c r="BW111" i="69"/>
  <c r="BV111" i="69"/>
  <c r="BU111" i="69"/>
  <c r="BT111" i="69"/>
  <c r="BR111" i="69"/>
  <c r="BQ111" i="69"/>
  <c r="BP111" i="69"/>
  <c r="BO111" i="69"/>
  <c r="BN111" i="69"/>
  <c r="BM111" i="69"/>
  <c r="BL111" i="69"/>
  <c r="BK111" i="69"/>
  <c r="BJ111" i="69"/>
  <c r="BI111" i="69"/>
  <c r="BH111" i="69"/>
  <c r="BG111" i="69"/>
  <c r="BE111" i="69"/>
  <c r="BD111" i="69"/>
  <c r="BC111" i="69"/>
  <c r="BB111" i="69"/>
  <c r="BA111" i="69"/>
  <c r="AZ111" i="69"/>
  <c r="AY111" i="69"/>
  <c r="AX111" i="69"/>
  <c r="AW111" i="69"/>
  <c r="AV111" i="69"/>
  <c r="AU111" i="69"/>
  <c r="AT111" i="69"/>
  <c r="BF111" i="69" s="1"/>
  <c r="AR111" i="69"/>
  <c r="AQ111" i="69"/>
  <c r="AP111" i="69"/>
  <c r="AO111" i="69"/>
  <c r="AN111" i="69"/>
  <c r="AM111" i="69"/>
  <c r="AL111" i="69"/>
  <c r="AK111" i="69"/>
  <c r="AJ111" i="69"/>
  <c r="AI111" i="69"/>
  <c r="AH111" i="69"/>
  <c r="AG111" i="69"/>
  <c r="AE111" i="69"/>
  <c r="AD111" i="69"/>
  <c r="AC111" i="69"/>
  <c r="AB111" i="69"/>
  <c r="AA111" i="69"/>
  <c r="Z111" i="69"/>
  <c r="Y111" i="69"/>
  <c r="X111" i="69"/>
  <c r="W111" i="69"/>
  <c r="V111" i="69"/>
  <c r="U111" i="69"/>
  <c r="T111" i="69"/>
  <c r="R111" i="69"/>
  <c r="Q111" i="69"/>
  <c r="P111" i="69"/>
  <c r="O111" i="69"/>
  <c r="N111" i="69"/>
  <c r="M111" i="69"/>
  <c r="L111" i="69"/>
  <c r="K111" i="69"/>
  <c r="J111" i="69"/>
  <c r="I111" i="69"/>
  <c r="H111" i="69"/>
  <c r="G111" i="69"/>
  <c r="F111" i="69"/>
  <c r="AS110" i="69"/>
  <c r="AF110" i="69"/>
  <c r="S110" i="69"/>
  <c r="DH110" i="69" s="1"/>
  <c r="E110" i="69"/>
  <c r="DI110" i="69" s="1"/>
  <c r="AS109" i="69"/>
  <c r="AF109" i="69"/>
  <c r="S109" i="69"/>
  <c r="DG108" i="69"/>
  <c r="DE108" i="69"/>
  <c r="DD108" i="69"/>
  <c r="DC108" i="69"/>
  <c r="DB108" i="69"/>
  <c r="DA108" i="69"/>
  <c r="CZ108" i="69"/>
  <c r="CY108" i="69"/>
  <c r="CX108" i="69"/>
  <c r="CW108" i="69"/>
  <c r="CV108" i="69"/>
  <c r="CU108" i="69"/>
  <c r="CT108" i="69"/>
  <c r="CR108" i="69"/>
  <c r="CQ108" i="69"/>
  <c r="CP108" i="69"/>
  <c r="CO108" i="69"/>
  <c r="CN108" i="69"/>
  <c r="CM108" i="69"/>
  <c r="CL108" i="69"/>
  <c r="CK108" i="69"/>
  <c r="CJ108" i="69"/>
  <c r="CI108" i="69"/>
  <c r="CH108" i="69"/>
  <c r="CG108" i="69"/>
  <c r="CE108" i="69"/>
  <c r="CD108" i="69"/>
  <c r="CC108" i="69"/>
  <c r="CB108" i="69"/>
  <c r="CA108" i="69"/>
  <c r="BZ108" i="69"/>
  <c r="BY108" i="69"/>
  <c r="BX108" i="69"/>
  <c r="BW108" i="69"/>
  <c r="BV108" i="69"/>
  <c r="BU108" i="69"/>
  <c r="BT108" i="69"/>
  <c r="BR108" i="69"/>
  <c r="BQ108" i="69"/>
  <c r="BP108" i="69"/>
  <c r="BO108" i="69"/>
  <c r="BN108" i="69"/>
  <c r="BM108" i="69"/>
  <c r="BL108" i="69"/>
  <c r="BK108" i="69"/>
  <c r="BJ108" i="69"/>
  <c r="BI108" i="69"/>
  <c r="BH108" i="69"/>
  <c r="BG108" i="69"/>
  <c r="BE108" i="69"/>
  <c r="BD108" i="69"/>
  <c r="BC108" i="69"/>
  <c r="BB108" i="69"/>
  <c r="BA108" i="69"/>
  <c r="AZ108" i="69"/>
  <c r="AY108" i="69"/>
  <c r="AX108" i="69"/>
  <c r="AW108" i="69"/>
  <c r="AV108" i="69"/>
  <c r="AU108" i="69"/>
  <c r="AT108" i="69"/>
  <c r="AR108" i="69"/>
  <c r="AQ108" i="69"/>
  <c r="AP108" i="69"/>
  <c r="AO108" i="69"/>
  <c r="AN108" i="69"/>
  <c r="AM108" i="69"/>
  <c r="AL108" i="69"/>
  <c r="AK108" i="69"/>
  <c r="AJ108" i="69"/>
  <c r="AI108" i="69"/>
  <c r="AH108" i="69"/>
  <c r="AG108" i="69"/>
  <c r="AE108" i="69"/>
  <c r="AD108" i="69"/>
  <c r="AC108" i="69"/>
  <c r="AB108" i="69"/>
  <c r="AA108" i="69"/>
  <c r="Z108" i="69"/>
  <c r="Y108" i="69"/>
  <c r="X108" i="69"/>
  <c r="W108" i="69"/>
  <c r="V108" i="69"/>
  <c r="U108" i="69"/>
  <c r="T108" i="69"/>
  <c r="R108" i="69"/>
  <c r="Q108" i="69"/>
  <c r="P108" i="69"/>
  <c r="O108" i="69"/>
  <c r="N108" i="69"/>
  <c r="M108" i="69"/>
  <c r="L108" i="69"/>
  <c r="K108" i="69"/>
  <c r="J108" i="69"/>
  <c r="I108" i="69"/>
  <c r="H108" i="69"/>
  <c r="G108" i="69"/>
  <c r="F108" i="69"/>
  <c r="DF107" i="69"/>
  <c r="CS107" i="69"/>
  <c r="CF107" i="69"/>
  <c r="BS107" i="69"/>
  <c r="BF107" i="69"/>
  <c r="AS107" i="69"/>
  <c r="S107" i="69"/>
  <c r="DF106" i="69"/>
  <c r="CS106" i="69"/>
  <c r="CF106" i="69"/>
  <c r="BS106" i="69"/>
  <c r="BF106" i="69"/>
  <c r="AS106" i="69"/>
  <c r="S106" i="69"/>
  <c r="DH106" i="69" s="1"/>
  <c r="E106" i="69"/>
  <c r="DG105" i="69"/>
  <c r="DE105" i="69"/>
  <c r="DD105" i="69"/>
  <c r="DC105" i="69"/>
  <c r="DB105" i="69"/>
  <c r="DA105" i="69"/>
  <c r="CZ105" i="69"/>
  <c r="CY105" i="69"/>
  <c r="CX105" i="69"/>
  <c r="CW105" i="69"/>
  <c r="CV105" i="69"/>
  <c r="CU105" i="69"/>
  <c r="CT105" i="69"/>
  <c r="CR105" i="69"/>
  <c r="CQ105" i="69"/>
  <c r="CP105" i="69"/>
  <c r="CO105" i="69"/>
  <c r="CN105" i="69"/>
  <c r="CM105" i="69"/>
  <c r="CL105" i="69"/>
  <c r="CK105" i="69"/>
  <c r="CJ105" i="69"/>
  <c r="CI105" i="69"/>
  <c r="CH105" i="69"/>
  <c r="CG105" i="69"/>
  <c r="CE105" i="69"/>
  <c r="CD105" i="69"/>
  <c r="CC105" i="69"/>
  <c r="CB105" i="69"/>
  <c r="CA105" i="69"/>
  <c r="BZ105" i="69"/>
  <c r="BY105" i="69"/>
  <c r="BX105" i="69"/>
  <c r="BW105" i="69"/>
  <c r="BV105" i="69"/>
  <c r="BU105" i="69"/>
  <c r="BT105" i="69"/>
  <c r="BR105" i="69"/>
  <c r="BQ105" i="69"/>
  <c r="BP105" i="69"/>
  <c r="BO105" i="69"/>
  <c r="BN105" i="69"/>
  <c r="BM105" i="69"/>
  <c r="BL105" i="69"/>
  <c r="BK105" i="69"/>
  <c r="BJ105" i="69"/>
  <c r="BI105" i="69"/>
  <c r="BH105" i="69"/>
  <c r="BG105" i="69"/>
  <c r="BE105" i="69"/>
  <c r="BD105" i="69"/>
  <c r="BC105" i="69"/>
  <c r="BB105" i="69"/>
  <c r="BA105" i="69"/>
  <c r="AZ105" i="69"/>
  <c r="AY105" i="69"/>
  <c r="AX105" i="69"/>
  <c r="AW105" i="69"/>
  <c r="AV105" i="69"/>
  <c r="AU105" i="69"/>
  <c r="AT105" i="69"/>
  <c r="BF105" i="69" s="1"/>
  <c r="AR105" i="69"/>
  <c r="AQ105" i="69"/>
  <c r="AP105" i="69"/>
  <c r="AO105" i="69"/>
  <c r="AN105" i="69"/>
  <c r="AM105" i="69"/>
  <c r="AL105" i="69"/>
  <c r="AK105" i="69"/>
  <c r="AJ105" i="69"/>
  <c r="AI105" i="69"/>
  <c r="AH105" i="69"/>
  <c r="AG105" i="69"/>
  <c r="AE105" i="69"/>
  <c r="AD105" i="69"/>
  <c r="AC105" i="69"/>
  <c r="AB105" i="69"/>
  <c r="AA105" i="69"/>
  <c r="Z105" i="69"/>
  <c r="Y105" i="69"/>
  <c r="X105" i="69"/>
  <c r="W105" i="69"/>
  <c r="V105" i="69"/>
  <c r="U105" i="69"/>
  <c r="T105" i="69"/>
  <c r="R105" i="69"/>
  <c r="Q105" i="69"/>
  <c r="P105" i="69"/>
  <c r="O105" i="69"/>
  <c r="N105" i="69"/>
  <c r="M105" i="69"/>
  <c r="L105" i="69"/>
  <c r="K105" i="69"/>
  <c r="J105" i="69"/>
  <c r="I105" i="69"/>
  <c r="H105" i="69"/>
  <c r="G105" i="69"/>
  <c r="F105" i="69"/>
  <c r="DF104" i="69"/>
  <c r="CS104" i="69"/>
  <c r="CF104" i="69"/>
  <c r="BS104" i="69"/>
  <c r="BF104" i="69"/>
  <c r="AS104" i="69"/>
  <c r="S104" i="69"/>
  <c r="DH104" i="69" s="1"/>
  <c r="E104" i="69"/>
  <c r="DI104" i="69" s="1"/>
  <c r="DJ104" i="69" s="1"/>
  <c r="DF103" i="69"/>
  <c r="CS103" i="69"/>
  <c r="CF103" i="69"/>
  <c r="BS103" i="69"/>
  <c r="BF103" i="69"/>
  <c r="DH103" i="69" s="1"/>
  <c r="AS103" i="69"/>
  <c r="S103" i="69"/>
  <c r="DG102" i="69"/>
  <c r="DE102" i="69"/>
  <c r="DD102" i="69"/>
  <c r="DC102" i="69"/>
  <c r="DB102" i="69"/>
  <c r="DA102" i="69"/>
  <c r="CZ102" i="69"/>
  <c r="CY102" i="69"/>
  <c r="CX102" i="69"/>
  <c r="CW102" i="69"/>
  <c r="CV102" i="69"/>
  <c r="CU102" i="69"/>
  <c r="CT102" i="69"/>
  <c r="CR102" i="69"/>
  <c r="CQ102" i="69"/>
  <c r="CP102" i="69"/>
  <c r="CO102" i="69"/>
  <c r="CN102" i="69"/>
  <c r="CM102" i="69"/>
  <c r="CL102" i="69"/>
  <c r="CK102" i="69"/>
  <c r="CJ102" i="69"/>
  <c r="CI102" i="69"/>
  <c r="CH102" i="69"/>
  <c r="CG102" i="69"/>
  <c r="CE102" i="69"/>
  <c r="CD102" i="69"/>
  <c r="CC102" i="69"/>
  <c r="CB102" i="69"/>
  <c r="CA102" i="69"/>
  <c r="BZ102" i="69"/>
  <c r="BY102" i="69"/>
  <c r="BX102" i="69"/>
  <c r="BW102" i="69"/>
  <c r="BV102" i="69"/>
  <c r="BU102" i="69"/>
  <c r="BT102" i="69"/>
  <c r="BR102" i="69"/>
  <c r="BQ102" i="69"/>
  <c r="BP102" i="69"/>
  <c r="BO102" i="69"/>
  <c r="BN102" i="69"/>
  <c r="BM102" i="69"/>
  <c r="BL102" i="69"/>
  <c r="BK102" i="69"/>
  <c r="BS102" i="69" s="1"/>
  <c r="BJ102" i="69"/>
  <c r="BI102" i="69"/>
  <c r="BH102" i="69"/>
  <c r="BG102" i="69"/>
  <c r="BE102" i="69"/>
  <c r="BD102" i="69"/>
  <c r="BC102" i="69"/>
  <c r="BB102" i="69"/>
  <c r="BA102" i="69"/>
  <c r="AZ102" i="69"/>
  <c r="AY102" i="69"/>
  <c r="AX102" i="69"/>
  <c r="AW102" i="69"/>
  <c r="AV102" i="69"/>
  <c r="AU102" i="69"/>
  <c r="AT102" i="69"/>
  <c r="AR102" i="69"/>
  <c r="AQ102" i="69"/>
  <c r="AP102" i="69"/>
  <c r="AO102" i="69"/>
  <c r="AN102" i="69"/>
  <c r="AM102" i="69"/>
  <c r="AL102" i="69"/>
  <c r="AK102" i="69"/>
  <c r="AJ102" i="69"/>
  <c r="AI102" i="69"/>
  <c r="AH102" i="69"/>
  <c r="AG102" i="69"/>
  <c r="AE102" i="69"/>
  <c r="AD102" i="69"/>
  <c r="AC102" i="69"/>
  <c r="AB102" i="69"/>
  <c r="AA102" i="69"/>
  <c r="Z102" i="69"/>
  <c r="Y102" i="69"/>
  <c r="X102" i="69"/>
  <c r="W102" i="69"/>
  <c r="V102" i="69"/>
  <c r="U102" i="69"/>
  <c r="T102" i="69"/>
  <c r="R102" i="69"/>
  <c r="Q102" i="69"/>
  <c r="P102" i="69"/>
  <c r="O102" i="69"/>
  <c r="N102" i="69"/>
  <c r="M102" i="69"/>
  <c r="L102" i="69"/>
  <c r="K102" i="69"/>
  <c r="J102" i="69"/>
  <c r="I102" i="69"/>
  <c r="H102" i="69"/>
  <c r="G102" i="69"/>
  <c r="F102" i="69"/>
  <c r="DF101" i="69"/>
  <c r="CS101" i="69"/>
  <c r="CF101" i="69"/>
  <c r="BS101" i="69"/>
  <c r="BF101" i="69"/>
  <c r="AS101" i="69"/>
  <c r="AF101" i="69"/>
  <c r="S101" i="69"/>
  <c r="DH101" i="69" s="1"/>
  <c r="DF100" i="69"/>
  <c r="CS100" i="69"/>
  <c r="CF100" i="69"/>
  <c r="BS100" i="69"/>
  <c r="BF100" i="69"/>
  <c r="AS100" i="69"/>
  <c r="AF100" i="69"/>
  <c r="S100" i="69"/>
  <c r="DG99" i="69"/>
  <c r="DE99" i="69"/>
  <c r="DD99" i="69"/>
  <c r="DC99" i="69"/>
  <c r="DB99" i="69"/>
  <c r="DA99" i="69"/>
  <c r="CZ99" i="69"/>
  <c r="CY99" i="69"/>
  <c r="CX99" i="69"/>
  <c r="CW99" i="69"/>
  <c r="CV99" i="69"/>
  <c r="CU99" i="69"/>
  <c r="CT99" i="69"/>
  <c r="CR99" i="69"/>
  <c r="CQ99" i="69"/>
  <c r="CP99" i="69"/>
  <c r="CO99" i="69"/>
  <c r="CN99" i="69"/>
  <c r="CM99" i="69"/>
  <c r="CL99" i="69"/>
  <c r="CK99" i="69"/>
  <c r="CJ99" i="69"/>
  <c r="CI99" i="69"/>
  <c r="CH99" i="69"/>
  <c r="CG99" i="69"/>
  <c r="CE99" i="69"/>
  <c r="CD99" i="69"/>
  <c r="CC99" i="69"/>
  <c r="CB99" i="69"/>
  <c r="CA99" i="69"/>
  <c r="BZ99" i="69"/>
  <c r="BY99" i="69"/>
  <c r="BX99" i="69"/>
  <c r="BW99" i="69"/>
  <c r="BV99" i="69"/>
  <c r="BU99" i="69"/>
  <c r="BT99" i="69"/>
  <c r="BR99" i="69"/>
  <c r="BQ99" i="69"/>
  <c r="BP99" i="69"/>
  <c r="BO99" i="69"/>
  <c r="BN99" i="69"/>
  <c r="BM99" i="69"/>
  <c r="BL99" i="69"/>
  <c r="BK99" i="69"/>
  <c r="BJ99" i="69"/>
  <c r="BI99" i="69"/>
  <c r="BH99" i="69"/>
  <c r="BG99" i="69"/>
  <c r="BE99" i="69"/>
  <c r="BD99" i="69"/>
  <c r="BC99" i="69"/>
  <c r="BB99" i="69"/>
  <c r="BA99" i="69"/>
  <c r="AZ99" i="69"/>
  <c r="AY99" i="69"/>
  <c r="AX99" i="69"/>
  <c r="AW99" i="69"/>
  <c r="AV99" i="69"/>
  <c r="AU99" i="69"/>
  <c r="AT99" i="69"/>
  <c r="AR99" i="69"/>
  <c r="AQ99" i="69"/>
  <c r="AP99" i="69"/>
  <c r="AO99" i="69"/>
  <c r="AN99" i="69"/>
  <c r="AM99" i="69"/>
  <c r="AL99" i="69"/>
  <c r="AK99" i="69"/>
  <c r="AJ99" i="69"/>
  <c r="AI99" i="69"/>
  <c r="AH99" i="69"/>
  <c r="AG99" i="69"/>
  <c r="AE99" i="69"/>
  <c r="AD99" i="69"/>
  <c r="AC99" i="69"/>
  <c r="AB99" i="69"/>
  <c r="AA99" i="69"/>
  <c r="Z99" i="69"/>
  <c r="Y99" i="69"/>
  <c r="X99" i="69"/>
  <c r="W99" i="69"/>
  <c r="V99" i="69"/>
  <c r="U99" i="69"/>
  <c r="T99" i="69"/>
  <c r="R99" i="69"/>
  <c r="Q99" i="69"/>
  <c r="P99" i="69"/>
  <c r="O99" i="69"/>
  <c r="N99" i="69"/>
  <c r="M99" i="69"/>
  <c r="L99" i="69"/>
  <c r="K99" i="69"/>
  <c r="J99" i="69"/>
  <c r="I99" i="69"/>
  <c r="H99" i="69"/>
  <c r="G99" i="69"/>
  <c r="F99" i="69"/>
  <c r="DF98" i="69"/>
  <c r="CS98" i="69"/>
  <c r="CF98" i="69"/>
  <c r="BS98" i="69"/>
  <c r="BF98" i="69"/>
  <c r="AS98" i="69"/>
  <c r="AF98" i="69"/>
  <c r="S98" i="69"/>
  <c r="DH98" i="69" s="1"/>
  <c r="DF97" i="69"/>
  <c r="CS97" i="69"/>
  <c r="CF97" i="69"/>
  <c r="BS97" i="69"/>
  <c r="BF97" i="69"/>
  <c r="AS97" i="69"/>
  <c r="AF97" i="69"/>
  <c r="S97" i="69"/>
  <c r="DG96" i="69"/>
  <c r="DE96" i="69"/>
  <c r="DD96" i="69"/>
  <c r="DC96" i="69"/>
  <c r="DB96" i="69"/>
  <c r="DA96" i="69"/>
  <c r="CZ96" i="69"/>
  <c r="CY96" i="69"/>
  <c r="CX96" i="69"/>
  <c r="CW96" i="69"/>
  <c r="CV96" i="69"/>
  <c r="CU96" i="69"/>
  <c r="CT96" i="69"/>
  <c r="CR96" i="69"/>
  <c r="CQ96" i="69"/>
  <c r="CP96" i="69"/>
  <c r="CO96" i="69"/>
  <c r="CN96" i="69"/>
  <c r="CM96" i="69"/>
  <c r="CL96" i="69"/>
  <c r="CK96" i="69"/>
  <c r="CJ96" i="69"/>
  <c r="CI96" i="69"/>
  <c r="CH96" i="69"/>
  <c r="CG96" i="69"/>
  <c r="CE96" i="69"/>
  <c r="CD96" i="69"/>
  <c r="CC96" i="69"/>
  <c r="CB96" i="69"/>
  <c r="CA96" i="69"/>
  <c r="BZ96" i="69"/>
  <c r="BY96" i="69"/>
  <c r="BX96" i="69"/>
  <c r="BW96" i="69"/>
  <c r="BV96" i="69"/>
  <c r="BU96" i="69"/>
  <c r="BT96" i="69"/>
  <c r="BR96" i="69"/>
  <c r="BQ96" i="69"/>
  <c r="BP96" i="69"/>
  <c r="BO96" i="69"/>
  <c r="BN96" i="69"/>
  <c r="BM96" i="69"/>
  <c r="BL96" i="69"/>
  <c r="BK96" i="69"/>
  <c r="BJ96" i="69"/>
  <c r="BI96" i="69"/>
  <c r="BH96" i="69"/>
  <c r="BG96" i="69"/>
  <c r="BE96" i="69"/>
  <c r="BD96" i="69"/>
  <c r="BC96" i="69"/>
  <c r="BB96" i="69"/>
  <c r="BA96" i="69"/>
  <c r="AZ96" i="69"/>
  <c r="BF96" i="69" s="1"/>
  <c r="AY96" i="69"/>
  <c r="AX96" i="69"/>
  <c r="AW96" i="69"/>
  <c r="AV96" i="69"/>
  <c r="AU96" i="69"/>
  <c r="AT96" i="69"/>
  <c r="AR96" i="69"/>
  <c r="AQ96" i="69"/>
  <c r="AP96" i="69"/>
  <c r="AO96" i="69"/>
  <c r="AN96" i="69"/>
  <c r="AM96" i="69"/>
  <c r="AL96" i="69"/>
  <c r="AK96" i="69"/>
  <c r="AJ96" i="69"/>
  <c r="AI96" i="69"/>
  <c r="AH96" i="69"/>
  <c r="AG96" i="69"/>
  <c r="AE96" i="69"/>
  <c r="AD96" i="69"/>
  <c r="AC96" i="69"/>
  <c r="AB96" i="69"/>
  <c r="AA96" i="69"/>
  <c r="Z96" i="69"/>
  <c r="Y96" i="69"/>
  <c r="X96" i="69"/>
  <c r="W96" i="69"/>
  <c r="V96" i="69"/>
  <c r="U96" i="69"/>
  <c r="T96" i="69"/>
  <c r="R96" i="69"/>
  <c r="Q96" i="69"/>
  <c r="P96" i="69"/>
  <c r="O96" i="69"/>
  <c r="N96" i="69"/>
  <c r="M96" i="69"/>
  <c r="L96" i="69"/>
  <c r="K96" i="69"/>
  <c r="J96" i="69"/>
  <c r="I96" i="69"/>
  <c r="H96" i="69"/>
  <c r="G96" i="69"/>
  <c r="F96" i="69"/>
  <c r="DF95" i="69"/>
  <c r="CS95" i="69"/>
  <c r="CF95" i="69"/>
  <c r="BS95" i="69"/>
  <c r="BF95" i="69"/>
  <c r="AS95" i="69"/>
  <c r="AF95" i="69"/>
  <c r="S95" i="69"/>
  <c r="DF94" i="69"/>
  <c r="CS94" i="69"/>
  <c r="CF94" i="69"/>
  <c r="BS94" i="69"/>
  <c r="BF94" i="69"/>
  <c r="AS94" i="69"/>
  <c r="AF94" i="69"/>
  <c r="S94" i="69"/>
  <c r="DH94" i="69" s="1"/>
  <c r="E94" i="69"/>
  <c r="DG93" i="69"/>
  <c r="DE93" i="69"/>
  <c r="DD93" i="69"/>
  <c r="DC93" i="69"/>
  <c r="DB93" i="69"/>
  <c r="DA93" i="69"/>
  <c r="CZ93" i="69"/>
  <c r="CY93" i="69"/>
  <c r="CX93" i="69"/>
  <c r="CW93" i="69"/>
  <c r="CV93" i="69"/>
  <c r="CU93" i="69"/>
  <c r="CT93" i="69"/>
  <c r="CR93" i="69"/>
  <c r="CQ93" i="69"/>
  <c r="CP93" i="69"/>
  <c r="CO93" i="69"/>
  <c r="CN93" i="69"/>
  <c r="CM93" i="69"/>
  <c r="CL93" i="69"/>
  <c r="CK93" i="69"/>
  <c r="CJ93" i="69"/>
  <c r="CI93" i="69"/>
  <c r="CH93" i="69"/>
  <c r="CG93" i="69"/>
  <c r="CE93" i="69"/>
  <c r="CD93" i="69"/>
  <c r="CC93" i="69"/>
  <c r="CB93" i="69"/>
  <c r="CA93" i="69"/>
  <c r="BZ93" i="69"/>
  <c r="BY93" i="69"/>
  <c r="BX93" i="69"/>
  <c r="BW93" i="69"/>
  <c r="BV93" i="69"/>
  <c r="BU93" i="69"/>
  <c r="BT93" i="69"/>
  <c r="BR93" i="69"/>
  <c r="BQ93" i="69"/>
  <c r="BP93" i="69"/>
  <c r="BO93" i="69"/>
  <c r="BN93" i="69"/>
  <c r="BM93" i="69"/>
  <c r="BL93" i="69"/>
  <c r="BK93" i="69"/>
  <c r="BJ93" i="69"/>
  <c r="BI93" i="69"/>
  <c r="BH93" i="69"/>
  <c r="BG93" i="69"/>
  <c r="BE93" i="69"/>
  <c r="BD93" i="69"/>
  <c r="BC93" i="69"/>
  <c r="BB93" i="69"/>
  <c r="BA93" i="69"/>
  <c r="AZ93" i="69"/>
  <c r="AY93" i="69"/>
  <c r="AX93" i="69"/>
  <c r="AW93" i="69"/>
  <c r="AV93" i="69"/>
  <c r="AU93" i="69"/>
  <c r="AT93" i="69"/>
  <c r="AR93" i="69"/>
  <c r="AQ93" i="69"/>
  <c r="AP93" i="69"/>
  <c r="AO93" i="69"/>
  <c r="AN93" i="69"/>
  <c r="AM93" i="69"/>
  <c r="AL93" i="69"/>
  <c r="AK93" i="69"/>
  <c r="AJ93" i="69"/>
  <c r="AI93" i="69"/>
  <c r="AH93" i="69"/>
  <c r="AG93" i="69"/>
  <c r="AE93" i="69"/>
  <c r="AD93" i="69"/>
  <c r="AC93" i="69"/>
  <c r="AB93" i="69"/>
  <c r="AA93" i="69"/>
  <c r="Z93" i="69"/>
  <c r="Y93" i="69"/>
  <c r="X93" i="69"/>
  <c r="W93" i="69"/>
  <c r="V93" i="69"/>
  <c r="U93" i="69"/>
  <c r="T93" i="69"/>
  <c r="R93" i="69"/>
  <c r="Q93" i="69"/>
  <c r="P93" i="69"/>
  <c r="O93" i="69"/>
  <c r="N93" i="69"/>
  <c r="M93" i="69"/>
  <c r="L93" i="69"/>
  <c r="K93" i="69"/>
  <c r="J93" i="69"/>
  <c r="I93" i="69"/>
  <c r="H93" i="69"/>
  <c r="G93" i="69"/>
  <c r="F93" i="69"/>
  <c r="DH92" i="69"/>
  <c r="DF92" i="69"/>
  <c r="CS92" i="69"/>
  <c r="CF92" i="69"/>
  <c r="BS92" i="69"/>
  <c r="BF92" i="69"/>
  <c r="AS92" i="69"/>
  <c r="AF92" i="69"/>
  <c r="S92" i="69"/>
  <c r="DF91" i="69"/>
  <c r="CS91" i="69"/>
  <c r="CF91" i="69"/>
  <c r="BS91" i="69"/>
  <c r="BF91" i="69"/>
  <c r="AS91" i="69"/>
  <c r="DM91" i="69" s="1"/>
  <c r="AF91" i="69"/>
  <c r="S91" i="69"/>
  <c r="DH91" i="69" s="1"/>
  <c r="DG90" i="69"/>
  <c r="DE90" i="69"/>
  <c r="DD90" i="69"/>
  <c r="DC90" i="69"/>
  <c r="DB90" i="69"/>
  <c r="DA90" i="69"/>
  <c r="CZ90" i="69"/>
  <c r="CY90" i="69"/>
  <c r="CX90" i="69"/>
  <c r="CW90" i="69"/>
  <c r="CV90" i="69"/>
  <c r="CU90" i="69"/>
  <c r="CT90" i="69"/>
  <c r="CR90" i="69"/>
  <c r="CQ90" i="69"/>
  <c r="CP90" i="69"/>
  <c r="CO90" i="69"/>
  <c r="CN90" i="69"/>
  <c r="CM90" i="69"/>
  <c r="CL90" i="69"/>
  <c r="CK90" i="69"/>
  <c r="CJ90" i="69"/>
  <c r="CI90" i="69"/>
  <c r="CH90" i="69"/>
  <c r="CG90" i="69"/>
  <c r="CE90" i="69"/>
  <c r="CD90" i="69"/>
  <c r="CC90" i="69"/>
  <c r="CB90" i="69"/>
  <c r="CA90" i="69"/>
  <c r="BZ90" i="69"/>
  <c r="BY90" i="69"/>
  <c r="BX90" i="69"/>
  <c r="BW90" i="69"/>
  <c r="BV90" i="69"/>
  <c r="BU90" i="69"/>
  <c r="BT90" i="69"/>
  <c r="BR90" i="69"/>
  <c r="BQ90" i="69"/>
  <c r="BP90" i="69"/>
  <c r="BO90" i="69"/>
  <c r="BN90" i="69"/>
  <c r="BM90" i="69"/>
  <c r="BL90" i="69"/>
  <c r="BK90" i="69"/>
  <c r="BJ90" i="69"/>
  <c r="BI90" i="69"/>
  <c r="BH90" i="69"/>
  <c r="BG90" i="69"/>
  <c r="BE90" i="69"/>
  <c r="BD90" i="69"/>
  <c r="BC90" i="69"/>
  <c r="BB90" i="69"/>
  <c r="BA90" i="69"/>
  <c r="AZ90" i="69"/>
  <c r="AY90" i="69"/>
  <c r="AX90" i="69"/>
  <c r="AW90" i="69"/>
  <c r="AV90" i="69"/>
  <c r="AU90" i="69"/>
  <c r="AT90" i="69"/>
  <c r="AR90" i="69"/>
  <c r="AQ90" i="69"/>
  <c r="AP90" i="69"/>
  <c r="AO90" i="69"/>
  <c r="AN90" i="69"/>
  <c r="AM90" i="69"/>
  <c r="AL90" i="69"/>
  <c r="AK90" i="69"/>
  <c r="AJ90" i="69"/>
  <c r="AI90" i="69"/>
  <c r="AH90" i="69"/>
  <c r="AG90" i="69"/>
  <c r="AE90" i="69"/>
  <c r="AD90" i="69"/>
  <c r="AC90" i="69"/>
  <c r="AB90" i="69"/>
  <c r="AA90" i="69"/>
  <c r="Z90" i="69"/>
  <c r="Y90" i="69"/>
  <c r="X90" i="69"/>
  <c r="W90" i="69"/>
  <c r="V90" i="69"/>
  <c r="U90" i="69"/>
  <c r="T90" i="69"/>
  <c r="R90" i="69"/>
  <c r="Q90" i="69"/>
  <c r="P90" i="69"/>
  <c r="O90" i="69"/>
  <c r="N90" i="69"/>
  <c r="M90" i="69"/>
  <c r="L90" i="69"/>
  <c r="K90" i="69"/>
  <c r="J90" i="69"/>
  <c r="I90" i="69"/>
  <c r="H90" i="69"/>
  <c r="G90" i="69"/>
  <c r="F90" i="69"/>
  <c r="DF89" i="69"/>
  <c r="CS89" i="69"/>
  <c r="CF89" i="69"/>
  <c r="BS89" i="69"/>
  <c r="BF89" i="69"/>
  <c r="AS89" i="69"/>
  <c r="AF89" i="69"/>
  <c r="S89" i="69"/>
  <c r="DF88" i="69"/>
  <c r="CS88" i="69"/>
  <c r="CF88" i="69"/>
  <c r="BS88" i="69"/>
  <c r="BF88" i="69"/>
  <c r="AS88" i="69"/>
  <c r="DM88" i="69" s="1"/>
  <c r="AF88" i="69"/>
  <c r="S88" i="69"/>
  <c r="DG87" i="69"/>
  <c r="DE87" i="69"/>
  <c r="DD87" i="69"/>
  <c r="DC87" i="69"/>
  <c r="DB87" i="69"/>
  <c r="DA87" i="69"/>
  <c r="CZ87" i="69"/>
  <c r="CY87" i="69"/>
  <c r="CX87" i="69"/>
  <c r="CW87" i="69"/>
  <c r="CV87" i="69"/>
  <c r="CU87" i="69"/>
  <c r="CT87" i="69"/>
  <c r="CR87" i="69"/>
  <c r="CQ87" i="69"/>
  <c r="CP87" i="69"/>
  <c r="CO87" i="69"/>
  <c r="CN87" i="69"/>
  <c r="CM87" i="69"/>
  <c r="CL87" i="69"/>
  <c r="CK87" i="69"/>
  <c r="CJ87" i="69"/>
  <c r="CI87" i="69"/>
  <c r="CH87" i="69"/>
  <c r="CG87" i="69"/>
  <c r="CE87" i="69"/>
  <c r="CD87" i="69"/>
  <c r="CC87" i="69"/>
  <c r="CB87" i="69"/>
  <c r="CA87" i="69"/>
  <c r="BZ87" i="69"/>
  <c r="BY87" i="69"/>
  <c r="BX87" i="69"/>
  <c r="BW87" i="69"/>
  <c r="BV87" i="69"/>
  <c r="BU87" i="69"/>
  <c r="BT87" i="69"/>
  <c r="BR87" i="69"/>
  <c r="BQ87" i="69"/>
  <c r="BP87" i="69"/>
  <c r="BO87" i="69"/>
  <c r="BN87" i="69"/>
  <c r="BM87" i="69"/>
  <c r="BL87" i="69"/>
  <c r="BK87" i="69"/>
  <c r="BJ87" i="69"/>
  <c r="BI87" i="69"/>
  <c r="BH87" i="69"/>
  <c r="BG87" i="69"/>
  <c r="BE87" i="69"/>
  <c r="BD87" i="69"/>
  <c r="BC87" i="69"/>
  <c r="BB87" i="69"/>
  <c r="BA87" i="69"/>
  <c r="AZ87" i="69"/>
  <c r="AY87" i="69"/>
  <c r="AX87" i="69"/>
  <c r="AW87" i="69"/>
  <c r="AV87" i="69"/>
  <c r="AU87" i="69"/>
  <c r="AT87" i="69"/>
  <c r="BF87" i="69" s="1"/>
  <c r="AS87" i="69"/>
  <c r="AR87" i="69"/>
  <c r="AQ87" i="69"/>
  <c r="AP87" i="69"/>
  <c r="AO87" i="69"/>
  <c r="AN87" i="69"/>
  <c r="AM87" i="69"/>
  <c r="AL87" i="69"/>
  <c r="AK87" i="69"/>
  <c r="AJ87" i="69"/>
  <c r="AI87" i="69"/>
  <c r="AH87" i="69"/>
  <c r="AG87" i="69"/>
  <c r="AE87" i="69"/>
  <c r="AD87" i="69"/>
  <c r="AC87" i="69"/>
  <c r="AB87" i="69"/>
  <c r="AA87" i="69"/>
  <c r="Z87" i="69"/>
  <c r="Y87" i="69"/>
  <c r="X87" i="69"/>
  <c r="W87" i="69"/>
  <c r="V87" i="69"/>
  <c r="U87" i="69"/>
  <c r="T87" i="69"/>
  <c r="R87" i="69"/>
  <c r="Q87" i="69"/>
  <c r="P87" i="69"/>
  <c r="O87" i="69"/>
  <c r="N87" i="69"/>
  <c r="M87" i="69"/>
  <c r="L87" i="69"/>
  <c r="K87" i="69"/>
  <c r="J87" i="69"/>
  <c r="I87" i="69"/>
  <c r="H87" i="69"/>
  <c r="G87" i="69"/>
  <c r="F87" i="69"/>
  <c r="DF86" i="69"/>
  <c r="CS86" i="69"/>
  <c r="CF86" i="69"/>
  <c r="BS86" i="69"/>
  <c r="BF86" i="69"/>
  <c r="AS86" i="69"/>
  <c r="AF86" i="69"/>
  <c r="S86" i="69"/>
  <c r="DH86" i="69" s="1"/>
  <c r="E86" i="69"/>
  <c r="DI86" i="69" s="1"/>
  <c r="DJ86" i="69" s="1"/>
  <c r="DM85" i="69"/>
  <c r="DF85" i="69"/>
  <c r="CS85" i="69"/>
  <c r="CF85" i="69"/>
  <c r="BS85" i="69"/>
  <c r="BF85" i="69"/>
  <c r="AS85" i="69"/>
  <c r="AF85" i="69"/>
  <c r="S85" i="69"/>
  <c r="DG84" i="69"/>
  <c r="DE84" i="69"/>
  <c r="DD84" i="69"/>
  <c r="DC84" i="69"/>
  <c r="DB84" i="69"/>
  <c r="DA84" i="69"/>
  <c r="CZ84" i="69"/>
  <c r="CY84" i="69"/>
  <c r="CX84" i="69"/>
  <c r="CW84" i="69"/>
  <c r="CV84" i="69"/>
  <c r="CU84" i="69"/>
  <c r="CT84" i="69"/>
  <c r="CR84" i="69"/>
  <c r="CQ84" i="69"/>
  <c r="CP84" i="69"/>
  <c r="CO84" i="69"/>
  <c r="CN84" i="69"/>
  <c r="CM84" i="69"/>
  <c r="CL84" i="69"/>
  <c r="CK84" i="69"/>
  <c r="CJ84" i="69"/>
  <c r="CI84" i="69"/>
  <c r="CH84" i="69"/>
  <c r="CG84" i="69"/>
  <c r="CE84" i="69"/>
  <c r="CD84" i="69"/>
  <c r="CC84" i="69"/>
  <c r="CB84" i="69"/>
  <c r="CA84" i="69"/>
  <c r="BZ84" i="69"/>
  <c r="BY84" i="69"/>
  <c r="BX84" i="69"/>
  <c r="BW84" i="69"/>
  <c r="BV84" i="69"/>
  <c r="BU84" i="69"/>
  <c r="BT84" i="69"/>
  <c r="BR84" i="69"/>
  <c r="BQ84" i="69"/>
  <c r="BP84" i="69"/>
  <c r="BO84" i="69"/>
  <c r="BN84" i="69"/>
  <c r="BM84" i="69"/>
  <c r="BL84" i="69"/>
  <c r="BK84" i="69"/>
  <c r="BJ84" i="69"/>
  <c r="BI84" i="69"/>
  <c r="BH84" i="69"/>
  <c r="BG84" i="69"/>
  <c r="BE84" i="69"/>
  <c r="BD84" i="69"/>
  <c r="BC84" i="69"/>
  <c r="BB84" i="69"/>
  <c r="BA84" i="69"/>
  <c r="AZ84" i="69"/>
  <c r="AY84" i="69"/>
  <c r="AX84" i="69"/>
  <c r="AW84" i="69"/>
  <c r="AV84" i="69"/>
  <c r="AU84" i="69"/>
  <c r="AT84" i="69"/>
  <c r="AR84" i="69"/>
  <c r="AQ84" i="69"/>
  <c r="AP84" i="69"/>
  <c r="AO84" i="69"/>
  <c r="AN84" i="69"/>
  <c r="AM84" i="69"/>
  <c r="AL84" i="69"/>
  <c r="AK84" i="69"/>
  <c r="AJ84" i="69"/>
  <c r="AI84" i="69"/>
  <c r="AH84" i="69"/>
  <c r="AG84" i="69"/>
  <c r="AE84" i="69"/>
  <c r="AD84" i="69"/>
  <c r="AC84" i="69"/>
  <c r="AB84" i="69"/>
  <c r="AA84" i="69"/>
  <c r="Z84" i="69"/>
  <c r="Y84" i="69"/>
  <c r="X84" i="69"/>
  <c r="W84" i="69"/>
  <c r="V84" i="69"/>
  <c r="U84" i="69"/>
  <c r="T84" i="69"/>
  <c r="R84" i="69"/>
  <c r="Q84" i="69"/>
  <c r="P84" i="69"/>
  <c r="O84" i="69"/>
  <c r="N84" i="69"/>
  <c r="M84" i="69"/>
  <c r="L84" i="69"/>
  <c r="K84" i="69"/>
  <c r="J84" i="69"/>
  <c r="I84" i="69"/>
  <c r="H84" i="69"/>
  <c r="G84" i="69"/>
  <c r="F84" i="69"/>
  <c r="DF83" i="69"/>
  <c r="CS83" i="69"/>
  <c r="CF83" i="69"/>
  <c r="BS83" i="69"/>
  <c r="BF83" i="69"/>
  <c r="AS83" i="69"/>
  <c r="DM83" i="69" s="1"/>
  <c r="AF83" i="69"/>
  <c r="S83" i="69"/>
  <c r="DF82" i="69"/>
  <c r="CS82" i="69"/>
  <c r="CF82" i="69"/>
  <c r="BS82" i="69"/>
  <c r="BF82" i="69"/>
  <c r="AS82" i="69"/>
  <c r="AF82" i="69"/>
  <c r="S82" i="69"/>
  <c r="DG81" i="69"/>
  <c r="DE81" i="69"/>
  <c r="DD81" i="69"/>
  <c r="DC81" i="69"/>
  <c r="DB81" i="69"/>
  <c r="DA81" i="69"/>
  <c r="CZ81" i="69"/>
  <c r="CY81" i="69"/>
  <c r="CX81" i="69"/>
  <c r="CW81" i="69"/>
  <c r="CV81" i="69"/>
  <c r="CU81" i="69"/>
  <c r="CT81" i="69"/>
  <c r="CR81" i="69"/>
  <c r="CQ81" i="69"/>
  <c r="CP81" i="69"/>
  <c r="CO81" i="69"/>
  <c r="CN81" i="69"/>
  <c r="CM81" i="69"/>
  <c r="CL81" i="69"/>
  <c r="CK81" i="69"/>
  <c r="CJ81" i="69"/>
  <c r="CI81" i="69"/>
  <c r="CH81" i="69"/>
  <c r="CG81" i="69"/>
  <c r="CE81" i="69"/>
  <c r="CD81" i="69"/>
  <c r="CC81" i="69"/>
  <c r="CB81" i="69"/>
  <c r="CA81" i="69"/>
  <c r="BZ81" i="69"/>
  <c r="BY81" i="69"/>
  <c r="BX81" i="69"/>
  <c r="BW81" i="69"/>
  <c r="BV81" i="69"/>
  <c r="BU81" i="69"/>
  <c r="BT81" i="69"/>
  <c r="CF81" i="69" s="1"/>
  <c r="BR81" i="69"/>
  <c r="BQ81" i="69"/>
  <c r="BP81" i="69"/>
  <c r="BO81" i="69"/>
  <c r="BN81" i="69"/>
  <c r="BM81" i="69"/>
  <c r="BL81" i="69"/>
  <c r="BK81" i="69"/>
  <c r="BJ81" i="69"/>
  <c r="BI81" i="69"/>
  <c r="BH81" i="69"/>
  <c r="BG81" i="69"/>
  <c r="BE81" i="69"/>
  <c r="BD81" i="69"/>
  <c r="BC81" i="69"/>
  <c r="BB81" i="69"/>
  <c r="BA81" i="69"/>
  <c r="AZ81" i="69"/>
  <c r="AY81" i="69"/>
  <c r="AX81" i="69"/>
  <c r="AW81" i="69"/>
  <c r="AV81" i="69"/>
  <c r="AU81" i="69"/>
  <c r="AT81" i="69"/>
  <c r="AR81" i="69"/>
  <c r="AQ81" i="69"/>
  <c r="AP81" i="69"/>
  <c r="AO81" i="69"/>
  <c r="AN81" i="69"/>
  <c r="AM81" i="69"/>
  <c r="AL81" i="69"/>
  <c r="AK81" i="69"/>
  <c r="AJ81" i="69"/>
  <c r="AI81" i="69"/>
  <c r="AH81" i="69"/>
  <c r="AG81" i="69"/>
  <c r="AE81" i="69"/>
  <c r="AD81" i="69"/>
  <c r="AC81" i="69"/>
  <c r="AB81" i="69"/>
  <c r="AA81" i="69"/>
  <c r="Z81" i="69"/>
  <c r="Y81" i="69"/>
  <c r="X81" i="69"/>
  <c r="W81" i="69"/>
  <c r="V81" i="69"/>
  <c r="U81" i="69"/>
  <c r="T81" i="69"/>
  <c r="AF81" i="69" s="1"/>
  <c r="R81" i="69"/>
  <c r="Q81" i="69"/>
  <c r="P81" i="69"/>
  <c r="O81" i="69"/>
  <c r="N81" i="69"/>
  <c r="M81" i="69"/>
  <c r="L81" i="69"/>
  <c r="K81" i="69"/>
  <c r="J81" i="69"/>
  <c r="I81" i="69"/>
  <c r="H81" i="69"/>
  <c r="G81" i="69"/>
  <c r="F81" i="69"/>
  <c r="DH80" i="69"/>
  <c r="DF80" i="69"/>
  <c r="DM80" i="69" s="1"/>
  <c r="CS80" i="69"/>
  <c r="CF80" i="69"/>
  <c r="BS80" i="69"/>
  <c r="BF80" i="69"/>
  <c r="AS80" i="69"/>
  <c r="AF80" i="69"/>
  <c r="S80" i="69"/>
  <c r="DF79" i="69"/>
  <c r="CS79" i="69"/>
  <c r="CF79" i="69"/>
  <c r="BS79" i="69"/>
  <c r="BF79" i="69"/>
  <c r="AS79" i="69"/>
  <c r="AF79" i="69"/>
  <c r="S79" i="69"/>
  <c r="DG78" i="69"/>
  <c r="DE78" i="69"/>
  <c r="DD78" i="69"/>
  <c r="DC78" i="69"/>
  <c r="DB78" i="69"/>
  <c r="DA78" i="69"/>
  <c r="CZ78" i="69"/>
  <c r="CY78" i="69"/>
  <c r="CX78" i="69"/>
  <c r="CW78" i="69"/>
  <c r="CV78" i="69"/>
  <c r="CU78" i="69"/>
  <c r="CT78" i="69"/>
  <c r="CR78" i="69"/>
  <c r="CQ78" i="69"/>
  <c r="CP78" i="69"/>
  <c r="CO78" i="69"/>
  <c r="CN78" i="69"/>
  <c r="CM78" i="69"/>
  <c r="CL78" i="69"/>
  <c r="CK78" i="69"/>
  <c r="CJ78" i="69"/>
  <c r="CI78" i="69"/>
  <c r="CH78" i="69"/>
  <c r="CG78" i="69"/>
  <c r="CE78" i="69"/>
  <c r="CD78" i="69"/>
  <c r="CC78" i="69"/>
  <c r="CB78" i="69"/>
  <c r="CA78" i="69"/>
  <c r="BZ78" i="69"/>
  <c r="BY78" i="69"/>
  <c r="BX78" i="69"/>
  <c r="BW78" i="69"/>
  <c r="BV78" i="69"/>
  <c r="BU78" i="69"/>
  <c r="BT78" i="69"/>
  <c r="BR78" i="69"/>
  <c r="BQ78" i="69"/>
  <c r="BP78" i="69"/>
  <c r="BO78" i="69"/>
  <c r="BN78" i="69"/>
  <c r="BM78" i="69"/>
  <c r="BL78" i="69"/>
  <c r="BK78" i="69"/>
  <c r="BJ78" i="69"/>
  <c r="BI78" i="69"/>
  <c r="BH78" i="69"/>
  <c r="BG78" i="69"/>
  <c r="BE78" i="69"/>
  <c r="BD78" i="69"/>
  <c r="BC78" i="69"/>
  <c r="BB78" i="69"/>
  <c r="BA78" i="69"/>
  <c r="AZ78" i="69"/>
  <c r="AY78" i="69"/>
  <c r="AX78" i="69"/>
  <c r="AW78" i="69"/>
  <c r="AV78" i="69"/>
  <c r="AU78" i="69"/>
  <c r="AT78" i="69"/>
  <c r="AR78" i="69"/>
  <c r="AQ78" i="69"/>
  <c r="AP78" i="69"/>
  <c r="AO78" i="69"/>
  <c r="AN78" i="69"/>
  <c r="AM78" i="69"/>
  <c r="AL78" i="69"/>
  <c r="AK78" i="69"/>
  <c r="AJ78" i="69"/>
  <c r="AI78" i="69"/>
  <c r="AH78" i="69"/>
  <c r="AG78" i="69"/>
  <c r="AE78" i="69"/>
  <c r="AD78" i="69"/>
  <c r="AC78" i="69"/>
  <c r="AB78" i="69"/>
  <c r="AA78" i="69"/>
  <c r="Z78" i="69"/>
  <c r="Y78" i="69"/>
  <c r="X78" i="69"/>
  <c r="W78" i="69"/>
  <c r="V78" i="69"/>
  <c r="U78" i="69"/>
  <c r="T78" i="69"/>
  <c r="R78" i="69"/>
  <c r="Q78" i="69"/>
  <c r="P78" i="69"/>
  <c r="O78" i="69"/>
  <c r="N78" i="69"/>
  <c r="M78" i="69"/>
  <c r="L78" i="69"/>
  <c r="K78" i="69"/>
  <c r="J78" i="69"/>
  <c r="I78" i="69"/>
  <c r="H78" i="69"/>
  <c r="G78" i="69"/>
  <c r="F78" i="69"/>
  <c r="DF77" i="69"/>
  <c r="CS77" i="69"/>
  <c r="CF77" i="69"/>
  <c r="BS77" i="69"/>
  <c r="BF77" i="69"/>
  <c r="AS77" i="69"/>
  <c r="AF77" i="69"/>
  <c r="S77" i="69"/>
  <c r="DF76" i="69"/>
  <c r="CS76" i="69"/>
  <c r="CF76" i="69"/>
  <c r="BS76" i="69"/>
  <c r="BF76" i="69"/>
  <c r="AS76" i="69"/>
  <c r="AF76" i="69"/>
  <c r="S76" i="69"/>
  <c r="DG75" i="69"/>
  <c r="DE75" i="69"/>
  <c r="DD75" i="69"/>
  <c r="DC75" i="69"/>
  <c r="DB75" i="69"/>
  <c r="DA75" i="69"/>
  <c r="CZ75" i="69"/>
  <c r="CY75" i="69"/>
  <c r="CX75" i="69"/>
  <c r="CW75" i="69"/>
  <c r="CV75" i="69"/>
  <c r="CU75" i="69"/>
  <c r="CT75" i="69"/>
  <c r="CR75" i="69"/>
  <c r="CQ75" i="69"/>
  <c r="CP75" i="69"/>
  <c r="CO75" i="69"/>
  <c r="CN75" i="69"/>
  <c r="CM75" i="69"/>
  <c r="CL75" i="69"/>
  <c r="CK75" i="69"/>
  <c r="CJ75" i="69"/>
  <c r="CI75" i="69"/>
  <c r="CH75" i="69"/>
  <c r="CG75" i="69"/>
  <c r="CE75" i="69"/>
  <c r="CD75" i="69"/>
  <c r="CC75" i="69"/>
  <c r="CB75" i="69"/>
  <c r="CA75" i="69"/>
  <c r="BZ75" i="69"/>
  <c r="BY75" i="69"/>
  <c r="BX75" i="69"/>
  <c r="BW75" i="69"/>
  <c r="BV75" i="69"/>
  <c r="BU75" i="69"/>
  <c r="BT75" i="69"/>
  <c r="BR75" i="69"/>
  <c r="BQ75" i="69"/>
  <c r="BP75" i="69"/>
  <c r="BO75" i="69"/>
  <c r="BN75" i="69"/>
  <c r="BM75" i="69"/>
  <c r="BL75" i="69"/>
  <c r="BK75" i="69"/>
  <c r="BJ75" i="69"/>
  <c r="BI75" i="69"/>
  <c r="BH75" i="69"/>
  <c r="BG75" i="69"/>
  <c r="BE75" i="69"/>
  <c r="BD75" i="69"/>
  <c r="BC75" i="69"/>
  <c r="BB75" i="69"/>
  <c r="BA75" i="69"/>
  <c r="AZ75" i="69"/>
  <c r="AY75" i="69"/>
  <c r="AX75" i="69"/>
  <c r="AW75" i="69"/>
  <c r="AV75" i="69"/>
  <c r="AU75" i="69"/>
  <c r="AT75" i="69"/>
  <c r="AR75" i="69"/>
  <c r="AQ75" i="69"/>
  <c r="AP75" i="69"/>
  <c r="AO75" i="69"/>
  <c r="AN75" i="69"/>
  <c r="AM75" i="69"/>
  <c r="AL75" i="69"/>
  <c r="AK75" i="69"/>
  <c r="AJ75" i="69"/>
  <c r="AI75" i="69"/>
  <c r="AH75" i="69"/>
  <c r="AG75" i="69"/>
  <c r="AE75" i="69"/>
  <c r="AD75" i="69"/>
  <c r="AC75" i="69"/>
  <c r="AB75" i="69"/>
  <c r="AA75" i="69"/>
  <c r="Z75" i="69"/>
  <c r="Y75" i="69"/>
  <c r="X75" i="69"/>
  <c r="W75" i="69"/>
  <c r="V75" i="69"/>
  <c r="U75" i="69"/>
  <c r="T75" i="69"/>
  <c r="R75" i="69"/>
  <c r="Q75" i="69"/>
  <c r="P75" i="69"/>
  <c r="O75" i="69"/>
  <c r="N75" i="69"/>
  <c r="M75" i="69"/>
  <c r="L75" i="69"/>
  <c r="K75" i="69"/>
  <c r="J75" i="69"/>
  <c r="I75" i="69"/>
  <c r="H75" i="69"/>
  <c r="G75" i="69"/>
  <c r="F75" i="69"/>
  <c r="DF74" i="69"/>
  <c r="CS74" i="69"/>
  <c r="CF74" i="69"/>
  <c r="BS74" i="69"/>
  <c r="BF74" i="69"/>
  <c r="AS74" i="69"/>
  <c r="AF74" i="69"/>
  <c r="S74" i="69"/>
  <c r="DF73" i="69"/>
  <c r="CS73" i="69"/>
  <c r="CF73" i="69"/>
  <c r="BS73" i="69"/>
  <c r="BF73" i="69"/>
  <c r="AS73" i="69"/>
  <c r="AF73" i="69"/>
  <c r="S73" i="69"/>
  <c r="DG72" i="69"/>
  <c r="DE72" i="69"/>
  <c r="DD72" i="69"/>
  <c r="DC72" i="69"/>
  <c r="DB72" i="69"/>
  <c r="DA72" i="69"/>
  <c r="CZ72" i="69"/>
  <c r="CY72" i="69"/>
  <c r="CX72" i="69"/>
  <c r="CW72" i="69"/>
  <c r="CV72" i="69"/>
  <c r="DF72" i="69" s="1"/>
  <c r="CU72" i="69"/>
  <c r="CT72" i="69"/>
  <c r="CR72" i="69"/>
  <c r="CQ72" i="69"/>
  <c r="CP72" i="69"/>
  <c r="CO72" i="69"/>
  <c r="CN72" i="69"/>
  <c r="CM72" i="69"/>
  <c r="CL72" i="69"/>
  <c r="CK72" i="69"/>
  <c r="CJ72" i="69"/>
  <c r="CI72" i="69"/>
  <c r="CH72" i="69"/>
  <c r="CG72" i="69"/>
  <c r="CE72" i="69"/>
  <c r="CD72" i="69"/>
  <c r="CC72" i="69"/>
  <c r="CB72" i="69"/>
  <c r="CA72" i="69"/>
  <c r="BZ72" i="69"/>
  <c r="BY72" i="69"/>
  <c r="BX72" i="69"/>
  <c r="BW72" i="69"/>
  <c r="BV72" i="69"/>
  <c r="BU72" i="69"/>
  <c r="BT72" i="69"/>
  <c r="BR72" i="69"/>
  <c r="BQ72" i="69"/>
  <c r="BP72" i="69"/>
  <c r="BO72" i="69"/>
  <c r="BN72" i="69"/>
  <c r="BM72" i="69"/>
  <c r="BL72" i="69"/>
  <c r="BK72" i="69"/>
  <c r="BJ72" i="69"/>
  <c r="BI72" i="69"/>
  <c r="BH72" i="69"/>
  <c r="BG72" i="69"/>
  <c r="BE72" i="69"/>
  <c r="BD72" i="69"/>
  <c r="BC72" i="69"/>
  <c r="BB72" i="69"/>
  <c r="BA72" i="69"/>
  <c r="AZ72" i="69"/>
  <c r="AY72" i="69"/>
  <c r="AX72" i="69"/>
  <c r="AW72" i="69"/>
  <c r="AV72" i="69"/>
  <c r="AU72" i="69"/>
  <c r="AT72" i="69"/>
  <c r="AR72" i="69"/>
  <c r="AQ72" i="69"/>
  <c r="AP72" i="69"/>
  <c r="AO72" i="69"/>
  <c r="AN72" i="69"/>
  <c r="AM72" i="69"/>
  <c r="AL72" i="69"/>
  <c r="AK72" i="69"/>
  <c r="AJ72" i="69"/>
  <c r="AI72" i="69"/>
  <c r="AH72" i="69"/>
  <c r="AG72" i="69"/>
  <c r="AE72" i="69"/>
  <c r="AD72" i="69"/>
  <c r="AC72" i="69"/>
  <c r="AB72" i="69"/>
  <c r="AA72" i="69"/>
  <c r="Z72" i="69"/>
  <c r="Y72" i="69"/>
  <c r="X72" i="69"/>
  <c r="W72" i="69"/>
  <c r="V72" i="69"/>
  <c r="U72" i="69"/>
  <c r="T72" i="69"/>
  <c r="R72" i="69"/>
  <c r="Q72" i="69"/>
  <c r="P72" i="69"/>
  <c r="O72" i="69"/>
  <c r="N72" i="69"/>
  <c r="M72" i="69"/>
  <c r="L72" i="69"/>
  <c r="K72" i="69"/>
  <c r="J72" i="69"/>
  <c r="I72" i="69"/>
  <c r="H72" i="69"/>
  <c r="G72" i="69"/>
  <c r="F72" i="69"/>
  <c r="DF71" i="69"/>
  <c r="CS71" i="69"/>
  <c r="CF71" i="69"/>
  <c r="BS71" i="69"/>
  <c r="BF71" i="69"/>
  <c r="AS71" i="69"/>
  <c r="AF71" i="69"/>
  <c r="S71" i="69"/>
  <c r="DF70" i="69"/>
  <c r="CS70" i="69"/>
  <c r="CF70" i="69"/>
  <c r="BS70" i="69"/>
  <c r="BF70" i="69"/>
  <c r="AS70" i="69"/>
  <c r="AF70" i="69"/>
  <c r="E70" i="69" s="1"/>
  <c r="S70" i="69"/>
  <c r="DG69" i="69"/>
  <c r="DE69" i="69"/>
  <c r="DD69" i="69"/>
  <c r="DC69" i="69"/>
  <c r="DB69" i="69"/>
  <c r="DA69" i="69"/>
  <c r="CZ69" i="69"/>
  <c r="CY69" i="69"/>
  <c r="CX69" i="69"/>
  <c r="CW69" i="69"/>
  <c r="CV69" i="69"/>
  <c r="CU69" i="69"/>
  <c r="CT69" i="69"/>
  <c r="CR69" i="69"/>
  <c r="CS69" i="69" s="1"/>
  <c r="CQ69" i="69"/>
  <c r="CP69" i="69"/>
  <c r="CO69" i="69"/>
  <c r="CN69" i="69"/>
  <c r="CM69" i="69"/>
  <c r="CL69" i="69"/>
  <c r="CK69" i="69"/>
  <c r="CJ69" i="69"/>
  <c r="CI69" i="69"/>
  <c r="CH69" i="69"/>
  <c r="CG69" i="69"/>
  <c r="CE69" i="69"/>
  <c r="CD69" i="69"/>
  <c r="CC69" i="69"/>
  <c r="CB69" i="69"/>
  <c r="CA69" i="69"/>
  <c r="BZ69" i="69"/>
  <c r="BY69" i="69"/>
  <c r="BX69" i="69"/>
  <c r="BW69" i="69"/>
  <c r="BV69" i="69"/>
  <c r="BU69" i="69"/>
  <c r="BT69" i="69"/>
  <c r="BR69" i="69"/>
  <c r="BQ69" i="69"/>
  <c r="BP69" i="69"/>
  <c r="BO69" i="69"/>
  <c r="BN69" i="69"/>
  <c r="BM69" i="69"/>
  <c r="BL69" i="69"/>
  <c r="BK69" i="69"/>
  <c r="BJ69" i="69"/>
  <c r="BI69" i="69"/>
  <c r="BH69" i="69"/>
  <c r="BG69" i="69"/>
  <c r="BE69" i="69"/>
  <c r="BD69" i="69"/>
  <c r="BC69" i="69"/>
  <c r="BB69" i="69"/>
  <c r="BA69" i="69"/>
  <c r="AZ69" i="69"/>
  <c r="AY69" i="69"/>
  <c r="AX69" i="69"/>
  <c r="AW69" i="69"/>
  <c r="AV69" i="69"/>
  <c r="AU69" i="69"/>
  <c r="AT69" i="69"/>
  <c r="AR69" i="69"/>
  <c r="AQ69" i="69"/>
  <c r="AP69" i="69"/>
  <c r="AO69" i="69"/>
  <c r="AN69" i="69"/>
  <c r="AM69" i="69"/>
  <c r="AL69" i="69"/>
  <c r="AK69" i="69"/>
  <c r="AJ69" i="69"/>
  <c r="AI69" i="69"/>
  <c r="AH69" i="69"/>
  <c r="AG69" i="69"/>
  <c r="AE69" i="69"/>
  <c r="AD69" i="69"/>
  <c r="AC69" i="69"/>
  <c r="AB69" i="69"/>
  <c r="AA69" i="69"/>
  <c r="Z69" i="69"/>
  <c r="Y69" i="69"/>
  <c r="X69" i="69"/>
  <c r="W69" i="69"/>
  <c r="V69" i="69"/>
  <c r="U69" i="69"/>
  <c r="T69" i="69"/>
  <c r="R69" i="69"/>
  <c r="Q69" i="69"/>
  <c r="P69" i="69"/>
  <c r="O69" i="69"/>
  <c r="N69" i="69"/>
  <c r="M69" i="69"/>
  <c r="L69" i="69"/>
  <c r="K69" i="69"/>
  <c r="J69" i="69"/>
  <c r="I69" i="69"/>
  <c r="H69" i="69"/>
  <c r="G69" i="69"/>
  <c r="F69" i="69"/>
  <c r="DH68" i="69"/>
  <c r="DF68" i="69"/>
  <c r="CS68" i="69"/>
  <c r="CF68" i="69"/>
  <c r="E68" i="69" s="1"/>
  <c r="DI68" i="69" s="1"/>
  <c r="DJ68" i="69" s="1"/>
  <c r="BS68" i="69"/>
  <c r="BF68" i="69"/>
  <c r="AS68" i="69"/>
  <c r="AF68" i="69"/>
  <c r="S68" i="69"/>
  <c r="DF67" i="69"/>
  <c r="CS67" i="69"/>
  <c r="DM67" i="69" s="1"/>
  <c r="CF67" i="69"/>
  <c r="BS67" i="69"/>
  <c r="BF67" i="69"/>
  <c r="AS67" i="69"/>
  <c r="AF67" i="69"/>
  <c r="S67" i="69"/>
  <c r="DG66" i="69"/>
  <c r="DE66" i="69"/>
  <c r="DD66" i="69"/>
  <c r="DC66" i="69"/>
  <c r="DB66" i="69"/>
  <c r="DA66" i="69"/>
  <c r="CZ66" i="69"/>
  <c r="CY66" i="69"/>
  <c r="CX66" i="69"/>
  <c r="CW66" i="69"/>
  <c r="CV66" i="69"/>
  <c r="CU66" i="69"/>
  <c r="CT66" i="69"/>
  <c r="CR66" i="69"/>
  <c r="CQ66" i="69"/>
  <c r="CP66" i="69"/>
  <c r="CO66" i="69"/>
  <c r="CN66" i="69"/>
  <c r="CM66" i="69"/>
  <c r="CL66" i="69"/>
  <c r="CK66" i="69"/>
  <c r="CJ66" i="69"/>
  <c r="CI66" i="69"/>
  <c r="CH66" i="69"/>
  <c r="CG66" i="69"/>
  <c r="CE66" i="69"/>
  <c r="CD66" i="69"/>
  <c r="CC66" i="69"/>
  <c r="CB66" i="69"/>
  <c r="CA66" i="69"/>
  <c r="BZ66" i="69"/>
  <c r="BY66" i="69"/>
  <c r="BX66" i="69"/>
  <c r="BW66" i="69"/>
  <c r="BV66" i="69"/>
  <c r="BU66" i="69"/>
  <c r="BT66" i="69"/>
  <c r="BR66" i="69"/>
  <c r="BQ66" i="69"/>
  <c r="BP66" i="69"/>
  <c r="BO66" i="69"/>
  <c r="BN66" i="69"/>
  <c r="BM66" i="69"/>
  <c r="BL66" i="69"/>
  <c r="BK66" i="69"/>
  <c r="BJ66" i="69"/>
  <c r="BI66" i="69"/>
  <c r="BH66" i="69"/>
  <c r="BG66" i="69"/>
  <c r="BE66" i="69"/>
  <c r="BD66" i="69"/>
  <c r="BC66" i="69"/>
  <c r="BB66" i="69"/>
  <c r="BA66" i="69"/>
  <c r="AZ66" i="69"/>
  <c r="AY66" i="69"/>
  <c r="AX66" i="69"/>
  <c r="AW66" i="69"/>
  <c r="AV66" i="69"/>
  <c r="AU66" i="69"/>
  <c r="AT66" i="69"/>
  <c r="AR66" i="69"/>
  <c r="AQ66" i="69"/>
  <c r="AP66" i="69"/>
  <c r="AO66" i="69"/>
  <c r="AN66" i="69"/>
  <c r="AM66" i="69"/>
  <c r="AL66" i="69"/>
  <c r="AK66" i="69"/>
  <c r="AJ66" i="69"/>
  <c r="AI66" i="69"/>
  <c r="AH66" i="69"/>
  <c r="AG66" i="69"/>
  <c r="AE66" i="69"/>
  <c r="AD66" i="69"/>
  <c r="AC66" i="69"/>
  <c r="AB66" i="69"/>
  <c r="AA66" i="69"/>
  <c r="Z66" i="69"/>
  <c r="Y66" i="69"/>
  <c r="X66" i="69"/>
  <c r="W66" i="69"/>
  <c r="V66" i="69"/>
  <c r="U66" i="69"/>
  <c r="T66" i="69"/>
  <c r="R66" i="69"/>
  <c r="Q66" i="69"/>
  <c r="P66" i="69"/>
  <c r="O66" i="69"/>
  <c r="N66" i="69"/>
  <c r="M66" i="69"/>
  <c r="L66" i="69"/>
  <c r="K66" i="69"/>
  <c r="J66" i="69"/>
  <c r="I66" i="69"/>
  <c r="H66" i="69"/>
  <c r="G66" i="69"/>
  <c r="F66" i="69"/>
  <c r="DF65" i="69"/>
  <c r="CS65" i="69"/>
  <c r="CF65" i="69"/>
  <c r="BS65" i="69"/>
  <c r="BF65" i="69"/>
  <c r="AS65" i="69"/>
  <c r="AF65" i="69"/>
  <c r="S65" i="69"/>
  <c r="DF64" i="69"/>
  <c r="CS64" i="69"/>
  <c r="CF64" i="69"/>
  <c r="BS64" i="69"/>
  <c r="BF64" i="69"/>
  <c r="AS64" i="69"/>
  <c r="DM64" i="69" s="1"/>
  <c r="AF64" i="69"/>
  <c r="S64" i="69"/>
  <c r="DG63" i="69"/>
  <c r="DE63" i="69"/>
  <c r="DD63" i="69"/>
  <c r="DC63" i="69"/>
  <c r="DB63" i="69"/>
  <c r="DA63" i="69"/>
  <c r="CZ63" i="69"/>
  <c r="CY63" i="69"/>
  <c r="CX63" i="69"/>
  <c r="CW63" i="69"/>
  <c r="CV63" i="69"/>
  <c r="CU63" i="69"/>
  <c r="CT63" i="69"/>
  <c r="CR63" i="69"/>
  <c r="CQ63" i="69"/>
  <c r="CP63" i="69"/>
  <c r="CO63" i="69"/>
  <c r="CN63" i="69"/>
  <c r="CM63" i="69"/>
  <c r="CL63" i="69"/>
  <c r="CK63" i="69"/>
  <c r="CJ63" i="69"/>
  <c r="CI63" i="69"/>
  <c r="CH63" i="69"/>
  <c r="CG63" i="69"/>
  <c r="CE63" i="69"/>
  <c r="CD63" i="69"/>
  <c r="CC63" i="69"/>
  <c r="CB63" i="69"/>
  <c r="CA63" i="69"/>
  <c r="BZ63" i="69"/>
  <c r="BY63" i="69"/>
  <c r="BX63" i="69"/>
  <c r="BW63" i="69"/>
  <c r="BV63" i="69"/>
  <c r="BU63" i="69"/>
  <c r="BT63" i="69"/>
  <c r="BR63" i="69"/>
  <c r="BQ63" i="69"/>
  <c r="BP63" i="69"/>
  <c r="BO63" i="69"/>
  <c r="BN63" i="69"/>
  <c r="BM63" i="69"/>
  <c r="BL63" i="69"/>
  <c r="BK63" i="69"/>
  <c r="BJ63" i="69"/>
  <c r="BI63" i="69"/>
  <c r="BH63" i="69"/>
  <c r="BG63" i="69"/>
  <c r="BE63" i="69"/>
  <c r="BD63" i="69"/>
  <c r="BC63" i="69"/>
  <c r="BB63" i="69"/>
  <c r="AZ63" i="69"/>
  <c r="AY63" i="69"/>
  <c r="AX63" i="69"/>
  <c r="AW63" i="69"/>
  <c r="AV63" i="69"/>
  <c r="AU63" i="69"/>
  <c r="AT63" i="69"/>
  <c r="AR63" i="69"/>
  <c r="AQ63" i="69"/>
  <c r="AP63" i="69"/>
  <c r="AO63" i="69"/>
  <c r="AN63" i="69"/>
  <c r="AM63" i="69"/>
  <c r="AL63" i="69"/>
  <c r="AK63" i="69"/>
  <c r="AJ63" i="69"/>
  <c r="AI63" i="69"/>
  <c r="AH63" i="69"/>
  <c r="AG63" i="69"/>
  <c r="AE63" i="69"/>
  <c r="AD63" i="69"/>
  <c r="AC63" i="69"/>
  <c r="AB63" i="69"/>
  <c r="AA63" i="69"/>
  <c r="Z63" i="69"/>
  <c r="Y63" i="69"/>
  <c r="X63" i="69"/>
  <c r="W63" i="69"/>
  <c r="V63" i="69"/>
  <c r="U63" i="69"/>
  <c r="T63" i="69"/>
  <c r="R63" i="69"/>
  <c r="Q63" i="69"/>
  <c r="P63" i="69"/>
  <c r="O63" i="69"/>
  <c r="N63" i="69"/>
  <c r="M63" i="69"/>
  <c r="L63" i="69"/>
  <c r="K63" i="69"/>
  <c r="J63" i="69"/>
  <c r="I63" i="69"/>
  <c r="H63" i="69"/>
  <c r="G63" i="69"/>
  <c r="F63" i="69"/>
  <c r="DF62" i="69"/>
  <c r="CS62" i="69"/>
  <c r="CF62" i="69"/>
  <c r="BS62" i="69"/>
  <c r="AS62" i="69"/>
  <c r="AF62" i="69"/>
  <c r="S62" i="69"/>
  <c r="DF61" i="69"/>
  <c r="CS61" i="69"/>
  <c r="CF61" i="69"/>
  <c r="BS61" i="69"/>
  <c r="AS61" i="69"/>
  <c r="AF61" i="69"/>
  <c r="S61" i="69"/>
  <c r="DG60" i="69"/>
  <c r="DE60" i="69"/>
  <c r="DD60" i="69"/>
  <c r="DC60" i="69"/>
  <c r="DB60" i="69"/>
  <c r="DA60" i="69"/>
  <c r="CZ60" i="69"/>
  <c r="CY60" i="69"/>
  <c r="CX60" i="69"/>
  <c r="CW60" i="69"/>
  <c r="CV60" i="69"/>
  <c r="CU60" i="69"/>
  <c r="CT60" i="69"/>
  <c r="CR60" i="69"/>
  <c r="CQ60" i="69"/>
  <c r="CP60" i="69"/>
  <c r="CO60" i="69"/>
  <c r="CN60" i="69"/>
  <c r="CM60" i="69"/>
  <c r="CL60" i="69"/>
  <c r="CK60" i="69"/>
  <c r="CJ60" i="69"/>
  <c r="CI60" i="69"/>
  <c r="CH60" i="69"/>
  <c r="CG60" i="69"/>
  <c r="CE60" i="69"/>
  <c r="CD60" i="69"/>
  <c r="CC60" i="69"/>
  <c r="CB60" i="69"/>
  <c r="CA60" i="69"/>
  <c r="BZ60" i="69"/>
  <c r="BY60" i="69"/>
  <c r="BX60" i="69"/>
  <c r="BW60" i="69"/>
  <c r="BV60" i="69"/>
  <c r="BU60" i="69"/>
  <c r="BT60" i="69"/>
  <c r="BR60" i="69"/>
  <c r="BQ60" i="69"/>
  <c r="BP60" i="69"/>
  <c r="BO60" i="69"/>
  <c r="BN60" i="69"/>
  <c r="BM60" i="69"/>
  <c r="BL60" i="69"/>
  <c r="BK60" i="69"/>
  <c r="BJ60" i="69"/>
  <c r="BI60" i="69"/>
  <c r="BH60" i="69"/>
  <c r="BG60" i="69"/>
  <c r="BE60" i="69"/>
  <c r="BD60" i="69"/>
  <c r="BC60" i="69"/>
  <c r="BB60" i="69"/>
  <c r="AZ60" i="69"/>
  <c r="AY60" i="69"/>
  <c r="AX60" i="69"/>
  <c r="AW60" i="69"/>
  <c r="AV60" i="69"/>
  <c r="AU60" i="69"/>
  <c r="AT60" i="69"/>
  <c r="AR60" i="69"/>
  <c r="AQ60" i="69"/>
  <c r="AP60" i="69"/>
  <c r="AO60" i="69"/>
  <c r="AN60" i="69"/>
  <c r="AM60" i="69"/>
  <c r="AL60" i="69"/>
  <c r="AK60" i="69"/>
  <c r="AJ60" i="69"/>
  <c r="AI60" i="69"/>
  <c r="AH60" i="69"/>
  <c r="AG60" i="69"/>
  <c r="AE60" i="69"/>
  <c r="AD60" i="69"/>
  <c r="AC60" i="69"/>
  <c r="AB60" i="69"/>
  <c r="AA60" i="69"/>
  <c r="Z60" i="69"/>
  <c r="Y60" i="69"/>
  <c r="X60" i="69"/>
  <c r="W60" i="69"/>
  <c r="V60" i="69"/>
  <c r="U60" i="69"/>
  <c r="T60" i="69"/>
  <c r="R60" i="69"/>
  <c r="Q60" i="69"/>
  <c r="P60" i="69"/>
  <c r="O60" i="69"/>
  <c r="N60" i="69"/>
  <c r="M60" i="69"/>
  <c r="L60" i="69"/>
  <c r="K60" i="69"/>
  <c r="J60" i="69"/>
  <c r="I60" i="69"/>
  <c r="H60" i="69"/>
  <c r="G60" i="69"/>
  <c r="F60" i="69"/>
  <c r="DF59" i="69"/>
  <c r="CS59" i="69"/>
  <c r="CF59" i="69"/>
  <c r="BS59" i="69"/>
  <c r="BA59" i="69"/>
  <c r="AS59" i="69"/>
  <c r="AF59" i="69"/>
  <c r="S59" i="69"/>
  <c r="DF58" i="69"/>
  <c r="CS58" i="69"/>
  <c r="CF58" i="69"/>
  <c r="BS58" i="69"/>
  <c r="BA58" i="69"/>
  <c r="BF58" i="69" s="1"/>
  <c r="DH58" i="69" s="1"/>
  <c r="AS58" i="69"/>
  <c r="AF58" i="69"/>
  <c r="S58" i="69"/>
  <c r="AR57" i="69"/>
  <c r="AQ57" i="69"/>
  <c r="AP57" i="69"/>
  <c r="AO57" i="69"/>
  <c r="AN57" i="69"/>
  <c r="AM57" i="69"/>
  <c r="AL57" i="69"/>
  <c r="AK57" i="69"/>
  <c r="AJ57" i="69"/>
  <c r="AI57" i="69"/>
  <c r="AH57" i="69"/>
  <c r="AG57" i="69"/>
  <c r="AE57" i="69"/>
  <c r="AD57" i="69"/>
  <c r="AC57" i="69"/>
  <c r="AB57" i="69"/>
  <c r="AA57" i="69"/>
  <c r="Z57" i="69"/>
  <c r="Y57" i="69"/>
  <c r="X57" i="69"/>
  <c r="W57" i="69"/>
  <c r="V57" i="69"/>
  <c r="U57" i="69"/>
  <c r="T57" i="69"/>
  <c r="R57" i="69"/>
  <c r="Q57" i="69"/>
  <c r="P57" i="69"/>
  <c r="O57" i="69"/>
  <c r="N57" i="69"/>
  <c r="M57" i="69"/>
  <c r="L57" i="69"/>
  <c r="K57" i="69"/>
  <c r="J57" i="69"/>
  <c r="I57" i="69"/>
  <c r="H57" i="69"/>
  <c r="G57" i="69"/>
  <c r="F57" i="69"/>
  <c r="DM56" i="69"/>
  <c r="DN56" i="69" s="1"/>
  <c r="AS56" i="69"/>
  <c r="AF56" i="69"/>
  <c r="S56" i="69"/>
  <c r="DH56" i="69" s="1"/>
  <c r="E56" i="69"/>
  <c r="DI56" i="69" s="1"/>
  <c r="AS55" i="69"/>
  <c r="DM55" i="69" s="1"/>
  <c r="AF55" i="69"/>
  <c r="S55" i="69"/>
  <c r="DH55" i="69" s="1"/>
  <c r="AR54" i="69"/>
  <c r="AQ54" i="69"/>
  <c r="AP54" i="69"/>
  <c r="AO54" i="69"/>
  <c r="AN54" i="69"/>
  <c r="AM54" i="69"/>
  <c r="AL54" i="69"/>
  <c r="AK54" i="69"/>
  <c r="AJ54" i="69"/>
  <c r="AI54" i="69"/>
  <c r="AH54" i="69"/>
  <c r="AG54" i="69"/>
  <c r="AE54" i="69"/>
  <c r="AD54" i="69"/>
  <c r="AC54" i="69"/>
  <c r="AB54" i="69"/>
  <c r="AA54" i="69"/>
  <c r="Z54" i="69"/>
  <c r="Y54" i="69"/>
  <c r="X54" i="69"/>
  <c r="W54" i="69"/>
  <c r="V54" i="69"/>
  <c r="U54" i="69"/>
  <c r="T54" i="69"/>
  <c r="R54" i="69"/>
  <c r="Q54" i="69"/>
  <c r="P54" i="69"/>
  <c r="O54" i="69"/>
  <c r="N54" i="69"/>
  <c r="M54" i="69"/>
  <c r="L54" i="69"/>
  <c r="K54" i="69"/>
  <c r="J54" i="69"/>
  <c r="I54" i="69"/>
  <c r="H54" i="69"/>
  <c r="G54" i="69"/>
  <c r="F54" i="69"/>
  <c r="DM53" i="69"/>
  <c r="AS53" i="69"/>
  <c r="AF53" i="69"/>
  <c r="S53" i="69"/>
  <c r="AS52" i="69"/>
  <c r="DM52" i="69" s="1"/>
  <c r="AF52" i="69"/>
  <c r="S52" i="69"/>
  <c r="DG51" i="69"/>
  <c r="DE51" i="69"/>
  <c r="DD51" i="69"/>
  <c r="DC51" i="69"/>
  <c r="DB51" i="69"/>
  <c r="DA51" i="69"/>
  <c r="CZ51" i="69"/>
  <c r="CY51" i="69"/>
  <c r="CX51" i="69"/>
  <c r="CW51" i="69"/>
  <c r="CV51" i="69"/>
  <c r="CU51" i="69"/>
  <c r="CT51" i="69"/>
  <c r="CR51" i="69"/>
  <c r="CQ51" i="69"/>
  <c r="CP51" i="69"/>
  <c r="CO51" i="69"/>
  <c r="CN51" i="69"/>
  <c r="CM51" i="69"/>
  <c r="CL51" i="69"/>
  <c r="CK51" i="69"/>
  <c r="CJ51" i="69"/>
  <c r="CI51" i="69"/>
  <c r="CH51" i="69"/>
  <c r="CG51" i="69"/>
  <c r="CE51" i="69"/>
  <c r="CD51" i="69"/>
  <c r="CC51" i="69"/>
  <c r="CB51" i="69"/>
  <c r="CA51" i="69"/>
  <c r="BZ51" i="69"/>
  <c r="BY51" i="69"/>
  <c r="BX51" i="69"/>
  <c r="BW51" i="69"/>
  <c r="BV51" i="69"/>
  <c r="BU51" i="69"/>
  <c r="BT51" i="69"/>
  <c r="BR51" i="69"/>
  <c r="BQ51" i="69"/>
  <c r="BP51" i="69"/>
  <c r="BO51" i="69"/>
  <c r="BN51" i="69"/>
  <c r="BM51" i="69"/>
  <c r="BL51" i="69"/>
  <c r="BK51" i="69"/>
  <c r="BJ51" i="69"/>
  <c r="BI51" i="69"/>
  <c r="BH51" i="69"/>
  <c r="BG51" i="69"/>
  <c r="BE51" i="69"/>
  <c r="BD51" i="69"/>
  <c r="BC51" i="69"/>
  <c r="BB51" i="69"/>
  <c r="BA51" i="69"/>
  <c r="AZ51" i="69"/>
  <c r="AY51" i="69"/>
  <c r="AX51" i="69"/>
  <c r="AW51" i="69"/>
  <c r="AV51" i="69"/>
  <c r="AU51" i="69"/>
  <c r="AT51" i="69"/>
  <c r="AR51" i="69"/>
  <c r="AQ51" i="69"/>
  <c r="AP51" i="69"/>
  <c r="AO51" i="69"/>
  <c r="AN51" i="69"/>
  <c r="AM51" i="69"/>
  <c r="AL51" i="69"/>
  <c r="AK51" i="69"/>
  <c r="AJ51" i="69"/>
  <c r="AI51" i="69"/>
  <c r="AH51" i="69"/>
  <c r="AG51" i="69"/>
  <c r="AS51" i="69" s="1"/>
  <c r="AE51" i="69"/>
  <c r="AD51" i="69"/>
  <c r="AC51" i="69"/>
  <c r="AB51" i="69"/>
  <c r="AA51" i="69"/>
  <c r="Z51" i="69"/>
  <c r="Y51" i="69"/>
  <c r="X51" i="69"/>
  <c r="W51" i="69"/>
  <c r="V51" i="69"/>
  <c r="U51" i="69"/>
  <c r="T51" i="69"/>
  <c r="R51" i="69"/>
  <c r="Q51" i="69"/>
  <c r="P51" i="69"/>
  <c r="O51" i="69"/>
  <c r="N51" i="69"/>
  <c r="S51" i="69" s="1"/>
  <c r="M51" i="69"/>
  <c r="L51" i="69"/>
  <c r="K51" i="69"/>
  <c r="J51" i="69"/>
  <c r="I51" i="69"/>
  <c r="H51" i="69"/>
  <c r="G51" i="69"/>
  <c r="F51" i="69"/>
  <c r="DF50" i="69"/>
  <c r="CS50" i="69"/>
  <c r="CF50" i="69"/>
  <c r="BS50" i="69"/>
  <c r="BF50" i="69"/>
  <c r="AS50" i="69"/>
  <c r="AF50" i="69"/>
  <c r="S50" i="69"/>
  <c r="DH50" i="69" s="1"/>
  <c r="DF49" i="69"/>
  <c r="CS49" i="69"/>
  <c r="CF49" i="69"/>
  <c r="BS49" i="69"/>
  <c r="BF49" i="69"/>
  <c r="AS49" i="69"/>
  <c r="AF49" i="69"/>
  <c r="S49" i="69"/>
  <c r="DG48" i="69"/>
  <c r="DE48" i="69"/>
  <c r="DD48" i="69"/>
  <c r="DC48" i="69"/>
  <c r="DB48" i="69"/>
  <c r="DA48" i="69"/>
  <c r="CZ48" i="69"/>
  <c r="CY48" i="69"/>
  <c r="DF48" i="69" s="1"/>
  <c r="CX48" i="69"/>
  <c r="CW48" i="69"/>
  <c r="CV48" i="69"/>
  <c r="CU48" i="69"/>
  <c r="CT48" i="69"/>
  <c r="CR48" i="69"/>
  <c r="CQ48" i="69"/>
  <c r="CP48" i="69"/>
  <c r="CO48" i="69"/>
  <c r="CN48" i="69"/>
  <c r="CM48" i="69"/>
  <c r="CL48" i="69"/>
  <c r="CK48" i="69"/>
  <c r="CJ48" i="69"/>
  <c r="CI48" i="69"/>
  <c r="CH48" i="69"/>
  <c r="CG48" i="69"/>
  <c r="CE48" i="69"/>
  <c r="CD48" i="69"/>
  <c r="CC48" i="69"/>
  <c r="CB48" i="69"/>
  <c r="CA48" i="69"/>
  <c r="BZ48" i="69"/>
  <c r="BY48" i="69"/>
  <c r="BX48" i="69"/>
  <c r="BW48" i="69"/>
  <c r="BV48" i="69"/>
  <c r="BU48" i="69"/>
  <c r="BT48" i="69"/>
  <c r="BR48" i="69"/>
  <c r="BQ48" i="69"/>
  <c r="BP48" i="69"/>
  <c r="BO48" i="69"/>
  <c r="BN48" i="69"/>
  <c r="BM48" i="69"/>
  <c r="BL48" i="69"/>
  <c r="BK48" i="69"/>
  <c r="BJ48" i="69"/>
  <c r="BI48" i="69"/>
  <c r="BH48" i="69"/>
  <c r="BG48" i="69"/>
  <c r="BE48" i="69"/>
  <c r="BD48" i="69"/>
  <c r="BC48" i="69"/>
  <c r="BB48" i="69"/>
  <c r="BA48" i="69"/>
  <c r="AZ48" i="69"/>
  <c r="AY48" i="69"/>
  <c r="AX48" i="69"/>
  <c r="AW48" i="69"/>
  <c r="AV48" i="69"/>
  <c r="AU48" i="69"/>
  <c r="AT48" i="69"/>
  <c r="AR48" i="69"/>
  <c r="AQ48" i="69"/>
  <c r="AP48" i="69"/>
  <c r="AO48" i="69"/>
  <c r="AN48" i="69"/>
  <c r="AM48" i="69"/>
  <c r="AL48" i="69"/>
  <c r="AK48" i="69"/>
  <c r="AJ48" i="69"/>
  <c r="AI48" i="69"/>
  <c r="AH48" i="69"/>
  <c r="AG48" i="69"/>
  <c r="AE48" i="69"/>
  <c r="AD48" i="69"/>
  <c r="AC48" i="69"/>
  <c r="AB48" i="69"/>
  <c r="AA48" i="69"/>
  <c r="Z48" i="69"/>
  <c r="Y48" i="69"/>
  <c r="X48" i="69"/>
  <c r="W48" i="69"/>
  <c r="V48" i="69"/>
  <c r="U48" i="69"/>
  <c r="T48" i="69"/>
  <c r="R48" i="69"/>
  <c r="Q48" i="69"/>
  <c r="P48" i="69"/>
  <c r="O48" i="69"/>
  <c r="N48" i="69"/>
  <c r="M48" i="69"/>
  <c r="L48" i="69"/>
  <c r="K48" i="69"/>
  <c r="J48" i="69"/>
  <c r="I48" i="69"/>
  <c r="H48" i="69"/>
  <c r="G48" i="69"/>
  <c r="F48" i="69"/>
  <c r="DF47" i="69"/>
  <c r="CS47" i="69"/>
  <c r="CF47" i="69"/>
  <c r="BS47" i="69"/>
  <c r="BF47" i="69"/>
  <c r="AS47" i="69"/>
  <c r="AF47" i="69"/>
  <c r="S47" i="69"/>
  <c r="DF46" i="69"/>
  <c r="CS46" i="69"/>
  <c r="CF46" i="69"/>
  <c r="BS46" i="69"/>
  <c r="BF46" i="69"/>
  <c r="AS46" i="69"/>
  <c r="AF46" i="69"/>
  <c r="S46" i="69"/>
  <c r="DG45" i="69"/>
  <c r="DE45" i="69"/>
  <c r="DD45" i="69"/>
  <c r="DC45" i="69"/>
  <c r="DB45" i="69"/>
  <c r="DA45" i="69"/>
  <c r="CZ45" i="69"/>
  <c r="CY45" i="69"/>
  <c r="CX45" i="69"/>
  <c r="CW45" i="69"/>
  <c r="CV45" i="69"/>
  <c r="CU45" i="69"/>
  <c r="CT45" i="69"/>
  <c r="CR45" i="69"/>
  <c r="CQ45" i="69"/>
  <c r="CP45" i="69"/>
  <c r="CO45" i="69"/>
  <c r="CN45" i="69"/>
  <c r="CM45" i="69"/>
  <c r="CL45" i="69"/>
  <c r="CK45" i="69"/>
  <c r="CJ45" i="69"/>
  <c r="CI45" i="69"/>
  <c r="CH45" i="69"/>
  <c r="CG45" i="69"/>
  <c r="CE45" i="69"/>
  <c r="CD45" i="69"/>
  <c r="CC45" i="69"/>
  <c r="CB45" i="69"/>
  <c r="CA45" i="69"/>
  <c r="BZ45" i="69"/>
  <c r="BY45" i="69"/>
  <c r="BX45" i="69"/>
  <c r="BW45" i="69"/>
  <c r="BV45" i="69"/>
  <c r="BU45" i="69"/>
  <c r="BT45" i="69"/>
  <c r="CF45" i="69" s="1"/>
  <c r="BR45" i="69"/>
  <c r="BQ45" i="69"/>
  <c r="BP45" i="69"/>
  <c r="BO45" i="69"/>
  <c r="BN45" i="69"/>
  <c r="BM45" i="69"/>
  <c r="BL45" i="69"/>
  <c r="BK45" i="69"/>
  <c r="BJ45" i="69"/>
  <c r="BI45" i="69"/>
  <c r="BH45" i="69"/>
  <c r="BG45" i="69"/>
  <c r="BE45" i="69"/>
  <c r="BD45" i="69"/>
  <c r="BC45" i="69"/>
  <c r="BB45" i="69"/>
  <c r="BA45" i="69"/>
  <c r="AZ45" i="69"/>
  <c r="AY45" i="69"/>
  <c r="AX45" i="69"/>
  <c r="AW45" i="69"/>
  <c r="AV45" i="69"/>
  <c r="AU45" i="69"/>
  <c r="AT45" i="69"/>
  <c r="AR45" i="69"/>
  <c r="AQ45" i="69"/>
  <c r="AP45" i="69"/>
  <c r="AO45" i="69"/>
  <c r="AN45" i="69"/>
  <c r="AM45" i="69"/>
  <c r="AL45" i="69"/>
  <c r="AK45" i="69"/>
  <c r="AJ45" i="69"/>
  <c r="AI45" i="69"/>
  <c r="AH45" i="69"/>
  <c r="AG45" i="69"/>
  <c r="AE45" i="69"/>
  <c r="AD45" i="69"/>
  <c r="AC45" i="69"/>
  <c r="AB45" i="69"/>
  <c r="AA45" i="69"/>
  <c r="Z45" i="69"/>
  <c r="Y45" i="69"/>
  <c r="X45" i="69"/>
  <c r="W45" i="69"/>
  <c r="V45" i="69"/>
  <c r="U45" i="69"/>
  <c r="T45" i="69"/>
  <c r="R45" i="69"/>
  <c r="Q45" i="69"/>
  <c r="P45" i="69"/>
  <c r="O45" i="69"/>
  <c r="N45" i="69"/>
  <c r="M45" i="69"/>
  <c r="L45" i="69"/>
  <c r="K45" i="69"/>
  <c r="J45" i="69"/>
  <c r="I45" i="69"/>
  <c r="H45" i="69"/>
  <c r="G45" i="69"/>
  <c r="F45" i="69"/>
  <c r="DF44" i="69"/>
  <c r="CS44" i="69"/>
  <c r="CF44" i="69"/>
  <c r="BS44" i="69"/>
  <c r="BF44" i="69"/>
  <c r="AS44" i="69"/>
  <c r="AF44" i="69"/>
  <c r="S44" i="69"/>
  <c r="DF43" i="69"/>
  <c r="CS43" i="69"/>
  <c r="CF43" i="69"/>
  <c r="BS43" i="69"/>
  <c r="BF43" i="69"/>
  <c r="AS43" i="69"/>
  <c r="AF43" i="69"/>
  <c r="S43" i="69"/>
  <c r="DH43" i="69" s="1"/>
  <c r="DG42" i="69"/>
  <c r="DE42" i="69"/>
  <c r="DD42" i="69"/>
  <c r="DC42" i="69"/>
  <c r="DB42" i="69"/>
  <c r="DA42" i="69"/>
  <c r="CZ42" i="69"/>
  <c r="CY42" i="69"/>
  <c r="CX42" i="69"/>
  <c r="CW42" i="69"/>
  <c r="CV42" i="69"/>
  <c r="CU42" i="69"/>
  <c r="CT42" i="69"/>
  <c r="CR42" i="69"/>
  <c r="CQ42" i="69"/>
  <c r="CP42" i="69"/>
  <c r="CO42" i="69"/>
  <c r="CN42" i="69"/>
  <c r="CM42" i="69"/>
  <c r="CL42" i="69"/>
  <c r="CK42" i="69"/>
  <c r="CJ42" i="69"/>
  <c r="CI42" i="69"/>
  <c r="CH42" i="69"/>
  <c r="CG42" i="69"/>
  <c r="CE42" i="69"/>
  <c r="CD42" i="69"/>
  <c r="CC42" i="69"/>
  <c r="CB42" i="69"/>
  <c r="CA42" i="69"/>
  <c r="BZ42" i="69"/>
  <c r="BY42" i="69"/>
  <c r="BX42" i="69"/>
  <c r="BW42" i="69"/>
  <c r="BV42" i="69"/>
  <c r="BU42" i="69"/>
  <c r="BT42" i="69"/>
  <c r="BR42" i="69"/>
  <c r="BQ42" i="69"/>
  <c r="BP42" i="69"/>
  <c r="BO42" i="69"/>
  <c r="BN42" i="69"/>
  <c r="BM42" i="69"/>
  <c r="BL42" i="69"/>
  <c r="BK42" i="69"/>
  <c r="BJ42" i="69"/>
  <c r="BI42" i="69"/>
  <c r="BH42" i="69"/>
  <c r="BG42" i="69"/>
  <c r="BS42" i="69" s="1"/>
  <c r="BE42" i="69"/>
  <c r="BD42" i="69"/>
  <c r="BC42" i="69"/>
  <c r="BB42" i="69"/>
  <c r="BA42" i="69"/>
  <c r="AZ42" i="69"/>
  <c r="AY42" i="69"/>
  <c r="AX42" i="69"/>
  <c r="AW42" i="69"/>
  <c r="AV42" i="69"/>
  <c r="AU42" i="69"/>
  <c r="AT42" i="69"/>
  <c r="AR42" i="69"/>
  <c r="AQ42" i="69"/>
  <c r="AP42" i="69"/>
  <c r="AO42" i="69"/>
  <c r="AN42" i="69"/>
  <c r="AM42" i="69"/>
  <c r="AL42" i="69"/>
  <c r="AK42" i="69"/>
  <c r="AJ42" i="69"/>
  <c r="AI42" i="69"/>
  <c r="AH42" i="69"/>
  <c r="AG42" i="69"/>
  <c r="AE42" i="69"/>
  <c r="AD42" i="69"/>
  <c r="AC42" i="69"/>
  <c r="AB42" i="69"/>
  <c r="AA42" i="69"/>
  <c r="Z42" i="69"/>
  <c r="Y42" i="69"/>
  <c r="X42" i="69"/>
  <c r="W42" i="69"/>
  <c r="V42" i="69"/>
  <c r="U42" i="69"/>
  <c r="T42" i="69"/>
  <c r="R42" i="69"/>
  <c r="Q42" i="69"/>
  <c r="P42" i="69"/>
  <c r="O42" i="69"/>
  <c r="N42" i="69"/>
  <c r="M42" i="69"/>
  <c r="L42" i="69"/>
  <c r="K42" i="69"/>
  <c r="J42" i="69"/>
  <c r="I42" i="69"/>
  <c r="H42" i="69"/>
  <c r="G42" i="69"/>
  <c r="F42" i="69"/>
  <c r="DM41" i="69"/>
  <c r="DH41" i="69"/>
  <c r="DF41" i="69"/>
  <c r="CS41" i="69"/>
  <c r="CF41" i="69"/>
  <c r="BS41" i="69"/>
  <c r="BF41" i="69"/>
  <c r="AS41" i="69"/>
  <c r="AF41" i="69"/>
  <c r="S41" i="69"/>
  <c r="DF40" i="69"/>
  <c r="CS40" i="69"/>
  <c r="CF40" i="69"/>
  <c r="BS40" i="69"/>
  <c r="BF40" i="69"/>
  <c r="AS40" i="69"/>
  <c r="AF40" i="69"/>
  <c r="S40" i="69"/>
  <c r="DG39" i="69"/>
  <c r="DE39" i="69"/>
  <c r="DD39" i="69"/>
  <c r="DC39" i="69"/>
  <c r="DB39" i="69"/>
  <c r="DA39" i="69"/>
  <c r="CZ39" i="69"/>
  <c r="CY39" i="69"/>
  <c r="CX39" i="69"/>
  <c r="CW39" i="69"/>
  <c r="CV39" i="69"/>
  <c r="CU39" i="69"/>
  <c r="CT39" i="69"/>
  <c r="CR39" i="69"/>
  <c r="CQ39" i="69"/>
  <c r="CP39" i="69"/>
  <c r="CO39" i="69"/>
  <c r="CN39" i="69"/>
  <c r="CM39" i="69"/>
  <c r="CL39" i="69"/>
  <c r="CK39" i="69"/>
  <c r="CJ39" i="69"/>
  <c r="CI39" i="69"/>
  <c r="CH39" i="69"/>
  <c r="CG39" i="69"/>
  <c r="CE39" i="69"/>
  <c r="CD39" i="69"/>
  <c r="CC39" i="69"/>
  <c r="CB39" i="69"/>
  <c r="CA39" i="69"/>
  <c r="CF39" i="69" s="1"/>
  <c r="BZ39" i="69"/>
  <c r="BY39" i="69"/>
  <c r="BX39" i="69"/>
  <c r="BW39" i="69"/>
  <c r="BV39" i="69"/>
  <c r="BU39" i="69"/>
  <c r="BT39" i="69"/>
  <c r="BR39" i="69"/>
  <c r="BQ39" i="69"/>
  <c r="BP39" i="69"/>
  <c r="BO39" i="69"/>
  <c r="BN39" i="69"/>
  <c r="BM39" i="69"/>
  <c r="BL39" i="69"/>
  <c r="BK39" i="69"/>
  <c r="BJ39" i="69"/>
  <c r="BI39" i="69"/>
  <c r="BH39" i="69"/>
  <c r="BG39" i="69"/>
  <c r="BE39" i="69"/>
  <c r="BD39" i="69"/>
  <c r="BC39" i="69"/>
  <c r="BB39" i="69"/>
  <c r="BA39" i="69"/>
  <c r="AZ39" i="69"/>
  <c r="AY39" i="69"/>
  <c r="AX39" i="69"/>
  <c r="AW39" i="69"/>
  <c r="AV39" i="69"/>
  <c r="AU39" i="69"/>
  <c r="AT39" i="69"/>
  <c r="AR39" i="69"/>
  <c r="AQ39" i="69"/>
  <c r="AP39" i="69"/>
  <c r="AO39" i="69"/>
  <c r="AN39" i="69"/>
  <c r="AM39" i="69"/>
  <c r="AL39" i="69"/>
  <c r="AK39" i="69"/>
  <c r="AJ39" i="69"/>
  <c r="AI39" i="69"/>
  <c r="AH39" i="69"/>
  <c r="AG39" i="69"/>
  <c r="AE39" i="69"/>
  <c r="AD39" i="69"/>
  <c r="AC39" i="69"/>
  <c r="AB39" i="69"/>
  <c r="AA39" i="69"/>
  <c r="Z39" i="69"/>
  <c r="Y39" i="69"/>
  <c r="X39" i="69"/>
  <c r="W39" i="69"/>
  <c r="V39" i="69"/>
  <c r="U39" i="69"/>
  <c r="T39" i="69"/>
  <c r="R39" i="69"/>
  <c r="Q39" i="69"/>
  <c r="P39" i="69"/>
  <c r="O39" i="69"/>
  <c r="N39" i="69"/>
  <c r="M39" i="69"/>
  <c r="L39" i="69"/>
  <c r="K39" i="69"/>
  <c r="J39" i="69"/>
  <c r="I39" i="69"/>
  <c r="H39" i="69"/>
  <c r="G39" i="69"/>
  <c r="F39" i="69"/>
  <c r="DF38" i="69"/>
  <c r="CS38" i="69"/>
  <c r="CF38" i="69"/>
  <c r="BS38" i="69"/>
  <c r="BF38" i="69"/>
  <c r="AS38" i="69"/>
  <c r="AF38" i="69"/>
  <c r="S38" i="69"/>
  <c r="DF37" i="69"/>
  <c r="CS37" i="69"/>
  <c r="CF37" i="69"/>
  <c r="BS37" i="69"/>
  <c r="BF37" i="69"/>
  <c r="AS37" i="69"/>
  <c r="AF37" i="69"/>
  <c r="S37" i="69"/>
  <c r="DG36" i="69"/>
  <c r="DE36" i="69"/>
  <c r="DD36" i="69"/>
  <c r="DC36" i="69"/>
  <c r="DB36" i="69"/>
  <c r="DA36" i="69"/>
  <c r="CZ36" i="69"/>
  <c r="CY36" i="69"/>
  <c r="CX36" i="69"/>
  <c r="CW36" i="69"/>
  <c r="CV36" i="69"/>
  <c r="CU36" i="69"/>
  <c r="CT36" i="69"/>
  <c r="CR36" i="69"/>
  <c r="CQ36" i="69"/>
  <c r="CP36" i="69"/>
  <c r="CO36" i="69"/>
  <c r="CN36" i="69"/>
  <c r="CM36" i="69"/>
  <c r="CL36" i="69"/>
  <c r="CK36" i="69"/>
  <c r="CJ36" i="69"/>
  <c r="CI36" i="69"/>
  <c r="CH36" i="69"/>
  <c r="CG36" i="69"/>
  <c r="CE36" i="69"/>
  <c r="CD36" i="69"/>
  <c r="CC36" i="69"/>
  <c r="CB36" i="69"/>
  <c r="CA36" i="69"/>
  <c r="BZ36" i="69"/>
  <c r="BY36" i="69"/>
  <c r="BX36" i="69"/>
  <c r="BW36" i="69"/>
  <c r="BV36" i="69"/>
  <c r="BU36" i="69"/>
  <c r="BT36" i="69"/>
  <c r="BR36" i="69"/>
  <c r="BQ36" i="69"/>
  <c r="BP36" i="69"/>
  <c r="BO36" i="69"/>
  <c r="BN36" i="69"/>
  <c r="BM36" i="69"/>
  <c r="BL36" i="69"/>
  <c r="BS36" i="69" s="1"/>
  <c r="BK36" i="69"/>
  <c r="BJ36" i="69"/>
  <c r="BI36" i="69"/>
  <c r="BH36" i="69"/>
  <c r="BG36" i="69"/>
  <c r="BE36" i="69"/>
  <c r="BD36" i="69"/>
  <c r="BC36" i="69"/>
  <c r="BB36" i="69"/>
  <c r="BA36" i="69"/>
  <c r="AZ36" i="69"/>
  <c r="AY36" i="69"/>
  <c r="AX36" i="69"/>
  <c r="AW36" i="69"/>
  <c r="AV36" i="69"/>
  <c r="AU36" i="69"/>
  <c r="AT36" i="69"/>
  <c r="AR36" i="69"/>
  <c r="AQ36" i="69"/>
  <c r="AP36" i="69"/>
  <c r="AO36" i="69"/>
  <c r="AN36" i="69"/>
  <c r="AM36" i="69"/>
  <c r="AL36" i="69"/>
  <c r="AK36" i="69"/>
  <c r="AJ36" i="69"/>
  <c r="AI36" i="69"/>
  <c r="AH36" i="69"/>
  <c r="AG36" i="69"/>
  <c r="AE36" i="69"/>
  <c r="AD36" i="69"/>
  <c r="AC36" i="69"/>
  <c r="AB36" i="69"/>
  <c r="AA36" i="69"/>
  <c r="Z36" i="69"/>
  <c r="Y36" i="69"/>
  <c r="X36" i="69"/>
  <c r="W36" i="69"/>
  <c r="V36" i="69"/>
  <c r="U36" i="69"/>
  <c r="T36" i="69"/>
  <c r="R36" i="69"/>
  <c r="Q36" i="69"/>
  <c r="P36" i="69"/>
  <c r="O36" i="69"/>
  <c r="N36" i="69"/>
  <c r="M36" i="69"/>
  <c r="L36" i="69"/>
  <c r="K36" i="69"/>
  <c r="J36" i="69"/>
  <c r="I36" i="69"/>
  <c r="H36" i="69"/>
  <c r="G36" i="69"/>
  <c r="F36" i="69"/>
  <c r="DF35" i="69"/>
  <c r="CS35" i="69"/>
  <c r="CF35" i="69"/>
  <c r="BS35" i="69"/>
  <c r="BF35" i="69"/>
  <c r="AS35" i="69"/>
  <c r="AF35" i="69"/>
  <c r="S35" i="69"/>
  <c r="DH35" i="69" s="1"/>
  <c r="DF34" i="69"/>
  <c r="CS34" i="69"/>
  <c r="CF34" i="69"/>
  <c r="BS34" i="69"/>
  <c r="DH34" i="69" s="1"/>
  <c r="BF34" i="69"/>
  <c r="AS34" i="69"/>
  <c r="AF34" i="69"/>
  <c r="S34" i="69"/>
  <c r="DI33" i="69"/>
  <c r="DG33" i="69"/>
  <c r="DE33" i="69"/>
  <c r="DD33" i="69"/>
  <c r="DC33" i="69"/>
  <c r="DB33" i="69"/>
  <c r="DA33" i="69"/>
  <c r="CZ33" i="69"/>
  <c r="CY33" i="69"/>
  <c r="CX33" i="69"/>
  <c r="CW33" i="69"/>
  <c r="CV33" i="69"/>
  <c r="CU33" i="69"/>
  <c r="CT33" i="69"/>
  <c r="CR33" i="69"/>
  <c r="CQ33" i="69"/>
  <c r="CP33" i="69"/>
  <c r="CO33" i="69"/>
  <c r="CN33" i="69"/>
  <c r="CM33" i="69"/>
  <c r="CL33" i="69"/>
  <c r="CK33" i="69"/>
  <c r="CJ33" i="69"/>
  <c r="CI33" i="69"/>
  <c r="CH33" i="69"/>
  <c r="CG33" i="69"/>
  <c r="CE33" i="69"/>
  <c r="CD33" i="69"/>
  <c r="CC33" i="69"/>
  <c r="CB33" i="69"/>
  <c r="CA33" i="69"/>
  <c r="BZ33" i="69"/>
  <c r="BY33" i="69"/>
  <c r="BX33" i="69"/>
  <c r="BW33" i="69"/>
  <c r="BV33" i="69"/>
  <c r="BU33" i="69"/>
  <c r="BT33" i="69"/>
  <c r="CF33" i="69" s="1"/>
  <c r="BR33" i="69"/>
  <c r="BQ33" i="69"/>
  <c r="BP33" i="69"/>
  <c r="BO33" i="69"/>
  <c r="BN33" i="69"/>
  <c r="BM33" i="69"/>
  <c r="BL33" i="69"/>
  <c r="BK33" i="69"/>
  <c r="BJ33" i="69"/>
  <c r="BI33" i="69"/>
  <c r="BH33" i="69"/>
  <c r="BG33" i="69"/>
  <c r="BE33" i="69"/>
  <c r="BD33" i="69"/>
  <c r="BC33" i="69"/>
  <c r="BB33" i="69"/>
  <c r="BA33" i="69"/>
  <c r="AZ33" i="69"/>
  <c r="AY33" i="69"/>
  <c r="AX33" i="69"/>
  <c r="AW33" i="69"/>
  <c r="AV33" i="69"/>
  <c r="AU33" i="69"/>
  <c r="AT33" i="69"/>
  <c r="AR33" i="69"/>
  <c r="AQ33" i="69"/>
  <c r="AP33" i="69"/>
  <c r="AO33" i="69"/>
  <c r="AN33" i="69"/>
  <c r="AM33" i="69"/>
  <c r="AL33" i="69"/>
  <c r="AK33" i="69"/>
  <c r="AJ33" i="69"/>
  <c r="AI33" i="69"/>
  <c r="AH33" i="69"/>
  <c r="AG33" i="69"/>
  <c r="AE33" i="69"/>
  <c r="AD33" i="69"/>
  <c r="AC33" i="69"/>
  <c r="AB33" i="69"/>
  <c r="AA33" i="69"/>
  <c r="Z33" i="69"/>
  <c r="Y33" i="69"/>
  <c r="X33" i="69"/>
  <c r="W33" i="69"/>
  <c r="V33" i="69"/>
  <c r="U33" i="69"/>
  <c r="T33" i="69"/>
  <c r="R33" i="69"/>
  <c r="Q33" i="69"/>
  <c r="P33" i="69"/>
  <c r="O33" i="69"/>
  <c r="N33" i="69"/>
  <c r="M33" i="69"/>
  <c r="L33" i="69"/>
  <c r="K33" i="69"/>
  <c r="J33" i="69"/>
  <c r="I33" i="69"/>
  <c r="H33" i="69"/>
  <c r="G33" i="69"/>
  <c r="F33" i="69"/>
  <c r="DF32" i="69"/>
  <c r="CS32" i="69"/>
  <c r="CF32" i="69"/>
  <c r="BS32" i="69"/>
  <c r="BF32" i="69"/>
  <c r="AS32" i="69"/>
  <c r="AF32" i="69"/>
  <c r="S32" i="69"/>
  <c r="DF31" i="69"/>
  <c r="CS31" i="69"/>
  <c r="CF31" i="69"/>
  <c r="BS31" i="69"/>
  <c r="BF31" i="69"/>
  <c r="AS31" i="69"/>
  <c r="AF31" i="69"/>
  <c r="S31" i="69"/>
  <c r="DG30" i="69"/>
  <c r="DE30" i="69"/>
  <c r="DD30" i="69"/>
  <c r="DC30" i="69"/>
  <c r="DB30" i="69"/>
  <c r="DA30" i="69"/>
  <c r="CZ30" i="69"/>
  <c r="CY30" i="69"/>
  <c r="CX30" i="69"/>
  <c r="CW30" i="69"/>
  <c r="CV30" i="69"/>
  <c r="CU30" i="69"/>
  <c r="CT30" i="69"/>
  <c r="CR30" i="69"/>
  <c r="CQ30" i="69"/>
  <c r="CP30" i="69"/>
  <c r="CO30" i="69"/>
  <c r="CN30" i="69"/>
  <c r="CM30" i="69"/>
  <c r="CL30" i="69"/>
  <c r="CK30" i="69"/>
  <c r="CJ30" i="69"/>
  <c r="CI30" i="69"/>
  <c r="CH30" i="69"/>
  <c r="CG30" i="69"/>
  <c r="CE30" i="69"/>
  <c r="CD30" i="69"/>
  <c r="CC30" i="69"/>
  <c r="CB30" i="69"/>
  <c r="CA30" i="69"/>
  <c r="BZ30" i="69"/>
  <c r="BY30" i="69"/>
  <c r="BX30" i="69"/>
  <c r="BW30" i="69"/>
  <c r="BV30" i="69"/>
  <c r="BU30" i="69"/>
  <c r="BT30" i="69"/>
  <c r="BR30" i="69"/>
  <c r="BQ30" i="69"/>
  <c r="BP30" i="69"/>
  <c r="BO30" i="69"/>
  <c r="BN30" i="69"/>
  <c r="BM30" i="69"/>
  <c r="BL30" i="69"/>
  <c r="BK30" i="69"/>
  <c r="BJ30" i="69"/>
  <c r="BI30" i="69"/>
  <c r="BH30" i="69"/>
  <c r="BG30" i="69"/>
  <c r="BE30" i="69"/>
  <c r="BD30" i="69"/>
  <c r="BC30" i="69"/>
  <c r="BB30" i="69"/>
  <c r="BA30" i="69"/>
  <c r="AZ30" i="69"/>
  <c r="AY30" i="69"/>
  <c r="AX30" i="69"/>
  <c r="AW30" i="69"/>
  <c r="AV30" i="69"/>
  <c r="AU30" i="69"/>
  <c r="AT30" i="69"/>
  <c r="AR30" i="69"/>
  <c r="AQ30" i="69"/>
  <c r="AP30" i="69"/>
  <c r="AO30" i="69"/>
  <c r="AN30" i="69"/>
  <c r="AM30" i="69"/>
  <c r="AL30" i="69"/>
  <c r="AK30" i="69"/>
  <c r="AS30" i="69" s="1"/>
  <c r="AJ30" i="69"/>
  <c r="AI30" i="69"/>
  <c r="AH30" i="69"/>
  <c r="AG30" i="69"/>
  <c r="AE30" i="69"/>
  <c r="AD30" i="69"/>
  <c r="AC30" i="69"/>
  <c r="AB30" i="69"/>
  <c r="AA30" i="69"/>
  <c r="Z30" i="69"/>
  <c r="Y30" i="69"/>
  <c r="X30" i="69"/>
  <c r="W30" i="69"/>
  <c r="V30" i="69"/>
  <c r="U30" i="69"/>
  <c r="T30" i="69"/>
  <c r="R30" i="69"/>
  <c r="Q30" i="69"/>
  <c r="P30" i="69"/>
  <c r="O30" i="69"/>
  <c r="N30" i="69"/>
  <c r="M30" i="69"/>
  <c r="L30" i="69"/>
  <c r="K30" i="69"/>
  <c r="J30" i="69"/>
  <c r="I30" i="69"/>
  <c r="H30" i="69"/>
  <c r="G30" i="69"/>
  <c r="F30" i="69"/>
  <c r="DF29" i="69"/>
  <c r="CS29" i="69"/>
  <c r="DM29" i="69" s="1"/>
  <c r="CF29" i="69"/>
  <c r="BS29" i="69"/>
  <c r="BF29" i="69"/>
  <c r="AS29" i="69"/>
  <c r="AF29" i="69"/>
  <c r="S29" i="69"/>
  <c r="DH29" i="69" s="1"/>
  <c r="DF28" i="69"/>
  <c r="CS28" i="69"/>
  <c r="CF28" i="69"/>
  <c r="BS28" i="69"/>
  <c r="BF28" i="69"/>
  <c r="AS28" i="69"/>
  <c r="AF28" i="69"/>
  <c r="S28" i="69"/>
  <c r="DG27" i="69"/>
  <c r="DE27" i="69"/>
  <c r="DD27" i="69"/>
  <c r="DC27" i="69"/>
  <c r="DB27" i="69"/>
  <c r="DA27" i="69"/>
  <c r="CZ27" i="69"/>
  <c r="CY27" i="69"/>
  <c r="CX27" i="69"/>
  <c r="CW27" i="69"/>
  <c r="CV27" i="69"/>
  <c r="CU27" i="69"/>
  <c r="CT27" i="69"/>
  <c r="CR27" i="69"/>
  <c r="CQ27" i="69"/>
  <c r="CP27" i="69"/>
  <c r="CO27" i="69"/>
  <c r="CN27" i="69"/>
  <c r="CM27" i="69"/>
  <c r="CL27" i="69"/>
  <c r="CK27" i="69"/>
  <c r="CJ27" i="69"/>
  <c r="CI27" i="69"/>
  <c r="CH27" i="69"/>
  <c r="CG27" i="69"/>
  <c r="CE27" i="69"/>
  <c r="CD27" i="69"/>
  <c r="CC27" i="69"/>
  <c r="CB27" i="69"/>
  <c r="CA27" i="69"/>
  <c r="BZ27" i="69"/>
  <c r="BY27" i="69"/>
  <c r="BX27" i="69"/>
  <c r="BW27" i="69"/>
  <c r="BV27" i="69"/>
  <c r="BU27" i="69"/>
  <c r="BT27" i="69"/>
  <c r="BR27" i="69"/>
  <c r="BQ27" i="69"/>
  <c r="BP27" i="69"/>
  <c r="BO27" i="69"/>
  <c r="BN27" i="69"/>
  <c r="BM27" i="69"/>
  <c r="BL27" i="69"/>
  <c r="BK27" i="69"/>
  <c r="BJ27" i="69"/>
  <c r="BI27" i="69"/>
  <c r="BH27" i="69"/>
  <c r="BG27" i="69"/>
  <c r="BE27" i="69"/>
  <c r="BD27" i="69"/>
  <c r="BC27" i="69"/>
  <c r="BA27" i="69"/>
  <c r="AZ27" i="69"/>
  <c r="AX27" i="69"/>
  <c r="AV27" i="69"/>
  <c r="AU27" i="69"/>
  <c r="AT27" i="69"/>
  <c r="AR27" i="69"/>
  <c r="AQ27" i="69"/>
  <c r="AP27" i="69"/>
  <c r="AO27" i="69"/>
  <c r="AN27" i="69"/>
  <c r="AM27" i="69"/>
  <c r="AL27" i="69"/>
  <c r="AK27" i="69"/>
  <c r="AJ27" i="69"/>
  <c r="AI27" i="69"/>
  <c r="AH27" i="69"/>
  <c r="AG27" i="69"/>
  <c r="AE27" i="69"/>
  <c r="AD27" i="69"/>
  <c r="AC27" i="69"/>
  <c r="AB27" i="69"/>
  <c r="AA27" i="69"/>
  <c r="Z27" i="69"/>
  <c r="Y27" i="69"/>
  <c r="X27" i="69"/>
  <c r="W27" i="69"/>
  <c r="V27" i="69"/>
  <c r="U27" i="69"/>
  <c r="T27" i="69"/>
  <c r="R27" i="69"/>
  <c r="Q27" i="69"/>
  <c r="P27" i="69"/>
  <c r="O27" i="69"/>
  <c r="N27" i="69"/>
  <c r="M27" i="69"/>
  <c r="L27" i="69"/>
  <c r="K27" i="69"/>
  <c r="J27" i="69"/>
  <c r="I27" i="69"/>
  <c r="H27" i="69"/>
  <c r="G27" i="69"/>
  <c r="F27" i="69"/>
  <c r="DF26" i="69"/>
  <c r="CS26" i="69"/>
  <c r="CF26" i="69"/>
  <c r="AW26" i="69"/>
  <c r="AW27" i="69" s="1"/>
  <c r="AS26" i="69"/>
  <c r="AF26" i="69"/>
  <c r="S26" i="69"/>
  <c r="DF25" i="69"/>
  <c r="CS25" i="69"/>
  <c r="CF25" i="69"/>
  <c r="BS25" i="69"/>
  <c r="BF25" i="69"/>
  <c r="AS25" i="69"/>
  <c r="AF25" i="69"/>
  <c r="S25" i="69"/>
  <c r="DG24" i="69"/>
  <c r="DE24" i="69"/>
  <c r="DD24" i="69"/>
  <c r="DC24" i="69"/>
  <c r="DB24" i="69"/>
  <c r="DA24" i="69"/>
  <c r="CZ24" i="69"/>
  <c r="CY24" i="69"/>
  <c r="CX24" i="69"/>
  <c r="CW24" i="69"/>
  <c r="CV24" i="69"/>
  <c r="CU24" i="69"/>
  <c r="CT24" i="69"/>
  <c r="CR24" i="69"/>
  <c r="CQ24" i="69"/>
  <c r="CP24" i="69"/>
  <c r="CO24" i="69"/>
  <c r="CN24" i="69"/>
  <c r="CM24" i="69"/>
  <c r="CL24" i="69"/>
  <c r="CK24" i="69"/>
  <c r="CJ24" i="69"/>
  <c r="CI24" i="69"/>
  <c r="CH24" i="69"/>
  <c r="CG24" i="69"/>
  <c r="CE24" i="69"/>
  <c r="CD24" i="69"/>
  <c r="CC24" i="69"/>
  <c r="CB24" i="69"/>
  <c r="CA24" i="69"/>
  <c r="BZ24" i="69"/>
  <c r="BY24" i="69"/>
  <c r="BX24" i="69"/>
  <c r="BW24" i="69"/>
  <c r="BV24" i="69"/>
  <c r="BU24" i="69"/>
  <c r="BT24" i="69"/>
  <c r="BR24" i="69"/>
  <c r="BQ24" i="69"/>
  <c r="BP24" i="69"/>
  <c r="BO24" i="69"/>
  <c r="BN24" i="69"/>
  <c r="BM24" i="69"/>
  <c r="BL24" i="69"/>
  <c r="BK24" i="69"/>
  <c r="BJ24" i="69"/>
  <c r="BI24" i="69"/>
  <c r="BH24" i="69"/>
  <c r="BG24" i="69"/>
  <c r="BE24" i="69"/>
  <c r="BD24" i="69"/>
  <c r="BC24" i="69"/>
  <c r="BB24" i="69"/>
  <c r="BA24" i="69"/>
  <c r="AZ24" i="69"/>
  <c r="AY24" i="69"/>
  <c r="AX24" i="69"/>
  <c r="AV24" i="69"/>
  <c r="AU24" i="69"/>
  <c r="AT24" i="69"/>
  <c r="AR24" i="69"/>
  <c r="AQ24" i="69"/>
  <c r="AP24" i="69"/>
  <c r="AO24" i="69"/>
  <c r="AN24" i="69"/>
  <c r="AM24" i="69"/>
  <c r="AL24" i="69"/>
  <c r="AK24" i="69"/>
  <c r="AJ24" i="69"/>
  <c r="AI24" i="69"/>
  <c r="AH24" i="69"/>
  <c r="AG24" i="69"/>
  <c r="AE24" i="69"/>
  <c r="AD24" i="69"/>
  <c r="AC24" i="69"/>
  <c r="AB24" i="69"/>
  <c r="AA24" i="69"/>
  <c r="Z24" i="69"/>
  <c r="Y24" i="69"/>
  <c r="X24" i="69"/>
  <c r="W24" i="69"/>
  <c r="V24" i="69"/>
  <c r="U24" i="69"/>
  <c r="T24" i="69"/>
  <c r="R24" i="69"/>
  <c r="Q24" i="69"/>
  <c r="P24" i="69"/>
  <c r="O24" i="69"/>
  <c r="N24" i="69"/>
  <c r="M24" i="69"/>
  <c r="L24" i="69"/>
  <c r="K24" i="69"/>
  <c r="J24" i="69"/>
  <c r="I24" i="69"/>
  <c r="H24" i="69"/>
  <c r="G24" i="69"/>
  <c r="F24" i="69"/>
  <c r="DF23" i="69"/>
  <c r="CS23" i="69"/>
  <c r="CF23" i="69"/>
  <c r="BS23" i="69"/>
  <c r="AW113" i="69"/>
  <c r="AS23" i="69"/>
  <c r="AF23" i="69"/>
  <c r="S23" i="69"/>
  <c r="DF22" i="69"/>
  <c r="CS22" i="69"/>
  <c r="CF22" i="69"/>
  <c r="BS22" i="69"/>
  <c r="AS22" i="69"/>
  <c r="S22" i="69"/>
  <c r="DG21" i="69"/>
  <c r="DE21" i="69"/>
  <c r="DD21" i="69"/>
  <c r="DC21" i="69"/>
  <c r="DB21" i="69"/>
  <c r="DA21" i="69"/>
  <c r="CZ21" i="69"/>
  <c r="CY21" i="69"/>
  <c r="CX21" i="69"/>
  <c r="CW21" i="69"/>
  <c r="CV21" i="69"/>
  <c r="CU21" i="69"/>
  <c r="CT21" i="69"/>
  <c r="CR21" i="69"/>
  <c r="CQ21" i="69"/>
  <c r="CP21" i="69"/>
  <c r="CO21" i="69"/>
  <c r="CN21" i="69"/>
  <c r="CM21" i="69"/>
  <c r="CL21" i="69"/>
  <c r="CK21" i="69"/>
  <c r="CJ21" i="69"/>
  <c r="CI21" i="69"/>
  <c r="CH21" i="69"/>
  <c r="CG21" i="69"/>
  <c r="CE21" i="69"/>
  <c r="CD21" i="69"/>
  <c r="CC21" i="69"/>
  <c r="CB21" i="69"/>
  <c r="CA21" i="69"/>
  <c r="BZ21" i="69"/>
  <c r="BY21" i="69"/>
  <c r="BX21" i="69"/>
  <c r="BW21" i="69"/>
  <c r="BV21" i="69"/>
  <c r="BU21" i="69"/>
  <c r="BT21" i="69"/>
  <c r="BR21" i="69"/>
  <c r="BQ21" i="69"/>
  <c r="BP21" i="69"/>
  <c r="BO21" i="69"/>
  <c r="BN21" i="69"/>
  <c r="BM21" i="69"/>
  <c r="BL21" i="69"/>
  <c r="BK21" i="69"/>
  <c r="BJ21" i="69"/>
  <c r="BI21" i="69"/>
  <c r="BH21" i="69"/>
  <c r="BG21" i="69"/>
  <c r="BE21" i="69"/>
  <c r="BD21" i="69"/>
  <c r="BC21" i="69"/>
  <c r="BB21" i="69"/>
  <c r="BA21" i="69"/>
  <c r="AZ21" i="69"/>
  <c r="AY21" i="69"/>
  <c r="AX21" i="69"/>
  <c r="AW21" i="69"/>
  <c r="AV21" i="69"/>
  <c r="AU21" i="69"/>
  <c r="AT21" i="69"/>
  <c r="AR21" i="69"/>
  <c r="AQ21" i="69"/>
  <c r="AP21" i="69"/>
  <c r="AO21" i="69"/>
  <c r="AN21" i="69"/>
  <c r="AM21" i="69"/>
  <c r="AL21" i="69"/>
  <c r="AK21" i="69"/>
  <c r="AJ21" i="69"/>
  <c r="AI21" i="69"/>
  <c r="AH21" i="69"/>
  <c r="AG21" i="69"/>
  <c r="AE21" i="69"/>
  <c r="AD21" i="69"/>
  <c r="AC21" i="69"/>
  <c r="AB21" i="69"/>
  <c r="AA21" i="69"/>
  <c r="Z21" i="69"/>
  <c r="Y21" i="69"/>
  <c r="X21" i="69"/>
  <c r="W21" i="69"/>
  <c r="V21" i="69"/>
  <c r="U21" i="69"/>
  <c r="T21" i="69"/>
  <c r="R21" i="69"/>
  <c r="Q21" i="69"/>
  <c r="P21" i="69"/>
  <c r="O21" i="69"/>
  <c r="N21" i="69"/>
  <c r="M21" i="69"/>
  <c r="L21" i="69"/>
  <c r="K21" i="69"/>
  <c r="J21" i="69"/>
  <c r="I21" i="69"/>
  <c r="H21" i="69"/>
  <c r="G21" i="69"/>
  <c r="S21" i="69" s="1"/>
  <c r="F21" i="69"/>
  <c r="E21" i="69"/>
  <c r="DI21" i="69" s="1"/>
  <c r="DI20" i="69"/>
  <c r="DF20" i="69"/>
  <c r="CS20" i="69"/>
  <c r="CF20" i="69"/>
  <c r="BS20" i="69"/>
  <c r="BF20" i="69"/>
  <c r="AS20" i="69"/>
  <c r="AF20" i="69"/>
  <c r="S20" i="69"/>
  <c r="F20" i="69" s="1"/>
  <c r="DI19" i="69"/>
  <c r="DH19" i="69"/>
  <c r="DF19" i="69"/>
  <c r="CS19" i="69"/>
  <c r="CF19" i="69"/>
  <c r="BS19" i="69"/>
  <c r="BF19" i="69"/>
  <c r="AS19" i="69"/>
  <c r="AF19" i="69"/>
  <c r="S19" i="69"/>
  <c r="F19" i="69"/>
  <c r="DG18" i="69"/>
  <c r="DE18" i="69"/>
  <c r="DD18" i="69"/>
  <c r="DC18" i="69"/>
  <c r="DB18" i="69"/>
  <c r="DA18" i="69"/>
  <c r="CZ18" i="69"/>
  <c r="CY18" i="69"/>
  <c r="CX18" i="69"/>
  <c r="CW18" i="69"/>
  <c r="CV18" i="69"/>
  <c r="CU18" i="69"/>
  <c r="CT18" i="69"/>
  <c r="CR18" i="69"/>
  <c r="CQ18" i="69"/>
  <c r="CP18" i="69"/>
  <c r="CO18" i="69"/>
  <c r="CN18" i="69"/>
  <c r="CM18" i="69"/>
  <c r="CL18" i="69"/>
  <c r="CK18" i="69"/>
  <c r="CJ18" i="69"/>
  <c r="CI18" i="69"/>
  <c r="CH18" i="69"/>
  <c r="CG18" i="69"/>
  <c r="CE18" i="69"/>
  <c r="CD18" i="69"/>
  <c r="CC18" i="69"/>
  <c r="CB18" i="69"/>
  <c r="CA18" i="69"/>
  <c r="BZ18" i="69"/>
  <c r="BY18" i="69"/>
  <c r="BX18" i="69"/>
  <c r="BW18" i="69"/>
  <c r="BV18" i="69"/>
  <c r="BU18" i="69"/>
  <c r="BT18" i="69"/>
  <c r="BR18" i="69"/>
  <c r="BQ18" i="69"/>
  <c r="BP18" i="69"/>
  <c r="BO18" i="69"/>
  <c r="BN18" i="69"/>
  <c r="BM18" i="69"/>
  <c r="BL18" i="69"/>
  <c r="BK18" i="69"/>
  <c r="BJ18" i="69"/>
  <c r="BI18" i="69"/>
  <c r="BH18" i="69"/>
  <c r="BG18" i="69"/>
  <c r="BE18" i="69"/>
  <c r="BD18" i="69"/>
  <c r="BC18" i="69"/>
  <c r="BB18" i="69"/>
  <c r="BA18" i="69"/>
  <c r="AZ18" i="69"/>
  <c r="AY18" i="69"/>
  <c r="AX18" i="69"/>
  <c r="AW18" i="69"/>
  <c r="AV18" i="69"/>
  <c r="AU18" i="69"/>
  <c r="AT18" i="69"/>
  <c r="AR18" i="69"/>
  <c r="AQ18" i="69"/>
  <c r="AP18" i="69"/>
  <c r="AO18" i="69"/>
  <c r="AN18" i="69"/>
  <c r="AM18" i="69"/>
  <c r="AL18" i="69"/>
  <c r="AK18" i="69"/>
  <c r="AJ18" i="69"/>
  <c r="AI18" i="69"/>
  <c r="AH18" i="69"/>
  <c r="AG18" i="69"/>
  <c r="AE18" i="69"/>
  <c r="AD18" i="69"/>
  <c r="AC18" i="69"/>
  <c r="AB18" i="69"/>
  <c r="AA18" i="69"/>
  <c r="Z18" i="69"/>
  <c r="Y18" i="69"/>
  <c r="X18" i="69"/>
  <c r="W18" i="69"/>
  <c r="V18" i="69"/>
  <c r="U18" i="69"/>
  <c r="T18" i="69"/>
  <c r="R18" i="69"/>
  <c r="Q18" i="69"/>
  <c r="P18" i="69"/>
  <c r="O18" i="69"/>
  <c r="N18" i="69"/>
  <c r="M18" i="69"/>
  <c r="L18" i="69"/>
  <c r="K18" i="69"/>
  <c r="J18" i="69"/>
  <c r="I18" i="69"/>
  <c r="H18" i="69"/>
  <c r="G18" i="69"/>
  <c r="F18" i="69"/>
  <c r="DF17" i="69"/>
  <c r="CS17" i="69"/>
  <c r="CF17" i="69"/>
  <c r="BS17" i="69"/>
  <c r="BF17" i="69"/>
  <c r="AS17" i="69"/>
  <c r="DM17" i="69" s="1"/>
  <c r="AF17" i="69"/>
  <c r="E17" i="69" s="1"/>
  <c r="S17" i="69"/>
  <c r="DF16" i="69"/>
  <c r="CS16" i="69"/>
  <c r="CF16" i="69"/>
  <c r="BS16" i="69"/>
  <c r="BF16" i="69"/>
  <c r="DM16" i="69" s="1"/>
  <c r="AS16" i="69"/>
  <c r="AF16" i="69"/>
  <c r="S16" i="69"/>
  <c r="DE8" i="69"/>
  <c r="CZ8" i="69"/>
  <c r="AD8" i="69"/>
  <c r="AU7" i="69"/>
  <c r="AE7" i="69"/>
  <c r="AA7" i="69"/>
  <c r="Z7" i="69"/>
  <c r="X7" i="69"/>
  <c r="W7" i="69"/>
  <c r="CP5" i="69"/>
  <c r="S36" i="69" l="1"/>
  <c r="E32" i="69"/>
  <c r="DI32" i="69" s="1"/>
  <c r="CS181" i="69"/>
  <c r="AE219" i="69"/>
  <c r="AE241" i="69"/>
  <c r="AE242" i="69" s="1"/>
  <c r="AF36" i="69"/>
  <c r="AH241" i="69"/>
  <c r="AS241" i="69" s="1"/>
  <c r="AH224" i="69"/>
  <c r="AH228" i="69" s="1"/>
  <c r="AH5" i="69" s="1"/>
  <c r="DH40" i="69"/>
  <c r="DK41" i="69" s="1"/>
  <c r="CU114" i="69"/>
  <c r="DH28" i="69"/>
  <c r="DK29" i="69" s="1"/>
  <c r="AT223" i="69"/>
  <c r="AT225" i="69" s="1"/>
  <c r="K224" i="69"/>
  <c r="K228" i="69" s="1"/>
  <c r="K5" i="69" s="1"/>
  <c r="CF151" i="69"/>
  <c r="CS166" i="69"/>
  <c r="E147" i="69"/>
  <c r="DI147" i="69" s="1"/>
  <c r="DJ147" i="69" s="1"/>
  <c r="BF218" i="69"/>
  <c r="CF69" i="69"/>
  <c r="DK135" i="69"/>
  <c r="AF148" i="69"/>
  <c r="AC219" i="69"/>
  <c r="AC240" i="69"/>
  <c r="BL219" i="69"/>
  <c r="BL240" i="69"/>
  <c r="DA223" i="69"/>
  <c r="DA227" i="69" s="1"/>
  <c r="BF245" i="69"/>
  <c r="AF57" i="69"/>
  <c r="DH57" i="69" s="1"/>
  <c r="CF90" i="69"/>
  <c r="CS130" i="69"/>
  <c r="BF215" i="69"/>
  <c r="M219" i="69"/>
  <c r="M240" i="69"/>
  <c r="AV242" i="69"/>
  <c r="AV255" i="69"/>
  <c r="AV7" i="69" s="1"/>
  <c r="AS217" i="69"/>
  <c r="CA241" i="69"/>
  <c r="CA219" i="69"/>
  <c r="CR241" i="69"/>
  <c r="CR242" i="69" s="1"/>
  <c r="CR219" i="69"/>
  <c r="AU219" i="69"/>
  <c r="DF254" i="69"/>
  <c r="CS33" i="69"/>
  <c r="CS42" i="69"/>
  <c r="AF187" i="69"/>
  <c r="DH187" i="69" s="1"/>
  <c r="E29" i="69"/>
  <c r="DI29" i="69" s="1"/>
  <c r="DJ29" i="69" s="1"/>
  <c r="CQ223" i="69"/>
  <c r="CQ114" i="69"/>
  <c r="DJ170" i="69"/>
  <c r="DF30" i="69"/>
  <c r="BF48" i="69"/>
  <c r="BK223" i="69"/>
  <c r="BK227" i="69" s="1"/>
  <c r="BK4" i="69" s="1"/>
  <c r="Y114" i="69"/>
  <c r="AA223" i="69"/>
  <c r="AA114" i="69"/>
  <c r="S30" i="69"/>
  <c r="DH30" i="69" s="1"/>
  <c r="AB223" i="69"/>
  <c r="AB227" i="69" s="1"/>
  <c r="BM223" i="69"/>
  <c r="CV114" i="69"/>
  <c r="CG224" i="69"/>
  <c r="CG228" i="69" s="1"/>
  <c r="E152" i="69"/>
  <c r="DI152" i="69" s="1"/>
  <c r="CE189" i="69"/>
  <c r="CE224" i="69" s="1"/>
  <c r="CE228" i="69" s="1"/>
  <c r="CE5" i="69" s="1"/>
  <c r="CE175" i="69"/>
  <c r="Y207" i="69"/>
  <c r="Y218" i="69"/>
  <c r="L224" i="69"/>
  <c r="L228" i="69" s="1"/>
  <c r="L5" i="69" s="1"/>
  <c r="CY224" i="69"/>
  <c r="CY228" i="69" s="1"/>
  <c r="CY5" i="69" s="1"/>
  <c r="CY11" i="69" s="1"/>
  <c r="CS160" i="69"/>
  <c r="CF166" i="69"/>
  <c r="BS105" i="69"/>
  <c r="BS108" i="69"/>
  <c r="CS108" i="69"/>
  <c r="CS148" i="69"/>
  <c r="BF160" i="69"/>
  <c r="J223" i="69"/>
  <c r="CF72" i="69"/>
  <c r="DF99" i="69"/>
  <c r="DJ159" i="69"/>
  <c r="CF160" i="69"/>
  <c r="H262" i="69"/>
  <c r="DM37" i="69"/>
  <c r="E37" i="69"/>
  <c r="DM44" i="69"/>
  <c r="AF54" i="69"/>
  <c r="CF187" i="69"/>
  <c r="H190" i="69"/>
  <c r="AW219" i="69"/>
  <c r="AV219" i="69"/>
  <c r="CS251" i="69"/>
  <c r="CF42" i="69"/>
  <c r="AS33" i="69"/>
  <c r="AS48" i="69"/>
  <c r="BL223" i="69"/>
  <c r="BL227" i="69" s="1"/>
  <c r="BL4" i="69" s="1"/>
  <c r="CC114" i="69"/>
  <c r="Z114" i="69"/>
  <c r="CS207" i="69"/>
  <c r="DF207" i="69"/>
  <c r="DH209" i="69"/>
  <c r="AC223" i="69"/>
  <c r="AC225" i="69" s="1"/>
  <c r="CH224" i="69"/>
  <c r="CH228" i="69" s="1"/>
  <c r="CH5" i="69" s="1"/>
  <c r="BS151" i="69"/>
  <c r="Z207" i="69"/>
  <c r="Z218" i="69"/>
  <c r="E109" i="69"/>
  <c r="DI109" i="69" s="1"/>
  <c r="DJ109" i="69" s="1"/>
  <c r="DJ161" i="69"/>
  <c r="BW174" i="69"/>
  <c r="BW189" i="69" s="1"/>
  <c r="BW224" i="69" s="1"/>
  <c r="BW228" i="69" s="1"/>
  <c r="BW5" i="69" s="1"/>
  <c r="BW11" i="69" s="1"/>
  <c r="BW188" i="69"/>
  <c r="AF166" i="69"/>
  <c r="DI70" i="69"/>
  <c r="BS139" i="69"/>
  <c r="AO223" i="69"/>
  <c r="CF245" i="69"/>
  <c r="CF36" i="69"/>
  <c r="DF36" i="69"/>
  <c r="AF42" i="69"/>
  <c r="BS45" i="69"/>
  <c r="AF51" i="69"/>
  <c r="DH51" i="69" s="1"/>
  <c r="BS75" i="69"/>
  <c r="I114" i="69"/>
  <c r="AF127" i="69"/>
  <c r="BF187" i="69"/>
  <c r="DF187" i="69"/>
  <c r="I190" i="69"/>
  <c r="AQ190" i="69"/>
  <c r="BJ219" i="69"/>
  <c r="AG224" i="69"/>
  <c r="AG228" i="69" s="1"/>
  <c r="M223" i="69"/>
  <c r="M227" i="69" s="1"/>
  <c r="M4" i="69" s="1"/>
  <c r="BO114" i="69"/>
  <c r="E153" i="69"/>
  <c r="DI153" i="69" s="1"/>
  <c r="BF251" i="69"/>
  <c r="CF30" i="69"/>
  <c r="CS39" i="69"/>
  <c r="AF48" i="69"/>
  <c r="DH48" i="69" s="1"/>
  <c r="E50" i="69"/>
  <c r="DI50" i="69" s="1"/>
  <c r="DJ50" i="69" s="1"/>
  <c r="DF87" i="69"/>
  <c r="DF221" i="69"/>
  <c r="DK20" i="69"/>
  <c r="E25" i="69"/>
  <c r="DI25" i="69" s="1"/>
  <c r="AF27" i="69"/>
  <c r="S66" i="69"/>
  <c r="S75" i="69"/>
  <c r="CS118" i="69"/>
  <c r="E120" i="69"/>
  <c r="DI120" i="69" s="1"/>
  <c r="AF184" i="69"/>
  <c r="DH193" i="69"/>
  <c r="BF239" i="69"/>
  <c r="AS63" i="69"/>
  <c r="DF63" i="69"/>
  <c r="DM68" i="69"/>
  <c r="DN68" i="69" s="1"/>
  <c r="AY224" i="69"/>
  <c r="AY228" i="69" s="1"/>
  <c r="AY5" i="69" s="1"/>
  <c r="E141" i="69"/>
  <c r="DI141" i="69" s="1"/>
  <c r="CF184" i="69"/>
  <c r="BR190" i="69"/>
  <c r="BS195" i="69"/>
  <c r="CS211" i="69"/>
  <c r="AF233" i="69"/>
  <c r="E238" i="69"/>
  <c r="DI238" i="69" s="1"/>
  <c r="CS239" i="69"/>
  <c r="AS96" i="69"/>
  <c r="DF195" i="69"/>
  <c r="AS239" i="69"/>
  <c r="S63" i="69"/>
  <c r="AF96" i="69"/>
  <c r="BF102" i="69"/>
  <c r="DF108" i="69"/>
  <c r="DF121" i="69"/>
  <c r="DK123" i="69"/>
  <c r="S169" i="69"/>
  <c r="DH169" i="69" s="1"/>
  <c r="DJ169" i="69" s="1"/>
  <c r="AF169" i="69"/>
  <c r="BF169" i="69"/>
  <c r="DH170" i="69"/>
  <c r="CC224" i="69"/>
  <c r="CC228" i="69" s="1"/>
  <c r="CC5" i="69" s="1"/>
  <c r="E52" i="69"/>
  <c r="S69" i="69"/>
  <c r="BF78" i="69"/>
  <c r="CS84" i="69"/>
  <c r="DM89" i="69"/>
  <c r="DH116" i="69"/>
  <c r="BF130" i="69"/>
  <c r="AS157" i="69"/>
  <c r="DF169" i="69"/>
  <c r="CO190" i="69"/>
  <c r="CK240" i="69"/>
  <c r="CK242" i="69" s="1"/>
  <c r="BS90" i="69"/>
  <c r="BF108" i="69"/>
  <c r="AE223" i="69"/>
  <c r="N224" i="69"/>
  <c r="N228" i="69" s="1"/>
  <c r="N5" i="69" s="1"/>
  <c r="CS136" i="69"/>
  <c r="S148" i="69"/>
  <c r="BY188" i="69"/>
  <c r="BY190" i="69" s="1"/>
  <c r="BY174" i="69"/>
  <c r="BY175" i="69" s="1"/>
  <c r="E193" i="69"/>
  <c r="DI193" i="69" s="1"/>
  <c r="BF199" i="69"/>
  <c r="E214" i="69"/>
  <c r="DI214" i="69" s="1"/>
  <c r="BS30" i="69"/>
  <c r="BS66" i="69"/>
  <c r="AS99" i="69"/>
  <c r="O223" i="69"/>
  <c r="O227" i="69" s="1"/>
  <c r="O4" i="69" s="1"/>
  <c r="CF136" i="69"/>
  <c r="DJ19" i="69"/>
  <c r="E76" i="69"/>
  <c r="DI76" i="69" s="1"/>
  <c r="DJ76" i="69" s="1"/>
  <c r="DK104" i="69"/>
  <c r="P114" i="69"/>
  <c r="P223" i="69"/>
  <c r="BS96" i="69"/>
  <c r="AS130" i="69"/>
  <c r="DM74" i="69"/>
  <c r="DF84" i="69"/>
  <c r="CF102" i="69"/>
  <c r="DF105" i="69"/>
  <c r="CS51" i="69"/>
  <c r="CF84" i="69"/>
  <c r="BS163" i="69"/>
  <c r="CE190" i="69"/>
  <c r="AG219" i="69"/>
  <c r="BZ219" i="69"/>
  <c r="BZ240" i="69"/>
  <c r="BZ242" i="69" s="1"/>
  <c r="CB240" i="69"/>
  <c r="CB219" i="69"/>
  <c r="AP219" i="69"/>
  <c r="DH109" i="69"/>
  <c r="AV223" i="69"/>
  <c r="AV114" i="69"/>
  <c r="E117" i="69"/>
  <c r="E118" i="69" s="1"/>
  <c r="DI118" i="69" s="1"/>
  <c r="BS184" i="69"/>
  <c r="AS24" i="69"/>
  <c r="AF78" i="69"/>
  <c r="E128" i="69"/>
  <c r="DI128" i="69" s="1"/>
  <c r="DJ128" i="69" s="1"/>
  <c r="AS172" i="69"/>
  <c r="BS18" i="69"/>
  <c r="DF90" i="69"/>
  <c r="DF96" i="69"/>
  <c r="CJ223" i="69"/>
  <c r="CJ227" i="69" s="1"/>
  <c r="CJ4" i="69" s="1"/>
  <c r="DF139" i="69"/>
  <c r="AF18" i="69"/>
  <c r="CF18" i="69"/>
  <c r="BF30" i="69"/>
  <c r="AS72" i="69"/>
  <c r="DM86" i="69"/>
  <c r="DF102" i="69"/>
  <c r="E131" i="69"/>
  <c r="E133" i="69" s="1"/>
  <c r="DI133" i="69" s="1"/>
  <c r="DH131" i="69"/>
  <c r="AF172" i="69"/>
  <c r="CB174" i="69"/>
  <c r="CB189" i="69" s="1"/>
  <c r="CB224" i="69" s="1"/>
  <c r="CB228" i="69" s="1"/>
  <c r="CB5" i="69" s="1"/>
  <c r="CB188" i="69"/>
  <c r="CB190" i="69" s="1"/>
  <c r="CG190" i="69"/>
  <c r="AF236" i="69"/>
  <c r="AF69" i="69"/>
  <c r="AS102" i="69"/>
  <c r="AS78" i="69"/>
  <c r="S18" i="69"/>
  <c r="DH20" i="69"/>
  <c r="DJ20" i="69" s="1"/>
  <c r="CS45" i="69"/>
  <c r="BF51" i="69"/>
  <c r="CF51" i="69"/>
  <c r="DF51" i="69"/>
  <c r="DH70" i="69"/>
  <c r="AF75" i="69"/>
  <c r="CQ224" i="69"/>
  <c r="CQ228" i="69" s="1"/>
  <c r="CQ5" i="69" s="1"/>
  <c r="S154" i="69"/>
  <c r="BS154" i="69"/>
  <c r="BH189" i="69"/>
  <c r="BH190" i="69" s="1"/>
  <c r="AS195" i="69"/>
  <c r="CF196" i="69"/>
  <c r="E196" i="69" s="1"/>
  <c r="AT219" i="69"/>
  <c r="BK242" i="69"/>
  <c r="CC240" i="69"/>
  <c r="CC219" i="69"/>
  <c r="CQ219" i="69"/>
  <c r="E234" i="69"/>
  <c r="DI234" i="69" s="1"/>
  <c r="S48" i="69"/>
  <c r="BS69" i="69"/>
  <c r="CF75" i="69"/>
  <c r="S166" i="69"/>
  <c r="DH166" i="69" s="1"/>
  <c r="DJ166" i="69" s="1"/>
  <c r="DF66" i="69"/>
  <c r="E100" i="69"/>
  <c r="DI100" i="69" s="1"/>
  <c r="BB113" i="69"/>
  <c r="BB114" i="69" s="1"/>
  <c r="E58" i="69"/>
  <c r="DI58" i="69" s="1"/>
  <c r="DJ58" i="69" s="1"/>
  <c r="CS60" i="69"/>
  <c r="CF66" i="69"/>
  <c r="BF84" i="69"/>
  <c r="CS99" i="69"/>
  <c r="S102" i="69"/>
  <c r="CM223" i="69"/>
  <c r="CM227" i="69" s="1"/>
  <c r="CM4" i="69" s="1"/>
  <c r="DD223" i="69"/>
  <c r="DD227" i="69" s="1"/>
  <c r="DD229" i="69" s="1"/>
  <c r="AK224" i="69"/>
  <c r="AK228" i="69" s="1"/>
  <c r="AK5" i="69" s="1"/>
  <c r="E167" i="69"/>
  <c r="DI167" i="69" s="1"/>
  <c r="CV190" i="69"/>
  <c r="AC190" i="69"/>
  <c r="BS203" i="69"/>
  <c r="BS221" i="69"/>
  <c r="DH38" i="69"/>
  <c r="E41" i="69"/>
  <c r="DI41" i="69" s="1"/>
  <c r="DJ41" i="69" s="1"/>
  <c r="DH77" i="69"/>
  <c r="DK77" i="69" s="1"/>
  <c r="AF102" i="69"/>
  <c r="DH102" i="69" s="1"/>
  <c r="R190" i="69"/>
  <c r="AS27" i="69"/>
  <c r="CS78" i="69"/>
  <c r="AF251" i="69"/>
  <c r="BS26" i="69"/>
  <c r="BS33" i="69"/>
  <c r="S42" i="69"/>
  <c r="E43" i="69"/>
  <c r="DI43" i="69" s="1"/>
  <c r="DJ43" i="69" s="1"/>
  <c r="BS60" i="69"/>
  <c r="AS81" i="69"/>
  <c r="AF90" i="69"/>
  <c r="BF99" i="69"/>
  <c r="BS99" i="69"/>
  <c r="BE114" i="69"/>
  <c r="DE223" i="69"/>
  <c r="DE227" i="69" s="1"/>
  <c r="CF124" i="69"/>
  <c r="BS145" i="69"/>
  <c r="CS157" i="69"/>
  <c r="BS166" i="69"/>
  <c r="AV172" i="69"/>
  <c r="E179" i="69"/>
  <c r="DF181" i="69"/>
  <c r="V190" i="69"/>
  <c r="AM190" i="69"/>
  <c r="CW190" i="69"/>
  <c r="M190" i="69"/>
  <c r="AD190" i="69"/>
  <c r="AX189" i="69"/>
  <c r="AX190" i="69" s="1"/>
  <c r="DH201" i="69"/>
  <c r="AK223" i="69"/>
  <c r="E80" i="69"/>
  <c r="DI80" i="69" s="1"/>
  <c r="DJ80" i="69" s="1"/>
  <c r="AS84" i="69"/>
  <c r="E89" i="69"/>
  <c r="DI89" i="69" s="1"/>
  <c r="CJ224" i="69"/>
  <c r="DF130" i="69"/>
  <c r="CS27" i="69"/>
  <c r="BC223" i="69"/>
  <c r="CK224" i="69"/>
  <c r="CK228" i="69" s="1"/>
  <c r="CK5" i="69" s="1"/>
  <c r="CS133" i="69"/>
  <c r="S160" i="69"/>
  <c r="AK190" i="69"/>
  <c r="CF21" i="69"/>
  <c r="DH32" i="69"/>
  <c r="S60" i="69"/>
  <c r="AF60" i="69"/>
  <c r="AS60" i="69"/>
  <c r="DH64" i="69"/>
  <c r="CS81" i="69"/>
  <c r="BX223" i="69"/>
  <c r="DG223" i="69"/>
  <c r="BW114" i="69"/>
  <c r="CF127" i="69"/>
  <c r="DH129" i="69"/>
  <c r="BS148" i="69"/>
  <c r="AX172" i="69"/>
  <c r="BF172" i="69" s="1"/>
  <c r="AS175" i="69"/>
  <c r="F190" i="69"/>
  <c r="W190" i="69"/>
  <c r="AN190" i="69"/>
  <c r="DC224" i="69"/>
  <c r="DC228" i="69" s="1"/>
  <c r="DC5" i="69" s="1"/>
  <c r="DH210" i="69"/>
  <c r="DK210" i="69" s="1"/>
  <c r="AM223" i="69"/>
  <c r="AM227" i="69" s="1"/>
  <c r="DH249" i="69"/>
  <c r="AS254" i="69"/>
  <c r="DH254" i="69" s="1"/>
  <c r="DF27" i="69"/>
  <c r="AS39" i="69"/>
  <c r="CF93" i="69"/>
  <c r="CK223" i="69"/>
  <c r="CK227" i="69" s="1"/>
  <c r="CK4" i="69" s="1"/>
  <c r="E119" i="69"/>
  <c r="CS175" i="69"/>
  <c r="AF181" i="69"/>
  <c r="E205" i="69"/>
  <c r="DI205" i="69" s="1"/>
  <c r="O219" i="69"/>
  <c r="AS251" i="69"/>
  <c r="DF60" i="69"/>
  <c r="CL223" i="69"/>
  <c r="CL227" i="69" s="1"/>
  <c r="AF130" i="69"/>
  <c r="AS139" i="69"/>
  <c r="DH141" i="69"/>
  <c r="DK141" i="69" s="1"/>
  <c r="DH17" i="69"/>
  <c r="CS36" i="69"/>
  <c r="DH44" i="69"/>
  <c r="DH52" i="69"/>
  <c r="AS57" i="69"/>
  <c r="AS66" i="69"/>
  <c r="DH73" i="69"/>
  <c r="DH76" i="69"/>
  <c r="S81" i="69"/>
  <c r="DH83" i="69"/>
  <c r="AF99" i="69"/>
  <c r="BS111" i="69"/>
  <c r="BY223" i="69"/>
  <c r="BY227" i="69" s="1"/>
  <c r="CL114" i="69"/>
  <c r="AS124" i="69"/>
  <c r="AF133" i="69"/>
  <c r="E137" i="69"/>
  <c r="DI137" i="69" s="1"/>
  <c r="CF142" i="69"/>
  <c r="E144" i="69"/>
  <c r="DI144" i="69" s="1"/>
  <c r="DJ144" i="69" s="1"/>
  <c r="AS145" i="69"/>
  <c r="AF154" i="69"/>
  <c r="BF154" i="69"/>
  <c r="CF163" i="69"/>
  <c r="CS172" i="69"/>
  <c r="CF181" i="69"/>
  <c r="BF185" i="69"/>
  <c r="DH185" i="69" s="1"/>
  <c r="CS187" i="69"/>
  <c r="X190" i="69"/>
  <c r="S199" i="69"/>
  <c r="DH214" i="69"/>
  <c r="DK214" i="69" s="1"/>
  <c r="AA219" i="69"/>
  <c r="AN223" i="69"/>
  <c r="AN227" i="69" s="1"/>
  <c r="S233" i="69"/>
  <c r="BM219" i="69"/>
  <c r="DK198" i="69"/>
  <c r="E210" i="69"/>
  <c r="DI210" i="69" s="1"/>
  <c r="BS218" i="69"/>
  <c r="DH205" i="69"/>
  <c r="BR224" i="69"/>
  <c r="BR228" i="69" s="1"/>
  <c r="BR5" i="69" s="1"/>
  <c r="E198" i="69"/>
  <c r="DI198" i="69" s="1"/>
  <c r="DJ198" i="69" s="1"/>
  <c r="DH31" i="69"/>
  <c r="BS211" i="69"/>
  <c r="BN224" i="69"/>
  <c r="BN228" i="69" s="1"/>
  <c r="BN5" i="69" s="1"/>
  <c r="DM25" i="69"/>
  <c r="DH16" i="69"/>
  <c r="BS27" i="69"/>
  <c r="AY114" i="69"/>
  <c r="BM114" i="69"/>
  <c r="BC114" i="69"/>
  <c r="BD224" i="69"/>
  <c r="BD228" i="69" s="1"/>
  <c r="BD5" i="69" s="1"/>
  <c r="BF33" i="69"/>
  <c r="DH25" i="69"/>
  <c r="BF18" i="69"/>
  <c r="BV114" i="69"/>
  <c r="DH46" i="69"/>
  <c r="BS48" i="69"/>
  <c r="CV223" i="69"/>
  <c r="CV227" i="69" s="1"/>
  <c r="CJ114" i="69"/>
  <c r="CK114" i="69"/>
  <c r="CF48" i="69"/>
  <c r="CF112" i="69"/>
  <c r="BY114" i="69"/>
  <c r="CE114" i="69"/>
  <c r="E46" i="69"/>
  <c r="BK114" i="69"/>
  <c r="DH47" i="69"/>
  <c r="BR223" i="69"/>
  <c r="BR114" i="69"/>
  <c r="E71" i="69"/>
  <c r="DI71" i="69" s="1"/>
  <c r="DM71" i="69"/>
  <c r="CS72" i="69"/>
  <c r="E129" i="69"/>
  <c r="DI129" i="69" s="1"/>
  <c r="DJ129" i="69" s="1"/>
  <c r="E136" i="69"/>
  <c r="DI136" i="69" s="1"/>
  <c r="DI134" i="69"/>
  <c r="DJ134" i="69" s="1"/>
  <c r="DI149" i="69"/>
  <c r="DJ149" i="69" s="1"/>
  <c r="DD190" i="69"/>
  <c r="DD224" i="69"/>
  <c r="DD228" i="69" s="1"/>
  <c r="DD5" i="69" s="1"/>
  <c r="AX240" i="69"/>
  <c r="AX219" i="69"/>
  <c r="BO240" i="69"/>
  <c r="BO219" i="69"/>
  <c r="CW240" i="69"/>
  <c r="CW219" i="69"/>
  <c r="DK80" i="69"/>
  <c r="S124" i="69"/>
  <c r="DK129" i="69"/>
  <c r="DE190" i="69"/>
  <c r="DE224" i="69"/>
  <c r="DE228" i="69" s="1"/>
  <c r="DE5" i="69" s="1"/>
  <c r="DE11" i="69" s="1"/>
  <c r="P255" i="69"/>
  <c r="AN225" i="69"/>
  <c r="CT224" i="69"/>
  <c r="DF113" i="69"/>
  <c r="DI52" i="69"/>
  <c r="DJ52" i="69" s="1"/>
  <c r="DK92" i="69"/>
  <c r="AB224" i="69"/>
  <c r="AB228" i="69" s="1"/>
  <c r="AB5" i="69" s="1"/>
  <c r="AB114" i="69"/>
  <c r="BL224" i="69"/>
  <c r="BL228" i="69" s="1"/>
  <c r="BL114" i="69"/>
  <c r="BS113" i="69"/>
  <c r="DI116" i="69"/>
  <c r="E91" i="69"/>
  <c r="BP114" i="69"/>
  <c r="BP223" i="69"/>
  <c r="CW114" i="69"/>
  <c r="CW223" i="69"/>
  <c r="DF112" i="69"/>
  <c r="AC224" i="69"/>
  <c r="AC228" i="69" s="1"/>
  <c r="AC5" i="69" s="1"/>
  <c r="AC114" i="69"/>
  <c r="AT224" i="69"/>
  <c r="AT114" i="69"/>
  <c r="CF173" i="69"/>
  <c r="E173" i="69" s="1"/>
  <c r="DI173" i="69" s="1"/>
  <c r="BT174" i="69"/>
  <c r="BT175" i="69"/>
  <c r="BT188" i="69"/>
  <c r="BT223" i="69" s="1"/>
  <c r="BQ189" i="69"/>
  <c r="BQ224" i="69" s="1"/>
  <c r="BQ228" i="69" s="1"/>
  <c r="BQ5" i="69" s="1"/>
  <c r="BQ175" i="69"/>
  <c r="BQ190" i="69"/>
  <c r="BS188" i="69"/>
  <c r="DK86" i="69"/>
  <c r="DK110" i="69"/>
  <c r="DJ110" i="69"/>
  <c r="AH223" i="69"/>
  <c r="AZ114" i="69"/>
  <c r="AZ223" i="69"/>
  <c r="BQ223" i="69"/>
  <c r="BQ114" i="69"/>
  <c r="CG114" i="69"/>
  <c r="CS112" i="69"/>
  <c r="CG223" i="69"/>
  <c r="CX114" i="69"/>
  <c r="CX223" i="69"/>
  <c r="M224" i="69"/>
  <c r="M228" i="69" s="1"/>
  <c r="M5" i="69" s="1"/>
  <c r="M114" i="69"/>
  <c r="AD224" i="69"/>
  <c r="AD228" i="69" s="1"/>
  <c r="AD5" i="69" s="1"/>
  <c r="AD11" i="69" s="1"/>
  <c r="AD114" i="69"/>
  <c r="AU224" i="69"/>
  <c r="AU228" i="69" s="1"/>
  <c r="AU5" i="69" s="1"/>
  <c r="AU11" i="69" s="1"/>
  <c r="AU114" i="69"/>
  <c r="BU174" i="69"/>
  <c r="BU189" i="69" s="1"/>
  <c r="BU175" i="69"/>
  <c r="BU188" i="69"/>
  <c r="BU190" i="69" s="1"/>
  <c r="Q190" i="69"/>
  <c r="S188" i="69"/>
  <c r="AI190" i="69"/>
  <c r="AI223" i="69"/>
  <c r="H265" i="69"/>
  <c r="H267" i="69" s="1"/>
  <c r="G266" i="69"/>
  <c r="G244" i="69" s="1"/>
  <c r="DK56" i="69"/>
  <c r="DJ56" i="69"/>
  <c r="CH114" i="69"/>
  <c r="CH223" i="69"/>
  <c r="AE224" i="69"/>
  <c r="AE228" i="69" s="1"/>
  <c r="AE5" i="69" s="1"/>
  <c r="AE114" i="69"/>
  <c r="BF23" i="69"/>
  <c r="E23" i="69" s="1"/>
  <c r="DI23" i="69" s="1"/>
  <c r="DK44" i="69"/>
  <c r="DM49" i="69"/>
  <c r="DH49" i="69"/>
  <c r="DK50" i="69" s="1"/>
  <c r="E96" i="69"/>
  <c r="DI96" i="69" s="1"/>
  <c r="DI94" i="69"/>
  <c r="DJ94" i="69" s="1"/>
  <c r="AJ114" i="69"/>
  <c r="AJ223" i="69"/>
  <c r="AS112" i="69"/>
  <c r="BB223" i="69"/>
  <c r="BS112" i="69"/>
  <c r="CI223" i="69"/>
  <c r="CI114" i="69"/>
  <c r="CZ114" i="69"/>
  <c r="CZ223" i="69"/>
  <c r="DC227" i="69"/>
  <c r="E44" i="69"/>
  <c r="DI44" i="69" s="1"/>
  <c r="DJ44" i="69" s="1"/>
  <c r="DM50" i="69"/>
  <c r="DN50" i="69" s="1"/>
  <c r="E98" i="69"/>
  <c r="DI98" i="69" s="1"/>
  <c r="DJ98" i="69" s="1"/>
  <c r="DH107" i="69"/>
  <c r="DK107" i="69" s="1"/>
  <c r="E107" i="69"/>
  <c r="DI107" i="69" s="1"/>
  <c r="DJ107" i="69" s="1"/>
  <c r="BD242" i="69"/>
  <c r="DM28" i="69"/>
  <c r="DN29" i="69" s="1"/>
  <c r="S93" i="69"/>
  <c r="DH138" i="69"/>
  <c r="E138" i="69"/>
  <c r="DI138" i="69" s="1"/>
  <c r="DJ138" i="69" s="1"/>
  <c r="Q223" i="69"/>
  <c r="DI243" i="69"/>
  <c r="DJ243" i="69" s="1"/>
  <c r="DH148" i="69"/>
  <c r="BI241" i="69"/>
  <c r="BI242" i="69" s="1"/>
  <c r="BI219" i="69"/>
  <c r="BS217" i="69"/>
  <c r="R223" i="69"/>
  <c r="AY266" i="69"/>
  <c r="E35" i="69"/>
  <c r="DI35" i="69" s="1"/>
  <c r="DJ35" i="69" s="1"/>
  <c r="DM35" i="69"/>
  <c r="K242" i="69"/>
  <c r="DK35" i="69"/>
  <c r="DF39" i="69"/>
  <c r="AF124" i="69"/>
  <c r="DF133" i="69"/>
  <c r="BO175" i="69"/>
  <c r="DF189" i="69"/>
  <c r="AO227" i="69"/>
  <c r="O229" i="69"/>
  <c r="CL242" i="69"/>
  <c r="I262" i="69"/>
  <c r="H263" i="69"/>
  <c r="H247" i="69" s="1"/>
  <c r="H248" i="69" s="1"/>
  <c r="CY114" i="69"/>
  <c r="CY223" i="69"/>
  <c r="BS39" i="69"/>
  <c r="BS51" i="69"/>
  <c r="DI117" i="69"/>
  <c r="P227" i="69"/>
  <c r="AT256" i="69"/>
  <c r="AF72" i="69"/>
  <c r="BC227" i="69"/>
  <c r="E168" i="69"/>
  <c r="DI168" i="69" s="1"/>
  <c r="DH168" i="69"/>
  <c r="AJ190" i="69"/>
  <c r="BB190" i="69"/>
  <c r="DF24" i="69"/>
  <c r="DM34" i="69"/>
  <c r="AS36" i="69"/>
  <c r="DH37" i="69"/>
  <c r="AF39" i="69"/>
  <c r="CS48" i="69"/>
  <c r="E83" i="69"/>
  <c r="DI83" i="69" s="1"/>
  <c r="DJ83" i="69" s="1"/>
  <c r="DF93" i="69"/>
  <c r="U223" i="69"/>
  <c r="U114" i="69"/>
  <c r="AL223" i="69"/>
  <c r="AL114" i="69"/>
  <c r="DH132" i="69"/>
  <c r="AF160" i="69"/>
  <c r="CF195" i="69"/>
  <c r="Y255" i="69"/>
  <c r="Y242" i="69"/>
  <c r="BS130" i="69"/>
  <c r="DH158" i="69"/>
  <c r="DI196" i="69"/>
  <c r="DJ196" i="69" s="1"/>
  <c r="DI200" i="69"/>
  <c r="DJ200" i="69" s="1"/>
  <c r="DF239" i="69"/>
  <c r="AB255" i="69"/>
  <c r="AB242" i="69"/>
  <c r="DH59" i="69"/>
  <c r="DK59" i="69" s="1"/>
  <c r="DM65" i="69"/>
  <c r="E65" i="69"/>
  <c r="DI65" i="69" s="1"/>
  <c r="E79" i="69"/>
  <c r="DM79" i="69"/>
  <c r="DH79" i="69"/>
  <c r="E92" i="69"/>
  <c r="DI92" i="69" s="1"/>
  <c r="DJ92" i="69" s="1"/>
  <c r="DM92" i="69"/>
  <c r="AS93" i="69"/>
  <c r="DI106" i="69"/>
  <c r="DJ106" i="69" s="1"/>
  <c r="DK162" i="69"/>
  <c r="DJ162" i="69"/>
  <c r="AC255" i="69"/>
  <c r="AC242" i="69"/>
  <c r="CN242" i="69"/>
  <c r="T114" i="69"/>
  <c r="T223" i="69"/>
  <c r="AF112" i="69"/>
  <c r="AS21" i="69"/>
  <c r="AF21" i="69"/>
  <c r="S45" i="69"/>
  <c r="S54" i="69"/>
  <c r="CS93" i="69"/>
  <c r="S130" i="69"/>
  <c r="S151" i="69"/>
  <c r="CS178" i="69"/>
  <c r="E192" i="69"/>
  <c r="DK253" i="69"/>
  <c r="X266" i="69"/>
  <c r="X244" i="69" s="1"/>
  <c r="X245" i="69" s="1"/>
  <c r="X265" i="69"/>
  <c r="Y266" i="69" s="1"/>
  <c r="Y244" i="69" s="1"/>
  <c r="Y245" i="69" s="1"/>
  <c r="E16" i="69"/>
  <c r="CS18" i="69"/>
  <c r="DF33" i="69"/>
  <c r="S57" i="69"/>
  <c r="BS63" i="69"/>
  <c r="BF66" i="69"/>
  <c r="CS75" i="69"/>
  <c r="E88" i="69"/>
  <c r="CF154" i="69"/>
  <c r="DF157" i="69"/>
  <c r="U221" i="69"/>
  <c r="U218" i="69"/>
  <c r="AF194" i="69"/>
  <c r="E194" i="69" s="1"/>
  <c r="U195" i="69"/>
  <c r="DA225" i="69"/>
  <c r="BZ264" i="69"/>
  <c r="BZ233" i="69"/>
  <c r="CF233" i="69" s="1"/>
  <c r="CF231" i="69"/>
  <c r="E231" i="69" s="1"/>
  <c r="BF45" i="69"/>
  <c r="CF63" i="69"/>
  <c r="AS75" i="69"/>
  <c r="CF78" i="69"/>
  <c r="CF87" i="69"/>
  <c r="I225" i="69"/>
  <c r="I227" i="69"/>
  <c r="Z227" i="69"/>
  <c r="AQ223" i="69"/>
  <c r="AQ114" i="69"/>
  <c r="BI223" i="69"/>
  <c r="BI114" i="69"/>
  <c r="CO223" i="69"/>
  <c r="CO114" i="69"/>
  <c r="DF124" i="69"/>
  <c r="AS136" i="69"/>
  <c r="DF136" i="69"/>
  <c r="E146" i="69"/>
  <c r="DH182" i="69"/>
  <c r="DK183" i="69" s="1"/>
  <c r="AF199" i="69"/>
  <c r="CF199" i="69"/>
  <c r="CF203" i="69"/>
  <c r="AF207" i="69"/>
  <c r="AB219" i="69"/>
  <c r="S217" i="69"/>
  <c r="G219" i="69"/>
  <c r="X241" i="69"/>
  <c r="BE241" i="69"/>
  <c r="BF241" i="69" s="1"/>
  <c r="BE219" i="69"/>
  <c r="DC241" i="69"/>
  <c r="DC219" i="69"/>
  <c r="Q219" i="69"/>
  <c r="Q224" i="69"/>
  <c r="Q228" i="69" s="1"/>
  <c r="Q5" i="69" s="1"/>
  <c r="AU9" i="69"/>
  <c r="DI17" i="69"/>
  <c r="BF75" i="69"/>
  <c r="DH75" i="69" s="1"/>
  <c r="AS151" i="69"/>
  <c r="DK180" i="69"/>
  <c r="DG265" i="69"/>
  <c r="BT265" i="69"/>
  <c r="BU265" i="69" s="1"/>
  <c r="BV265" i="69" s="1"/>
  <c r="BW265" i="69" s="1"/>
  <c r="BX265" i="69" s="1"/>
  <c r="BY265" i="69" s="1"/>
  <c r="BZ265" i="69" s="1"/>
  <c r="CA265" i="69" s="1"/>
  <c r="CB265" i="69" s="1"/>
  <c r="AF33" i="69"/>
  <c r="CS63" i="69"/>
  <c r="S127" i="69"/>
  <c r="CF139" i="69"/>
  <c r="DF142" i="69"/>
  <c r="BF178" i="69"/>
  <c r="AL190" i="69"/>
  <c r="BF21" i="69"/>
  <c r="S33" i="69"/>
  <c r="BB224" i="69"/>
  <c r="BB228" i="69" s="1"/>
  <c r="BB5" i="69" s="1"/>
  <c r="CJ228" i="69"/>
  <c r="CJ5" i="69" s="1"/>
  <c r="CJ6" i="69" s="1"/>
  <c r="CJ225" i="69"/>
  <c r="DF148" i="69"/>
  <c r="DA241" i="69"/>
  <c r="DA256" i="69" s="1"/>
  <c r="DA8" i="69" s="1"/>
  <c r="DA11" i="69" s="1"/>
  <c r="DA219" i="69"/>
  <c r="DF42" i="69"/>
  <c r="CN223" i="69"/>
  <c r="CN114" i="69"/>
  <c r="DE114" i="69"/>
  <c r="BF118" i="69"/>
  <c r="CS121" i="69"/>
  <c r="AS148" i="69"/>
  <c r="DJ164" i="69"/>
  <c r="G190" i="69"/>
  <c r="BG190" i="69"/>
  <c r="BX190" i="69"/>
  <c r="AR255" i="69"/>
  <c r="AR242" i="69"/>
  <c r="W241" i="69"/>
  <c r="BD241" i="69"/>
  <c r="BD219" i="69"/>
  <c r="CF217" i="69"/>
  <c r="BT241" i="69"/>
  <c r="BT242" i="69" s="1"/>
  <c r="DB241" i="69"/>
  <c r="DB256" i="69" s="1"/>
  <c r="DB8" i="69" s="1"/>
  <c r="DB11" i="69" s="1"/>
  <c r="DB219" i="69"/>
  <c r="CE227" i="69"/>
  <c r="CE225" i="69"/>
  <c r="E26" i="69"/>
  <c r="DI26" i="69" s="1"/>
  <c r="BF27" i="69"/>
  <c r="CF24" i="69"/>
  <c r="E38" i="69"/>
  <c r="DI38" i="69" s="1"/>
  <c r="DJ38" i="69" s="1"/>
  <c r="BF39" i="69"/>
  <c r="E40" i="69"/>
  <c r="AS42" i="69"/>
  <c r="DM43" i="69"/>
  <c r="AF45" i="69"/>
  <c r="E73" i="69"/>
  <c r="DM76" i="69"/>
  <c r="AF84" i="69"/>
  <c r="S87" i="69"/>
  <c r="BS87" i="69"/>
  <c r="AS90" i="69"/>
  <c r="CS90" i="69"/>
  <c r="BS93" i="69"/>
  <c r="E95" i="69"/>
  <c r="DI95" i="69" s="1"/>
  <c r="DJ95" i="69" s="1"/>
  <c r="S105" i="69"/>
  <c r="DH105" i="69" s="1"/>
  <c r="CS111" i="69"/>
  <c r="AA227" i="69"/>
  <c r="AA225" i="69"/>
  <c r="AR223" i="69"/>
  <c r="AR114" i="69"/>
  <c r="BJ223" i="69"/>
  <c r="BJ114" i="69"/>
  <c r="CP223" i="69"/>
  <c r="CP114" i="69"/>
  <c r="DG227" i="69"/>
  <c r="CM224" i="69"/>
  <c r="G189" i="69"/>
  <c r="S189" i="69" s="1"/>
  <c r="G118" i="69"/>
  <c r="S118" i="69" s="1"/>
  <c r="DI119" i="69"/>
  <c r="E121" i="69"/>
  <c r="DI121" i="69" s="1"/>
  <c r="AF175" i="69"/>
  <c r="E184" i="69"/>
  <c r="DI184" i="69" s="1"/>
  <c r="CF207" i="69"/>
  <c r="CC242" i="69"/>
  <c r="CT240" i="69"/>
  <c r="DF216" i="69"/>
  <c r="CT219" i="69"/>
  <c r="H241" i="69"/>
  <c r="H219" i="69"/>
  <c r="Y219" i="69"/>
  <c r="BF217" i="69"/>
  <c r="BV241" i="69"/>
  <c r="BV219" i="69"/>
  <c r="CM242" i="69"/>
  <c r="DD256" i="69"/>
  <c r="DD8" i="69" s="1"/>
  <c r="DD242" i="69"/>
  <c r="CR223" i="69"/>
  <c r="BJ224" i="69"/>
  <c r="BJ228" i="69" s="1"/>
  <c r="BJ5" i="69" s="1"/>
  <c r="L255" i="69"/>
  <c r="L242" i="69"/>
  <c r="E125" i="69"/>
  <c r="DH125" i="69"/>
  <c r="AF188" i="69"/>
  <c r="T190" i="69"/>
  <c r="AU4" i="69"/>
  <c r="AV9" i="69"/>
  <c r="E31" i="69"/>
  <c r="DI31" i="69" s="1"/>
  <c r="BF90" i="69"/>
  <c r="AF93" i="69"/>
  <c r="S111" i="69"/>
  <c r="U190" i="69"/>
  <c r="BD190" i="69"/>
  <c r="BD223" i="69"/>
  <c r="CS218" i="69"/>
  <c r="F256" i="69"/>
  <c r="R224" i="69"/>
  <c r="R228" i="69" s="1"/>
  <c r="R5" i="69" s="1"/>
  <c r="BF145" i="69"/>
  <c r="CT190" i="69"/>
  <c r="DF188" i="69"/>
  <c r="V241" i="69"/>
  <c r="V224" i="69"/>
  <c r="V228" i="69" s="1"/>
  <c r="V5" i="69" s="1"/>
  <c r="CJ241" i="69"/>
  <c r="CJ219" i="69"/>
  <c r="AF63" i="69"/>
  <c r="DF75" i="69"/>
  <c r="E101" i="69"/>
  <c r="DI101" i="69" s="1"/>
  <c r="DJ101" i="69" s="1"/>
  <c r="BX227" i="69"/>
  <c r="DE225" i="69"/>
  <c r="CS21" i="69"/>
  <c r="CS30" i="69"/>
  <c r="DM38" i="69"/>
  <c r="DN38" i="69" s="1"/>
  <c r="DM40" i="69"/>
  <c r="BS72" i="69"/>
  <c r="DM73" i="69"/>
  <c r="E82" i="69"/>
  <c r="K223" i="69"/>
  <c r="K114" i="69"/>
  <c r="AB225" i="69"/>
  <c r="BX114" i="69"/>
  <c r="DH117" i="69"/>
  <c r="DK117" i="69" s="1"/>
  <c r="DF145" i="69"/>
  <c r="S157" i="69"/>
  <c r="BS157" i="69"/>
  <c r="CF169" i="69"/>
  <c r="BM189" i="69"/>
  <c r="BM175" i="69"/>
  <c r="DI179" i="69"/>
  <c r="E197" i="69"/>
  <c r="AS203" i="69"/>
  <c r="AD240" i="69"/>
  <c r="AD219" i="69"/>
  <c r="CD240" i="69"/>
  <c r="CD219" i="69"/>
  <c r="CU240" i="69"/>
  <c r="CU219" i="69"/>
  <c r="I241" i="69"/>
  <c r="I219" i="69"/>
  <c r="BG241" i="69"/>
  <c r="BG219" i="69"/>
  <c r="BW241" i="69"/>
  <c r="BW256" i="69" s="1"/>
  <c r="BW8" i="69" s="1"/>
  <c r="BW219" i="69"/>
  <c r="J227" i="69"/>
  <c r="DH139" i="69"/>
  <c r="DJ139" i="69" s="1"/>
  <c r="CF105" i="69"/>
  <c r="BH223" i="69"/>
  <c r="BH114" i="69"/>
  <c r="S24" i="69"/>
  <c r="BS24" i="69"/>
  <c r="BF26" i="69"/>
  <c r="E28" i="69"/>
  <c r="E34" i="69"/>
  <c r="BF36" i="69"/>
  <c r="DM58" i="69"/>
  <c r="BF72" i="69"/>
  <c r="S78" i="69"/>
  <c r="DM82" i="69"/>
  <c r="DH88" i="69"/>
  <c r="DH89" i="69"/>
  <c r="CS102" i="69"/>
  <c r="DG224" i="69"/>
  <c r="DG228" i="69" s="1"/>
  <c r="DG5" i="69" s="1"/>
  <c r="DK126" i="69"/>
  <c r="CF130" i="69"/>
  <c r="BF133" i="69"/>
  <c r="CS145" i="69"/>
  <c r="S203" i="69"/>
  <c r="N240" i="69"/>
  <c r="N223" i="69"/>
  <c r="N219" i="69"/>
  <c r="S216" i="69"/>
  <c r="BS216" i="69"/>
  <c r="BN223" i="69"/>
  <c r="BN240" i="69"/>
  <c r="BN219" i="69"/>
  <c r="CE240" i="69"/>
  <c r="CE219" i="69"/>
  <c r="CV240" i="69"/>
  <c r="CV219" i="69"/>
  <c r="J241" i="69"/>
  <c r="S241" i="69" s="1"/>
  <c r="J219" i="69"/>
  <c r="BH241" i="69"/>
  <c r="BH219" i="69"/>
  <c r="BX242" i="69"/>
  <c r="DF217" i="69"/>
  <c r="AS218" i="69"/>
  <c r="DH231" i="69"/>
  <c r="G267" i="69"/>
  <c r="G263" i="69"/>
  <c r="G247" i="69" s="1"/>
  <c r="AF178" i="69"/>
  <c r="CF178" i="69"/>
  <c r="AW189" i="69"/>
  <c r="AW190" i="69" s="1"/>
  <c r="BF186" i="69"/>
  <c r="DH186" i="69" s="1"/>
  <c r="DK186" i="69" s="1"/>
  <c r="X221" i="69"/>
  <c r="X218" i="69"/>
  <c r="X219" i="69" s="1"/>
  <c r="X195" i="69"/>
  <c r="CS215" i="69"/>
  <c r="AS216" i="69"/>
  <c r="AH240" i="69"/>
  <c r="AY219" i="69"/>
  <c r="AY240" i="69"/>
  <c r="BP240" i="69"/>
  <c r="BP219" i="69"/>
  <c r="CG240" i="69"/>
  <c r="CS216" i="69"/>
  <c r="CG219" i="69"/>
  <c r="CX219" i="69"/>
  <c r="CX240" i="69"/>
  <c r="AC256" i="69"/>
  <c r="AC8" i="69" s="1"/>
  <c r="E253" i="69"/>
  <c r="DI253" i="69" s="1"/>
  <c r="DJ253" i="69" s="1"/>
  <c r="Z265" i="69"/>
  <c r="AA266" i="69" s="1"/>
  <c r="AA244" i="69" s="1"/>
  <c r="Z266" i="69"/>
  <c r="Z244" i="69" s="1"/>
  <c r="AF30" i="69"/>
  <c r="E47" i="69"/>
  <c r="DI47" i="69" s="1"/>
  <c r="E55" i="69"/>
  <c r="E64" i="69"/>
  <c r="AS69" i="69"/>
  <c r="DF69" i="69"/>
  <c r="BS81" i="69"/>
  <c r="DH97" i="69"/>
  <c r="DK98" i="69" s="1"/>
  <c r="CF99" i="69"/>
  <c r="S108" i="69"/>
  <c r="L114" i="69"/>
  <c r="L223" i="69"/>
  <c r="CO224" i="69"/>
  <c r="CO228" i="69" s="1"/>
  <c r="CO5" i="69" s="1"/>
  <c r="CR114" i="69"/>
  <c r="CF118" i="69"/>
  <c r="CF145" i="69"/>
  <c r="AF163" i="69"/>
  <c r="BV188" i="69"/>
  <c r="BV174" i="69"/>
  <c r="BV189" i="69" s="1"/>
  <c r="BV224" i="69" s="1"/>
  <c r="BV228" i="69" s="1"/>
  <c r="BV5" i="69" s="1"/>
  <c r="CD190" i="69"/>
  <c r="Y221" i="69"/>
  <c r="Y195" i="69"/>
  <c r="R240" i="69"/>
  <c r="R219" i="69"/>
  <c r="AI7" i="69"/>
  <c r="AZ219" i="69"/>
  <c r="AZ240" i="69"/>
  <c r="BQ219" i="69"/>
  <c r="BQ240" i="69"/>
  <c r="CH240" i="69"/>
  <c r="CH219" i="69"/>
  <c r="CY240" i="69"/>
  <c r="CY219" i="69"/>
  <c r="CA242" i="69"/>
  <c r="S218" i="69"/>
  <c r="BL242" i="69"/>
  <c r="E249" i="69"/>
  <c r="DF18" i="69"/>
  <c r="DF21" i="69"/>
  <c r="DM47" i="69"/>
  <c r="AF66" i="69"/>
  <c r="DH66" i="69" s="1"/>
  <c r="CS66" i="69"/>
  <c r="DM70" i="69"/>
  <c r="BF81" i="69"/>
  <c r="DH85" i="69"/>
  <c r="CS87" i="69"/>
  <c r="BF93" i="69"/>
  <c r="DH95" i="69"/>
  <c r="DK95" i="69" s="1"/>
  <c r="E97" i="69"/>
  <c r="AF111" i="69"/>
  <c r="AP224" i="69"/>
  <c r="AP228" i="69" s="1"/>
  <c r="AP5" i="69" s="1"/>
  <c r="AP11" i="69" s="1"/>
  <c r="BI224" i="69"/>
  <c r="BI228" i="69" s="1"/>
  <c r="BI5" i="69" s="1"/>
  <c r="BF121" i="69"/>
  <c r="CS139" i="69"/>
  <c r="DH143" i="69"/>
  <c r="DK144" i="69" s="1"/>
  <c r="AS154" i="69"/>
  <c r="DH154" i="69" s="1"/>
  <c r="DF166" i="69"/>
  <c r="DH167" i="69"/>
  <c r="CF172" i="69"/>
  <c r="AS181" i="69"/>
  <c r="S215" i="69"/>
  <c r="BS215" i="69"/>
  <c r="AJ219" i="69"/>
  <c r="AJ240" i="69"/>
  <c r="BA219" i="69"/>
  <c r="BA240" i="69"/>
  <c r="AG5" i="69"/>
  <c r="E235" i="69"/>
  <c r="DI235" i="69" s="1"/>
  <c r="DH235" i="69"/>
  <c r="DF236" i="69"/>
  <c r="BM242" i="69"/>
  <c r="AS18" i="69"/>
  <c r="CS24" i="69"/>
  <c r="DF81" i="69"/>
  <c r="S99" i="69"/>
  <c r="CS105" i="69"/>
  <c r="CF111" i="69"/>
  <c r="I224" i="69"/>
  <c r="I228" i="69" s="1"/>
  <c r="I5" i="69" s="1"/>
  <c r="AF113" i="69"/>
  <c r="AQ224" i="69"/>
  <c r="AQ228" i="69" s="1"/>
  <c r="AQ5" i="69" s="1"/>
  <c r="BZ224" i="69"/>
  <c r="BZ228" i="69" s="1"/>
  <c r="BZ5" i="69" s="1"/>
  <c r="DH120" i="69"/>
  <c r="BS127" i="69"/>
  <c r="E143" i="69"/>
  <c r="DI143" i="69" s="1"/>
  <c r="S163" i="69"/>
  <c r="DH163" i="69" s="1"/>
  <c r="DJ163" i="69" s="1"/>
  <c r="AS166" i="69"/>
  <c r="DF175" i="69"/>
  <c r="S178" i="69"/>
  <c r="AH219" i="69"/>
  <c r="BF42" i="69"/>
  <c r="BF59" i="69"/>
  <c r="DM59" i="69" s="1"/>
  <c r="S72" i="69"/>
  <c r="DM77" i="69"/>
  <c r="DF78" i="69"/>
  <c r="DH82" i="69"/>
  <c r="DK83" i="69" s="1"/>
  <c r="E85" i="69"/>
  <c r="J224" i="69"/>
  <c r="J228" i="69" s="1"/>
  <c r="J5" i="69" s="1"/>
  <c r="AA224" i="69"/>
  <c r="AA228" i="69" s="1"/>
  <c r="AA5" i="69" s="1"/>
  <c r="CA114" i="69"/>
  <c r="E123" i="69"/>
  <c r="DI123" i="69" s="1"/>
  <c r="DJ123" i="69" s="1"/>
  <c r="DI122" i="69"/>
  <c r="DJ122" i="69" s="1"/>
  <c r="E124" i="69"/>
  <c r="DI124" i="69" s="1"/>
  <c r="DF127" i="69"/>
  <c r="DH137" i="69"/>
  <c r="AF139" i="69"/>
  <c r="S145" i="69"/>
  <c r="DH145" i="69" s="1"/>
  <c r="DJ145" i="69" s="1"/>
  <c r="DH152" i="69"/>
  <c r="DF160" i="69"/>
  <c r="AI219" i="69"/>
  <c r="CD223" i="69"/>
  <c r="BR240" i="69"/>
  <c r="AF24" i="69"/>
  <c r="E53" i="69"/>
  <c r="DI53" i="69" s="1"/>
  <c r="BA60" i="69"/>
  <c r="BA61" i="69" s="1"/>
  <c r="DH65" i="69"/>
  <c r="DK65" i="69" s="1"/>
  <c r="BS78" i="69"/>
  <c r="AF87" i="69"/>
  <c r="V114" i="69"/>
  <c r="V223" i="69"/>
  <c r="DA114" i="69"/>
  <c r="O224" i="69"/>
  <c r="O228" i="69" s="1"/>
  <c r="O5" i="69" s="1"/>
  <c r="O114" i="69"/>
  <c r="AV224" i="69"/>
  <c r="AV228" i="69" s="1"/>
  <c r="AV5" i="69" s="1"/>
  <c r="AV11" i="69" s="1"/>
  <c r="BO224" i="69"/>
  <c r="BO228" i="69" s="1"/>
  <c r="BO5" i="69" s="1"/>
  <c r="CW224" i="69"/>
  <c r="CW228" i="69" s="1"/>
  <c r="CW5" i="69" s="1"/>
  <c r="CW11" i="69" s="1"/>
  <c r="CM114" i="69"/>
  <c r="CF121" i="69"/>
  <c r="BS124" i="69"/>
  <c r="E126" i="69"/>
  <c r="DI126" i="69" s="1"/>
  <c r="DJ126" i="69" s="1"/>
  <c r="AS142" i="69"/>
  <c r="DH142" i="69" s="1"/>
  <c r="DJ142" i="69" s="1"/>
  <c r="CS142" i="69"/>
  <c r="DF154" i="69"/>
  <c r="AF157" i="69"/>
  <c r="DF163" i="69"/>
  <c r="CD175" i="69"/>
  <c r="CD189" i="69"/>
  <c r="CD224" i="69" s="1"/>
  <c r="CD228" i="69" s="1"/>
  <c r="CD5" i="69" s="1"/>
  <c r="AS178" i="69"/>
  <c r="DH179" i="69"/>
  <c r="E183" i="69"/>
  <c r="DI183" i="69" s="1"/>
  <c r="DJ183" i="69" s="1"/>
  <c r="CS189" i="69"/>
  <c r="DF215" i="69"/>
  <c r="U240" i="69"/>
  <c r="AL219" i="69"/>
  <c r="AL240" i="69"/>
  <c r="BC219" i="69"/>
  <c r="BC240" i="69"/>
  <c r="BT219" i="69"/>
  <c r="BM227" i="69"/>
  <c r="CF236" i="69"/>
  <c r="BS21" i="69"/>
  <c r="CF27" i="69"/>
  <c r="DH67" i="69"/>
  <c r="DK68" i="69" s="1"/>
  <c r="E74" i="69"/>
  <c r="DI74" i="69" s="1"/>
  <c r="CF96" i="69"/>
  <c r="F223" i="69"/>
  <c r="F114" i="69"/>
  <c r="W223" i="69"/>
  <c r="BE223" i="69"/>
  <c r="BU223" i="69"/>
  <c r="DB223" i="69"/>
  <c r="DB114" i="69"/>
  <c r="P224" i="69"/>
  <c r="P228" i="69" s="1"/>
  <c r="P5" i="69" s="1"/>
  <c r="BP224" i="69"/>
  <c r="BP228" i="69" s="1"/>
  <c r="BP5" i="69" s="1"/>
  <c r="CX224" i="69"/>
  <c r="CX228" i="69" s="1"/>
  <c r="CX5" i="69" s="1"/>
  <c r="CX11" i="69" s="1"/>
  <c r="E140" i="69"/>
  <c r="DI140" i="69" s="1"/>
  <c r="DJ140" i="69" s="1"/>
  <c r="BF163" i="69"/>
  <c r="CA188" i="69"/>
  <c r="CA223" i="69" s="1"/>
  <c r="CA174" i="69"/>
  <c r="CA189" i="69" s="1"/>
  <c r="CA224" i="69" s="1"/>
  <c r="CA228" i="69" s="1"/>
  <c r="CA5" i="69" s="1"/>
  <c r="BG189" i="69"/>
  <c r="BG224" i="69" s="1"/>
  <c r="BG175" i="69"/>
  <c r="BS174" i="69"/>
  <c r="DH176" i="69"/>
  <c r="DK177" i="69" s="1"/>
  <c r="AS199" i="69"/>
  <c r="S211" i="69"/>
  <c r="F219" i="69"/>
  <c r="F240" i="69"/>
  <c r="V219" i="69"/>
  <c r="AM242" i="69"/>
  <c r="AM255" i="69"/>
  <c r="BU219" i="69"/>
  <c r="P241" i="69"/>
  <c r="P219" i="69"/>
  <c r="S261" i="69"/>
  <c r="DH237" i="69"/>
  <c r="AF239" i="69"/>
  <c r="V266" i="69"/>
  <c r="V244" i="69" s="1"/>
  <c r="V245" i="69" s="1"/>
  <c r="DF178" i="69"/>
  <c r="BF184" i="69"/>
  <c r="E185" i="69"/>
  <c r="DJ193" i="69"/>
  <c r="DF199" i="69"/>
  <c r="S207" i="69"/>
  <c r="DH207" i="69" s="1"/>
  <c r="T240" i="69"/>
  <c r="AF216" i="69"/>
  <c r="T219" i="69"/>
  <c r="BB219" i="69"/>
  <c r="BB240" i="69"/>
  <c r="CI219" i="69"/>
  <c r="CI240" i="69"/>
  <c r="CZ240" i="69"/>
  <c r="CZ219" i="69"/>
  <c r="AG255" i="69"/>
  <c r="AG242" i="69"/>
  <c r="CB242" i="69"/>
  <c r="S27" i="69"/>
  <c r="S39" i="69"/>
  <c r="AS45" i="69"/>
  <c r="DF45" i="69"/>
  <c r="E49" i="69"/>
  <c r="DH53" i="69"/>
  <c r="DK53" i="69" s="1"/>
  <c r="E67" i="69"/>
  <c r="S90" i="69"/>
  <c r="S96" i="69"/>
  <c r="CF108" i="69"/>
  <c r="G223" i="69"/>
  <c r="S112" i="69"/>
  <c r="X223" i="69"/>
  <c r="CS113" i="69"/>
  <c r="S121" i="69"/>
  <c r="AS127" i="69"/>
  <c r="CF157" i="69"/>
  <c r="E176" i="69"/>
  <c r="DI176" i="69" s="1"/>
  <c r="BO190" i="69"/>
  <c r="CL190" i="69"/>
  <c r="CS190" i="69" s="1"/>
  <c r="DC190" i="69"/>
  <c r="S195" i="69"/>
  <c r="DH197" i="69"/>
  <c r="DK202" i="69"/>
  <c r="BO223" i="69"/>
  <c r="T228" i="69"/>
  <c r="E232" i="69"/>
  <c r="E237" i="69"/>
  <c r="AK240" i="69"/>
  <c r="DF245" i="69"/>
  <c r="DM46" i="69"/>
  <c r="AS54" i="69"/>
  <c r="CF60" i="69"/>
  <c r="BF69" i="69"/>
  <c r="DH71" i="69"/>
  <c r="DK71" i="69" s="1"/>
  <c r="E77" i="69"/>
  <c r="DI77" i="69" s="1"/>
  <c r="BS84" i="69"/>
  <c r="AS111" i="69"/>
  <c r="H223" i="69"/>
  <c r="Y227" i="69"/>
  <c r="AP223" i="69"/>
  <c r="AP114" i="69"/>
  <c r="BG223" i="69"/>
  <c r="BG114" i="69"/>
  <c r="DD225" i="69"/>
  <c r="AI224" i="69"/>
  <c r="BT114" i="69"/>
  <c r="BS121" i="69"/>
  <c r="BS133" i="69"/>
  <c r="BF136" i="69"/>
  <c r="DH171" i="69"/>
  <c r="DK171" i="69" s="1"/>
  <c r="E171" i="69"/>
  <c r="DI171" i="69" s="1"/>
  <c r="CC175" i="69"/>
  <c r="CC188" i="69"/>
  <c r="CC190" i="69" s="1"/>
  <c r="AG190" i="69"/>
  <c r="AS188" i="69"/>
  <c r="BP190" i="69"/>
  <c r="CM190" i="69"/>
  <c r="AS189" i="69"/>
  <c r="DH192" i="69"/>
  <c r="AS233" i="69"/>
  <c r="CS233" i="69"/>
  <c r="S236" i="69"/>
  <c r="BF236" i="69"/>
  <c r="BS254" i="69"/>
  <c r="AW112" i="69"/>
  <c r="AS108" i="69"/>
  <c r="AD223" i="69"/>
  <c r="AL224" i="69"/>
  <c r="AL228" i="69" s="1"/>
  <c r="AL5" i="69" s="1"/>
  <c r="CF113" i="69"/>
  <c r="DF118" i="69"/>
  <c r="S139" i="69"/>
  <c r="BS142" i="69"/>
  <c r="DH156" i="69"/>
  <c r="DK156" i="69" s="1"/>
  <c r="DF184" i="69"/>
  <c r="Z190" i="69"/>
  <c r="CX190" i="69"/>
  <c r="W221" i="69"/>
  <c r="W218" i="69"/>
  <c r="W219" i="69" s="1"/>
  <c r="AF206" i="69"/>
  <c r="E206" i="69" s="1"/>
  <c r="DI206" i="69" s="1"/>
  <c r="BF211" i="69"/>
  <c r="E212" i="69"/>
  <c r="CS221" i="69"/>
  <c r="BS239" i="69"/>
  <c r="BS245" i="69"/>
  <c r="BF22" i="69"/>
  <c r="DH74" i="69"/>
  <c r="S84" i="69"/>
  <c r="CS96" i="69"/>
  <c r="AE227" i="69"/>
  <c r="AE225" i="69"/>
  <c r="F224" i="69"/>
  <c r="AM224" i="69"/>
  <c r="AM228" i="69" s="1"/>
  <c r="AM5" i="69" s="1"/>
  <c r="BU224" i="69"/>
  <c r="BU228" i="69" s="1"/>
  <c r="BU5" i="69" s="1"/>
  <c r="CL224" i="69"/>
  <c r="CL228" i="69" s="1"/>
  <c r="CL5" i="69" s="1"/>
  <c r="CB114" i="69"/>
  <c r="AS118" i="69"/>
  <c r="DH119" i="69"/>
  <c r="CS124" i="69"/>
  <c r="CS127" i="69"/>
  <c r="E156" i="69"/>
  <c r="DI156" i="69" s="1"/>
  <c r="BF157" i="69"/>
  <c r="AS163" i="69"/>
  <c r="BX174" i="69"/>
  <c r="BX189" i="69" s="1"/>
  <c r="BX224" i="69" s="1"/>
  <c r="BC189" i="69"/>
  <c r="BC190" i="69" s="1"/>
  <c r="BC175" i="69"/>
  <c r="BF174" i="69"/>
  <c r="AA190" i="69"/>
  <c r="CS188" i="69"/>
  <c r="CY190" i="69"/>
  <c r="BG242" i="69"/>
  <c r="CM219" i="69"/>
  <c r="AS236" i="69"/>
  <c r="DF251" i="69"/>
  <c r="AF266" i="69"/>
  <c r="DH100" i="69"/>
  <c r="DK101" i="69" s="1"/>
  <c r="E103" i="69"/>
  <c r="AS105" i="69"/>
  <c r="AV227" i="69"/>
  <c r="AV225" i="69"/>
  <c r="CT114" i="69"/>
  <c r="G224" i="69"/>
  <c r="S113" i="69"/>
  <c r="AN224" i="69"/>
  <c r="AN228" i="69" s="1"/>
  <c r="AN5" i="69" s="1"/>
  <c r="BF151" i="69"/>
  <c r="DH153" i="69"/>
  <c r="S172" i="69"/>
  <c r="E180" i="69"/>
  <c r="DI180" i="69" s="1"/>
  <c r="DJ180" i="69" s="1"/>
  <c r="BF181" i="69"/>
  <c r="AF203" i="69"/>
  <c r="DE242" i="69"/>
  <c r="Z221" i="69"/>
  <c r="CS236" i="69"/>
  <c r="AW24" i="69"/>
  <c r="BF24" i="69" s="1"/>
  <c r="AG223" i="69"/>
  <c r="AX114" i="69"/>
  <c r="BN114" i="69"/>
  <c r="CD114" i="69"/>
  <c r="H224" i="69"/>
  <c r="H228" i="69" s="1"/>
  <c r="H5" i="69" s="1"/>
  <c r="Y224" i="69"/>
  <c r="Y228" i="69" s="1"/>
  <c r="Y5" i="69" s="1"/>
  <c r="AO224" i="69"/>
  <c r="AO228" i="69" s="1"/>
  <c r="AO5" i="69" s="1"/>
  <c r="CN224" i="69"/>
  <c r="CN228" i="69" s="1"/>
  <c r="CN5" i="69" s="1"/>
  <c r="BS136" i="69"/>
  <c r="AS160" i="69"/>
  <c r="BS172" i="69"/>
  <c r="BZ188" i="69"/>
  <c r="BZ223" i="69" s="1"/>
  <c r="BZ174" i="69"/>
  <c r="BZ189" i="69" s="1"/>
  <c r="BE189" i="69"/>
  <c r="BE175" i="69"/>
  <c r="AS184" i="69"/>
  <c r="DH184" i="69" s="1"/>
  <c r="AS207" i="69"/>
  <c r="E208" i="69"/>
  <c r="Z219" i="69"/>
  <c r="AQ242" i="69"/>
  <c r="AQ255" i="69"/>
  <c r="BY219" i="69"/>
  <c r="DF218" i="69"/>
  <c r="AS250" i="69"/>
  <c r="DH250" i="69" s="1"/>
  <c r="AV257" i="69"/>
  <c r="CQ227" i="69"/>
  <c r="BM224" i="69"/>
  <c r="BM228" i="69" s="1"/>
  <c r="BM5" i="69" s="1"/>
  <c r="AH114" i="69"/>
  <c r="K190" i="69"/>
  <c r="AF189" i="69"/>
  <c r="E204" i="69"/>
  <c r="BV242" i="69"/>
  <c r="CF221" i="69"/>
  <c r="AF136" i="69"/>
  <c r="DF172" i="69"/>
  <c r="E177" i="69"/>
  <c r="DI177" i="69" s="1"/>
  <c r="DJ177" i="69" s="1"/>
  <c r="BS181" i="69"/>
  <c r="BY189" i="69"/>
  <c r="BY224" i="69" s="1"/>
  <c r="E213" i="69"/>
  <c r="DI213" i="69" s="1"/>
  <c r="DH213" i="69"/>
  <c r="BH242" i="69"/>
  <c r="CN219" i="69"/>
  <c r="BX219" i="69"/>
  <c r="DH238" i="69"/>
  <c r="S251" i="69"/>
  <c r="AX223" i="69"/>
  <c r="CT223" i="69"/>
  <c r="AZ224" i="69"/>
  <c r="AZ228" i="69" s="1"/>
  <c r="AZ5" i="69" s="1"/>
  <c r="CV224" i="69"/>
  <c r="CV228" i="69" s="1"/>
  <c r="CV5" i="69" s="1"/>
  <c r="CV11" i="69" s="1"/>
  <c r="BF148" i="69"/>
  <c r="E150" i="69"/>
  <c r="DI150" i="69" s="1"/>
  <c r="DJ150" i="69" s="1"/>
  <c r="CS154" i="69"/>
  <c r="DH165" i="69"/>
  <c r="DH173" i="69"/>
  <c r="BS199" i="69"/>
  <c r="K219" i="69"/>
  <c r="CO240" i="69"/>
  <c r="CO219" i="69"/>
  <c r="BS233" i="69"/>
  <c r="CT256" i="69"/>
  <c r="AY223" i="69"/>
  <c r="CU223" i="69"/>
  <c r="CF133" i="69"/>
  <c r="BS187" i="69"/>
  <c r="AV190" i="69"/>
  <c r="BF188" i="69"/>
  <c r="BM190" i="69"/>
  <c r="E201" i="69"/>
  <c r="DI201" i="69" s="1"/>
  <c r="CF215" i="69"/>
  <c r="L219" i="69"/>
  <c r="BJ242" i="69"/>
  <c r="DG242" i="69"/>
  <c r="AF217" i="69"/>
  <c r="T241" i="69"/>
  <c r="CG241" i="69"/>
  <c r="CS217" i="69"/>
  <c r="BF233" i="69"/>
  <c r="DF233" i="69"/>
  <c r="E252" i="69"/>
  <c r="S254" i="69"/>
  <c r="BS169" i="69"/>
  <c r="BK189" i="69"/>
  <c r="BK190" i="69" s="1"/>
  <c r="BK175" i="69"/>
  <c r="BN190" i="69"/>
  <c r="CS203" i="69"/>
  <c r="BF216" i="69"/>
  <c r="AT240" i="69"/>
  <c r="DH234" i="69"/>
  <c r="DJ234" i="69" s="1"/>
  <c r="BY242" i="69"/>
  <c r="BS251" i="69"/>
  <c r="AD265" i="69"/>
  <c r="AE266" i="69" s="1"/>
  <c r="AE244" i="69" s="1"/>
  <c r="AE245" i="69" s="1"/>
  <c r="G242" i="69"/>
  <c r="AN255" i="69"/>
  <c r="AN242" i="69"/>
  <c r="Q242" i="69"/>
  <c r="AU242" i="69"/>
  <c r="BU242" i="69"/>
  <c r="CS245" i="69"/>
  <c r="E209" i="69"/>
  <c r="DI209" i="69" s="1"/>
  <c r="DJ209" i="69" s="1"/>
  <c r="AO255" i="69"/>
  <c r="AO242" i="69"/>
  <c r="CF239" i="69"/>
  <c r="AW242" i="69"/>
  <c r="CS163" i="69"/>
  <c r="DF211" i="69"/>
  <c r="AP255" i="69"/>
  <c r="AP242" i="69"/>
  <c r="CF218" i="69"/>
  <c r="DH252" i="69"/>
  <c r="CF254" i="69"/>
  <c r="AU257" i="69"/>
  <c r="BY262" i="69"/>
  <c r="BX263" i="69"/>
  <c r="BX247" i="69" s="1"/>
  <c r="BX256" i="69" s="1"/>
  <c r="BX8" i="69" s="1"/>
  <c r="CQ242" i="69"/>
  <c r="AB266" i="69"/>
  <c r="AB244" i="69" s="1"/>
  <c r="AB245" i="69" s="1"/>
  <c r="AB265" i="69"/>
  <c r="AC266" i="69" s="1"/>
  <c r="AC244" i="69" s="1"/>
  <c r="AC245" i="69" s="1"/>
  <c r="CF251" i="69"/>
  <c r="S239" i="69"/>
  <c r="BF254" i="69"/>
  <c r="DK32" i="69" l="1"/>
  <c r="DJ168" i="69"/>
  <c r="BW175" i="69"/>
  <c r="DJ77" i="69"/>
  <c r="DJ210" i="69"/>
  <c r="E39" i="69"/>
  <c r="DI39" i="69" s="1"/>
  <c r="DK17" i="69"/>
  <c r="AK225" i="69"/>
  <c r="AK227" i="69"/>
  <c r="DJ141" i="69"/>
  <c r="BW190" i="69"/>
  <c r="DF241" i="69"/>
  <c r="W224" i="69"/>
  <c r="W228" i="69" s="1"/>
  <c r="W5" i="69" s="1"/>
  <c r="BS190" i="69"/>
  <c r="AF221" i="69"/>
  <c r="DH221" i="69" s="1"/>
  <c r="E221" i="69" s="1"/>
  <c r="DI221" i="69" s="1"/>
  <c r="DJ221" i="69" s="1"/>
  <c r="DA242" i="69"/>
  <c r="CB223" i="69"/>
  <c r="E154" i="69"/>
  <c r="DI154" i="69" s="1"/>
  <c r="BW223" i="69"/>
  <c r="BW225" i="69" s="1"/>
  <c r="DH78" i="69"/>
  <c r="DH36" i="69"/>
  <c r="DH18" i="69"/>
  <c r="DK250" i="69"/>
  <c r="DI131" i="69"/>
  <c r="DJ131" i="69" s="1"/>
  <c r="BF189" i="69"/>
  <c r="DH189" i="69" s="1"/>
  <c r="DH181" i="69"/>
  <c r="DI37" i="69"/>
  <c r="DJ37" i="69" s="1"/>
  <c r="DH81" i="69"/>
  <c r="BH224" i="69"/>
  <c r="BH228" i="69" s="1"/>
  <c r="BH5" i="69" s="1"/>
  <c r="BC224" i="69"/>
  <c r="BC228" i="69" s="1"/>
  <c r="BC5" i="69" s="1"/>
  <c r="DH21" i="69"/>
  <c r="DJ21" i="69" s="1"/>
  <c r="DD4" i="69"/>
  <c r="DK47" i="69"/>
  <c r="AX224" i="69"/>
  <c r="AX228" i="69" s="1"/>
  <c r="AX5" i="69" s="1"/>
  <c r="M255" i="69"/>
  <c r="M7" i="69" s="1"/>
  <c r="M10" i="69" s="1"/>
  <c r="M242" i="69"/>
  <c r="DH108" i="69"/>
  <c r="DH236" i="69"/>
  <c r="BF175" i="69"/>
  <c r="DH175" i="69" s="1"/>
  <c r="DJ175" i="69" s="1"/>
  <c r="E236" i="69"/>
  <c r="DI236" i="69" s="1"/>
  <c r="DJ236" i="69" s="1"/>
  <c r="CQ225" i="69"/>
  <c r="O225" i="69"/>
  <c r="DJ31" i="69"/>
  <c r="DJ214" i="69"/>
  <c r="BZ175" i="69"/>
  <c r="J225" i="69"/>
  <c r="DK38" i="69"/>
  <c r="DJ201" i="69"/>
  <c r="DH54" i="69"/>
  <c r="DH99" i="69"/>
  <c r="AS219" i="69"/>
  <c r="DJ167" i="69"/>
  <c r="AC227" i="69"/>
  <c r="AC4" i="69" s="1"/>
  <c r="CK225" i="69"/>
  <c r="DH160" i="69"/>
  <c r="DJ160" i="69" s="1"/>
  <c r="BF219" i="69"/>
  <c r="DH111" i="69"/>
  <c r="DJ111" i="69" s="1"/>
  <c r="DH133" i="69"/>
  <c r="S114" i="69"/>
  <c r="DH199" i="69"/>
  <c r="DJ17" i="69"/>
  <c r="DH233" i="69"/>
  <c r="DH39" i="69"/>
  <c r="DJ39" i="69" s="1"/>
  <c r="BX175" i="69"/>
  <c r="CF240" i="69"/>
  <c r="DH136" i="69"/>
  <c r="AB256" i="69"/>
  <c r="AB8" i="69" s="1"/>
  <c r="DH87" i="69"/>
  <c r="DJ205" i="69"/>
  <c r="DH84" i="69"/>
  <c r="BS175" i="69"/>
  <c r="DH72" i="69"/>
  <c r="AU229" i="69"/>
  <c r="DK74" i="69"/>
  <c r="DM23" i="69"/>
  <c r="AT227" i="69"/>
  <c r="AT229" i="69" s="1"/>
  <c r="DH42" i="69"/>
  <c r="CB175" i="69"/>
  <c r="DH206" i="69"/>
  <c r="DK206" i="69" s="1"/>
  <c r="DJ137" i="69"/>
  <c r="DH178" i="69"/>
  <c r="DJ178" i="69" s="1"/>
  <c r="DH203" i="69"/>
  <c r="DH157" i="69"/>
  <c r="DK132" i="69"/>
  <c r="AW224" i="69"/>
  <c r="AW228" i="69" s="1"/>
  <c r="AW5" i="69" s="1"/>
  <c r="DJ116" i="69"/>
  <c r="DI46" i="69"/>
  <c r="DJ46" i="69" s="1"/>
  <c r="DJ70" i="69"/>
  <c r="DF114" i="69"/>
  <c r="E186" i="69"/>
  <c r="DI186" i="69" s="1"/>
  <c r="DJ186" i="69" s="1"/>
  <c r="DH24" i="69"/>
  <c r="DJ182" i="69"/>
  <c r="DH151" i="69"/>
  <c r="E54" i="69"/>
  <c r="DI54" i="69" s="1"/>
  <c r="DJ54" i="69" s="1"/>
  <c r="Z224" i="69"/>
  <c r="Z228" i="69" s="1"/>
  <c r="E130" i="69"/>
  <c r="DI130" i="69" s="1"/>
  <c r="BS189" i="69"/>
  <c r="DH45" i="69"/>
  <c r="DJ32" i="69"/>
  <c r="BW242" i="69"/>
  <c r="DH96" i="69"/>
  <c r="DJ96" i="69" s="1"/>
  <c r="AU225" i="69"/>
  <c r="DH26" i="69"/>
  <c r="DK26" i="69" s="1"/>
  <c r="DN44" i="69"/>
  <c r="DC225" i="69"/>
  <c r="DH216" i="69"/>
  <c r="DH217" i="69"/>
  <c r="DH33" i="69"/>
  <c r="DJ33" i="69" s="1"/>
  <c r="DJ25" i="69"/>
  <c r="E22" i="69"/>
  <c r="DM22" i="69"/>
  <c r="E27" i="69"/>
  <c r="DI27" i="69" s="1"/>
  <c r="BM225" i="69"/>
  <c r="DH23" i="69"/>
  <c r="DH22" i="69"/>
  <c r="DK23" i="69" s="1"/>
  <c r="CJ229" i="69"/>
  <c r="DJ47" i="69"/>
  <c r="CV225" i="69"/>
  <c r="CS224" i="69"/>
  <c r="BL225" i="69"/>
  <c r="E48" i="69"/>
  <c r="DI48" i="69" s="1"/>
  <c r="BY228" i="69"/>
  <c r="BY5" i="69" s="1"/>
  <c r="BY225" i="69"/>
  <c r="DI231" i="69"/>
  <c r="DJ231" i="69" s="1"/>
  <c r="E233" i="69"/>
  <c r="DI233" i="69" s="1"/>
  <c r="BX228" i="69"/>
  <c r="BX5" i="69" s="1"/>
  <c r="BX11" i="69" s="1"/>
  <c r="BX225" i="69"/>
  <c r="BF61" i="69"/>
  <c r="BA112" i="69"/>
  <c r="BF112" i="69" s="1"/>
  <c r="DH112" i="69" s="1"/>
  <c r="DI22" i="69"/>
  <c r="E24" i="69"/>
  <c r="DI24" i="69" s="1"/>
  <c r="CA227" i="69"/>
  <c r="CA225" i="69"/>
  <c r="CO242" i="69"/>
  <c r="X227" i="69"/>
  <c r="DI85" i="69"/>
  <c r="DJ85" i="69" s="1"/>
  <c r="E87" i="69"/>
  <c r="DI87" i="69" s="1"/>
  <c r="DJ87" i="69" s="1"/>
  <c r="R242" i="69"/>
  <c r="R255" i="69"/>
  <c r="Z245" i="69"/>
  <c r="Z256" i="69"/>
  <c r="AH242" i="69"/>
  <c r="AH255" i="69"/>
  <c r="AS255" i="69" s="1"/>
  <c r="BN242" i="69"/>
  <c r="H242" i="69"/>
  <c r="DA229" i="69"/>
  <c r="DA4" i="69"/>
  <c r="DJ158" i="69"/>
  <c r="DK159" i="69"/>
  <c r="BC229" i="69"/>
  <c r="BC4" i="69"/>
  <c r="J262" i="69"/>
  <c r="I263" i="69"/>
  <c r="I247" i="69" s="1"/>
  <c r="I248" i="69" s="1"/>
  <c r="CI227" i="69"/>
  <c r="CI225" i="69"/>
  <c r="CH227" i="69"/>
  <c r="CH225" i="69"/>
  <c r="AH225" i="69"/>
  <c r="AH227" i="69"/>
  <c r="AP257" i="69"/>
  <c r="AP7" i="69"/>
  <c r="AP9" i="69" s="1"/>
  <c r="DK238" i="69"/>
  <c r="DJ156" i="69"/>
  <c r="E187" i="69"/>
  <c r="DI187" i="69" s="1"/>
  <c r="DJ187" i="69" s="1"/>
  <c r="DI185" i="69"/>
  <c r="DJ185" i="69" s="1"/>
  <c r="DB225" i="69"/>
  <c r="DB227" i="69"/>
  <c r="CF219" i="69"/>
  <c r="BT227" i="69"/>
  <c r="DK120" i="69"/>
  <c r="AA245" i="69"/>
  <c r="CG5" i="69"/>
  <c r="BN225" i="69"/>
  <c r="BN227" i="69"/>
  <c r="DF219" i="69"/>
  <c r="CP227" i="69"/>
  <c r="CP225" i="69"/>
  <c r="E81" i="69"/>
  <c r="DI81" i="69" s="1"/>
  <c r="DJ81" i="69" s="1"/>
  <c r="DI79" i="69"/>
  <c r="DJ79" i="69" s="1"/>
  <c r="AB11" i="69"/>
  <c r="AM229" i="69"/>
  <c r="AM4" i="69"/>
  <c r="CS241" i="69"/>
  <c r="AV229" i="69"/>
  <c r="AV4" i="69"/>
  <c r="G225" i="69"/>
  <c r="G227" i="69"/>
  <c r="S223" i="69"/>
  <c r="DH211" i="69"/>
  <c r="CK229" i="69"/>
  <c r="BC242" i="69"/>
  <c r="V225" i="69"/>
  <c r="V227" i="69"/>
  <c r="L225" i="69"/>
  <c r="L227" i="69"/>
  <c r="BH225" i="69"/>
  <c r="BH227" i="69"/>
  <c r="BZ225" i="69"/>
  <c r="BZ227" i="69"/>
  <c r="AR7" i="69"/>
  <c r="Z4" i="69"/>
  <c r="AF195" i="69"/>
  <c r="DH195" i="69" s="1"/>
  <c r="DH130" i="69"/>
  <c r="DJ65" i="69"/>
  <c r="BB227" i="69"/>
  <c r="BB225" i="69"/>
  <c r="AC11" i="69"/>
  <c r="AM225" i="69"/>
  <c r="DJ71" i="69"/>
  <c r="DJ173" i="69"/>
  <c r="E127" i="69"/>
  <c r="DI127" i="69" s="1"/>
  <c r="DI125" i="69"/>
  <c r="DJ125" i="69" s="1"/>
  <c r="CN227" i="69"/>
  <c r="CN225" i="69"/>
  <c r="DH127" i="69"/>
  <c r="AQ225" i="69"/>
  <c r="AQ227" i="69"/>
  <c r="AT255" i="69"/>
  <c r="AT242" i="69"/>
  <c r="BF240" i="69"/>
  <c r="CU227" i="69"/>
  <c r="CU225" i="69"/>
  <c r="BS240" i="69"/>
  <c r="CF114" i="69"/>
  <c r="AS240" i="69"/>
  <c r="BU225" i="69"/>
  <c r="BU227" i="69"/>
  <c r="DK89" i="69"/>
  <c r="DJ89" i="69"/>
  <c r="CU242" i="69"/>
  <c r="DF240" i="69"/>
  <c r="CT242" i="69"/>
  <c r="DC242" i="69"/>
  <c r="DC256" i="69"/>
  <c r="DC8" i="69" s="1"/>
  <c r="DC11" i="69" s="1"/>
  <c r="E148" i="69"/>
  <c r="DI148" i="69" s="1"/>
  <c r="DJ148" i="69" s="1"/>
  <c r="DI146" i="69"/>
  <c r="DJ146" i="69" s="1"/>
  <c r="I4" i="69"/>
  <c r="I229" i="69"/>
  <c r="E218" i="69"/>
  <c r="DI218" i="69" s="1"/>
  <c r="DI194" i="69"/>
  <c r="Y7" i="69"/>
  <c r="BG228" i="69"/>
  <c r="AI228" i="69"/>
  <c r="AS224" i="69"/>
  <c r="AF218" i="69"/>
  <c r="DH218" i="69" s="1"/>
  <c r="DK218" i="69" s="1"/>
  <c r="O6" i="69"/>
  <c r="O10" i="69"/>
  <c r="CW242" i="69"/>
  <c r="DH90" i="69"/>
  <c r="W227" i="69"/>
  <c r="BV175" i="69"/>
  <c r="V242" i="69"/>
  <c r="V256" i="69"/>
  <c r="U242" i="69"/>
  <c r="U255" i="69"/>
  <c r="CY242" i="69"/>
  <c r="AR227" i="69"/>
  <c r="AR225" i="69"/>
  <c r="BR225" i="69"/>
  <c r="BR227" i="69"/>
  <c r="DJ176" i="69"/>
  <c r="DF190" i="69"/>
  <c r="H266" i="69"/>
  <c r="H244" i="69" s="1"/>
  <c r="H245" i="69" s="1"/>
  <c r="I265" i="69"/>
  <c r="DJ213" i="69"/>
  <c r="BS114" i="69"/>
  <c r="E157" i="69"/>
  <c r="DI157" i="69" s="1"/>
  <c r="X242" i="69"/>
  <c r="E250" i="69"/>
  <c r="DI250" i="69" s="1"/>
  <c r="DJ250" i="69" s="1"/>
  <c r="E51" i="69"/>
  <c r="DI51" i="69" s="1"/>
  <c r="DJ51" i="69" s="1"/>
  <c r="DI49" i="69"/>
  <c r="DJ49" i="69" s="1"/>
  <c r="CS223" i="69"/>
  <c r="CG227" i="69"/>
  <c r="CG225" i="69"/>
  <c r="DH174" i="69"/>
  <c r="DK174" i="69" s="1"/>
  <c r="AS190" i="69"/>
  <c r="DH121" i="69"/>
  <c r="DJ121" i="69" s="1"/>
  <c r="DH69" i="69"/>
  <c r="J242" i="69"/>
  <c r="DI197" i="69"/>
  <c r="DJ197" i="69" s="1"/>
  <c r="E217" i="69"/>
  <c r="DI217" i="69" s="1"/>
  <c r="E42" i="69"/>
  <c r="DI42" i="69" s="1"/>
  <c r="DI40" i="69"/>
  <c r="DJ40" i="69" s="1"/>
  <c r="CO227" i="69"/>
  <c r="CO225" i="69"/>
  <c r="E188" i="69"/>
  <c r="P242" i="69"/>
  <c r="E239" i="69"/>
  <c r="DI239" i="69" s="1"/>
  <c r="DJ239" i="69" s="1"/>
  <c r="DI237" i="69"/>
  <c r="DJ237" i="69" s="1"/>
  <c r="AZ242" i="69"/>
  <c r="E66" i="69"/>
  <c r="DI66" i="69" s="1"/>
  <c r="DJ66" i="69" s="1"/>
  <c r="DI64" i="69"/>
  <c r="DJ64" i="69" s="1"/>
  <c r="E36" i="69"/>
  <c r="DI36" i="69" s="1"/>
  <c r="DJ36" i="69" s="1"/>
  <c r="DI34" i="69"/>
  <c r="DJ34" i="69" s="1"/>
  <c r="DH118" i="69"/>
  <c r="DJ118" i="69" s="1"/>
  <c r="E108" i="69"/>
  <c r="DI108" i="69" s="1"/>
  <c r="DJ108" i="69" s="1"/>
  <c r="CF174" i="69"/>
  <c r="E174" i="69" s="1"/>
  <c r="BT189" i="69"/>
  <c r="P7" i="69"/>
  <c r="DF223" i="69"/>
  <c r="CT227" i="69"/>
  <c r="CT225" i="69"/>
  <c r="BE224" i="69"/>
  <c r="BE228" i="69" s="1"/>
  <c r="BE5" i="69" s="1"/>
  <c r="BE190" i="69"/>
  <c r="BF190" i="69" s="1"/>
  <c r="CB225" i="69"/>
  <c r="CB227" i="69"/>
  <c r="AW223" i="69"/>
  <c r="AW114" i="69"/>
  <c r="Y225" i="69"/>
  <c r="DI232" i="69"/>
  <c r="DJ232" i="69" s="1"/>
  <c r="AM7" i="69"/>
  <c r="BR242" i="69"/>
  <c r="BK224" i="69"/>
  <c r="BS224" i="69" s="1"/>
  <c r="AJ255" i="69"/>
  <c r="AJ242" i="69"/>
  <c r="DI249" i="69"/>
  <c r="DJ249" i="69" s="1"/>
  <c r="E59" i="69"/>
  <c r="CV242" i="69"/>
  <c r="DI28" i="69"/>
  <c r="DJ28" i="69" s="1"/>
  <c r="E30" i="69"/>
  <c r="DI30" i="69" s="1"/>
  <c r="DJ30" i="69" s="1"/>
  <c r="E181" i="69"/>
  <c r="DI181" i="69" s="1"/>
  <c r="F8" i="69"/>
  <c r="BY4" i="69"/>
  <c r="E203" i="69"/>
  <c r="DI203" i="69" s="1"/>
  <c r="DJ203" i="69" s="1"/>
  <c r="DK168" i="69"/>
  <c r="DJ133" i="69"/>
  <c r="DJ154" i="69"/>
  <c r="DJ23" i="69"/>
  <c r="DJ100" i="69"/>
  <c r="E105" i="69"/>
  <c r="DI105" i="69" s="1"/>
  <c r="DJ105" i="69" s="1"/>
  <c r="DI103" i="69"/>
  <c r="DJ103" i="69" s="1"/>
  <c r="BE227" i="69"/>
  <c r="CC265" i="69"/>
  <c r="CD265" i="69" s="1"/>
  <c r="CE265" i="69" s="1"/>
  <c r="CF265" i="69" s="1"/>
  <c r="CG265" i="69" s="1"/>
  <c r="CH265" i="69" s="1"/>
  <c r="CI265" i="69" s="1"/>
  <c r="CJ265" i="69" s="1"/>
  <c r="CK265" i="69" s="1"/>
  <c r="CL265" i="69" s="1"/>
  <c r="CM265" i="69" s="1"/>
  <c r="CN265" i="69" s="1"/>
  <c r="CO265" i="69" s="1"/>
  <c r="CP265" i="69" s="1"/>
  <c r="CQ265" i="69" s="1"/>
  <c r="CR265" i="69" s="1"/>
  <c r="CS265" i="69" s="1"/>
  <c r="CT265" i="69" s="1"/>
  <c r="CU265" i="69" s="1"/>
  <c r="CV265" i="69" s="1"/>
  <c r="CW265" i="69" s="1"/>
  <c r="CX265" i="69" s="1"/>
  <c r="CY265" i="69" s="1"/>
  <c r="CZ265" i="69" s="1"/>
  <c r="DA265" i="69" s="1"/>
  <c r="DB265" i="69" s="1"/>
  <c r="DC265" i="69" s="1"/>
  <c r="DD265" i="69" s="1"/>
  <c r="DE265" i="69" s="1"/>
  <c r="DF265" i="69" s="1"/>
  <c r="CB266" i="69"/>
  <c r="AC257" i="69"/>
  <c r="AC7" i="69"/>
  <c r="AC9" i="69" s="1"/>
  <c r="CW227" i="69"/>
  <c r="CW225" i="69"/>
  <c r="CZ242" i="69"/>
  <c r="DJ130" i="69"/>
  <c r="BW227" i="69"/>
  <c r="DI67" i="69"/>
  <c r="DJ67" i="69" s="1"/>
  <c r="E69" i="69"/>
  <c r="DI69" i="69" s="1"/>
  <c r="N242" i="69"/>
  <c r="N255" i="69"/>
  <c r="AB229" i="69"/>
  <c r="AB4" i="69"/>
  <c r="DD6" i="69"/>
  <c r="CX227" i="69"/>
  <c r="CX225" i="69"/>
  <c r="M229" i="69"/>
  <c r="CT8" i="69"/>
  <c r="AS114" i="69"/>
  <c r="DK153" i="69"/>
  <c r="DJ153" i="69"/>
  <c r="CA175" i="69"/>
  <c r="CF175" i="69" s="1"/>
  <c r="DD11" i="69"/>
  <c r="AD225" i="69"/>
  <c r="AD227" i="69"/>
  <c r="CA190" i="69"/>
  <c r="G248" i="69"/>
  <c r="K227" i="69"/>
  <c r="K225" i="69"/>
  <c r="AB257" i="69"/>
  <c r="AB7" i="69"/>
  <c r="AB9" i="69" s="1"/>
  <c r="DK138" i="69"/>
  <c r="F228" i="69"/>
  <c r="AP225" i="69"/>
  <c r="AP227" i="69"/>
  <c r="AF219" i="69"/>
  <c r="CG242" i="69"/>
  <c r="CS242" i="69" s="1"/>
  <c r="CS240" i="69"/>
  <c r="E84" i="69"/>
  <c r="DI84" i="69" s="1"/>
  <c r="DI82" i="69"/>
  <c r="DJ82" i="69" s="1"/>
  <c r="DJ152" i="69"/>
  <c r="CS114" i="69"/>
  <c r="E151" i="69"/>
  <c r="DI151" i="69" s="1"/>
  <c r="DH239" i="69"/>
  <c r="AO7" i="69"/>
  <c r="AX227" i="69"/>
  <c r="X224" i="69"/>
  <c r="X228" i="69" s="1"/>
  <c r="X5" i="69" s="1"/>
  <c r="DJ171" i="69"/>
  <c r="Y4" i="69"/>
  <c r="Y229" i="69"/>
  <c r="T5" i="69"/>
  <c r="CL229" i="69"/>
  <c r="CL4" i="69"/>
  <c r="AF240" i="69"/>
  <c r="T242" i="69"/>
  <c r="T255" i="69"/>
  <c r="CD227" i="69"/>
  <c r="CD225" i="69"/>
  <c r="E57" i="69"/>
  <c r="DI57" i="69" s="1"/>
  <c r="DJ57" i="69" s="1"/>
  <c r="DI55" i="69"/>
  <c r="DJ55" i="69" s="1"/>
  <c r="BP242" i="69"/>
  <c r="DJ238" i="69"/>
  <c r="BS219" i="69"/>
  <c r="DJ179" i="69"/>
  <c r="AF190" i="69"/>
  <c r="CM228" i="69"/>
  <c r="CS228" i="69" s="1"/>
  <c r="CM225" i="69"/>
  <c r="DM26" i="69"/>
  <c r="DN26" i="69" s="1"/>
  <c r="DH194" i="69"/>
  <c r="DK194" i="69" s="1"/>
  <c r="CY225" i="69"/>
  <c r="CY227" i="69"/>
  <c r="AZ266" i="69"/>
  <c r="AZ267" i="69"/>
  <c r="DH93" i="69"/>
  <c r="CZ227" i="69"/>
  <c r="CZ225" i="69"/>
  <c r="BQ225" i="69"/>
  <c r="BQ227" i="69"/>
  <c r="E102" i="69"/>
  <c r="DI102" i="69" s="1"/>
  <c r="DJ102" i="69" s="1"/>
  <c r="AF241" i="69"/>
  <c r="DI204" i="69"/>
  <c r="DJ204" i="69" s="1"/>
  <c r="E207" i="69"/>
  <c r="DI207" i="69" s="1"/>
  <c r="DJ207" i="69" s="1"/>
  <c r="AL242" i="69"/>
  <c r="AL255" i="69"/>
  <c r="BJ227" i="69"/>
  <c r="BJ225" i="69"/>
  <c r="AQ7" i="69"/>
  <c r="CD242" i="69"/>
  <c r="AJ227" i="69"/>
  <c r="AJ225" i="69"/>
  <c r="AN7" i="69"/>
  <c r="DK165" i="69"/>
  <c r="DJ165" i="69"/>
  <c r="DE229" i="69"/>
  <c r="DE4" i="69"/>
  <c r="S190" i="69"/>
  <c r="AO225" i="69"/>
  <c r="G245" i="69"/>
  <c r="BP225" i="69"/>
  <c r="BP227" i="69"/>
  <c r="M6" i="69"/>
  <c r="CI242" i="69"/>
  <c r="U219" i="69"/>
  <c r="AD242" i="69"/>
  <c r="AD255" i="69"/>
  <c r="DJ184" i="69"/>
  <c r="BZ262" i="69"/>
  <c r="BY263" i="69"/>
  <c r="BY247" i="69" s="1"/>
  <c r="BY256" i="69" s="1"/>
  <c r="BY8" i="69" s="1"/>
  <c r="DI208" i="69"/>
  <c r="DJ208" i="69" s="1"/>
  <c r="E211" i="69"/>
  <c r="DI211" i="69" s="1"/>
  <c r="M225" i="69"/>
  <c r="BA62" i="69"/>
  <c r="BA63" i="69" s="1"/>
  <c r="BF63" i="69" s="1"/>
  <c r="DH63" i="69" s="1"/>
  <c r="BF60" i="69"/>
  <c r="DH60" i="69" s="1"/>
  <c r="DN47" i="69"/>
  <c r="DI88" i="69"/>
  <c r="DJ88" i="69" s="1"/>
  <c r="E90" i="69"/>
  <c r="DI90" i="69" s="1"/>
  <c r="DJ120" i="69"/>
  <c r="BG227" i="69"/>
  <c r="BG225" i="69"/>
  <c r="BS223" i="69"/>
  <c r="BB242" i="69"/>
  <c r="DJ53" i="69"/>
  <c r="BT190" i="69"/>
  <c r="CF188" i="69"/>
  <c r="AN229" i="69"/>
  <c r="AN4" i="69"/>
  <c r="AE256" i="69"/>
  <c r="S219" i="69"/>
  <c r="DJ117" i="69"/>
  <c r="DH188" i="69"/>
  <c r="CT228" i="69"/>
  <c r="DF224" i="69"/>
  <c r="DJ48" i="69"/>
  <c r="DJ136" i="69"/>
  <c r="AY227" i="69"/>
  <c r="AY225" i="69"/>
  <c r="AG7" i="69"/>
  <c r="L7" i="69"/>
  <c r="DI73" i="69"/>
  <c r="DJ73" i="69" s="1"/>
  <c r="E75" i="69"/>
  <c r="DI75" i="69" s="1"/>
  <c r="DJ75" i="69" s="1"/>
  <c r="AT8" i="69"/>
  <c r="P229" i="69"/>
  <c r="P4" i="69"/>
  <c r="BV190" i="69"/>
  <c r="N227" i="69"/>
  <c r="N225" i="69"/>
  <c r="CR225" i="69"/>
  <c r="CR227" i="69"/>
  <c r="CE229" i="69"/>
  <c r="CE4" i="69"/>
  <c r="U224" i="69"/>
  <c r="U225" i="69" s="1"/>
  <c r="DI16" i="69"/>
  <c r="DJ16" i="69" s="1"/>
  <c r="E18" i="69"/>
  <c r="DI18" i="69" s="1"/>
  <c r="DJ18" i="69" s="1"/>
  <c r="Q225" i="69"/>
  <c r="Q227" i="69"/>
  <c r="BO242" i="69"/>
  <c r="S240" i="69"/>
  <c r="DH240" i="69" s="1"/>
  <c r="DJ235" i="69"/>
  <c r="CX242" i="69"/>
  <c r="CK6" i="69"/>
  <c r="AO229" i="69"/>
  <c r="AO4" i="69"/>
  <c r="DH172" i="69"/>
  <c r="DJ172" i="69" s="1"/>
  <c r="E215" i="69"/>
  <c r="DI215" i="69" s="1"/>
  <c r="DI212" i="69"/>
  <c r="DJ212" i="69" s="1"/>
  <c r="F225" i="69"/>
  <c r="F227" i="69"/>
  <c r="CH242" i="69"/>
  <c r="J229" i="69"/>
  <c r="J4" i="69"/>
  <c r="AA229" i="69"/>
  <c r="AA4" i="69"/>
  <c r="AL225" i="69"/>
  <c r="AL227" i="69"/>
  <c r="CV229" i="69"/>
  <c r="CV4" i="69"/>
  <c r="AI227" i="69"/>
  <c r="AI225" i="69"/>
  <c r="AX242" i="69"/>
  <c r="BQ242" i="69"/>
  <c r="CS219" i="69"/>
  <c r="BX4" i="69"/>
  <c r="AU10" i="69"/>
  <c r="AU12" i="69" s="1"/>
  <c r="AU6" i="69"/>
  <c r="CF241" i="69"/>
  <c r="DI91" i="69"/>
  <c r="DJ91" i="69" s="1"/>
  <c r="E93" i="69"/>
  <c r="DI93" i="69" s="1"/>
  <c r="DJ206" i="69"/>
  <c r="AK255" i="69"/>
  <c r="AK242" i="69"/>
  <c r="DJ74" i="69"/>
  <c r="BA242" i="69"/>
  <c r="DJ119" i="69"/>
  <c r="U227" i="69"/>
  <c r="DC229" i="69"/>
  <c r="DC4" i="69"/>
  <c r="DI252" i="69"/>
  <c r="DJ252" i="69" s="1"/>
  <c r="E254" i="69"/>
  <c r="DI254" i="69" s="1"/>
  <c r="DJ254" i="69" s="1"/>
  <c r="CQ229" i="69"/>
  <c r="CQ4" i="69"/>
  <c r="AG225" i="69"/>
  <c r="AG227" i="69"/>
  <c r="AS223" i="69"/>
  <c r="I242" i="69"/>
  <c r="S242" i="69" s="1"/>
  <c r="CJ242" i="69"/>
  <c r="AE229" i="69"/>
  <c r="AE4" i="69"/>
  <c r="H225" i="69"/>
  <c r="H227" i="69"/>
  <c r="CL225" i="69"/>
  <c r="DH27" i="69"/>
  <c r="DI97" i="69"/>
  <c r="DJ97" i="69" s="1"/>
  <c r="E99" i="69"/>
  <c r="DI99" i="69" s="1"/>
  <c r="DB242" i="69"/>
  <c r="AY242" i="69"/>
  <c r="CE242" i="69"/>
  <c r="BS241" i="69"/>
  <c r="BD225" i="69"/>
  <c r="BD227" i="69"/>
  <c r="DG225" i="69"/>
  <c r="BE242" i="69"/>
  <c r="BI227" i="69"/>
  <c r="BI225" i="69"/>
  <c r="E195" i="69"/>
  <c r="DI195" i="69" s="1"/>
  <c r="E216" i="69"/>
  <c r="DI192" i="69"/>
  <c r="DJ192" i="69" s="1"/>
  <c r="AF223" i="69"/>
  <c r="T227" i="69"/>
  <c r="T225" i="69"/>
  <c r="E78" i="69"/>
  <c r="DI78" i="69" s="1"/>
  <c r="DJ78" i="69" s="1"/>
  <c r="DJ132" i="69"/>
  <c r="AZ225" i="69"/>
  <c r="AZ227" i="69"/>
  <c r="DH251" i="69"/>
  <c r="CC223" i="69"/>
  <c r="S255" i="69"/>
  <c r="BZ190" i="69"/>
  <c r="G228" i="69"/>
  <c r="S224" i="69"/>
  <c r="BO227" i="69"/>
  <c r="BO225" i="69"/>
  <c r="BV223" i="69"/>
  <c r="F255" i="69"/>
  <c r="F242" i="69"/>
  <c r="BM229" i="69"/>
  <c r="BM4" i="69"/>
  <c r="DJ143" i="69"/>
  <c r="DH215" i="69"/>
  <c r="G256" i="69"/>
  <c r="DG229" i="69"/>
  <c r="DG4" i="69"/>
  <c r="W242" i="69"/>
  <c r="E45" i="69"/>
  <c r="DI45" i="69" s="1"/>
  <c r="DJ45" i="69" s="1"/>
  <c r="AF114" i="69"/>
  <c r="E199" i="69"/>
  <c r="DI199" i="69" s="1"/>
  <c r="DJ199" i="69" s="1"/>
  <c r="E72" i="69"/>
  <c r="DI72" i="69" s="1"/>
  <c r="R225" i="69"/>
  <c r="R227" i="69"/>
  <c r="P225" i="69"/>
  <c r="AT228" i="69"/>
  <c r="BL5" i="69"/>
  <c r="BL229" i="69"/>
  <c r="DH124" i="69"/>
  <c r="DJ124" i="69" s="1"/>
  <c r="DJ24" i="69" l="1"/>
  <c r="DJ217" i="69"/>
  <c r="Z5" i="69"/>
  <c r="Z229" i="69"/>
  <c r="AC229" i="69"/>
  <c r="CF190" i="69"/>
  <c r="DJ181" i="69"/>
  <c r="AX225" i="69"/>
  <c r="X225" i="69"/>
  <c r="BY11" i="69"/>
  <c r="AS242" i="69"/>
  <c r="AK229" i="69"/>
  <c r="AK4" i="69"/>
  <c r="AK6" i="69" s="1"/>
  <c r="AT4" i="69"/>
  <c r="DJ99" i="69"/>
  <c r="CF242" i="69"/>
  <c r="DJ26" i="69"/>
  <c r="DJ233" i="69"/>
  <c r="DJ151" i="69"/>
  <c r="BC225" i="69"/>
  <c r="DJ90" i="69"/>
  <c r="DJ42" i="69"/>
  <c r="DJ157" i="69"/>
  <c r="H256" i="69"/>
  <c r="Z225" i="69"/>
  <c r="DN23" i="69"/>
  <c r="DJ72" i="69"/>
  <c r="DK189" i="69"/>
  <c r="DJ84" i="69"/>
  <c r="W225" i="69"/>
  <c r="DJ194" i="69"/>
  <c r="BS242" i="69"/>
  <c r="DJ22" i="69"/>
  <c r="DH219" i="69"/>
  <c r="DJ211" i="69"/>
  <c r="DJ27" i="69"/>
  <c r="DI174" i="69"/>
  <c r="DJ174" i="69" s="1"/>
  <c r="E189" i="69"/>
  <c r="DI189" i="69" s="1"/>
  <c r="DJ189" i="69" s="1"/>
  <c r="BD229" i="69"/>
  <c r="BD4" i="69"/>
  <c r="E241" i="69"/>
  <c r="AT5" i="69"/>
  <c r="AY4" i="69"/>
  <c r="AY229" i="69"/>
  <c r="AJ229" i="69"/>
  <c r="AJ4" i="69"/>
  <c r="AD229" i="69"/>
  <c r="AD4" i="69"/>
  <c r="CB229" i="69"/>
  <c r="CB4" i="69"/>
  <c r="AM6" i="69"/>
  <c r="AM10" i="69"/>
  <c r="U4" i="69"/>
  <c r="E251" i="69"/>
  <c r="DI251" i="69" s="1"/>
  <c r="DJ251" i="69" s="1"/>
  <c r="AI5" i="69"/>
  <c r="AS228" i="69"/>
  <c r="P6" i="69"/>
  <c r="P10" i="69"/>
  <c r="CW229" i="69"/>
  <c r="CW4" i="69"/>
  <c r="AF225" i="69"/>
  <c r="AP229" i="69"/>
  <c r="AP4" i="69"/>
  <c r="BG5" i="69"/>
  <c r="T229" i="69"/>
  <c r="AF227" i="69"/>
  <c r="T4" i="69"/>
  <c r="DF228" i="69"/>
  <c r="CT5" i="69"/>
  <c r="DF225" i="69"/>
  <c r="F229" i="69"/>
  <c r="F4" i="69"/>
  <c r="BA267" i="69"/>
  <c r="BA266" i="69"/>
  <c r="CC267" i="69"/>
  <c r="CC266" i="69"/>
  <c r="CT229" i="69"/>
  <c r="CT4" i="69"/>
  <c r="DF227" i="69"/>
  <c r="AK7" i="69"/>
  <c r="AD257" i="69"/>
  <c r="AD7" i="69"/>
  <c r="AD9" i="69" s="1"/>
  <c r="BJ4" i="69"/>
  <c r="BJ229" i="69"/>
  <c r="I266" i="69"/>
  <c r="I244" i="69" s="1"/>
  <c r="J265" i="69"/>
  <c r="I267" i="69"/>
  <c r="AL7" i="69"/>
  <c r="CD229" i="69"/>
  <c r="CD4" i="69"/>
  <c r="DF8" i="69"/>
  <c r="CS225" i="69"/>
  <c r="DJ127" i="69"/>
  <c r="S225" i="69"/>
  <c r="J263" i="69"/>
  <c r="J247" i="69" s="1"/>
  <c r="K262" i="69"/>
  <c r="DH241" i="69"/>
  <c r="DK241" i="69" s="1"/>
  <c r="AN10" i="69"/>
  <c r="AN6" i="69"/>
  <c r="K229" i="69"/>
  <c r="K4" i="69"/>
  <c r="BL6" i="69"/>
  <c r="AA10" i="69"/>
  <c r="AA6" i="69"/>
  <c r="DF242" i="69"/>
  <c r="AZ4" i="69"/>
  <c r="AZ229" i="69"/>
  <c r="J10" i="69"/>
  <c r="J6" i="69"/>
  <c r="N229" i="69"/>
  <c r="N4" i="69"/>
  <c r="DI59" i="69"/>
  <c r="DJ59" i="69" s="1"/>
  <c r="E60" i="69"/>
  <c r="DI60" i="69" s="1"/>
  <c r="DJ60" i="69" s="1"/>
  <c r="AW225" i="69"/>
  <c r="AW227" i="69"/>
  <c r="BX6" i="69"/>
  <c r="BP229" i="69"/>
  <c r="BP4" i="69"/>
  <c r="H8" i="69"/>
  <c r="H257" i="69"/>
  <c r="Y10" i="69"/>
  <c r="Y6" i="69"/>
  <c r="BT4" i="69"/>
  <c r="AQ229" i="69"/>
  <c r="AQ4" i="69"/>
  <c r="CZ229" i="69"/>
  <c r="CZ4" i="69"/>
  <c r="DJ69" i="69"/>
  <c r="U7" i="69"/>
  <c r="CH229" i="69"/>
  <c r="CH4" i="69"/>
  <c r="AX229" i="69"/>
  <c r="AX4" i="69"/>
  <c r="Z10" i="69"/>
  <c r="Z6" i="69"/>
  <c r="F257" i="69"/>
  <c r="F7" i="69"/>
  <c r="BK228" i="69"/>
  <c r="BS228" i="69" s="1"/>
  <c r="BK225" i="69"/>
  <c r="BS225" i="69" s="1"/>
  <c r="DB229" i="69"/>
  <c r="DB4" i="69"/>
  <c r="CI229" i="69"/>
  <c r="CI4" i="69"/>
  <c r="CA229" i="69"/>
  <c r="CA4" i="69"/>
  <c r="BV225" i="69"/>
  <c r="BV227" i="69"/>
  <c r="DH190" i="69"/>
  <c r="BU229" i="69"/>
  <c r="BU4" i="69"/>
  <c r="CP229" i="69"/>
  <c r="CP4" i="69"/>
  <c r="Z8" i="69"/>
  <c r="Z9" i="69" s="1"/>
  <c r="Z257" i="69"/>
  <c r="DJ218" i="69"/>
  <c r="BZ229" i="69"/>
  <c r="BZ4" i="69"/>
  <c r="BO229" i="69"/>
  <c r="BO4" i="69"/>
  <c r="AI229" i="69"/>
  <c r="AI4" i="69"/>
  <c r="CQ6" i="69"/>
  <c r="AF255" i="69"/>
  <c r="T7" i="69"/>
  <c r="DF256" i="69"/>
  <c r="BE225" i="69"/>
  <c r="E190" i="69"/>
  <c r="DI190" i="69" s="1"/>
  <c r="DI188" i="69"/>
  <c r="DJ188" i="69" s="1"/>
  <c r="CS227" i="69"/>
  <c r="CG229" i="69"/>
  <c r="CG4" i="69"/>
  <c r="W229" i="69"/>
  <c r="W4" i="69"/>
  <c r="I10" i="69"/>
  <c r="I6" i="69"/>
  <c r="AV10" i="69"/>
  <c r="AV12" i="69" s="1"/>
  <c r="AV6" i="69"/>
  <c r="BC6" i="69"/>
  <c r="AC10" i="69"/>
  <c r="AC12" i="69" s="1"/>
  <c r="AC6" i="69"/>
  <c r="CR4" i="69"/>
  <c r="CR229" i="69"/>
  <c r="CL6" i="69"/>
  <c r="L229" i="69"/>
  <c r="L4" i="69"/>
  <c r="CC225" i="69"/>
  <c r="CC227" i="69"/>
  <c r="DC6" i="69"/>
  <c r="BB229" i="69"/>
  <c r="BB4" i="69"/>
  <c r="X4" i="69"/>
  <c r="X229" i="69"/>
  <c r="H229" i="69"/>
  <c r="H4" i="69"/>
  <c r="AB10" i="69"/>
  <c r="AB12" i="69" s="1"/>
  <c r="AB6" i="69"/>
  <c r="AR229" i="69"/>
  <c r="AR4" i="69"/>
  <c r="V229" i="69"/>
  <c r="V4" i="69"/>
  <c r="BM6" i="69"/>
  <c r="BQ229" i="69"/>
  <c r="BQ4" i="69"/>
  <c r="BF242" i="69"/>
  <c r="AH229" i="69"/>
  <c r="AH4" i="69"/>
  <c r="AE6" i="69"/>
  <c r="AE10" i="69"/>
  <c r="BX229" i="69"/>
  <c r="N7" i="69"/>
  <c r="S7" i="69" s="1"/>
  <c r="AT257" i="69"/>
  <c r="AT7" i="69"/>
  <c r="R229" i="69"/>
  <c r="R4" i="69"/>
  <c r="CF223" i="69"/>
  <c r="Z11" i="69"/>
  <c r="Q229" i="69"/>
  <c r="Q4" i="69"/>
  <c r="CA262" i="69"/>
  <c r="BZ263" i="69"/>
  <c r="BZ247" i="69" s="1"/>
  <c r="BZ256" i="69" s="1"/>
  <c r="BZ8" i="69" s="1"/>
  <c r="BZ11" i="69" s="1"/>
  <c r="BY6" i="69"/>
  <c r="AJ7" i="69"/>
  <c r="AH7" i="69"/>
  <c r="F5" i="69"/>
  <c r="BY229" i="69"/>
  <c r="V8" i="69"/>
  <c r="V257" i="69"/>
  <c r="BW229" i="69"/>
  <c r="BW4" i="69"/>
  <c r="CN229" i="69"/>
  <c r="CN4" i="69"/>
  <c r="DI216" i="69"/>
  <c r="DJ216" i="69" s="1"/>
  <c r="E219" i="69"/>
  <c r="DI219" i="69" s="1"/>
  <c r="DJ219" i="69" s="1"/>
  <c r="AG229" i="69"/>
  <c r="AS227" i="69"/>
  <c r="AG4" i="69"/>
  <c r="BG229" i="69"/>
  <c r="BS227" i="69"/>
  <c r="BG4" i="69"/>
  <c r="DE6" i="69"/>
  <c r="CY229" i="69"/>
  <c r="CY4" i="69"/>
  <c r="S227" i="69"/>
  <c r="G229" i="69"/>
  <c r="G4" i="69"/>
  <c r="DJ195" i="69"/>
  <c r="AS225" i="69"/>
  <c r="DJ93" i="69"/>
  <c r="CV6" i="69"/>
  <c r="DJ215" i="69"/>
  <c r="U228" i="69"/>
  <c r="AF224" i="69"/>
  <c r="S228" i="69"/>
  <c r="G5" i="69"/>
  <c r="BI4" i="69"/>
  <c r="BI229" i="69"/>
  <c r="CE6" i="69"/>
  <c r="AF242" i="69"/>
  <c r="BE229" i="69"/>
  <c r="BE4" i="69"/>
  <c r="CF189" i="69"/>
  <c r="BT224" i="69"/>
  <c r="BH229" i="69"/>
  <c r="BH4" i="69"/>
  <c r="BN229" i="69"/>
  <c r="BN4" i="69"/>
  <c r="R7" i="69"/>
  <c r="BA223" i="69"/>
  <c r="BF223" i="69" s="1"/>
  <c r="CM5" i="69"/>
  <c r="CS5" i="69" s="1"/>
  <c r="CM229" i="69"/>
  <c r="CX229" i="69"/>
  <c r="CX4" i="69"/>
  <c r="BR229" i="69"/>
  <c r="BR4" i="69"/>
  <c r="G8" i="69"/>
  <c r="G257" i="69"/>
  <c r="DA6" i="69"/>
  <c r="BF62" i="69"/>
  <c r="BA113" i="69"/>
  <c r="CU229" i="69"/>
  <c r="CU4" i="69"/>
  <c r="DG6" i="69"/>
  <c r="AL229" i="69"/>
  <c r="AL4" i="69"/>
  <c r="AO10" i="69"/>
  <c r="AO6" i="69"/>
  <c r="AE8" i="69"/>
  <c r="AE257" i="69"/>
  <c r="E240" i="69"/>
  <c r="CO229" i="69"/>
  <c r="CO4" i="69"/>
  <c r="DH61" i="69"/>
  <c r="DM61" i="69"/>
  <c r="E61" i="69"/>
  <c r="DH242" i="69" l="1"/>
  <c r="Z12" i="69"/>
  <c r="E223" i="69"/>
  <c r="DH223" i="69"/>
  <c r="AJ6" i="69"/>
  <c r="AJ10" i="69"/>
  <c r="U5" i="69"/>
  <c r="AF228" i="69"/>
  <c r="BU6" i="69"/>
  <c r="N10" i="69"/>
  <c r="N6" i="69"/>
  <c r="AE9" i="69"/>
  <c r="AE11" i="69"/>
  <c r="AE12" i="69" s="1"/>
  <c r="AG6" i="69"/>
  <c r="AS4" i="69"/>
  <c r="AG10" i="69"/>
  <c r="R6" i="69"/>
  <c r="R10" i="69"/>
  <c r="CC229" i="69"/>
  <c r="CC4" i="69"/>
  <c r="G9" i="69"/>
  <c r="AT9" i="69"/>
  <c r="AT11" i="69"/>
  <c r="AL6" i="69"/>
  <c r="AL10" i="69"/>
  <c r="CF224" i="69"/>
  <c r="BT228" i="69"/>
  <c r="BT225" i="69"/>
  <c r="CF225" i="69" s="1"/>
  <c r="AI6" i="69"/>
  <c r="AI10" i="69"/>
  <c r="BV229" i="69"/>
  <c r="BV4" i="69"/>
  <c r="AX6" i="69"/>
  <c r="L10" i="69"/>
  <c r="L6" i="69"/>
  <c r="AZ6" i="69"/>
  <c r="DI241" i="69"/>
  <c r="DJ241" i="69" s="1"/>
  <c r="BR6" i="69"/>
  <c r="CA6" i="69"/>
  <c r="DI61" i="69"/>
  <c r="DJ61" i="69" s="1"/>
  <c r="E112" i="69"/>
  <c r="G6" i="69"/>
  <c r="S4" i="69"/>
  <c r="G10" i="69"/>
  <c r="BH278" i="69"/>
  <c r="BP6" i="69"/>
  <c r="CI6" i="69"/>
  <c r="H6" i="69"/>
  <c r="H10" i="69"/>
  <c r="CT6" i="69"/>
  <c r="DF4" i="69"/>
  <c r="AT6" i="69"/>
  <c r="CM6" i="69"/>
  <c r="Q6" i="69"/>
  <c r="Q10" i="69"/>
  <c r="AH6" i="69"/>
  <c r="AH10" i="69"/>
  <c r="CR6" i="69"/>
  <c r="CZ6" i="69"/>
  <c r="CD6" i="69"/>
  <c r="CD266" i="69"/>
  <c r="CD267" i="69"/>
  <c r="CB6" i="69"/>
  <c r="E242" i="69"/>
  <c r="DI242" i="69" s="1"/>
  <c r="DJ242" i="69" s="1"/>
  <c r="DI240" i="69"/>
  <c r="DJ240" i="69" s="1"/>
  <c r="F11" i="69"/>
  <c r="BN6" i="69"/>
  <c r="J266" i="69"/>
  <c r="J244" i="69" s="1"/>
  <c r="K265" i="69"/>
  <c r="CW6" i="69"/>
  <c r="L262" i="69"/>
  <c r="K263" i="69"/>
  <c r="K247" i="69" s="1"/>
  <c r="K248" i="69" s="1"/>
  <c r="BH277" i="69"/>
  <c r="J248" i="69"/>
  <c r="AS229" i="69"/>
  <c r="V10" i="69"/>
  <c r="V6" i="69"/>
  <c r="BH276" i="69"/>
  <c r="BJ6" i="69"/>
  <c r="CT11" i="69"/>
  <c r="DF11" i="69" s="1"/>
  <c r="DF5" i="69"/>
  <c r="CS229" i="69"/>
  <c r="U10" i="69"/>
  <c r="S229" i="69"/>
  <c r="AS7" i="69"/>
  <c r="CU6" i="69"/>
  <c r="CY6" i="69"/>
  <c r="CA263" i="69"/>
  <c r="CA247" i="69" s="1"/>
  <c r="CA256" i="69" s="1"/>
  <c r="CA8" i="69" s="1"/>
  <c r="CA11" i="69" s="1"/>
  <c r="CB262" i="69"/>
  <c r="DJ190" i="69"/>
  <c r="DB6" i="69"/>
  <c r="DF229" i="69"/>
  <c r="BS5" i="69"/>
  <c r="AT10" i="69"/>
  <c r="BA227" i="69"/>
  <c r="BF227" i="69" s="1"/>
  <c r="DH227" i="69" s="1"/>
  <c r="BI6" i="69"/>
  <c r="X10" i="69"/>
  <c r="X6" i="69"/>
  <c r="AW229" i="69"/>
  <c r="AW4" i="69"/>
  <c r="K10" i="69"/>
  <c r="K6" i="69"/>
  <c r="AP10" i="69"/>
  <c r="AP12" i="69" s="1"/>
  <c r="AP6" i="69"/>
  <c r="F10" i="69"/>
  <c r="BS229" i="69"/>
  <c r="CF227" i="69"/>
  <c r="I245" i="69"/>
  <c r="I256" i="69"/>
  <c r="BH6" i="69"/>
  <c r="AY6" i="69"/>
  <c r="J267" i="69"/>
  <c r="W10" i="69"/>
  <c r="W6" i="69"/>
  <c r="AR10" i="69"/>
  <c r="AR6" i="69"/>
  <c r="AS5" i="69"/>
  <c r="BE6" i="69"/>
  <c r="CN6" i="69"/>
  <c r="CS4" i="69"/>
  <c r="CG6" i="69"/>
  <c r="BO6" i="69"/>
  <c r="CH6" i="69"/>
  <c r="H9" i="69"/>
  <c r="H11" i="69"/>
  <c r="AK10" i="69"/>
  <c r="BD6" i="69"/>
  <c r="T6" i="69"/>
  <c r="AF4" i="69"/>
  <c r="T10" i="69"/>
  <c r="CX6" i="69"/>
  <c r="BU276" i="69"/>
  <c r="BW6" i="69"/>
  <c r="BU277" i="69"/>
  <c r="BZ6" i="69"/>
  <c r="U229" i="69"/>
  <c r="AF229" i="69" s="1"/>
  <c r="CO6" i="69"/>
  <c r="BA224" i="69"/>
  <c r="BF113" i="69"/>
  <c r="DH113" i="69" s="1"/>
  <c r="DK113" i="69" s="1"/>
  <c r="BA114" i="69"/>
  <c r="BF114" i="69" s="1"/>
  <c r="DH114" i="69" s="1"/>
  <c r="G11" i="69"/>
  <c r="S5" i="69"/>
  <c r="V9" i="69"/>
  <c r="V11" i="69"/>
  <c r="BB6" i="69"/>
  <c r="AF7" i="69"/>
  <c r="BK5" i="69"/>
  <c r="BK229" i="69"/>
  <c r="BB266" i="69"/>
  <c r="BB267" i="69"/>
  <c r="AD6" i="69"/>
  <c r="AD10" i="69"/>
  <c r="AD12" i="69" s="1"/>
  <c r="DM62" i="69"/>
  <c r="E62" i="69"/>
  <c r="E63" i="69" s="1"/>
  <c r="DI63" i="69" s="1"/>
  <c r="DJ63" i="69" s="1"/>
  <c r="DH62" i="69"/>
  <c r="DK62" i="69" s="1"/>
  <c r="BH275" i="69"/>
  <c r="BS4" i="69"/>
  <c r="BG6" i="69"/>
  <c r="BQ6" i="69"/>
  <c r="CP6" i="69"/>
  <c r="AQ10" i="69"/>
  <c r="AQ6" i="69"/>
  <c r="H12" i="69" l="1"/>
  <c r="M262" i="69"/>
  <c r="L263" i="69"/>
  <c r="L247" i="69" s="1"/>
  <c r="S10" i="69"/>
  <c r="G12" i="69"/>
  <c r="K266" i="69"/>
  <c r="K244" i="69" s="1"/>
  <c r="L265" i="69"/>
  <c r="BV6" i="69"/>
  <c r="J245" i="69"/>
  <c r="J256" i="69"/>
  <c r="BC266" i="69"/>
  <c r="BC267" i="69"/>
  <c r="E227" i="69"/>
  <c r="AS10" i="69"/>
  <c r="AW272" i="69"/>
  <c r="DI112" i="69"/>
  <c r="DJ112" i="69" s="1"/>
  <c r="DI62" i="69"/>
  <c r="DJ62" i="69" s="1"/>
  <c r="E113" i="69"/>
  <c r="DI113" i="69" s="1"/>
  <c r="DJ113" i="69" s="1"/>
  <c r="I8" i="69"/>
  <c r="I257" i="69"/>
  <c r="BA228" i="69"/>
  <c r="BF224" i="69"/>
  <c r="BU275" i="69"/>
  <c r="BA4" i="69"/>
  <c r="BA225" i="69"/>
  <c r="BF225" i="69" s="1"/>
  <c r="DH225" i="69" s="1"/>
  <c r="BK6" i="69"/>
  <c r="BS6" i="69" s="1"/>
  <c r="AT12" i="69"/>
  <c r="BI277" i="69"/>
  <c r="DI223" i="69"/>
  <c r="DJ223" i="69" s="1"/>
  <c r="CE267" i="69"/>
  <c r="CE266" i="69"/>
  <c r="AF6" i="69"/>
  <c r="CF4" i="69"/>
  <c r="CF228" i="69"/>
  <c r="BT5" i="69"/>
  <c r="BT229" i="69"/>
  <c r="CF229" i="69" s="1"/>
  <c r="V12" i="69"/>
  <c r="AS6" i="69"/>
  <c r="CS6" i="69"/>
  <c r="BH279" i="69"/>
  <c r="BI276" i="69" s="1"/>
  <c r="S6" i="69"/>
  <c r="AF10" i="69"/>
  <c r="CB263" i="69"/>
  <c r="CB247" i="69" s="1"/>
  <c r="CB256" i="69" s="1"/>
  <c r="CB8" i="69" s="1"/>
  <c r="CB11" i="69" s="1"/>
  <c r="CC262" i="69"/>
  <c r="AW6" i="69"/>
  <c r="DF6" i="69"/>
  <c r="AF5" i="69"/>
  <c r="BU278" i="69"/>
  <c r="CC6" i="69"/>
  <c r="U6" i="69"/>
  <c r="K267" i="69"/>
  <c r="BI275" i="69" l="1"/>
  <c r="M265" i="69"/>
  <c r="L266" i="69"/>
  <c r="L244" i="69" s="1"/>
  <c r="K245" i="69"/>
  <c r="K256" i="69"/>
  <c r="L267" i="69"/>
  <c r="CC263" i="69"/>
  <c r="CC247" i="69" s="1"/>
  <c r="CC256" i="69" s="1"/>
  <c r="CC8" i="69" s="1"/>
  <c r="CC11" i="69" s="1"/>
  <c r="CD262" i="69"/>
  <c r="BU279" i="69"/>
  <c r="BV275" i="69"/>
  <c r="E224" i="69"/>
  <c r="DH224" i="69"/>
  <c r="DK224" i="69" s="1"/>
  <c r="BA5" i="69"/>
  <c r="BF228" i="69"/>
  <c r="L248" i="69"/>
  <c r="I9" i="69"/>
  <c r="I11" i="69"/>
  <c r="M263" i="69"/>
  <c r="M247" i="69" s="1"/>
  <c r="M248" i="69" s="1"/>
  <c r="N262" i="69"/>
  <c r="M267" i="69"/>
  <c r="BD267" i="69"/>
  <c r="BD266" i="69"/>
  <c r="CG267" i="69"/>
  <c r="CG266" i="69"/>
  <c r="BI278" i="69"/>
  <c r="E114" i="69"/>
  <c r="DI114" i="69" s="1"/>
  <c r="DJ114" i="69" s="1"/>
  <c r="J257" i="69"/>
  <c r="J8" i="69"/>
  <c r="CF5" i="69"/>
  <c r="BT6" i="69"/>
  <c r="G13" i="69"/>
  <c r="DI227" i="69"/>
  <c r="DJ227" i="69" s="1"/>
  <c r="E4" i="69"/>
  <c r="BF4" i="69"/>
  <c r="DH4" i="69" s="1"/>
  <c r="BA229" i="69"/>
  <c r="BF229" i="69" s="1"/>
  <c r="DH229" i="69" s="1"/>
  <c r="DH228" i="69" l="1"/>
  <c r="DK228" i="69" s="1"/>
  <c r="E228" i="69"/>
  <c r="BF5" i="69"/>
  <c r="DH5" i="69" s="1"/>
  <c r="DK5" i="69" s="1"/>
  <c r="DI224" i="69"/>
  <c r="DJ224" i="69" s="1"/>
  <c r="E225" i="69"/>
  <c r="DI225" i="69" s="1"/>
  <c r="DJ225" i="69" s="1"/>
  <c r="H259" i="69"/>
  <c r="H260" i="69" s="1"/>
  <c r="H13" i="69"/>
  <c r="BV277" i="69"/>
  <c r="BV276" i="69"/>
  <c r="I12" i="69"/>
  <c r="L245" i="69"/>
  <c r="L256" i="69"/>
  <c r="J9" i="69"/>
  <c r="J11" i="69"/>
  <c r="J12" i="69" s="1"/>
  <c r="DH6" i="69"/>
  <c r="DI4" i="69"/>
  <c r="DJ4" i="69" s="1"/>
  <c r="CH266" i="69"/>
  <c r="CH267" i="69"/>
  <c r="BE267" i="69"/>
  <c r="BE266" i="69"/>
  <c r="O262" i="69"/>
  <c r="N263" i="69"/>
  <c r="N247" i="69" s="1"/>
  <c r="N248" i="69" s="1"/>
  <c r="CE262" i="69"/>
  <c r="CD263" i="69"/>
  <c r="CD247" i="69" s="1"/>
  <c r="CD256" i="69" s="1"/>
  <c r="CD8" i="69" s="1"/>
  <c r="CD11" i="69" s="1"/>
  <c r="CF6" i="69"/>
  <c r="K257" i="69"/>
  <c r="K8" i="69"/>
  <c r="BA6" i="69"/>
  <c r="N265" i="69"/>
  <c r="N267" i="69" s="1"/>
  <c r="M266" i="69"/>
  <c r="M244" i="69" s="1"/>
  <c r="BV278" i="69"/>
  <c r="M256" i="69" l="1"/>
  <c r="M245" i="69"/>
  <c r="N266" i="69"/>
  <c r="N244" i="69" s="1"/>
  <c r="O265" i="69"/>
  <c r="CI266" i="69"/>
  <c r="CI267" i="69"/>
  <c r="CF262" i="69"/>
  <c r="CG262" i="69" s="1"/>
  <c r="CE263" i="69"/>
  <c r="CE247" i="69" s="1"/>
  <c r="CE256" i="69" s="1"/>
  <c r="CE8" i="69" s="1"/>
  <c r="CE11" i="69" s="1"/>
  <c r="O263" i="69"/>
  <c r="O247" i="69" s="1"/>
  <c r="P262" i="69"/>
  <c r="O267" i="69"/>
  <c r="BG266" i="69"/>
  <c r="BG267" i="69"/>
  <c r="I259" i="69"/>
  <c r="I260" i="69" s="1"/>
  <c r="I13" i="69"/>
  <c r="DI228" i="69"/>
  <c r="DJ228" i="69" s="1"/>
  <c r="E5" i="69"/>
  <c r="E229" i="69"/>
  <c r="DI229" i="69" s="1"/>
  <c r="DJ229" i="69" s="1"/>
  <c r="L8" i="69"/>
  <c r="L257" i="69"/>
  <c r="BF6" i="69"/>
  <c r="K9" i="69"/>
  <c r="K11" i="69"/>
  <c r="J259" i="69" l="1"/>
  <c r="J260" i="69" s="1"/>
  <c r="J13" i="69"/>
  <c r="L11" i="69"/>
  <c r="L12" i="69" s="1"/>
  <c r="L9" i="69"/>
  <c r="BH267" i="69"/>
  <c r="BH266" i="69"/>
  <c r="P263" i="69"/>
  <c r="P247" i="69" s="1"/>
  <c r="P248" i="69" s="1"/>
  <c r="P267" i="69"/>
  <c r="Q262" i="69"/>
  <c r="K12" i="69"/>
  <c r="O248" i="69"/>
  <c r="CG263" i="69"/>
  <c r="CG247" i="69" s="1"/>
  <c r="CH262" i="69"/>
  <c r="CJ266" i="69"/>
  <c r="CJ267" i="69"/>
  <c r="P266" i="69"/>
  <c r="P244" i="69" s="1"/>
  <c r="O266" i="69"/>
  <c r="O244" i="69" s="1"/>
  <c r="P265" i="69"/>
  <c r="N245" i="69"/>
  <c r="N256" i="69"/>
  <c r="DI5" i="69"/>
  <c r="DJ5" i="69" s="1"/>
  <c r="E6" i="69"/>
  <c r="DI6" i="69" s="1"/>
  <c r="DJ6" i="69" s="1"/>
  <c r="M8" i="69"/>
  <c r="M257" i="69"/>
  <c r="CG256" i="69" l="1"/>
  <c r="R262" i="69"/>
  <c r="Q263" i="69"/>
  <c r="Q247" i="69" s="1"/>
  <c r="Q248" i="69" s="1"/>
  <c r="M9" i="69"/>
  <c r="M11" i="69"/>
  <c r="N8" i="69"/>
  <c r="N257" i="69"/>
  <c r="BI267" i="69"/>
  <c r="BI266" i="69"/>
  <c r="Q265" i="69"/>
  <c r="Q266" i="69"/>
  <c r="Q244" i="69" s="1"/>
  <c r="O245" i="69"/>
  <c r="O256" i="69"/>
  <c r="P245" i="69"/>
  <c r="P256" i="69"/>
  <c r="CK267" i="69"/>
  <c r="CK266" i="69"/>
  <c r="K259" i="69"/>
  <c r="K260" i="69" s="1"/>
  <c r="K13" i="69"/>
  <c r="CH263" i="69"/>
  <c r="CH247" i="69" s="1"/>
  <c r="CH256" i="69" s="1"/>
  <c r="CH8" i="69" s="1"/>
  <c r="CH11" i="69" s="1"/>
  <c r="CI262" i="69"/>
  <c r="R265" i="69" l="1"/>
  <c r="R267" i="69" s="1"/>
  <c r="R266" i="69"/>
  <c r="R244" i="69" s="1"/>
  <c r="M12" i="69"/>
  <c r="CL267" i="69"/>
  <c r="CL266" i="69"/>
  <c r="CG8" i="69"/>
  <c r="CJ262" i="69"/>
  <c r="CI263" i="69"/>
  <c r="CI247" i="69" s="1"/>
  <c r="CI256" i="69" s="1"/>
  <c r="CI8" i="69" s="1"/>
  <c r="CI11" i="69" s="1"/>
  <c r="Q267" i="69"/>
  <c r="BJ266" i="69"/>
  <c r="BJ267" i="69"/>
  <c r="N11" i="69"/>
  <c r="N12" i="69" s="1"/>
  <c r="N9" i="69"/>
  <c r="L259" i="69"/>
  <c r="L260" i="69" s="1"/>
  <c r="L13" i="69"/>
  <c r="P8" i="69"/>
  <c r="P257" i="69"/>
  <c r="S262" i="69"/>
  <c r="R263" i="69"/>
  <c r="R247" i="69" s="1"/>
  <c r="O8" i="69"/>
  <c r="O257" i="69"/>
  <c r="Q256" i="69"/>
  <c r="Q245" i="69"/>
  <c r="M259" i="69" l="1"/>
  <c r="M260" i="69" s="1"/>
  <c r="M13" i="69"/>
  <c r="CG11" i="69"/>
  <c r="CM266" i="69"/>
  <c r="CM267" i="69"/>
  <c r="S266" i="69"/>
  <c r="S265" i="69"/>
  <c r="BK267" i="69"/>
  <c r="BK266" i="69"/>
  <c r="Q257" i="69"/>
  <c r="Q8" i="69"/>
  <c r="CJ263" i="69"/>
  <c r="CJ247" i="69" s="1"/>
  <c r="CK262" i="69"/>
  <c r="O9" i="69"/>
  <c r="O11" i="69"/>
  <c r="O12" i="69" s="1"/>
  <c r="R248" i="69"/>
  <c r="S248" i="69" s="1"/>
  <c r="S247" i="69"/>
  <c r="T262" i="69"/>
  <c r="P11" i="69"/>
  <c r="P12" i="69" s="1"/>
  <c r="P9" i="69"/>
  <c r="R245" i="69"/>
  <c r="S245" i="69" s="1"/>
  <c r="R256" i="69"/>
  <c r="S244" i="69"/>
  <c r="CJ256" i="69" l="1"/>
  <c r="BL267" i="69"/>
  <c r="BL266" i="69"/>
  <c r="T265" i="69"/>
  <c r="U266" i="69" s="1"/>
  <c r="U244" i="69" s="1"/>
  <c r="T266" i="69"/>
  <c r="T244" i="69" s="1"/>
  <c r="R8" i="69"/>
  <c r="R257" i="69"/>
  <c r="S257" i="69" s="1"/>
  <c r="S256" i="69"/>
  <c r="CN267" i="69"/>
  <c r="CN266" i="69"/>
  <c r="N259" i="69"/>
  <c r="N260" i="69" s="1"/>
  <c r="N13" i="69"/>
  <c r="CK263" i="69"/>
  <c r="CK247" i="69" s="1"/>
  <c r="CK256" i="69" s="1"/>
  <c r="CK8" i="69" s="1"/>
  <c r="CK11" i="69" s="1"/>
  <c r="CL262" i="69"/>
  <c r="Q9" i="69"/>
  <c r="Q11" i="69"/>
  <c r="Q12" i="69" s="1"/>
  <c r="S267" i="69"/>
  <c r="U262" i="69"/>
  <c r="T263" i="69"/>
  <c r="T247" i="69" s="1"/>
  <c r="T267" i="69"/>
  <c r="T248" i="69" l="1"/>
  <c r="CL263" i="69"/>
  <c r="CL247" i="69" s="1"/>
  <c r="CL256" i="69" s="1"/>
  <c r="CL8" i="69" s="1"/>
  <c r="CL11" i="69" s="1"/>
  <c r="CM262" i="69"/>
  <c r="O259" i="69"/>
  <c r="O260" i="69" s="1"/>
  <c r="O13" i="69"/>
  <c r="R11" i="69"/>
  <c r="R9" i="69"/>
  <c r="S9" i="69" s="1"/>
  <c r="S8" i="69"/>
  <c r="U263" i="69"/>
  <c r="U247" i="69" s="1"/>
  <c r="U248" i="69" s="1"/>
  <c r="U267" i="69"/>
  <c r="V262" i="69"/>
  <c r="U245" i="69"/>
  <c r="U256" i="69"/>
  <c r="BM266" i="69"/>
  <c r="BM267" i="69"/>
  <c r="CO266" i="69"/>
  <c r="CO267" i="69"/>
  <c r="AF244" i="69"/>
  <c r="T245" i="69"/>
  <c r="T256" i="69"/>
  <c r="CJ8" i="69"/>
  <c r="U8" i="69" l="1"/>
  <c r="U257" i="69"/>
  <c r="V263" i="69"/>
  <c r="V267" i="69"/>
  <c r="W262" i="69"/>
  <c r="CJ11" i="69"/>
  <c r="P259" i="69"/>
  <c r="P260" i="69" s="1"/>
  <c r="P13" i="69"/>
  <c r="T8" i="69"/>
  <c r="T257" i="69"/>
  <c r="R12" i="69"/>
  <c r="S12" i="69" s="1"/>
  <c r="S11" i="69"/>
  <c r="AF245" i="69"/>
  <c r="CM263" i="69"/>
  <c r="CM247" i="69" s="1"/>
  <c r="CN262" i="69"/>
  <c r="CP266" i="69"/>
  <c r="CP267" i="69"/>
  <c r="BN266" i="69"/>
  <c r="BN267" i="69"/>
  <c r="Q259" i="69" l="1"/>
  <c r="Q260" i="69" s="1"/>
  <c r="Q13" i="69"/>
  <c r="W267" i="69"/>
  <c r="W263" i="69"/>
  <c r="W247" i="69" s="1"/>
  <c r="X262" i="69"/>
  <c r="T11" i="69"/>
  <c r="T9" i="69"/>
  <c r="CQ266" i="69"/>
  <c r="CQ267" i="69"/>
  <c r="BO267" i="69"/>
  <c r="BO266" i="69"/>
  <c r="CO262" i="69"/>
  <c r="CN263" i="69"/>
  <c r="CN247" i="69" s="1"/>
  <c r="CN256" i="69" s="1"/>
  <c r="CN8" i="69" s="1"/>
  <c r="CN11" i="69" s="1"/>
  <c r="CM256" i="69"/>
  <c r="U9" i="69"/>
  <c r="U11" i="69"/>
  <c r="U12" i="69" s="1"/>
  <c r="CM8" i="69" l="1"/>
  <c r="BP267" i="69"/>
  <c r="BP266" i="69"/>
  <c r="CR266" i="69"/>
  <c r="CR267" i="69"/>
  <c r="W248" i="69"/>
  <c r="W256" i="69"/>
  <c r="R259" i="69"/>
  <c r="R260" i="69" s="1"/>
  <c r="R13" i="69"/>
  <c r="T12" i="69"/>
  <c r="X267" i="69"/>
  <c r="Y262" i="69"/>
  <c r="X263" i="69"/>
  <c r="X247" i="69" s="1"/>
  <c r="CP262" i="69"/>
  <c r="CO263" i="69"/>
  <c r="CO247" i="69" s="1"/>
  <c r="CO256" i="69" s="1"/>
  <c r="CO8" i="69" s="1"/>
  <c r="CO11" i="69" s="1"/>
  <c r="Y263" i="69" l="1"/>
  <c r="Y247" i="69" s="1"/>
  <c r="Z262" i="69"/>
  <c r="Y267" i="69"/>
  <c r="BQ267" i="69"/>
  <c r="BQ266" i="69"/>
  <c r="S259" i="69"/>
  <c r="S260" i="69" s="1"/>
  <c r="S13" i="69"/>
  <c r="W8" i="69"/>
  <c r="W257" i="69"/>
  <c r="CT267" i="69"/>
  <c r="CT266" i="69"/>
  <c r="CP263" i="69"/>
  <c r="CP247" i="69" s="1"/>
  <c r="CP256" i="69" s="1"/>
  <c r="CP8" i="69" s="1"/>
  <c r="CP11" i="69" s="1"/>
  <c r="CQ262" i="69"/>
  <c r="X248" i="69"/>
  <c r="X256" i="69"/>
  <c r="CM11" i="69"/>
  <c r="CU266" i="69" l="1"/>
  <c r="CU267" i="69"/>
  <c r="W9" i="69"/>
  <c r="W11" i="69"/>
  <c r="AA262" i="69"/>
  <c r="Z263" i="69"/>
  <c r="Z267" i="69"/>
  <c r="T259" i="69"/>
  <c r="T260" i="69" s="1"/>
  <c r="T13" i="69"/>
  <c r="BR267" i="69"/>
  <c r="BS267" i="69" s="1"/>
  <c r="BR266" i="69"/>
  <c r="X257" i="69"/>
  <c r="X8" i="69"/>
  <c r="CQ263" i="69"/>
  <c r="CQ247" i="69" s="1"/>
  <c r="CQ256" i="69" s="1"/>
  <c r="CQ8" i="69" s="1"/>
  <c r="CQ11" i="69" s="1"/>
  <c r="CR262" i="69"/>
  <c r="Y248" i="69"/>
  <c r="Y256" i="69"/>
  <c r="CS262" i="69" l="1"/>
  <c r="CR263" i="69"/>
  <c r="CR247" i="69" s="1"/>
  <c r="BT267" i="69"/>
  <c r="BT266" i="69"/>
  <c r="U259" i="69"/>
  <c r="U260" i="69" s="1"/>
  <c r="U13" i="69"/>
  <c r="AB262" i="69"/>
  <c r="AA263" i="69"/>
  <c r="AA247" i="69" s="1"/>
  <c r="AA267" i="69"/>
  <c r="Y8" i="69"/>
  <c r="Y257" i="69"/>
  <c r="W12" i="69"/>
  <c r="X9" i="69"/>
  <c r="X11" i="69"/>
  <c r="X12" i="69" s="1"/>
  <c r="CV267" i="69"/>
  <c r="CV266" i="69"/>
  <c r="AA248" i="69" l="1"/>
  <c r="AF248" i="69" s="1"/>
  <c r="AA256" i="69"/>
  <c r="AF247" i="69"/>
  <c r="CR256" i="69"/>
  <c r="CS247" i="69"/>
  <c r="Y11" i="69"/>
  <c r="Y12" i="69" s="1"/>
  <c r="Y9" i="69"/>
  <c r="V259" i="69"/>
  <c r="V260" i="69" s="1"/>
  <c r="V13" i="69"/>
  <c r="BU267" i="69"/>
  <c r="BU266" i="69"/>
  <c r="CS267" i="69"/>
  <c r="CT262" i="69"/>
  <c r="AC262" i="69"/>
  <c r="AB267" i="69"/>
  <c r="AB263" i="69"/>
  <c r="CW267" i="69"/>
  <c r="CW266" i="69"/>
  <c r="W259" i="69" l="1"/>
  <c r="W260" i="69" s="1"/>
  <c r="W13" i="69"/>
  <c r="CU262" i="69"/>
  <c r="CT263" i="69"/>
  <c r="BV266" i="69"/>
  <c r="BV267" i="69"/>
  <c r="CR8" i="69"/>
  <c r="CS256" i="69"/>
  <c r="CX266" i="69"/>
  <c r="CX267" i="69"/>
  <c r="AA8" i="69"/>
  <c r="AA257" i="69"/>
  <c r="AF257" i="69" s="1"/>
  <c r="AF256" i="69"/>
  <c r="AD262" i="69"/>
  <c r="AC263" i="69"/>
  <c r="AC267" i="69"/>
  <c r="CR11" i="69" l="1"/>
  <c r="CS11" i="69" s="1"/>
  <c r="CS8" i="69"/>
  <c r="BW266" i="69"/>
  <c r="BW267" i="69"/>
  <c r="X259" i="69"/>
  <c r="X260" i="69" s="1"/>
  <c r="X13" i="69"/>
  <c r="CY267" i="69"/>
  <c r="CY266" i="69"/>
  <c r="AD263" i="69"/>
  <c r="AD267" i="69"/>
  <c r="AE262" i="69"/>
  <c r="CV262" i="69"/>
  <c r="CU263" i="69"/>
  <c r="AA9" i="69"/>
  <c r="AF9" i="69" s="1"/>
  <c r="AA11" i="69"/>
  <c r="AF8" i="69"/>
  <c r="CW262" i="69" l="1"/>
  <c r="CV263" i="69"/>
  <c r="AE267" i="69"/>
  <c r="AE263" i="69"/>
  <c r="AF262" i="69"/>
  <c r="Y259" i="69"/>
  <c r="Y260" i="69" s="1"/>
  <c r="Y13" i="69"/>
  <c r="CZ267" i="69"/>
  <c r="CZ266" i="69"/>
  <c r="AA12" i="69"/>
  <c r="AF12" i="69" s="1"/>
  <c r="AF11" i="69"/>
  <c r="BX266" i="69"/>
  <c r="BX267" i="69"/>
  <c r="BY267" i="69" l="1"/>
  <c r="CF267" i="69" s="1"/>
  <c r="BY266" i="69"/>
  <c r="DA267" i="69"/>
  <c r="DA266" i="69"/>
  <c r="Z259" i="69"/>
  <c r="Z260" i="69" s="1"/>
  <c r="Z13" i="69"/>
  <c r="AF263" i="69"/>
  <c r="AF264" i="69" s="1"/>
  <c r="AF265" i="69" s="1"/>
  <c r="AG262" i="69"/>
  <c r="AF267" i="69"/>
  <c r="CX262" i="69"/>
  <c r="CW263" i="69"/>
  <c r="CY262" i="69" l="1"/>
  <c r="CX263" i="69"/>
  <c r="AG263" i="69"/>
  <c r="AH262" i="69"/>
  <c r="AG265" i="69"/>
  <c r="AG266" i="69"/>
  <c r="AG244" i="69" s="1"/>
  <c r="AA13" i="69"/>
  <c r="AA259" i="69"/>
  <c r="AA260" i="69" s="1"/>
  <c r="DB267" i="69"/>
  <c r="DB266" i="69"/>
  <c r="AB13" i="69" l="1"/>
  <c r="AB259" i="69"/>
  <c r="AB260" i="69" s="1"/>
  <c r="AH265" i="69"/>
  <c r="AH266" i="69"/>
  <c r="AH244" i="69" s="1"/>
  <c r="DC266" i="69"/>
  <c r="DC267" i="69"/>
  <c r="AG245" i="69"/>
  <c r="AG256" i="69"/>
  <c r="AG267" i="69"/>
  <c r="AH263" i="69"/>
  <c r="AH247" i="69" s="1"/>
  <c r="AI262" i="69"/>
  <c r="AH267" i="69"/>
  <c r="CY263" i="69"/>
  <c r="CZ262" i="69"/>
  <c r="AH248" i="69" l="1"/>
  <c r="DA262" i="69"/>
  <c r="CZ263" i="69"/>
  <c r="AI263" i="69"/>
  <c r="AJ262" i="69"/>
  <c r="AG8" i="69"/>
  <c r="AG257" i="69"/>
  <c r="DD266" i="69"/>
  <c r="DD267" i="69"/>
  <c r="AH256" i="69"/>
  <c r="AH245" i="69"/>
  <c r="AI265" i="69"/>
  <c r="AI266" i="69"/>
  <c r="AI244" i="69" s="1"/>
  <c r="AC259" i="69"/>
  <c r="AC260" i="69" s="1"/>
  <c r="AC13" i="69"/>
  <c r="AJ266" i="69" l="1"/>
  <c r="AJ244" i="69" s="1"/>
  <c r="AJ265" i="69"/>
  <c r="AH8" i="69"/>
  <c r="AH257" i="69"/>
  <c r="DE266" i="69"/>
  <c r="DE267" i="69"/>
  <c r="AG11" i="69"/>
  <c r="AG9" i="69"/>
  <c r="AI267" i="69"/>
  <c r="AJ263" i="69"/>
  <c r="AK262" i="69"/>
  <c r="AJ267" i="69"/>
  <c r="AD13" i="69"/>
  <c r="AD259" i="69"/>
  <c r="AD260" i="69" s="1"/>
  <c r="DA263" i="69"/>
  <c r="DB262" i="69"/>
  <c r="AI245" i="69"/>
  <c r="AI256" i="69"/>
  <c r="AK263" i="69" l="1"/>
  <c r="AK247" i="69" s="1"/>
  <c r="AL262" i="69"/>
  <c r="AG12" i="69"/>
  <c r="AH11" i="69"/>
  <c r="AH12" i="69" s="1"/>
  <c r="AH9" i="69"/>
  <c r="AK266" i="69"/>
  <c r="AK244" i="69" s="1"/>
  <c r="AK265" i="69"/>
  <c r="AI8" i="69"/>
  <c r="AI257" i="69"/>
  <c r="DB263" i="69"/>
  <c r="DC262" i="69"/>
  <c r="AJ245" i="69"/>
  <c r="AJ256" i="69"/>
  <c r="AE259" i="69"/>
  <c r="AE260" i="69" s="1"/>
  <c r="AE13" i="69"/>
  <c r="DC263" i="69" l="1"/>
  <c r="DD262" i="69"/>
  <c r="AI9" i="69"/>
  <c r="AI11" i="69"/>
  <c r="AI12" i="69" s="1"/>
  <c r="AL265" i="69"/>
  <c r="AL266" i="69"/>
  <c r="AL244" i="69" s="1"/>
  <c r="AK245" i="69"/>
  <c r="AK256" i="69"/>
  <c r="AK267" i="69"/>
  <c r="AF259" i="69"/>
  <c r="AF260" i="69" s="1"/>
  <c r="AF13" i="69"/>
  <c r="AL263" i="69"/>
  <c r="AM262" i="69"/>
  <c r="AK248" i="69"/>
  <c r="AS248" i="69" s="1"/>
  <c r="AS247" i="69"/>
  <c r="AJ8" i="69"/>
  <c r="AJ257" i="69"/>
  <c r="AM266" i="69" l="1"/>
  <c r="AM244" i="69" s="1"/>
  <c r="AM265" i="69"/>
  <c r="AJ11" i="69"/>
  <c r="AJ9" i="69"/>
  <c r="AL267" i="69"/>
  <c r="DE262" i="69"/>
  <c r="DD263" i="69"/>
  <c r="AM267" i="69"/>
  <c r="AN262" i="69"/>
  <c r="AM263" i="69"/>
  <c r="AK8" i="69"/>
  <c r="AK257" i="69"/>
  <c r="AL256" i="69"/>
  <c r="AL245" i="69"/>
  <c r="AG259" i="69"/>
  <c r="AG260" i="69" s="1"/>
  <c r="AG13" i="69"/>
  <c r="AH259" i="69" l="1"/>
  <c r="AH260" i="69" s="1"/>
  <c r="AH13" i="69"/>
  <c r="AJ12" i="69"/>
  <c r="AN266" i="69"/>
  <c r="AN244" i="69" s="1"/>
  <c r="AN265" i="69"/>
  <c r="AK11" i="69"/>
  <c r="AK12" i="69" s="1"/>
  <c r="AK9" i="69"/>
  <c r="AN267" i="69"/>
  <c r="AN263" i="69"/>
  <c r="AO262" i="69"/>
  <c r="DF262" i="69"/>
  <c r="DF267" i="69" s="1"/>
  <c r="DE263" i="69"/>
  <c r="AM245" i="69"/>
  <c r="AM256" i="69"/>
  <c r="AL8" i="69"/>
  <c r="AL257" i="69"/>
  <c r="AM8" i="69" l="1"/>
  <c r="AM257" i="69"/>
  <c r="AO263" i="69"/>
  <c r="AP262" i="69"/>
  <c r="AO266" i="69"/>
  <c r="AO244" i="69" s="1"/>
  <c r="AO265" i="69"/>
  <c r="AO267" i="69" s="1"/>
  <c r="AN245" i="69"/>
  <c r="AN256" i="69"/>
  <c r="AL11" i="69"/>
  <c r="AL12" i="69" s="1"/>
  <c r="AL9" i="69"/>
  <c r="AI259" i="69"/>
  <c r="AI260" i="69" s="1"/>
  <c r="AI13" i="69"/>
  <c r="BU208" i="56"/>
  <c r="BU232" i="56" s="1"/>
  <c r="BU190" i="56"/>
  <c r="AJ259" i="69" l="1"/>
  <c r="AJ260" i="69" s="1"/>
  <c r="AJ13" i="69"/>
  <c r="AO245" i="69"/>
  <c r="AO256" i="69"/>
  <c r="AM11" i="69"/>
  <c r="AM12" i="69" s="1"/>
  <c r="AM9" i="69"/>
  <c r="AN8" i="69"/>
  <c r="AN257" i="69"/>
  <c r="AP266" i="69"/>
  <c r="AP265" i="69"/>
  <c r="AP267" i="69"/>
  <c r="AP263" i="69"/>
  <c r="AQ262" i="69"/>
  <c r="AR262" i="69" l="1"/>
  <c r="AQ263" i="69"/>
  <c r="AQ266" i="69"/>
  <c r="AQ244" i="69" s="1"/>
  <c r="AQ265" i="69"/>
  <c r="AQ267" i="69" s="1"/>
  <c r="AK259" i="69"/>
  <c r="AK260" i="69" s="1"/>
  <c r="AK13" i="69"/>
  <c r="AO8" i="69"/>
  <c r="AO257" i="69"/>
  <c r="AN11" i="69"/>
  <c r="AN12" i="69" s="1"/>
  <c r="AN9" i="69"/>
  <c r="AL259" i="69" l="1"/>
  <c r="AL260" i="69" s="1"/>
  <c r="AL13" i="69"/>
  <c r="AO11" i="69"/>
  <c r="AO12" i="69" s="1"/>
  <c r="AO9" i="69"/>
  <c r="AR265" i="69"/>
  <c r="AR266" i="69"/>
  <c r="AR244" i="69" s="1"/>
  <c r="AQ245" i="69"/>
  <c r="AQ256" i="69"/>
  <c r="AS262" i="69"/>
  <c r="AR267" i="69"/>
  <c r="AR263" i="69"/>
  <c r="AY256" i="56"/>
  <c r="AX256" i="56"/>
  <c r="BZ222" i="56"/>
  <c r="AT262" i="69" l="1"/>
  <c r="AR245" i="69"/>
  <c r="AS245" i="69" s="1"/>
  <c r="DH245" i="69" s="1"/>
  <c r="AR256" i="69"/>
  <c r="AS244" i="69"/>
  <c r="AM259" i="69"/>
  <c r="AM260" i="69" s="1"/>
  <c r="AM13" i="69"/>
  <c r="AQ8" i="69"/>
  <c r="AQ257" i="69"/>
  <c r="AS265" i="69"/>
  <c r="AS266" i="69"/>
  <c r="BR256" i="56"/>
  <c r="BQ256" i="56"/>
  <c r="BP256" i="56"/>
  <c r="BO256" i="56"/>
  <c r="BN256" i="56"/>
  <c r="BM256" i="56"/>
  <c r="BL256" i="56"/>
  <c r="BK256" i="56"/>
  <c r="BJ256" i="56"/>
  <c r="BI256" i="56"/>
  <c r="BH256" i="56"/>
  <c r="BG256" i="56"/>
  <c r="BE256" i="56"/>
  <c r="BD256" i="56"/>
  <c r="BC256" i="56"/>
  <c r="BB256" i="56"/>
  <c r="BA256" i="56"/>
  <c r="AZ256" i="56"/>
  <c r="AX257" i="56"/>
  <c r="AY258" i="56" s="1"/>
  <c r="CS235" i="56"/>
  <c r="CF235" i="56"/>
  <c r="AQ11" i="69" l="1"/>
  <c r="AQ12" i="69" s="1"/>
  <c r="AQ9" i="69"/>
  <c r="AT266" i="69"/>
  <c r="AT265" i="69"/>
  <c r="E244" i="69"/>
  <c r="DH244" i="69"/>
  <c r="DK244" i="69" s="1"/>
  <c r="AU262" i="69"/>
  <c r="AT267" i="69"/>
  <c r="AT263" i="69"/>
  <c r="AN259" i="69"/>
  <c r="AN260" i="69" s="1"/>
  <c r="AN13" i="69"/>
  <c r="AR8" i="69"/>
  <c r="AR257" i="69"/>
  <c r="AS257" i="69" s="1"/>
  <c r="AS256" i="69"/>
  <c r="AS267" i="69"/>
  <c r="AY257" i="56"/>
  <c r="AZ258" i="56" s="1"/>
  <c r="AR11" i="69" l="1"/>
  <c r="AR9" i="69"/>
  <c r="AS9" i="69" s="1"/>
  <c r="AS8" i="69"/>
  <c r="AV262" i="69"/>
  <c r="AU263" i="69"/>
  <c r="AO259" i="69"/>
  <c r="AO260" i="69" s="1"/>
  <c r="AO13" i="69"/>
  <c r="DI244" i="69"/>
  <c r="DJ244" i="69" s="1"/>
  <c r="E245" i="69"/>
  <c r="DI245" i="69" s="1"/>
  <c r="DJ245" i="69" s="1"/>
  <c r="AU266" i="69"/>
  <c r="AU265" i="69"/>
  <c r="AU267" i="69" s="1"/>
  <c r="AZ257" i="56"/>
  <c r="BA258" i="56" s="1"/>
  <c r="AW262" i="69" l="1"/>
  <c r="AV263" i="69"/>
  <c r="AR12" i="69"/>
  <c r="AS12" i="69" s="1"/>
  <c r="AS11" i="69"/>
  <c r="AV266" i="69"/>
  <c r="AV265" i="69"/>
  <c r="AP259" i="69"/>
  <c r="AP260" i="69" s="1"/>
  <c r="AP13" i="69"/>
  <c r="BA257" i="56"/>
  <c r="BB258" i="56" s="1"/>
  <c r="AX262" i="69" l="1"/>
  <c r="AW263" i="69"/>
  <c r="AW247" i="69" s="1"/>
  <c r="AQ259" i="69"/>
  <c r="AQ260" i="69" s="1"/>
  <c r="AQ13" i="69"/>
  <c r="AW265" i="69"/>
  <c r="AW267" i="69" s="1"/>
  <c r="AW266" i="69"/>
  <c r="AV267" i="69"/>
  <c r="BB257" i="56"/>
  <c r="BC258" i="56" s="1"/>
  <c r="AY262" i="69" l="1"/>
  <c r="AX263" i="69"/>
  <c r="AX247" i="69" s="1"/>
  <c r="AX256" i="69" s="1"/>
  <c r="AX8" i="69" s="1"/>
  <c r="AX11" i="69" s="1"/>
  <c r="BF267" i="69"/>
  <c r="AR259" i="69"/>
  <c r="AR260" i="69" s="1"/>
  <c r="AR13" i="69"/>
  <c r="AW256" i="69"/>
  <c r="BC257" i="56"/>
  <c r="BD258" i="56" s="1"/>
  <c r="AS259" i="69" l="1"/>
  <c r="AS260" i="69" s="1"/>
  <c r="AS13" i="69"/>
  <c r="AW8" i="69"/>
  <c r="AZ262" i="69"/>
  <c r="AY263" i="69"/>
  <c r="AY247" i="69" s="1"/>
  <c r="BD257" i="56"/>
  <c r="BE258" i="56" s="1"/>
  <c r="AT259" i="69" l="1"/>
  <c r="AT260" i="69" s="1"/>
  <c r="AT13" i="69"/>
  <c r="AY256" i="69"/>
  <c r="AZ263" i="69"/>
  <c r="AZ247" i="69" s="1"/>
  <c r="AZ256" i="69" s="1"/>
  <c r="AZ8" i="69" s="1"/>
  <c r="AZ11" i="69" s="1"/>
  <c r="BA262" i="69"/>
  <c r="AW11" i="69"/>
  <c r="BE257" i="56"/>
  <c r="BG258" i="56" s="1"/>
  <c r="BA263" i="69" l="1"/>
  <c r="BA247" i="69" s="1"/>
  <c r="BA256" i="69" s="1"/>
  <c r="BA8" i="69" s="1"/>
  <c r="BA11" i="69" s="1"/>
  <c r="BB262" i="69"/>
  <c r="AU259" i="69"/>
  <c r="AU260" i="69" s="1"/>
  <c r="AU13" i="69"/>
  <c r="AY8" i="69"/>
  <c r="BG257" i="56"/>
  <c r="BH258" i="56" s="1"/>
  <c r="AY11" i="69" l="1"/>
  <c r="AV259" i="69"/>
  <c r="AV260" i="69" s="1"/>
  <c r="AV13" i="69"/>
  <c r="BB263" i="69"/>
  <c r="BB247" i="69" s="1"/>
  <c r="BB256" i="69" s="1"/>
  <c r="BC262" i="69"/>
  <c r="BH257" i="56"/>
  <c r="BI258" i="56" s="1"/>
  <c r="BC263" i="69" l="1"/>
  <c r="BC247" i="69" s="1"/>
  <c r="BD262" i="69"/>
  <c r="BB8" i="69"/>
  <c r="AW259" i="69"/>
  <c r="AW260" i="69" s="1"/>
  <c r="AW246" i="69" s="1"/>
  <c r="BI257" i="56"/>
  <c r="BJ258" i="56" s="1"/>
  <c r="BD263" i="69" l="1"/>
  <c r="BD247" i="69" s="1"/>
  <c r="BD256" i="69" s="1"/>
  <c r="BD8" i="69" s="1"/>
  <c r="BD11" i="69" s="1"/>
  <c r="BE262" i="69"/>
  <c r="AW248" i="69"/>
  <c r="AW255" i="69"/>
  <c r="BB11" i="69"/>
  <c r="BC256" i="69"/>
  <c r="BJ257" i="56"/>
  <c r="BK258" i="56" s="1"/>
  <c r="BC8" i="69" l="1"/>
  <c r="BC11" i="69" s="1"/>
  <c r="AW257" i="69"/>
  <c r="AW7" i="69"/>
  <c r="BE263" i="69"/>
  <c r="BE247" i="69" s="1"/>
  <c r="BF262" i="69"/>
  <c r="BG262" i="69" s="1"/>
  <c r="BK257" i="56"/>
  <c r="BL258" i="56" s="1"/>
  <c r="BE256" i="69" l="1"/>
  <c r="BF247" i="69"/>
  <c r="BH262" i="69"/>
  <c r="BG263" i="69"/>
  <c r="BG247" i="69" s="1"/>
  <c r="AW9" i="69"/>
  <c r="AW10" i="69"/>
  <c r="BL257" i="56"/>
  <c r="BM258" i="56" s="1"/>
  <c r="AW12" i="69" l="1"/>
  <c r="BG256" i="69"/>
  <c r="BI262" i="69"/>
  <c r="BH263" i="69"/>
  <c r="BH247" i="69" s="1"/>
  <c r="BH256" i="69" s="1"/>
  <c r="BH8" i="69" s="1"/>
  <c r="BH11" i="69" s="1"/>
  <c r="BE8" i="69"/>
  <c r="BF256" i="69"/>
  <c r="BM257" i="56"/>
  <c r="BN258" i="56" s="1"/>
  <c r="BE11" i="69" l="1"/>
  <c r="BF11" i="69" s="1"/>
  <c r="BF8" i="69"/>
  <c r="BJ262" i="69"/>
  <c r="BI263" i="69"/>
  <c r="BI247" i="69" s="1"/>
  <c r="BI256" i="69" s="1"/>
  <c r="BI8" i="69" s="1"/>
  <c r="BI11" i="69" s="1"/>
  <c r="BG8" i="69"/>
  <c r="AW13" i="69"/>
  <c r="BN257" i="56"/>
  <c r="BO258" i="56" s="1"/>
  <c r="AX259" i="69" l="1"/>
  <c r="AX260" i="69" s="1"/>
  <c r="AX246" i="69" s="1"/>
  <c r="BG11" i="69"/>
  <c r="BK262" i="69"/>
  <c r="BJ263" i="69"/>
  <c r="BJ247" i="69" s="1"/>
  <c r="BJ256" i="69" s="1"/>
  <c r="BJ8" i="69" s="1"/>
  <c r="BJ11" i="69" s="1"/>
  <c r="BO257" i="56"/>
  <c r="BP258" i="56" s="1"/>
  <c r="BK263" i="69" l="1"/>
  <c r="BK247" i="69" s="1"/>
  <c r="BK256" i="69" s="1"/>
  <c r="BK8" i="69" s="1"/>
  <c r="BK11" i="69" s="1"/>
  <c r="BL262" i="69"/>
  <c r="AX248" i="69"/>
  <c r="AX255" i="69"/>
  <c r="BP257" i="56"/>
  <c r="BQ258" i="56" s="1"/>
  <c r="BM262" i="69" l="1"/>
  <c r="BL263" i="69"/>
  <c r="BL247" i="69" s="1"/>
  <c r="AX257" i="69"/>
  <c r="AX7" i="69"/>
  <c r="BQ257" i="56"/>
  <c r="BR258" i="56" s="1"/>
  <c r="BN262" i="69" l="1"/>
  <c r="BM263" i="69"/>
  <c r="BM247" i="69" s="1"/>
  <c r="BM256" i="69" s="1"/>
  <c r="BM8" i="69" s="1"/>
  <c r="BM11" i="69" s="1"/>
  <c r="AX9" i="69"/>
  <c r="AX10" i="69"/>
  <c r="BL256" i="69"/>
  <c r="BR257" i="56"/>
  <c r="BT258" i="56" s="1"/>
  <c r="BS258" i="56"/>
  <c r="AX12" i="69" l="1"/>
  <c r="BN263" i="69"/>
  <c r="BN247" i="69" s="1"/>
  <c r="BN256" i="69" s="1"/>
  <c r="BN8" i="69" s="1"/>
  <c r="BN11" i="69" s="1"/>
  <c r="BO262" i="69"/>
  <c r="BL8" i="69"/>
  <c r="BT257" i="56"/>
  <c r="BU258" i="56" s="1"/>
  <c r="BL11" i="69" l="1"/>
  <c r="BO263" i="69"/>
  <c r="BO247" i="69" s="1"/>
  <c r="BO256" i="69" s="1"/>
  <c r="BP262" i="69"/>
  <c r="AX13" i="69"/>
  <c r="AY259" i="69" l="1"/>
  <c r="AY260" i="69" s="1"/>
  <c r="AY246" i="69" s="1"/>
  <c r="BP263" i="69"/>
  <c r="BP247" i="69" s="1"/>
  <c r="BP256" i="69" s="1"/>
  <c r="BP8" i="69" s="1"/>
  <c r="BP11" i="69" s="1"/>
  <c r="BQ262" i="69"/>
  <c r="BO8" i="69"/>
  <c r="BQ263" i="69" l="1"/>
  <c r="BQ247" i="69" s="1"/>
  <c r="BQ256" i="69" s="1"/>
  <c r="BQ8" i="69" s="1"/>
  <c r="BQ11" i="69" s="1"/>
  <c r="BR262" i="69"/>
  <c r="BO11" i="69"/>
  <c r="AY248" i="69"/>
  <c r="AY255" i="69"/>
  <c r="AZ272" i="69"/>
  <c r="BR263" i="69" l="1"/>
  <c r="BR247" i="69" s="1"/>
  <c r="BS262" i="69"/>
  <c r="AY257" i="69"/>
  <c r="AY7" i="69"/>
  <c r="AY9" i="69" l="1"/>
  <c r="AY10" i="69"/>
  <c r="DG262" i="69"/>
  <c r="BT262" i="69"/>
  <c r="BR256" i="69"/>
  <c r="BS247" i="69"/>
  <c r="BR8" i="69" l="1"/>
  <c r="BS256" i="69"/>
  <c r="BT263" i="69"/>
  <c r="BT247" i="69" s="1"/>
  <c r="BU262" i="69"/>
  <c r="DG267" i="69"/>
  <c r="DG263" i="69"/>
  <c r="DG247" i="69" s="1"/>
  <c r="DG256" i="69" s="1"/>
  <c r="DG8" i="69" s="1"/>
  <c r="DG11" i="69" s="1"/>
  <c r="AY12" i="69"/>
  <c r="DE209" i="56"/>
  <c r="DD209" i="56"/>
  <c r="DC209" i="56"/>
  <c r="DB209" i="56"/>
  <c r="DA209" i="56"/>
  <c r="CZ209" i="56"/>
  <c r="CY209" i="56"/>
  <c r="CX209" i="56"/>
  <c r="CW209" i="56"/>
  <c r="CV209" i="56"/>
  <c r="CU209" i="56"/>
  <c r="CT209" i="56"/>
  <c r="DE208" i="56"/>
  <c r="DE232" i="56" s="1"/>
  <c r="DD208" i="56"/>
  <c r="DD232" i="56" s="1"/>
  <c r="DC208" i="56"/>
  <c r="DC232" i="56" s="1"/>
  <c r="DB208" i="56"/>
  <c r="DB232" i="56" s="1"/>
  <c r="DA208" i="56"/>
  <c r="DA232" i="56" s="1"/>
  <c r="CZ208" i="56"/>
  <c r="CZ232" i="56" s="1"/>
  <c r="CY208" i="56"/>
  <c r="CY232" i="56" s="1"/>
  <c r="CX208" i="56"/>
  <c r="CX232" i="56" s="1"/>
  <c r="CW208" i="56"/>
  <c r="CW232" i="56" s="1"/>
  <c r="CV208" i="56"/>
  <c r="CV232" i="56" s="1"/>
  <c r="CU208" i="56"/>
  <c r="CU232" i="56" s="1"/>
  <c r="CT208" i="56"/>
  <c r="CT232" i="56" s="1"/>
  <c r="DE207" i="56"/>
  <c r="DE231" i="56" s="1"/>
  <c r="DD207" i="56"/>
  <c r="DD231" i="56" s="1"/>
  <c r="DC207" i="56"/>
  <c r="DC231" i="56" s="1"/>
  <c r="DB207" i="56"/>
  <c r="DB231" i="56" s="1"/>
  <c r="DA207" i="56"/>
  <c r="DA231" i="56" s="1"/>
  <c r="CZ207" i="56"/>
  <c r="CZ231" i="56" s="1"/>
  <c r="CY207" i="56"/>
  <c r="CY231" i="56" s="1"/>
  <c r="CX207" i="56"/>
  <c r="CX231" i="56" s="1"/>
  <c r="CW207" i="56"/>
  <c r="CW231" i="56" s="1"/>
  <c r="CV207" i="56"/>
  <c r="CV231" i="56" s="1"/>
  <c r="CU207" i="56"/>
  <c r="CU231" i="56" s="1"/>
  <c r="CT207" i="56"/>
  <c r="CT231" i="56" s="1"/>
  <c r="CR209" i="56"/>
  <c r="CQ209" i="56"/>
  <c r="CP209" i="56"/>
  <c r="CO209" i="56"/>
  <c r="CN209" i="56"/>
  <c r="CM209" i="56"/>
  <c r="CL209" i="56"/>
  <c r="CK209" i="56"/>
  <c r="CJ209" i="56"/>
  <c r="CI209" i="56"/>
  <c r="CH209" i="56"/>
  <c r="CG209" i="56"/>
  <c r="CR208" i="56"/>
  <c r="CQ208" i="56"/>
  <c r="CP208" i="56"/>
  <c r="CO208" i="56"/>
  <c r="CN208" i="56"/>
  <c r="CM208" i="56"/>
  <c r="CL208" i="56"/>
  <c r="CK208" i="56"/>
  <c r="CJ208" i="56"/>
  <c r="CI208" i="56"/>
  <c r="CH208" i="56"/>
  <c r="CG208" i="56"/>
  <c r="CR207" i="56"/>
  <c r="CQ207" i="56"/>
  <c r="CP207" i="56"/>
  <c r="CO207" i="56"/>
  <c r="CN207" i="56"/>
  <c r="CM207" i="56"/>
  <c r="CL207" i="56"/>
  <c r="CK207" i="56"/>
  <c r="CI207" i="56"/>
  <c r="CH207" i="56"/>
  <c r="CG207" i="56"/>
  <c r="CE209" i="56"/>
  <c r="CD209" i="56"/>
  <c r="CC209" i="56"/>
  <c r="CB209" i="56"/>
  <c r="CA209" i="56"/>
  <c r="BZ209" i="56"/>
  <c r="BY209" i="56"/>
  <c r="BX209" i="56"/>
  <c r="BW209" i="56"/>
  <c r="BV209" i="56"/>
  <c r="BU209" i="56"/>
  <c r="BT209" i="56"/>
  <c r="CE208" i="56"/>
  <c r="CD208" i="56"/>
  <c r="CC208" i="56"/>
  <c r="CB208" i="56"/>
  <c r="CA208" i="56"/>
  <c r="BZ208" i="56"/>
  <c r="BY208" i="56"/>
  <c r="BX208" i="56"/>
  <c r="BW208" i="56"/>
  <c r="BV208" i="56"/>
  <c r="BT208" i="56"/>
  <c r="CE207" i="56"/>
  <c r="CD207" i="56"/>
  <c r="CC207" i="56"/>
  <c r="CB207" i="56"/>
  <c r="CA207" i="56"/>
  <c r="BZ207" i="56"/>
  <c r="BY207" i="56"/>
  <c r="BX207" i="56"/>
  <c r="BV207" i="56"/>
  <c r="BU207" i="56"/>
  <c r="BT207" i="56"/>
  <c r="BR209" i="56"/>
  <c r="BQ209" i="56"/>
  <c r="BP209" i="56"/>
  <c r="BO209" i="56"/>
  <c r="BN209" i="56"/>
  <c r="BM209" i="56"/>
  <c r="BL209" i="56"/>
  <c r="BK209" i="56"/>
  <c r="BJ209" i="56"/>
  <c r="BI209" i="56"/>
  <c r="BH209" i="56"/>
  <c r="BG209" i="56"/>
  <c r="BR208" i="56"/>
  <c r="BQ208" i="56"/>
  <c r="BP208" i="56"/>
  <c r="BO208" i="56"/>
  <c r="BN208" i="56"/>
  <c r="BL208" i="56"/>
  <c r="BK208" i="56"/>
  <c r="BJ208" i="56"/>
  <c r="BI208" i="56"/>
  <c r="BH208" i="56"/>
  <c r="BG208" i="56"/>
  <c r="BR207" i="56"/>
  <c r="BQ207" i="56"/>
  <c r="BP207" i="56"/>
  <c r="BO207" i="56"/>
  <c r="BN207" i="56"/>
  <c r="BM207" i="56"/>
  <c r="BL207" i="56"/>
  <c r="BK207" i="56"/>
  <c r="BJ207" i="56"/>
  <c r="BI207" i="56"/>
  <c r="BH207" i="56"/>
  <c r="BG207" i="56"/>
  <c r="BE209" i="56"/>
  <c r="BD209" i="56"/>
  <c r="BC209" i="56"/>
  <c r="BB209" i="56"/>
  <c r="BA209" i="56"/>
  <c r="AZ209" i="56"/>
  <c r="AY209" i="56"/>
  <c r="AX209" i="56"/>
  <c r="AV209" i="56"/>
  <c r="AU209" i="56"/>
  <c r="BE208" i="56"/>
  <c r="BD208" i="56"/>
  <c r="BC208" i="56"/>
  <c r="BB208" i="56"/>
  <c r="BA208" i="56"/>
  <c r="AZ208" i="56"/>
  <c r="AZ232" i="56" s="1"/>
  <c r="AX208" i="56"/>
  <c r="AX232" i="56" s="1"/>
  <c r="AW208" i="56"/>
  <c r="AV208" i="56"/>
  <c r="AU208" i="56"/>
  <c r="BE207" i="56"/>
  <c r="BD207" i="56"/>
  <c r="BC207" i="56"/>
  <c r="BB207" i="56"/>
  <c r="BA207" i="56"/>
  <c r="AZ207" i="56"/>
  <c r="AY207" i="56"/>
  <c r="AX207" i="56"/>
  <c r="AW207" i="56"/>
  <c r="AV207" i="56"/>
  <c r="AU207" i="56"/>
  <c r="AT209" i="56"/>
  <c r="AT208" i="56"/>
  <c r="AT207" i="56"/>
  <c r="DG206" i="56"/>
  <c r="DE206" i="56"/>
  <c r="DD206" i="56"/>
  <c r="DC206" i="56"/>
  <c r="DB206" i="56"/>
  <c r="DA206" i="56"/>
  <c r="CZ206" i="56"/>
  <c r="CY206" i="56"/>
  <c r="CX206" i="56"/>
  <c r="CW206" i="56"/>
  <c r="CV206" i="56"/>
  <c r="CU206" i="56"/>
  <c r="CT206" i="56"/>
  <c r="CR206" i="56"/>
  <c r="CQ206" i="56"/>
  <c r="CP206" i="56"/>
  <c r="CO206" i="56"/>
  <c r="CN206" i="56"/>
  <c r="CM206" i="56"/>
  <c r="CL206" i="56"/>
  <c r="CK206" i="56"/>
  <c r="CJ206" i="56"/>
  <c r="CI206" i="56"/>
  <c r="CH206" i="56"/>
  <c r="CG206" i="56"/>
  <c r="CE206" i="56"/>
  <c r="CD206" i="56"/>
  <c r="CC206" i="56"/>
  <c r="CB206" i="56"/>
  <c r="CA206" i="56"/>
  <c r="BZ206" i="56"/>
  <c r="BY206" i="56"/>
  <c r="BX206" i="56"/>
  <c r="BW206" i="56"/>
  <c r="BV206" i="56"/>
  <c r="BU206" i="56"/>
  <c r="BT206" i="56"/>
  <c r="BR206" i="56"/>
  <c r="BQ206" i="56"/>
  <c r="BP206" i="56"/>
  <c r="BO206" i="56"/>
  <c r="BN206" i="56"/>
  <c r="BM206" i="56"/>
  <c r="BL206" i="56"/>
  <c r="BK206" i="56"/>
  <c r="BJ206" i="56"/>
  <c r="BI206" i="56"/>
  <c r="BH206" i="56"/>
  <c r="BG206" i="56"/>
  <c r="BE206" i="56"/>
  <c r="BD206" i="56"/>
  <c r="BC206" i="56"/>
  <c r="BB206" i="56"/>
  <c r="BA206" i="56"/>
  <c r="AZ206" i="56"/>
  <c r="AY206" i="56"/>
  <c r="AX206" i="56"/>
  <c r="AW206" i="56"/>
  <c r="AV206" i="56"/>
  <c r="AU206" i="56"/>
  <c r="AT206" i="56"/>
  <c r="AR206" i="56"/>
  <c r="AQ206" i="56"/>
  <c r="AP206" i="56"/>
  <c r="AO206" i="56"/>
  <c r="AN206" i="56"/>
  <c r="AM206" i="56"/>
  <c r="AL206" i="56"/>
  <c r="AK206" i="56"/>
  <c r="AJ206" i="56"/>
  <c r="AI206" i="56"/>
  <c r="AH206" i="56"/>
  <c r="AG206" i="56"/>
  <c r="AE206" i="56"/>
  <c r="AD206" i="56"/>
  <c r="AC206" i="56"/>
  <c r="AB206" i="56"/>
  <c r="AA206" i="56"/>
  <c r="V206" i="56"/>
  <c r="U206" i="56"/>
  <c r="T206" i="56"/>
  <c r="R206" i="56"/>
  <c r="Q206" i="56"/>
  <c r="P206" i="56"/>
  <c r="O206" i="56"/>
  <c r="N206" i="56"/>
  <c r="M206" i="56"/>
  <c r="L206" i="56"/>
  <c r="K206" i="56"/>
  <c r="J206" i="56"/>
  <c r="I206" i="56"/>
  <c r="H206" i="56"/>
  <c r="G206" i="56"/>
  <c r="F206" i="56"/>
  <c r="DF205" i="56"/>
  <c r="CS205" i="56"/>
  <c r="CF205" i="56"/>
  <c r="BS205" i="56"/>
  <c r="BF205" i="56"/>
  <c r="Z205" i="56"/>
  <c r="Z206" i="56" s="1"/>
  <c r="Y205" i="56"/>
  <c r="Y206" i="56" s="1"/>
  <c r="X205" i="56"/>
  <c r="X206" i="56" s="1"/>
  <c r="W205" i="56"/>
  <c r="W206" i="56" s="1"/>
  <c r="S205" i="56"/>
  <c r="DF204" i="56"/>
  <c r="CS204" i="56"/>
  <c r="CF204" i="56"/>
  <c r="BS204" i="56"/>
  <c r="BF204" i="56"/>
  <c r="S204" i="56"/>
  <c r="DF203" i="56"/>
  <c r="CS203" i="56"/>
  <c r="CF203" i="56"/>
  <c r="BS203" i="56"/>
  <c r="BF203" i="56"/>
  <c r="S203" i="56"/>
  <c r="DH203" i="56" s="1"/>
  <c r="DG202" i="56"/>
  <c r="DE202" i="56"/>
  <c r="DD202" i="56"/>
  <c r="DC202" i="56"/>
  <c r="DB202" i="56"/>
  <c r="DA202" i="56"/>
  <c r="CZ202" i="56"/>
  <c r="CY202" i="56"/>
  <c r="CX202" i="56"/>
  <c r="CW202" i="56"/>
  <c r="CV202" i="56"/>
  <c r="CU202" i="56"/>
  <c r="CT202" i="56"/>
  <c r="CR202" i="56"/>
  <c r="CQ202" i="56"/>
  <c r="CP202" i="56"/>
  <c r="CO202" i="56"/>
  <c r="CN202" i="56"/>
  <c r="CM202" i="56"/>
  <c r="CL202" i="56"/>
  <c r="CK202" i="56"/>
  <c r="CJ202" i="56"/>
  <c r="CI202" i="56"/>
  <c r="CH202" i="56"/>
  <c r="CG202" i="56"/>
  <c r="CE202" i="56"/>
  <c r="CD202" i="56"/>
  <c r="CC202" i="56"/>
  <c r="CB202" i="56"/>
  <c r="CA202" i="56"/>
  <c r="BZ202" i="56"/>
  <c r="BY202" i="56"/>
  <c r="BX202" i="56"/>
  <c r="BW202" i="56"/>
  <c r="BV202" i="56"/>
  <c r="BU202" i="56"/>
  <c r="BT202" i="56"/>
  <c r="BR202" i="56"/>
  <c r="BQ202" i="56"/>
  <c r="BP202" i="56"/>
  <c r="BO202" i="56"/>
  <c r="BN202" i="56"/>
  <c r="BM202" i="56"/>
  <c r="BL202" i="56"/>
  <c r="BK202" i="56"/>
  <c r="BJ202" i="56"/>
  <c r="BI202" i="56"/>
  <c r="BH202" i="56"/>
  <c r="BG202" i="56"/>
  <c r="BE202" i="56"/>
  <c r="BD202" i="56"/>
  <c r="BC202" i="56"/>
  <c r="BB202" i="56"/>
  <c r="BA202" i="56"/>
  <c r="AZ202" i="56"/>
  <c r="AY202" i="56"/>
  <c r="AX202" i="56"/>
  <c r="AW202" i="56"/>
  <c r="AV202" i="56"/>
  <c r="AU202" i="56"/>
  <c r="AT202" i="56"/>
  <c r="AR202" i="56"/>
  <c r="AQ202" i="56"/>
  <c r="AP202" i="56"/>
  <c r="AO202" i="56"/>
  <c r="AN202" i="56"/>
  <c r="AM202" i="56"/>
  <c r="AL202" i="56"/>
  <c r="AK202" i="56"/>
  <c r="AJ202" i="56"/>
  <c r="AI202" i="56"/>
  <c r="AH202" i="56"/>
  <c r="AG202" i="56"/>
  <c r="AE202" i="56"/>
  <c r="AD202" i="56"/>
  <c r="AC202" i="56"/>
  <c r="AB202" i="56"/>
  <c r="AA202" i="56"/>
  <c r="V202" i="56"/>
  <c r="U202" i="56"/>
  <c r="T202" i="56"/>
  <c r="R202" i="56"/>
  <c r="Q202" i="56"/>
  <c r="P202" i="56"/>
  <c r="O202" i="56"/>
  <c r="N202" i="56"/>
  <c r="M202" i="56"/>
  <c r="L202" i="56"/>
  <c r="K202" i="56"/>
  <c r="J202" i="56"/>
  <c r="I202" i="56"/>
  <c r="H202" i="56"/>
  <c r="G202" i="56"/>
  <c r="F202" i="56"/>
  <c r="DF201" i="56"/>
  <c r="CS201" i="56"/>
  <c r="CF201" i="56"/>
  <c r="BS201" i="56"/>
  <c r="BF201" i="56"/>
  <c r="Z201" i="56"/>
  <c r="Z202" i="56" s="1"/>
  <c r="Y201" i="56"/>
  <c r="Y202" i="56" s="1"/>
  <c r="X201" i="56"/>
  <c r="X202" i="56" s="1"/>
  <c r="W201" i="56"/>
  <c r="S201" i="56"/>
  <c r="DF200" i="56"/>
  <c r="CS200" i="56"/>
  <c r="CF200" i="56"/>
  <c r="BS200" i="56"/>
  <c r="BF200" i="56"/>
  <c r="S200" i="56"/>
  <c r="DF199" i="56"/>
  <c r="CS199" i="56"/>
  <c r="CF199" i="56"/>
  <c r="BS199" i="56"/>
  <c r="BF199" i="56"/>
  <c r="S199" i="56"/>
  <c r="AY13" i="69" l="1"/>
  <c r="BU263" i="69"/>
  <c r="BU247" i="69" s="1"/>
  <c r="BU256" i="69" s="1"/>
  <c r="BU8" i="69" s="1"/>
  <c r="BU11" i="69" s="1"/>
  <c r="BV262" i="69"/>
  <c r="BV263" i="69" s="1"/>
  <c r="BV247" i="69" s="1"/>
  <c r="BV256" i="69" s="1"/>
  <c r="BV8" i="69" s="1"/>
  <c r="BV11" i="69" s="1"/>
  <c r="DH247" i="69"/>
  <c r="CF247" i="69"/>
  <c r="E247" i="69" s="1"/>
  <c r="BT256" i="69"/>
  <c r="DH256" i="69"/>
  <c r="BR11" i="69"/>
  <c r="BS11" i="69" s="1"/>
  <c r="DH11" i="69" s="1"/>
  <c r="BS8" i="69"/>
  <c r="DH8" i="69" s="1"/>
  <c r="E204" i="56"/>
  <c r="DI204" i="56" s="1"/>
  <c r="DH204" i="56"/>
  <c r="BF206" i="56"/>
  <c r="S206" i="56"/>
  <c r="DF206" i="56"/>
  <c r="CF206" i="56"/>
  <c r="E203" i="56"/>
  <c r="DI203" i="56" s="1"/>
  <c r="DJ203" i="56" s="1"/>
  <c r="BS206" i="56"/>
  <c r="CS206" i="56"/>
  <c r="CF202" i="56"/>
  <c r="E199" i="56"/>
  <c r="DI199" i="56" s="1"/>
  <c r="CS202" i="56"/>
  <c r="E200" i="56"/>
  <c r="DI200" i="56" s="1"/>
  <c r="E205" i="56"/>
  <c r="DI205" i="56" s="1"/>
  <c r="BS202" i="56"/>
  <c r="S202" i="56"/>
  <c r="BF202" i="56"/>
  <c r="DF202" i="56"/>
  <c r="DH199" i="56"/>
  <c r="E201" i="56"/>
  <c r="DI201" i="56" s="1"/>
  <c r="DH201" i="56"/>
  <c r="DH200" i="56"/>
  <c r="W202" i="56"/>
  <c r="DH206" i="56" l="1"/>
  <c r="DI247" i="69"/>
  <c r="DJ247" i="69" s="1"/>
  <c r="E256" i="69"/>
  <c r="BT8" i="69"/>
  <c r="CF256" i="69"/>
  <c r="AZ259" i="69"/>
  <c r="AZ260" i="69" s="1"/>
  <c r="AZ246" i="69" s="1"/>
  <c r="DJ204" i="56"/>
  <c r="DH202" i="56"/>
  <c r="DK201" i="56"/>
  <c r="DJ199" i="56"/>
  <c r="E206" i="56"/>
  <c r="DI206" i="56" s="1"/>
  <c r="DJ206" i="56" s="1"/>
  <c r="DJ200" i="56"/>
  <c r="E202" i="56"/>
  <c r="DI202" i="56" s="1"/>
  <c r="DH205" i="56"/>
  <c r="DK205" i="56" s="1"/>
  <c r="DJ201" i="56"/>
  <c r="AZ248" i="69" l="1"/>
  <c r="AZ255" i="69"/>
  <c r="CF8" i="69"/>
  <c r="BT11" i="69"/>
  <c r="CF11" i="69" s="1"/>
  <c r="DI256" i="69"/>
  <c r="DJ256" i="69" s="1"/>
  <c r="E8" i="69"/>
  <c r="DJ202" i="56"/>
  <c r="DJ205" i="56"/>
  <c r="DI8" i="69" l="1"/>
  <c r="DJ8" i="69" s="1"/>
  <c r="E11" i="69"/>
  <c r="DI11" i="69" s="1"/>
  <c r="DJ11" i="69" s="1"/>
  <c r="AZ257" i="69"/>
  <c r="AZ7" i="69"/>
  <c r="BE16" i="64"/>
  <c r="BE15" i="64"/>
  <c r="E7" i="64"/>
  <c r="E4" i="64"/>
  <c r="N7" i="64" s="1"/>
  <c r="D8" i="64"/>
  <c r="G8" i="64"/>
  <c r="H8" i="64"/>
  <c r="I8" i="64"/>
  <c r="J8" i="64"/>
  <c r="K8" i="64"/>
  <c r="L8" i="64"/>
  <c r="M8" i="64"/>
  <c r="N8" i="64"/>
  <c r="O8" i="64"/>
  <c r="P8" i="64"/>
  <c r="Q8" i="64"/>
  <c r="R8" i="64"/>
  <c r="S8" i="64"/>
  <c r="T8" i="64"/>
  <c r="U8" i="64"/>
  <c r="V8" i="64"/>
  <c r="W8" i="64"/>
  <c r="X8" i="64"/>
  <c r="Y8" i="64"/>
  <c r="Z8" i="64"/>
  <c r="AA8" i="64"/>
  <c r="AB8" i="64"/>
  <c r="AC8" i="64"/>
  <c r="AD8" i="64"/>
  <c r="AE8" i="64"/>
  <c r="AF8" i="64"/>
  <c r="AG8" i="64"/>
  <c r="AH8" i="64"/>
  <c r="AI8" i="64"/>
  <c r="AJ8" i="64"/>
  <c r="AK8" i="64"/>
  <c r="AL8" i="64"/>
  <c r="AM8" i="64"/>
  <c r="AN8" i="64"/>
  <c r="AO8" i="64"/>
  <c r="AP8" i="64"/>
  <c r="AQ8" i="64"/>
  <c r="AR8" i="64"/>
  <c r="AS8" i="64"/>
  <c r="AT8" i="64"/>
  <c r="AU8" i="64"/>
  <c r="AV8" i="64"/>
  <c r="AW8" i="64"/>
  <c r="AX8" i="64"/>
  <c r="AY8" i="64"/>
  <c r="AZ8" i="64"/>
  <c r="BA8" i="64"/>
  <c r="BB8" i="64"/>
  <c r="BC8" i="64"/>
  <c r="BD8" i="64"/>
  <c r="BE8" i="64"/>
  <c r="BF8" i="64"/>
  <c r="BG8" i="64"/>
  <c r="BH8" i="64"/>
  <c r="BI8" i="64"/>
  <c r="BJ8" i="64"/>
  <c r="BK8" i="64"/>
  <c r="BL8" i="64"/>
  <c r="BM8" i="64"/>
  <c r="F8" i="64"/>
  <c r="K7" i="64"/>
  <c r="L7" i="64"/>
  <c r="M7" i="64"/>
  <c r="AA7" i="64"/>
  <c r="AB7" i="64"/>
  <c r="AC7" i="64"/>
  <c r="AQ7" i="64"/>
  <c r="AR7" i="64"/>
  <c r="AS7" i="64"/>
  <c r="BG7" i="64"/>
  <c r="BH7" i="64"/>
  <c r="BI7" i="64"/>
  <c r="C5" i="64"/>
  <c r="C4" i="64"/>
  <c r="D4" i="64"/>
  <c r="BE3" i="64"/>
  <c r="BF3" i="64" s="1"/>
  <c r="BG3" i="64" s="1"/>
  <c r="BH3" i="64" s="1"/>
  <c r="BI3" i="64" s="1"/>
  <c r="BJ3" i="64" s="1"/>
  <c r="BK3" i="64" s="1"/>
  <c r="BL3" i="64" s="1"/>
  <c r="BM3" i="64" s="1"/>
  <c r="AZ9" i="69" l="1"/>
  <c r="AZ10" i="69"/>
  <c r="AP7" i="64"/>
  <c r="J7" i="64"/>
  <c r="BE7" i="64"/>
  <c r="Y7" i="64"/>
  <c r="BD7" i="64"/>
  <c r="H7" i="64"/>
  <c r="G7" i="64"/>
  <c r="V7" i="64"/>
  <c r="U7" i="64"/>
  <c r="AJ7" i="64"/>
  <c r="AI7" i="64"/>
  <c r="S7" i="64"/>
  <c r="F7" i="64"/>
  <c r="R7" i="64"/>
  <c r="BM7" i="64"/>
  <c r="AW7" i="64"/>
  <c r="AG7" i="64"/>
  <c r="Q7" i="64"/>
  <c r="BL7" i="64"/>
  <c r="AV7" i="64"/>
  <c r="AF7" i="64"/>
  <c r="P7" i="64"/>
  <c r="BF7" i="64"/>
  <c r="Z7" i="64"/>
  <c r="AO7" i="64"/>
  <c r="I7" i="64"/>
  <c r="AN7" i="64"/>
  <c r="BC7" i="64"/>
  <c r="W7" i="64"/>
  <c r="BB7" i="64"/>
  <c r="BA7" i="64"/>
  <c r="AZ7" i="64"/>
  <c r="AY7" i="64"/>
  <c r="AH7" i="64"/>
  <c r="BK7" i="64"/>
  <c r="AU7" i="64"/>
  <c r="AE7" i="64"/>
  <c r="O7" i="64"/>
  <c r="X7" i="64"/>
  <c r="AM7" i="64"/>
  <c r="AL7" i="64"/>
  <c r="AK7" i="64"/>
  <c r="T7" i="64"/>
  <c r="AX7" i="64"/>
  <c r="BJ7" i="64"/>
  <c r="AT7" i="64"/>
  <c r="AD7" i="64"/>
  <c r="AZ12" i="69" l="1"/>
  <c r="AZ13" i="69" s="1"/>
  <c r="D7" i="64"/>
  <c r="BA259" i="69" l="1"/>
  <c r="BA260" i="69" s="1"/>
  <c r="BA246" i="69" s="1"/>
  <c r="AY208" i="56"/>
  <c r="AW209" i="56"/>
  <c r="BA248" i="69" l="1"/>
  <c r="BA255" i="69"/>
  <c r="BX12" i="53"/>
  <c r="BY12" i="53"/>
  <c r="BZ12" i="53"/>
  <c r="CA12" i="53"/>
  <c r="CB12" i="53"/>
  <c r="CC12" i="53"/>
  <c r="CD12" i="53"/>
  <c r="CE12" i="53"/>
  <c r="CF12" i="53"/>
  <c r="CG12" i="53"/>
  <c r="CH12" i="53"/>
  <c r="BX13" i="53"/>
  <c r="BY13" i="53"/>
  <c r="BZ13" i="53"/>
  <c r="CA13" i="53"/>
  <c r="CB13" i="53"/>
  <c r="CC13" i="53"/>
  <c r="CD13" i="53"/>
  <c r="CE13" i="53"/>
  <c r="CF13" i="53"/>
  <c r="CG13" i="53"/>
  <c r="CH13" i="53"/>
  <c r="BX14" i="53"/>
  <c r="BY14" i="53"/>
  <c r="BZ14" i="53"/>
  <c r="CA14" i="53"/>
  <c r="CB14" i="53"/>
  <c r="CC14" i="53"/>
  <c r="CD14" i="53"/>
  <c r="CE14" i="53"/>
  <c r="CF14" i="53"/>
  <c r="CG14" i="53"/>
  <c r="CH14" i="53"/>
  <c r="BX6" i="53"/>
  <c r="BY6" i="53"/>
  <c r="BZ6" i="53"/>
  <c r="CA6" i="53"/>
  <c r="CB6" i="53"/>
  <c r="CC6" i="53"/>
  <c r="CD6" i="53"/>
  <c r="CE6" i="53"/>
  <c r="CF6" i="53"/>
  <c r="CG6" i="53"/>
  <c r="CH6" i="53"/>
  <c r="BX7" i="53"/>
  <c r="BY7" i="53"/>
  <c r="BZ7" i="53"/>
  <c r="CA7" i="53"/>
  <c r="CB7" i="53"/>
  <c r="CC7" i="53"/>
  <c r="CD7" i="53"/>
  <c r="CE7" i="53"/>
  <c r="CF7" i="53"/>
  <c r="CG7" i="53"/>
  <c r="CH7" i="53"/>
  <c r="BX8" i="53"/>
  <c r="BY8" i="53"/>
  <c r="BZ8" i="53"/>
  <c r="CA8" i="53"/>
  <c r="CB8" i="53"/>
  <c r="CC8" i="53"/>
  <c r="CD8" i="53"/>
  <c r="CE8" i="53"/>
  <c r="CF8" i="53"/>
  <c r="CG8" i="53"/>
  <c r="CH8" i="53"/>
  <c r="BW14" i="53"/>
  <c r="BW13" i="53"/>
  <c r="BW12" i="53"/>
  <c r="BW8" i="53"/>
  <c r="BW7" i="53"/>
  <c r="BW6" i="53"/>
  <c r="BA257" i="69" l="1"/>
  <c r="BA7" i="69"/>
  <c r="BA245" i="56"/>
  <c r="BB245" i="56"/>
  <c r="BA9" i="69" l="1"/>
  <c r="BA10" i="69"/>
  <c r="BA12" i="69" s="1"/>
  <c r="BA13" i="69" s="1"/>
  <c r="BB259" i="69" l="1"/>
  <c r="BB260" i="69" s="1"/>
  <c r="BB246" i="69" s="1"/>
  <c r="AO104" i="56"/>
  <c r="AO103" i="56"/>
  <c r="AO105" i="56" s="1"/>
  <c r="BB248" i="69" l="1"/>
  <c r="BB255" i="69"/>
  <c r="BC272" i="69"/>
  <c r="DE212" i="56"/>
  <c r="DD212" i="56"/>
  <c r="DC212" i="56"/>
  <c r="DB212" i="56"/>
  <c r="DA212" i="56"/>
  <c r="CZ212" i="56"/>
  <c r="CY212" i="56"/>
  <c r="CX212" i="56"/>
  <c r="CW212" i="56"/>
  <c r="CV212" i="56"/>
  <c r="CU212" i="56"/>
  <c r="CT212" i="56"/>
  <c r="CR212" i="56"/>
  <c r="CQ212" i="56"/>
  <c r="CP212" i="56"/>
  <c r="CO212" i="56"/>
  <c r="CN212" i="56"/>
  <c r="CM212" i="56"/>
  <c r="CL212" i="56"/>
  <c r="CK212" i="56"/>
  <c r="CJ212" i="56"/>
  <c r="CI212" i="56"/>
  <c r="CH212" i="56"/>
  <c r="CG212" i="56"/>
  <c r="CE212" i="56"/>
  <c r="CD212" i="56"/>
  <c r="CC212" i="56"/>
  <c r="CB212" i="56"/>
  <c r="CA212" i="56"/>
  <c r="BZ212" i="56"/>
  <c r="BY212" i="56"/>
  <c r="BX212" i="56"/>
  <c r="BW212" i="56"/>
  <c r="BV212" i="56"/>
  <c r="BU212" i="56"/>
  <c r="BR212" i="56"/>
  <c r="BQ212" i="56"/>
  <c r="BP212" i="56"/>
  <c r="BO212" i="56"/>
  <c r="BN212" i="56"/>
  <c r="BM212" i="56"/>
  <c r="BL212" i="56"/>
  <c r="BK212" i="56"/>
  <c r="BJ212" i="56"/>
  <c r="BI212" i="56"/>
  <c r="BH212" i="56"/>
  <c r="BT212" i="56"/>
  <c r="BG212" i="56"/>
  <c r="BB7" i="69" l="1"/>
  <c r="BB257" i="69"/>
  <c r="BR165" i="56"/>
  <c r="BR166" i="56" s="1"/>
  <c r="BQ165" i="56"/>
  <c r="BP165" i="56"/>
  <c r="BP166" i="56" s="1"/>
  <c r="BO165" i="56"/>
  <c r="BO166" i="56" s="1"/>
  <c r="BN165" i="56"/>
  <c r="BN166" i="56" s="1"/>
  <c r="BM165" i="56"/>
  <c r="BM166" i="56" s="1"/>
  <c r="BL165" i="56"/>
  <c r="BL166" i="56" s="1"/>
  <c r="BK165" i="56"/>
  <c r="BK166" i="56" s="1"/>
  <c r="BJ165" i="56"/>
  <c r="BJ166" i="56" s="1"/>
  <c r="BI165" i="56"/>
  <c r="BI166" i="56" s="1"/>
  <c r="BH165" i="56"/>
  <c r="BH166" i="56" s="1"/>
  <c r="BG165" i="56"/>
  <c r="BG166" i="56" s="1"/>
  <c r="BE165" i="56"/>
  <c r="BE166" i="56" s="1"/>
  <c r="BD165" i="56"/>
  <c r="BD166" i="56" s="1"/>
  <c r="BC165" i="56"/>
  <c r="BP163" i="56"/>
  <c r="BO163" i="56"/>
  <c r="BN163" i="56"/>
  <c r="BM163" i="56"/>
  <c r="BL163" i="56"/>
  <c r="BK163" i="56"/>
  <c r="BJ163" i="56"/>
  <c r="BI163" i="56"/>
  <c r="BH163" i="56"/>
  <c r="BG163" i="56"/>
  <c r="BE163" i="56"/>
  <c r="BB163" i="56"/>
  <c r="BA163" i="56"/>
  <c r="AZ163" i="56"/>
  <c r="AY163" i="56"/>
  <c r="AX163" i="56"/>
  <c r="AW163" i="56"/>
  <c r="CE164" i="56"/>
  <c r="CD164" i="56"/>
  <c r="CD165" i="56" s="1"/>
  <c r="CC164" i="56"/>
  <c r="CC165" i="56" s="1"/>
  <c r="CB164" i="56"/>
  <c r="CB165" i="56" s="1"/>
  <c r="CA164" i="56"/>
  <c r="CA165" i="56" s="1"/>
  <c r="BZ164" i="56"/>
  <c r="BZ165" i="56" s="1"/>
  <c r="BZ166" i="56" s="1"/>
  <c r="BY164" i="56"/>
  <c r="BY165" i="56" s="1"/>
  <c r="BY166" i="56" s="1"/>
  <c r="BX164" i="56"/>
  <c r="BX165" i="56" s="1"/>
  <c r="BX166" i="56" s="1"/>
  <c r="BW164" i="56"/>
  <c r="BW165" i="56" s="1"/>
  <c r="BW166" i="56" s="1"/>
  <c r="BV164" i="56"/>
  <c r="BU164" i="56"/>
  <c r="BU165" i="56" s="1"/>
  <c r="BT164" i="56"/>
  <c r="BT165" i="56" s="1"/>
  <c r="AQ180" i="56"/>
  <c r="AP180" i="56"/>
  <c r="AO180" i="56"/>
  <c r="AN180" i="56"/>
  <c r="AM180" i="56"/>
  <c r="AL180" i="56"/>
  <c r="AK180" i="56"/>
  <c r="AJ180" i="56"/>
  <c r="AI180" i="56"/>
  <c r="AH180" i="56"/>
  <c r="AG180" i="56"/>
  <c r="AQ179" i="56"/>
  <c r="AP179" i="56"/>
  <c r="AO179" i="56"/>
  <c r="AN179" i="56"/>
  <c r="AM179" i="56"/>
  <c r="AL179" i="56"/>
  <c r="AK179" i="56"/>
  <c r="AJ179" i="56"/>
  <c r="AI179" i="56"/>
  <c r="AH179" i="56"/>
  <c r="AG179" i="56"/>
  <c r="DI166" i="56"/>
  <c r="DG166" i="56"/>
  <c r="DE166" i="56"/>
  <c r="DD166" i="56"/>
  <c r="DC166" i="56"/>
  <c r="DB166" i="56"/>
  <c r="DA166" i="56"/>
  <c r="CZ166" i="56"/>
  <c r="CY166" i="56"/>
  <c r="CX166" i="56"/>
  <c r="CW166" i="56"/>
  <c r="CV166" i="56"/>
  <c r="CU166" i="56"/>
  <c r="CT166" i="56"/>
  <c r="CR166" i="56"/>
  <c r="CQ166" i="56"/>
  <c r="CP166" i="56"/>
  <c r="CO166" i="56"/>
  <c r="CN166" i="56"/>
  <c r="CM166" i="56"/>
  <c r="CL166" i="56"/>
  <c r="CK166" i="56"/>
  <c r="CJ166" i="56"/>
  <c r="CI166" i="56"/>
  <c r="CH166" i="56"/>
  <c r="CG166" i="56"/>
  <c r="BQ166" i="56"/>
  <c r="BB166" i="56"/>
  <c r="BA166" i="56"/>
  <c r="AZ166" i="56"/>
  <c r="AY166" i="56"/>
  <c r="AX166" i="56"/>
  <c r="AW166" i="56"/>
  <c r="AV166" i="56"/>
  <c r="AU166" i="56"/>
  <c r="AT166" i="56"/>
  <c r="AR166" i="56"/>
  <c r="AQ166" i="56"/>
  <c r="AP166" i="56"/>
  <c r="AO166" i="56"/>
  <c r="AN166" i="56"/>
  <c r="AM166" i="56"/>
  <c r="AL166" i="56"/>
  <c r="AK166" i="56"/>
  <c r="AJ166" i="56"/>
  <c r="AI166" i="56"/>
  <c r="AH166" i="56"/>
  <c r="AG166" i="56"/>
  <c r="AE166" i="56"/>
  <c r="AD166" i="56"/>
  <c r="AC166" i="56"/>
  <c r="AB166" i="56"/>
  <c r="AA166" i="56"/>
  <c r="Z166" i="56"/>
  <c r="Y166" i="56"/>
  <c r="X166" i="56"/>
  <c r="W166" i="56"/>
  <c r="V166" i="56"/>
  <c r="U166" i="56"/>
  <c r="T166" i="56"/>
  <c r="R166" i="56"/>
  <c r="Q166" i="56"/>
  <c r="P166" i="56"/>
  <c r="O166" i="56"/>
  <c r="N166" i="56"/>
  <c r="M166" i="56"/>
  <c r="L166" i="56"/>
  <c r="K166" i="56"/>
  <c r="J166" i="56"/>
  <c r="I166" i="56"/>
  <c r="H166" i="56"/>
  <c r="G166" i="56"/>
  <c r="F166" i="56"/>
  <c r="DF165" i="56"/>
  <c r="CS165" i="56"/>
  <c r="AS165" i="56"/>
  <c r="AF165" i="56"/>
  <c r="S165" i="56"/>
  <c r="DF164" i="56"/>
  <c r="CS164" i="56"/>
  <c r="BS164" i="56"/>
  <c r="BF164" i="56"/>
  <c r="AS164" i="56"/>
  <c r="AF164" i="56"/>
  <c r="S164" i="56"/>
  <c r="DI163" i="56"/>
  <c r="DG163" i="56"/>
  <c r="DE163" i="56"/>
  <c r="DD163" i="56"/>
  <c r="DC163" i="56"/>
  <c r="DB163" i="56"/>
  <c r="DA163" i="56"/>
  <c r="CZ163" i="56"/>
  <c r="CY163" i="56"/>
  <c r="CX163" i="56"/>
  <c r="CW163" i="56"/>
  <c r="CV163" i="56"/>
  <c r="CU163" i="56"/>
  <c r="CT163" i="56"/>
  <c r="CR163" i="56"/>
  <c r="CQ163" i="56"/>
  <c r="CP163" i="56"/>
  <c r="CO163" i="56"/>
  <c r="CN163" i="56"/>
  <c r="CM163" i="56"/>
  <c r="CL163" i="56"/>
  <c r="CK163" i="56"/>
  <c r="CJ163" i="56"/>
  <c r="CI163" i="56"/>
  <c r="CH163" i="56"/>
  <c r="CG163" i="56"/>
  <c r="CE163" i="56"/>
  <c r="CD163" i="56"/>
  <c r="CC163" i="56"/>
  <c r="CB163" i="56"/>
  <c r="CA163" i="56"/>
  <c r="BZ163" i="56"/>
  <c r="BY163" i="56"/>
  <c r="BX163" i="56"/>
  <c r="BW163" i="56"/>
  <c r="BV163" i="56"/>
  <c r="BU163" i="56"/>
  <c r="BT163" i="56"/>
  <c r="BR163" i="56"/>
  <c r="BQ163" i="56"/>
  <c r="BD163" i="56"/>
  <c r="BC163" i="56"/>
  <c r="AV163" i="56"/>
  <c r="AU163" i="56"/>
  <c r="AT163" i="56"/>
  <c r="AR163" i="56"/>
  <c r="AQ163" i="56"/>
  <c r="AP163" i="56"/>
  <c r="AO163" i="56"/>
  <c r="AN163" i="56"/>
  <c r="AM163" i="56"/>
  <c r="AL163" i="56"/>
  <c r="AK163" i="56"/>
  <c r="AJ163" i="56"/>
  <c r="AI163" i="56"/>
  <c r="AH163" i="56"/>
  <c r="AG163" i="56"/>
  <c r="AE163" i="56"/>
  <c r="AD163" i="56"/>
  <c r="AC163" i="56"/>
  <c r="AB163" i="56"/>
  <c r="AA163" i="56"/>
  <c r="Z163" i="56"/>
  <c r="Y163" i="56"/>
  <c r="X163" i="56"/>
  <c r="W163" i="56"/>
  <c r="V163" i="56"/>
  <c r="U163" i="56"/>
  <c r="T163" i="56"/>
  <c r="R163" i="56"/>
  <c r="Q163" i="56"/>
  <c r="P163" i="56"/>
  <c r="O163" i="56"/>
  <c r="N163" i="56"/>
  <c r="M163" i="56"/>
  <c r="L163" i="56"/>
  <c r="K163" i="56"/>
  <c r="J163" i="56"/>
  <c r="I163" i="56"/>
  <c r="H163" i="56"/>
  <c r="G163" i="56"/>
  <c r="F163" i="56"/>
  <c r="DF162" i="56"/>
  <c r="CS162" i="56"/>
  <c r="CF162" i="56"/>
  <c r="AS162" i="56"/>
  <c r="AF162" i="56"/>
  <c r="S162" i="56"/>
  <c r="DF161" i="56"/>
  <c r="CS161" i="56"/>
  <c r="CF161" i="56"/>
  <c r="BS161" i="56"/>
  <c r="BF161" i="56"/>
  <c r="AS161" i="56"/>
  <c r="AF161" i="56"/>
  <c r="S161" i="56"/>
  <c r="DE180" i="56"/>
  <c r="DD180" i="56"/>
  <c r="DC180" i="56"/>
  <c r="DB180" i="56"/>
  <c r="DA180" i="56"/>
  <c r="CZ180" i="56"/>
  <c r="CY180" i="56"/>
  <c r="CX180" i="56"/>
  <c r="CW180" i="56"/>
  <c r="CV180" i="56"/>
  <c r="CU180" i="56"/>
  <c r="CT180" i="56"/>
  <c r="CR180" i="56"/>
  <c r="CQ180" i="56"/>
  <c r="CP180" i="56"/>
  <c r="CO180" i="56"/>
  <c r="CN180" i="56"/>
  <c r="CM180" i="56"/>
  <c r="CL180" i="56"/>
  <c r="CK179" i="56"/>
  <c r="CJ179" i="56"/>
  <c r="CI179" i="56"/>
  <c r="CH180" i="56"/>
  <c r="CG180" i="56"/>
  <c r="BB180" i="56"/>
  <c r="BA180" i="56"/>
  <c r="AU180" i="56"/>
  <c r="AT180" i="56"/>
  <c r="BB9" i="69" l="1"/>
  <c r="BB10" i="69"/>
  <c r="BB12" i="69" s="1"/>
  <c r="BB13" i="69" s="1"/>
  <c r="BC179" i="56"/>
  <c r="BX180" i="56"/>
  <c r="CI180" i="56"/>
  <c r="CJ180" i="56"/>
  <c r="CK180" i="56"/>
  <c r="BC180" i="56"/>
  <c r="BN180" i="56"/>
  <c r="BD180" i="56"/>
  <c r="BC166" i="56"/>
  <c r="CH179" i="56"/>
  <c r="CC180" i="56"/>
  <c r="CL179" i="56"/>
  <c r="S166" i="56"/>
  <c r="CM179" i="56"/>
  <c r="BD179" i="56"/>
  <c r="CB166" i="56"/>
  <c r="CC166" i="56"/>
  <c r="AW180" i="56"/>
  <c r="AY180" i="56"/>
  <c r="CW179" i="56"/>
  <c r="CD166" i="56"/>
  <c r="BR180" i="56"/>
  <c r="AY179" i="56"/>
  <c r="DD179" i="56"/>
  <c r="AZ180" i="56"/>
  <c r="AZ179" i="56"/>
  <c r="BF162" i="56"/>
  <c r="BV179" i="56"/>
  <c r="BA179" i="56"/>
  <c r="BQ180" i="56"/>
  <c r="BZ180" i="56"/>
  <c r="DE179" i="56"/>
  <c r="BY180" i="56"/>
  <c r="CA180" i="56"/>
  <c r="CB180" i="56"/>
  <c r="DH161" i="56"/>
  <c r="BB179" i="56"/>
  <c r="CE165" i="56"/>
  <c r="CE166" i="56" s="1"/>
  <c r="AV180" i="56"/>
  <c r="CD180" i="56"/>
  <c r="CE180" i="56"/>
  <c r="CT179" i="56"/>
  <c r="CA166" i="56"/>
  <c r="CU179" i="56"/>
  <c r="CF164" i="56"/>
  <c r="E164" i="56" s="1"/>
  <c r="DI164" i="56" s="1"/>
  <c r="BU180" i="56"/>
  <c r="AX180" i="56"/>
  <c r="BR179" i="56"/>
  <c r="CV179" i="56"/>
  <c r="BV165" i="56"/>
  <c r="BV166" i="56" s="1"/>
  <c r="CX179" i="56"/>
  <c r="BF165" i="56"/>
  <c r="CC179" i="56"/>
  <c r="CY179" i="56"/>
  <c r="BE180" i="56"/>
  <c r="BW180" i="56"/>
  <c r="AW179" i="56"/>
  <c r="CD179" i="56"/>
  <c r="CZ179" i="56"/>
  <c r="BO180" i="56"/>
  <c r="AX179" i="56"/>
  <c r="CE179" i="56"/>
  <c r="DC179" i="56"/>
  <c r="BU166" i="56"/>
  <c r="BT180" i="56"/>
  <c r="BS165" i="56"/>
  <c r="BJ180" i="56"/>
  <c r="BK180" i="56"/>
  <c r="BH180" i="56"/>
  <c r="BI180" i="56"/>
  <c r="BL180" i="56"/>
  <c r="BG180" i="56"/>
  <c r="BM180" i="56"/>
  <c r="BW179" i="56"/>
  <c r="BX179" i="56"/>
  <c r="BG179" i="56"/>
  <c r="BH179" i="56"/>
  <c r="CN179" i="56"/>
  <c r="BI179" i="56"/>
  <c r="DH164" i="56"/>
  <c r="DF166" i="56"/>
  <c r="BE179" i="56"/>
  <c r="BJ179" i="56"/>
  <c r="CP179" i="56"/>
  <c r="BK179" i="56"/>
  <c r="CQ179" i="56"/>
  <c r="BL179" i="56"/>
  <c r="CR179" i="56"/>
  <c r="CS166" i="56"/>
  <c r="BM179" i="56"/>
  <c r="BN179" i="56"/>
  <c r="BY179" i="56"/>
  <c r="AT179" i="56"/>
  <c r="BO179" i="56"/>
  <c r="AU179" i="56"/>
  <c r="BP179" i="56"/>
  <c r="CA179" i="56"/>
  <c r="DA179" i="56"/>
  <c r="CO179" i="56"/>
  <c r="BZ179" i="56"/>
  <c r="AV179" i="56"/>
  <c r="BQ179" i="56"/>
  <c r="CB179" i="56"/>
  <c r="CG179" i="56"/>
  <c r="DB179" i="56"/>
  <c r="BF166" i="56"/>
  <c r="BP180" i="56"/>
  <c r="BS162" i="56"/>
  <c r="BU179" i="56"/>
  <c r="BT179" i="56"/>
  <c r="BT166" i="56"/>
  <c r="BS166" i="56"/>
  <c r="AF166" i="56"/>
  <c r="AS166" i="56"/>
  <c r="S163" i="56"/>
  <c r="DF163" i="56"/>
  <c r="AS163" i="56"/>
  <c r="E161" i="56"/>
  <c r="DI161" i="56" s="1"/>
  <c r="CF163" i="56"/>
  <c r="CS163" i="56"/>
  <c r="BS163" i="56"/>
  <c r="AF163" i="56"/>
  <c r="BF163" i="56"/>
  <c r="BC259" i="69" l="1"/>
  <c r="BC260" i="69" s="1"/>
  <c r="BC246" i="69" s="1"/>
  <c r="DH162" i="56"/>
  <c r="DK162" i="56" s="1"/>
  <c r="E162" i="56"/>
  <c r="DI162" i="56" s="1"/>
  <c r="BV180" i="56"/>
  <c r="DJ164" i="56"/>
  <c r="DH166" i="56"/>
  <c r="DJ166" i="56" s="1"/>
  <c r="CF166" i="56"/>
  <c r="DH165" i="56"/>
  <c r="DK165" i="56" s="1"/>
  <c r="DJ161" i="56"/>
  <c r="CF165" i="56"/>
  <c r="E165" i="56" s="1"/>
  <c r="DI165" i="56" s="1"/>
  <c r="DJ165" i="56" s="1"/>
  <c r="DH163" i="56"/>
  <c r="DJ163" i="56" s="1"/>
  <c r="BC248" i="69" l="1"/>
  <c r="BC255" i="69"/>
  <c r="DJ162" i="56"/>
  <c r="AT263" i="56"/>
  <c r="BC257" i="69" l="1"/>
  <c r="BC7" i="69"/>
  <c r="DG180" i="56"/>
  <c r="DG179" i="56"/>
  <c r="DG104" i="56"/>
  <c r="DG103" i="56"/>
  <c r="DE104" i="56"/>
  <c r="DD104" i="56"/>
  <c r="DC104" i="56"/>
  <c r="DB104" i="56"/>
  <c r="DA104" i="56"/>
  <c r="CZ104" i="56"/>
  <c r="CY104" i="56"/>
  <c r="CX104" i="56"/>
  <c r="CW104" i="56"/>
  <c r="CV104" i="56"/>
  <c r="CU104" i="56"/>
  <c r="CT104" i="56"/>
  <c r="DE103" i="56"/>
  <c r="DD103" i="56"/>
  <c r="DC103" i="56"/>
  <c r="DB103" i="56"/>
  <c r="DA103" i="56"/>
  <c r="CZ103" i="56"/>
  <c r="CY103" i="56"/>
  <c r="CX103" i="56"/>
  <c r="CW103" i="56"/>
  <c r="CV103" i="56"/>
  <c r="CU103" i="56"/>
  <c r="CT103" i="56"/>
  <c r="CR104" i="56"/>
  <c r="CQ104" i="56"/>
  <c r="CP104" i="56"/>
  <c r="CO104" i="56"/>
  <c r="CN104" i="56"/>
  <c r="CM104" i="56"/>
  <c r="CL104" i="56"/>
  <c r="CK104" i="56"/>
  <c r="CJ104" i="56"/>
  <c r="CI104" i="56"/>
  <c r="CH104" i="56"/>
  <c r="CG104" i="56"/>
  <c r="CR103" i="56"/>
  <c r="CQ103" i="56"/>
  <c r="CP103" i="56"/>
  <c r="CO103" i="56"/>
  <c r="CN103" i="56"/>
  <c r="CM103" i="56"/>
  <c r="CL103" i="56"/>
  <c r="CK103" i="56"/>
  <c r="CJ103" i="56"/>
  <c r="CI103" i="56"/>
  <c r="CH103" i="56"/>
  <c r="CG103" i="56"/>
  <c r="CE104" i="56"/>
  <c r="CD104" i="56"/>
  <c r="CC104" i="56"/>
  <c r="CB104" i="56"/>
  <c r="CA104" i="56"/>
  <c r="BZ104" i="56"/>
  <c r="BY104" i="56"/>
  <c r="BX104" i="56"/>
  <c r="BW104" i="56"/>
  <c r="BV104" i="56"/>
  <c r="BU104" i="56"/>
  <c r="BT104" i="56"/>
  <c r="CE103" i="56"/>
  <c r="CD103" i="56"/>
  <c r="CC103" i="56"/>
  <c r="CB103" i="56"/>
  <c r="CA103" i="56"/>
  <c r="BZ103" i="56"/>
  <c r="BY103" i="56"/>
  <c r="BX103" i="56"/>
  <c r="BW103" i="56"/>
  <c r="BV103" i="56"/>
  <c r="BU103" i="56"/>
  <c r="BT103" i="56"/>
  <c r="BR104" i="56"/>
  <c r="BQ104" i="56"/>
  <c r="BP104" i="56"/>
  <c r="BO104" i="56"/>
  <c r="BN104" i="56"/>
  <c r="BM104" i="56"/>
  <c r="BL104" i="56"/>
  <c r="BK104" i="56"/>
  <c r="BJ104" i="56"/>
  <c r="BI104" i="56"/>
  <c r="BH104" i="56"/>
  <c r="BG104" i="56"/>
  <c r="BR103" i="56"/>
  <c r="BQ103" i="56"/>
  <c r="BP103" i="56"/>
  <c r="BO103" i="56"/>
  <c r="BN103" i="56"/>
  <c r="BM103" i="56"/>
  <c r="BL103" i="56"/>
  <c r="BK103" i="56"/>
  <c r="BJ103" i="56"/>
  <c r="BI103" i="56"/>
  <c r="BH103" i="56"/>
  <c r="BG103" i="56"/>
  <c r="BE104" i="56"/>
  <c r="BD104" i="56"/>
  <c r="BC104" i="56"/>
  <c r="BB104" i="56"/>
  <c r="AZ104" i="56"/>
  <c r="AY104" i="56"/>
  <c r="AX104" i="56"/>
  <c r="AW104" i="56"/>
  <c r="AV104" i="56"/>
  <c r="AU104" i="56"/>
  <c r="BE103" i="56"/>
  <c r="BD103" i="56"/>
  <c r="BC103" i="56"/>
  <c r="BB103" i="56"/>
  <c r="AZ103" i="56"/>
  <c r="AY103" i="56"/>
  <c r="AX103" i="56"/>
  <c r="AW103" i="56"/>
  <c r="AV103" i="56"/>
  <c r="AU103" i="56"/>
  <c r="AQ104" i="56"/>
  <c r="AN104" i="56"/>
  <c r="AM104" i="56"/>
  <c r="AL104" i="56"/>
  <c r="AK104" i="56"/>
  <c r="AJ104" i="56"/>
  <c r="AI104" i="56"/>
  <c r="AH104" i="56"/>
  <c r="AG104" i="56"/>
  <c r="AQ103" i="56"/>
  <c r="AN103" i="56"/>
  <c r="AM103" i="56"/>
  <c r="AL103" i="56"/>
  <c r="AK103" i="56"/>
  <c r="AJ103" i="56"/>
  <c r="AI103" i="56"/>
  <c r="AH103" i="56"/>
  <c r="AG103" i="56"/>
  <c r="AE180" i="56"/>
  <c r="AD180" i="56"/>
  <c r="AC180" i="56"/>
  <c r="AB180" i="56"/>
  <c r="AA180" i="56"/>
  <c r="Z180" i="56"/>
  <c r="Y180" i="56"/>
  <c r="X180" i="56"/>
  <c r="W180" i="56"/>
  <c r="V180" i="56"/>
  <c r="U180" i="56"/>
  <c r="T180" i="56"/>
  <c r="AE179" i="56"/>
  <c r="AD179" i="56"/>
  <c r="AC179" i="56"/>
  <c r="AB179" i="56"/>
  <c r="AA179" i="56"/>
  <c r="Z179" i="56"/>
  <c r="Y179" i="56"/>
  <c r="X179" i="56"/>
  <c r="W179" i="56"/>
  <c r="V179" i="56"/>
  <c r="U179" i="56"/>
  <c r="T179" i="56"/>
  <c r="R180" i="56"/>
  <c r="Q180" i="56"/>
  <c r="P180" i="56"/>
  <c r="O180" i="56"/>
  <c r="N180" i="56"/>
  <c r="M180" i="56"/>
  <c r="L180" i="56"/>
  <c r="K180" i="56"/>
  <c r="J180" i="56"/>
  <c r="I180" i="56"/>
  <c r="H180" i="56"/>
  <c r="R179" i="56"/>
  <c r="Q179" i="56"/>
  <c r="P179" i="56"/>
  <c r="O179" i="56"/>
  <c r="N179" i="56"/>
  <c r="M179" i="56"/>
  <c r="L179" i="56"/>
  <c r="K179" i="56"/>
  <c r="J179" i="56"/>
  <c r="I179" i="56"/>
  <c r="H179" i="56"/>
  <c r="G179" i="56"/>
  <c r="F180" i="56"/>
  <c r="F179" i="56"/>
  <c r="AE104" i="56"/>
  <c r="AD104" i="56"/>
  <c r="AC104" i="56"/>
  <c r="AB104" i="56"/>
  <c r="AA104" i="56"/>
  <c r="Z104" i="56"/>
  <c r="Y104" i="56"/>
  <c r="X104" i="56"/>
  <c r="W104" i="56"/>
  <c r="V104" i="56"/>
  <c r="U104" i="56"/>
  <c r="T104" i="56"/>
  <c r="AE103" i="56"/>
  <c r="AD103" i="56"/>
  <c r="AC103" i="56"/>
  <c r="AB103" i="56"/>
  <c r="AA103" i="56"/>
  <c r="Z103" i="56"/>
  <c r="Y103" i="56"/>
  <c r="X103" i="56"/>
  <c r="W103" i="56"/>
  <c r="V103" i="56"/>
  <c r="U103" i="56"/>
  <c r="T103" i="56"/>
  <c r="S89" i="56"/>
  <c r="S88" i="56"/>
  <c r="S86" i="56"/>
  <c r="S85" i="56"/>
  <c r="S83" i="56"/>
  <c r="S82" i="56"/>
  <c r="S80" i="56"/>
  <c r="S79" i="56"/>
  <c r="S77" i="56"/>
  <c r="S76" i="56"/>
  <c r="S74" i="56"/>
  <c r="S73" i="56"/>
  <c r="S71" i="56"/>
  <c r="S70" i="56"/>
  <c r="S68" i="56"/>
  <c r="S67" i="56"/>
  <c r="S65" i="56"/>
  <c r="S64" i="56"/>
  <c r="S62" i="56"/>
  <c r="S61" i="56"/>
  <c r="S59" i="56"/>
  <c r="S58" i="56"/>
  <c r="S56" i="56"/>
  <c r="S55" i="56"/>
  <c r="S53" i="56"/>
  <c r="S52" i="56"/>
  <c r="S50" i="56"/>
  <c r="S49" i="56"/>
  <c r="S41" i="56"/>
  <c r="S40" i="56"/>
  <c r="S38" i="56"/>
  <c r="S37" i="56"/>
  <c r="S35" i="56"/>
  <c r="S34" i="56"/>
  <c r="R104" i="56"/>
  <c r="Q104" i="56"/>
  <c r="P104" i="56"/>
  <c r="O104" i="56"/>
  <c r="N104" i="56"/>
  <c r="M104" i="56"/>
  <c r="L104" i="56"/>
  <c r="K104" i="56"/>
  <c r="J104" i="56"/>
  <c r="I104" i="56"/>
  <c r="H104" i="56"/>
  <c r="R103" i="56"/>
  <c r="Q103" i="56"/>
  <c r="P103" i="56"/>
  <c r="O103" i="56"/>
  <c r="N103" i="56"/>
  <c r="M103" i="56"/>
  <c r="L103" i="56"/>
  <c r="K103" i="56"/>
  <c r="J103" i="56"/>
  <c r="I103" i="56"/>
  <c r="H103" i="56"/>
  <c r="G104" i="56"/>
  <c r="G103" i="56"/>
  <c r="BC9" i="69" l="1"/>
  <c r="BC10" i="69"/>
  <c r="BC12" i="69" s="1"/>
  <c r="BC13" i="69" s="1"/>
  <c r="DG181" i="56"/>
  <c r="BD259" i="69" l="1"/>
  <c r="BD260" i="69" s="1"/>
  <c r="BD246" i="69" s="1"/>
  <c r="DI136" i="56"/>
  <c r="DG136" i="56"/>
  <c r="DE136" i="56"/>
  <c r="DD136" i="56"/>
  <c r="DC136" i="56"/>
  <c r="DB136" i="56"/>
  <c r="DA136" i="56"/>
  <c r="CZ136" i="56"/>
  <c r="CY136" i="56"/>
  <c r="CX136" i="56"/>
  <c r="CW136" i="56"/>
  <c r="CV136" i="56"/>
  <c r="CU136" i="56"/>
  <c r="CT136" i="56"/>
  <c r="CR136" i="56"/>
  <c r="CQ136" i="56"/>
  <c r="CP136" i="56"/>
  <c r="CO136" i="56"/>
  <c r="CN136" i="56"/>
  <c r="CM136" i="56"/>
  <c r="CL136" i="56"/>
  <c r="CK136" i="56"/>
  <c r="CJ136" i="56"/>
  <c r="CI136" i="56"/>
  <c r="CH136" i="56"/>
  <c r="CG136" i="56"/>
  <c r="CE136" i="56"/>
  <c r="CD136" i="56"/>
  <c r="CC136" i="56"/>
  <c r="CB136" i="56"/>
  <c r="CA136" i="56"/>
  <c r="BZ136" i="56"/>
  <c r="BY136" i="56"/>
  <c r="BX136" i="56"/>
  <c r="BW136" i="56"/>
  <c r="BV136" i="56"/>
  <c r="BU136" i="56"/>
  <c r="BT136" i="56"/>
  <c r="BR136" i="56"/>
  <c r="BQ136" i="56"/>
  <c r="BP136" i="56"/>
  <c r="BO136" i="56"/>
  <c r="BN136" i="56"/>
  <c r="BM136" i="56"/>
  <c r="BL136" i="56"/>
  <c r="BK136" i="56"/>
  <c r="BJ136" i="56"/>
  <c r="BI136" i="56"/>
  <c r="BH136" i="56"/>
  <c r="BG136" i="56"/>
  <c r="BE136" i="56"/>
  <c r="BD136" i="56"/>
  <c r="BC136" i="56"/>
  <c r="BB136" i="56"/>
  <c r="BA136" i="56"/>
  <c r="AZ136" i="56"/>
  <c r="AY136" i="56"/>
  <c r="AX136" i="56"/>
  <c r="AW136" i="56"/>
  <c r="AV136" i="56"/>
  <c r="AU136" i="56"/>
  <c r="AT136" i="56"/>
  <c r="AR136" i="56"/>
  <c r="AQ136" i="56"/>
  <c r="AP136" i="56"/>
  <c r="AO136" i="56"/>
  <c r="AN136" i="56"/>
  <c r="AM136" i="56"/>
  <c r="AL136" i="56"/>
  <c r="AK136" i="56"/>
  <c r="AJ136" i="56"/>
  <c r="AI136" i="56"/>
  <c r="AH136" i="56"/>
  <c r="AG136" i="56"/>
  <c r="AE136" i="56"/>
  <c r="AD136" i="56"/>
  <c r="AC136" i="56"/>
  <c r="AB136" i="56"/>
  <c r="AA136" i="56"/>
  <c r="Z136" i="56"/>
  <c r="Y136" i="56"/>
  <c r="X136" i="56"/>
  <c r="W136" i="56"/>
  <c r="V136" i="56"/>
  <c r="U136" i="56"/>
  <c r="T136" i="56"/>
  <c r="R136" i="56"/>
  <c r="Q136" i="56"/>
  <c r="P136" i="56"/>
  <c r="O136" i="56"/>
  <c r="N136" i="56"/>
  <c r="M136" i="56"/>
  <c r="L136" i="56"/>
  <c r="K136" i="56"/>
  <c r="J136" i="56"/>
  <c r="I136" i="56"/>
  <c r="H136" i="56"/>
  <c r="G136" i="56"/>
  <c r="F136" i="56"/>
  <c r="DF135" i="56"/>
  <c r="CS135" i="56"/>
  <c r="CF135" i="56"/>
  <c r="BS135" i="56"/>
  <c r="BF135" i="56"/>
  <c r="AS135" i="56"/>
  <c r="S135" i="56"/>
  <c r="DF134" i="56"/>
  <c r="CS134" i="56"/>
  <c r="CF134" i="56"/>
  <c r="BS134" i="56"/>
  <c r="BF134" i="56"/>
  <c r="AS134" i="56"/>
  <c r="S134" i="56"/>
  <c r="DI133" i="56"/>
  <c r="DG133" i="56"/>
  <c r="DE133" i="56"/>
  <c r="DD133" i="56"/>
  <c r="DC133" i="56"/>
  <c r="DB133" i="56"/>
  <c r="DA133" i="56"/>
  <c r="CZ133" i="56"/>
  <c r="CY133" i="56"/>
  <c r="CX133" i="56"/>
  <c r="CW133" i="56"/>
  <c r="CV133" i="56"/>
  <c r="CU133" i="56"/>
  <c r="CT133" i="56"/>
  <c r="CR133" i="56"/>
  <c r="CQ133" i="56"/>
  <c r="CP133" i="56"/>
  <c r="CO133" i="56"/>
  <c r="CN133" i="56"/>
  <c r="CM133" i="56"/>
  <c r="CL133" i="56"/>
  <c r="CK133" i="56"/>
  <c r="CJ133" i="56"/>
  <c r="CI133" i="56"/>
  <c r="CH133" i="56"/>
  <c r="CG133" i="56"/>
  <c r="CE133" i="56"/>
  <c r="CD133" i="56"/>
  <c r="CC133" i="56"/>
  <c r="CB133" i="56"/>
  <c r="CA133" i="56"/>
  <c r="BZ133" i="56"/>
  <c r="BY133" i="56"/>
  <c r="BX133" i="56"/>
  <c r="BW133" i="56"/>
  <c r="BV133" i="56"/>
  <c r="BU133" i="56"/>
  <c r="BT133" i="56"/>
  <c r="BR133" i="56"/>
  <c r="BQ133" i="56"/>
  <c r="BP133" i="56"/>
  <c r="BO133" i="56"/>
  <c r="BN133" i="56"/>
  <c r="BM133" i="56"/>
  <c r="BL133" i="56"/>
  <c r="BK133" i="56"/>
  <c r="BJ133" i="56"/>
  <c r="BI133" i="56"/>
  <c r="BH133" i="56"/>
  <c r="BG133" i="56"/>
  <c r="BE133" i="56"/>
  <c r="BD133" i="56"/>
  <c r="BC133" i="56"/>
  <c r="BB133" i="56"/>
  <c r="BA133" i="56"/>
  <c r="AZ133" i="56"/>
  <c r="AY133" i="56"/>
  <c r="AX133" i="56"/>
  <c r="AW133" i="56"/>
  <c r="AV133" i="56"/>
  <c r="AU133" i="56"/>
  <c r="AT133" i="56"/>
  <c r="AR133" i="56"/>
  <c r="AQ133" i="56"/>
  <c r="AP133" i="56"/>
  <c r="AO133" i="56"/>
  <c r="AN133" i="56"/>
  <c r="AM133" i="56"/>
  <c r="AL133" i="56"/>
  <c r="AK133" i="56"/>
  <c r="AJ133" i="56"/>
  <c r="AI133" i="56"/>
  <c r="AH133" i="56"/>
  <c r="AG133" i="56"/>
  <c r="AE133" i="56"/>
  <c r="AD133" i="56"/>
  <c r="AC133" i="56"/>
  <c r="AB133" i="56"/>
  <c r="AA133" i="56"/>
  <c r="Z133" i="56"/>
  <c r="Y133" i="56"/>
  <c r="X133" i="56"/>
  <c r="W133" i="56"/>
  <c r="V133" i="56"/>
  <c r="U133" i="56"/>
  <c r="T133" i="56"/>
  <c r="R133" i="56"/>
  <c r="Q133" i="56"/>
  <c r="P133" i="56"/>
  <c r="O133" i="56"/>
  <c r="N133" i="56"/>
  <c r="M133" i="56"/>
  <c r="L133" i="56"/>
  <c r="K133" i="56"/>
  <c r="J133" i="56"/>
  <c r="I133" i="56"/>
  <c r="H133" i="56"/>
  <c r="G133" i="56"/>
  <c r="F133" i="56"/>
  <c r="DF132" i="56"/>
  <c r="CS132" i="56"/>
  <c r="CF132" i="56"/>
  <c r="BS132" i="56"/>
  <c r="BF132" i="56"/>
  <c r="AS132" i="56"/>
  <c r="S132" i="56"/>
  <c r="DF131" i="56"/>
  <c r="CS131" i="56"/>
  <c r="CF131" i="56"/>
  <c r="BS131" i="56"/>
  <c r="BF131" i="56"/>
  <c r="AS131" i="56"/>
  <c r="S131" i="56"/>
  <c r="DI130" i="56"/>
  <c r="DG130" i="56"/>
  <c r="DE130" i="56"/>
  <c r="DD130" i="56"/>
  <c r="DC130" i="56"/>
  <c r="DB130" i="56"/>
  <c r="DA130" i="56"/>
  <c r="CZ130" i="56"/>
  <c r="CY130" i="56"/>
  <c r="CX130" i="56"/>
  <c r="CW130" i="56"/>
  <c r="CV130" i="56"/>
  <c r="CU130" i="56"/>
  <c r="CT130" i="56"/>
  <c r="CR130" i="56"/>
  <c r="CQ130" i="56"/>
  <c r="CP130" i="56"/>
  <c r="CO130" i="56"/>
  <c r="CN130" i="56"/>
  <c r="CM130" i="56"/>
  <c r="CL130" i="56"/>
  <c r="CK130" i="56"/>
  <c r="CJ130" i="56"/>
  <c r="CI130" i="56"/>
  <c r="CH130" i="56"/>
  <c r="CG130" i="56"/>
  <c r="CE130" i="56"/>
  <c r="CD130" i="56"/>
  <c r="CC130" i="56"/>
  <c r="CB130" i="56"/>
  <c r="CA130" i="56"/>
  <c r="BZ130" i="56"/>
  <c r="BY130" i="56"/>
  <c r="BX130" i="56"/>
  <c r="BW130" i="56"/>
  <c r="BV130" i="56"/>
  <c r="BU130" i="56"/>
  <c r="BT130" i="56"/>
  <c r="BR130" i="56"/>
  <c r="BQ130" i="56"/>
  <c r="BP130" i="56"/>
  <c r="BO130" i="56"/>
  <c r="BN130" i="56"/>
  <c r="BM130" i="56"/>
  <c r="BL130" i="56"/>
  <c r="BK130" i="56"/>
  <c r="BJ130" i="56"/>
  <c r="BI130" i="56"/>
  <c r="BH130" i="56"/>
  <c r="BG130" i="56"/>
  <c r="BE130" i="56"/>
  <c r="BD130" i="56"/>
  <c r="BC130" i="56"/>
  <c r="BB130" i="56"/>
  <c r="BA130" i="56"/>
  <c r="AZ130" i="56"/>
  <c r="AY130" i="56"/>
  <c r="AX130" i="56"/>
  <c r="AW130" i="56"/>
  <c r="AV130" i="56"/>
  <c r="AU130" i="56"/>
  <c r="AT130" i="56"/>
  <c r="AR130" i="56"/>
  <c r="AQ130" i="56"/>
  <c r="AP130" i="56"/>
  <c r="AO130" i="56"/>
  <c r="AN130" i="56"/>
  <c r="AM130" i="56"/>
  <c r="AL130" i="56"/>
  <c r="AK130" i="56"/>
  <c r="AJ130" i="56"/>
  <c r="AI130" i="56"/>
  <c r="AH130" i="56"/>
  <c r="AG130" i="56"/>
  <c r="AE130" i="56"/>
  <c r="AD130" i="56"/>
  <c r="AC130" i="56"/>
  <c r="AB130" i="56"/>
  <c r="AA130" i="56"/>
  <c r="Z130" i="56"/>
  <c r="Y130" i="56"/>
  <c r="X130" i="56"/>
  <c r="W130" i="56"/>
  <c r="V130" i="56"/>
  <c r="U130" i="56"/>
  <c r="T130" i="56"/>
  <c r="R130" i="56"/>
  <c r="Q130" i="56"/>
  <c r="P130" i="56"/>
  <c r="O130" i="56"/>
  <c r="N130" i="56"/>
  <c r="M130" i="56"/>
  <c r="L130" i="56"/>
  <c r="K130" i="56"/>
  <c r="J130" i="56"/>
  <c r="I130" i="56"/>
  <c r="H130" i="56"/>
  <c r="G130" i="56"/>
  <c r="F130" i="56"/>
  <c r="DF129" i="56"/>
  <c r="CS129" i="56"/>
  <c r="CF129" i="56"/>
  <c r="BS129" i="56"/>
  <c r="BF129" i="56"/>
  <c r="AS129" i="56"/>
  <c r="AF129" i="56"/>
  <c r="S129" i="56"/>
  <c r="DF128" i="56"/>
  <c r="CS128" i="56"/>
  <c r="CF128" i="56"/>
  <c r="BS128" i="56"/>
  <c r="BF128" i="56"/>
  <c r="AS128" i="56"/>
  <c r="AF128" i="56"/>
  <c r="S128" i="56"/>
  <c r="DG127" i="56"/>
  <c r="DE127" i="56"/>
  <c r="DD127" i="56"/>
  <c r="DC127" i="56"/>
  <c r="DB127" i="56"/>
  <c r="DA127" i="56"/>
  <c r="CZ127" i="56"/>
  <c r="CY127" i="56"/>
  <c r="CX127" i="56"/>
  <c r="CW127" i="56"/>
  <c r="CV127" i="56"/>
  <c r="CU127" i="56"/>
  <c r="CT127" i="56"/>
  <c r="CR127" i="56"/>
  <c r="CQ127" i="56"/>
  <c r="CP127" i="56"/>
  <c r="CO127" i="56"/>
  <c r="CN127" i="56"/>
  <c r="CM127" i="56"/>
  <c r="CL127" i="56"/>
  <c r="CK127" i="56"/>
  <c r="CJ127" i="56"/>
  <c r="CI127" i="56"/>
  <c r="CH127" i="56"/>
  <c r="CG127" i="56"/>
  <c r="CE127" i="56"/>
  <c r="CD127" i="56"/>
  <c r="CC127" i="56"/>
  <c r="CB127" i="56"/>
  <c r="CA127" i="56"/>
  <c r="BZ127" i="56"/>
  <c r="BY127" i="56"/>
  <c r="BX127" i="56"/>
  <c r="BW127" i="56"/>
  <c r="BV127" i="56"/>
  <c r="BU127" i="56"/>
  <c r="BT127" i="56"/>
  <c r="BR127" i="56"/>
  <c r="BQ127" i="56"/>
  <c r="BP127" i="56"/>
  <c r="BO127" i="56"/>
  <c r="BN127" i="56"/>
  <c r="BM127" i="56"/>
  <c r="BL127" i="56"/>
  <c r="BK127" i="56"/>
  <c r="BJ127" i="56"/>
  <c r="BI127" i="56"/>
  <c r="BH127" i="56"/>
  <c r="BG127" i="56"/>
  <c r="BE127" i="56"/>
  <c r="BD127" i="56"/>
  <c r="BC127" i="56"/>
  <c r="BB127" i="56"/>
  <c r="BA127" i="56"/>
  <c r="AZ127" i="56"/>
  <c r="AY127" i="56"/>
  <c r="AX127" i="56"/>
  <c r="AW127" i="56"/>
  <c r="AV127" i="56"/>
  <c r="AU127" i="56"/>
  <c r="AT127" i="56"/>
  <c r="AR127" i="56"/>
  <c r="AQ127" i="56"/>
  <c r="AP127" i="56"/>
  <c r="AO127" i="56"/>
  <c r="AN127" i="56"/>
  <c r="AM127" i="56"/>
  <c r="AL127" i="56"/>
  <c r="AK127" i="56"/>
  <c r="AJ127" i="56"/>
  <c r="AI127" i="56"/>
  <c r="AH127" i="56"/>
  <c r="AG127" i="56"/>
  <c r="AE127" i="56"/>
  <c r="AD127" i="56"/>
  <c r="AC127" i="56"/>
  <c r="AB127" i="56"/>
  <c r="AA127" i="56"/>
  <c r="Z127" i="56"/>
  <c r="Y127" i="56"/>
  <c r="X127" i="56"/>
  <c r="W127" i="56"/>
  <c r="V127" i="56"/>
  <c r="U127" i="56"/>
  <c r="T127" i="56"/>
  <c r="R127" i="56"/>
  <c r="Q127" i="56"/>
  <c r="P127" i="56"/>
  <c r="O127" i="56"/>
  <c r="N127" i="56"/>
  <c r="M127" i="56"/>
  <c r="L127" i="56"/>
  <c r="K127" i="56"/>
  <c r="J127" i="56"/>
  <c r="I127" i="56"/>
  <c r="H127" i="56"/>
  <c r="G127" i="56"/>
  <c r="F127" i="56"/>
  <c r="DF126" i="56"/>
  <c r="CS126" i="56"/>
  <c r="CF126" i="56"/>
  <c r="BS126" i="56"/>
  <c r="BF126" i="56"/>
  <c r="AS126" i="56"/>
  <c r="AF126" i="56"/>
  <c r="DF125" i="56"/>
  <c r="CS125" i="56"/>
  <c r="CF125" i="56"/>
  <c r="BS125" i="56"/>
  <c r="BF125" i="56"/>
  <c r="AS125" i="56"/>
  <c r="AF125" i="56"/>
  <c r="DG124" i="56"/>
  <c r="DE124" i="56"/>
  <c r="DD124" i="56"/>
  <c r="DC124" i="56"/>
  <c r="DB124" i="56"/>
  <c r="DA124" i="56"/>
  <c r="CZ124" i="56"/>
  <c r="CY124" i="56"/>
  <c r="CX124" i="56"/>
  <c r="CW124" i="56"/>
  <c r="CV124" i="56"/>
  <c r="CU124" i="56"/>
  <c r="CT124" i="56"/>
  <c r="CR124" i="56"/>
  <c r="CQ124" i="56"/>
  <c r="CP124" i="56"/>
  <c r="CO124" i="56"/>
  <c r="CN124" i="56"/>
  <c r="CM124" i="56"/>
  <c r="CL124" i="56"/>
  <c r="CK124" i="56"/>
  <c r="CJ124" i="56"/>
  <c r="CI124" i="56"/>
  <c r="CH124" i="56"/>
  <c r="CG124" i="56"/>
  <c r="CE124" i="56"/>
  <c r="CD124" i="56"/>
  <c r="CC124" i="56"/>
  <c r="CB124" i="56"/>
  <c r="CA124" i="56"/>
  <c r="BZ124" i="56"/>
  <c r="BY124" i="56"/>
  <c r="BX124" i="56"/>
  <c r="BW124" i="56"/>
  <c r="BV124" i="56"/>
  <c r="BU124" i="56"/>
  <c r="BT124" i="56"/>
  <c r="BR124" i="56"/>
  <c r="BQ124" i="56"/>
  <c r="BP124" i="56"/>
  <c r="BO124" i="56"/>
  <c r="BN124" i="56"/>
  <c r="BM124" i="56"/>
  <c r="BL124" i="56"/>
  <c r="BK124" i="56"/>
  <c r="BJ124" i="56"/>
  <c r="BI124" i="56"/>
  <c r="BH124" i="56"/>
  <c r="BG124" i="56"/>
  <c r="BE124" i="56"/>
  <c r="BD124" i="56"/>
  <c r="BC124" i="56"/>
  <c r="BB124" i="56"/>
  <c r="BA124" i="56"/>
  <c r="AZ124" i="56"/>
  <c r="AY124" i="56"/>
  <c r="AX124" i="56"/>
  <c r="AW124" i="56"/>
  <c r="AV124" i="56"/>
  <c r="AU124" i="56"/>
  <c r="AT124" i="56"/>
  <c r="AR124" i="56"/>
  <c r="AQ124" i="56"/>
  <c r="AP124" i="56"/>
  <c r="AO124" i="56"/>
  <c r="AN124" i="56"/>
  <c r="AM124" i="56"/>
  <c r="AL124" i="56"/>
  <c r="AK124" i="56"/>
  <c r="AJ124" i="56"/>
  <c r="AI124" i="56"/>
  <c r="AH124" i="56"/>
  <c r="AG124" i="56"/>
  <c r="AE124" i="56"/>
  <c r="AD124" i="56"/>
  <c r="AC124" i="56"/>
  <c r="AB124" i="56"/>
  <c r="AA124" i="56"/>
  <c r="Z124" i="56"/>
  <c r="Y124" i="56"/>
  <c r="X124" i="56"/>
  <c r="W124" i="56"/>
  <c r="V124" i="56"/>
  <c r="U124" i="56"/>
  <c r="T124" i="56"/>
  <c r="R124" i="56"/>
  <c r="Q124" i="56"/>
  <c r="P124" i="56"/>
  <c r="O124" i="56"/>
  <c r="N124" i="56"/>
  <c r="M124" i="56"/>
  <c r="L124" i="56"/>
  <c r="K124" i="56"/>
  <c r="J124" i="56"/>
  <c r="I124" i="56"/>
  <c r="H124" i="56"/>
  <c r="G124" i="56"/>
  <c r="F124" i="56"/>
  <c r="DF123" i="56"/>
  <c r="CS123" i="56"/>
  <c r="CF123" i="56"/>
  <c r="BS123" i="56"/>
  <c r="BF123" i="56"/>
  <c r="AS123" i="56"/>
  <c r="AF123" i="56"/>
  <c r="DF122" i="56"/>
  <c r="CS122" i="56"/>
  <c r="CF122" i="56"/>
  <c r="BS122" i="56"/>
  <c r="BF122" i="56"/>
  <c r="AS122" i="56"/>
  <c r="AF122" i="56"/>
  <c r="F104" i="56"/>
  <c r="F103" i="56"/>
  <c r="DG48" i="56"/>
  <c r="DE48" i="56"/>
  <c r="DD48" i="56"/>
  <c r="DC48" i="56"/>
  <c r="DB48" i="56"/>
  <c r="DA48" i="56"/>
  <c r="CZ48" i="56"/>
  <c r="CY48" i="56"/>
  <c r="CX48" i="56"/>
  <c r="CW48" i="56"/>
  <c r="CV48" i="56"/>
  <c r="CU48" i="56"/>
  <c r="CT48" i="56"/>
  <c r="CR48" i="56"/>
  <c r="CQ48" i="56"/>
  <c r="CP48" i="56"/>
  <c r="CO48" i="56"/>
  <c r="CN48" i="56"/>
  <c r="CM48" i="56"/>
  <c r="CL48" i="56"/>
  <c r="CK48" i="56"/>
  <c r="CJ48" i="56"/>
  <c r="CI48" i="56"/>
  <c r="CH48" i="56"/>
  <c r="CG48" i="56"/>
  <c r="CE48" i="56"/>
  <c r="CD48" i="56"/>
  <c r="CC48" i="56"/>
  <c r="CB48" i="56"/>
  <c r="CA48" i="56"/>
  <c r="BZ48" i="56"/>
  <c r="BY48" i="56"/>
  <c r="BX48" i="56"/>
  <c r="BW48" i="56"/>
  <c r="BV48" i="56"/>
  <c r="BU48" i="56"/>
  <c r="BT48" i="56"/>
  <c r="BR48" i="56"/>
  <c r="BQ48" i="56"/>
  <c r="BP48" i="56"/>
  <c r="BO48" i="56"/>
  <c r="BN48" i="56"/>
  <c r="BM48" i="56"/>
  <c r="BL48" i="56"/>
  <c r="BK48" i="56"/>
  <c r="BJ48" i="56"/>
  <c r="BI48" i="56"/>
  <c r="BH48" i="56"/>
  <c r="BG48" i="56"/>
  <c r="BE48" i="56"/>
  <c r="BD48" i="56"/>
  <c r="BC48" i="56"/>
  <c r="BB48" i="56"/>
  <c r="BA48" i="56"/>
  <c r="BA49" i="56" s="1"/>
  <c r="AZ48" i="56"/>
  <c r="AY48" i="56"/>
  <c r="AX48" i="56"/>
  <c r="AW48" i="56"/>
  <c r="AV48" i="56"/>
  <c r="AU48" i="56"/>
  <c r="AT48" i="56"/>
  <c r="AR48" i="56"/>
  <c r="AQ48" i="56"/>
  <c r="AP48" i="56"/>
  <c r="AO48" i="56"/>
  <c r="AN48" i="56"/>
  <c r="AM48" i="56"/>
  <c r="AL48" i="56"/>
  <c r="AK48" i="56"/>
  <c r="AJ48" i="56"/>
  <c r="AI48" i="56"/>
  <c r="AH48" i="56"/>
  <c r="AG48" i="56"/>
  <c r="AE48" i="56"/>
  <c r="AD48" i="56"/>
  <c r="AC48" i="56"/>
  <c r="AB48" i="56"/>
  <c r="AA48" i="56"/>
  <c r="Z48" i="56"/>
  <c r="Y48" i="56"/>
  <c r="X48" i="56"/>
  <c r="W48" i="56"/>
  <c r="V48" i="56"/>
  <c r="U48" i="56"/>
  <c r="T48" i="56"/>
  <c r="R48" i="56"/>
  <c r="Q48" i="56"/>
  <c r="P48" i="56"/>
  <c r="O48" i="56"/>
  <c r="N48" i="56"/>
  <c r="M48" i="56"/>
  <c r="L48" i="56"/>
  <c r="K48" i="56"/>
  <c r="J48" i="56"/>
  <c r="I48" i="56"/>
  <c r="H48" i="56"/>
  <c r="G48" i="56"/>
  <c r="F48" i="56"/>
  <c r="DF47" i="56"/>
  <c r="CS47" i="56"/>
  <c r="CF47" i="56"/>
  <c r="BS47" i="56"/>
  <c r="BF47" i="56"/>
  <c r="AS47" i="56"/>
  <c r="AF47" i="56"/>
  <c r="S47" i="56"/>
  <c r="DF46" i="56"/>
  <c r="CS46" i="56"/>
  <c r="CF46" i="56"/>
  <c r="BS46" i="56"/>
  <c r="BF46" i="56"/>
  <c r="AS46" i="56"/>
  <c r="AF46" i="56"/>
  <c r="S46" i="56"/>
  <c r="DG45" i="56"/>
  <c r="DE45" i="56"/>
  <c r="DD45" i="56"/>
  <c r="DC45" i="56"/>
  <c r="DB45" i="56"/>
  <c r="DA45" i="56"/>
  <c r="CZ45" i="56"/>
  <c r="CY45" i="56"/>
  <c r="CX45" i="56"/>
  <c r="CW45" i="56"/>
  <c r="CV45" i="56"/>
  <c r="CU45" i="56"/>
  <c r="CT45" i="56"/>
  <c r="CR45" i="56"/>
  <c r="CQ45" i="56"/>
  <c r="CP45" i="56"/>
  <c r="CO45" i="56"/>
  <c r="CN45" i="56"/>
  <c r="CM45" i="56"/>
  <c r="CL45" i="56"/>
  <c r="CK45" i="56"/>
  <c r="CJ45" i="56"/>
  <c r="CI45" i="56"/>
  <c r="CH45" i="56"/>
  <c r="CG45" i="56"/>
  <c r="CE45" i="56"/>
  <c r="CD45" i="56"/>
  <c r="CC45" i="56"/>
  <c r="CB45" i="56"/>
  <c r="CA45" i="56"/>
  <c r="BZ45" i="56"/>
  <c r="BY45" i="56"/>
  <c r="BX45" i="56"/>
  <c r="BW45" i="56"/>
  <c r="BV45" i="56"/>
  <c r="BU45" i="56"/>
  <c r="BT45" i="56"/>
  <c r="BR45" i="56"/>
  <c r="BQ45" i="56"/>
  <c r="BP45" i="56"/>
  <c r="BO45" i="56"/>
  <c r="BN45" i="56"/>
  <c r="BM45" i="56"/>
  <c r="BL45" i="56"/>
  <c r="BK45" i="56"/>
  <c r="BJ45" i="56"/>
  <c r="BI45" i="56"/>
  <c r="BH45" i="56"/>
  <c r="BG45" i="56"/>
  <c r="BE45" i="56"/>
  <c r="BD45" i="56"/>
  <c r="BC45" i="56"/>
  <c r="BB45" i="56"/>
  <c r="BA45" i="56"/>
  <c r="AZ45" i="56"/>
  <c r="AY45" i="56"/>
  <c r="AX45" i="56"/>
  <c r="AW45" i="56"/>
  <c r="AV45" i="56"/>
  <c r="AU45" i="56"/>
  <c r="AT45" i="56"/>
  <c r="AR45" i="56"/>
  <c r="AQ45" i="56"/>
  <c r="AP45" i="56"/>
  <c r="AO45" i="56"/>
  <c r="AN45" i="56"/>
  <c r="AM45" i="56"/>
  <c r="AL45" i="56"/>
  <c r="AK45" i="56"/>
  <c r="AJ45" i="56"/>
  <c r="AI45" i="56"/>
  <c r="AH45" i="56"/>
  <c r="AG45" i="56"/>
  <c r="AE45" i="56"/>
  <c r="AD45" i="56"/>
  <c r="AC45" i="56"/>
  <c r="AB45" i="56"/>
  <c r="AA45" i="56"/>
  <c r="Z45" i="56"/>
  <c r="Y45" i="56"/>
  <c r="X45" i="56"/>
  <c r="W45" i="56"/>
  <c r="V45" i="56"/>
  <c r="U45" i="56"/>
  <c r="T45" i="56"/>
  <c r="R45" i="56"/>
  <c r="Q45" i="56"/>
  <c r="P45" i="56"/>
  <c r="O45" i="56"/>
  <c r="N45" i="56"/>
  <c r="M45" i="56"/>
  <c r="L45" i="56"/>
  <c r="K45" i="56"/>
  <c r="J45" i="56"/>
  <c r="I45" i="56"/>
  <c r="H45" i="56"/>
  <c r="G45" i="56"/>
  <c r="F45" i="56"/>
  <c r="DF44" i="56"/>
  <c r="CS44" i="56"/>
  <c r="CF44" i="56"/>
  <c r="BS44" i="56"/>
  <c r="BF44" i="56"/>
  <c r="AS44" i="56"/>
  <c r="AF44" i="56"/>
  <c r="S44" i="56"/>
  <c r="DF43" i="56"/>
  <c r="CS43" i="56"/>
  <c r="CF43" i="56"/>
  <c r="BF43" i="56"/>
  <c r="AS43" i="56"/>
  <c r="AF43" i="56"/>
  <c r="S43" i="56"/>
  <c r="DG84" i="56"/>
  <c r="DE84" i="56"/>
  <c r="DD84" i="56"/>
  <c r="DC84" i="56"/>
  <c r="DB84" i="56"/>
  <c r="DA84" i="56"/>
  <c r="CZ84" i="56"/>
  <c r="CY84" i="56"/>
  <c r="CX84" i="56"/>
  <c r="CW84" i="56"/>
  <c r="CV84" i="56"/>
  <c r="CU84" i="56"/>
  <c r="CT84" i="56"/>
  <c r="CR84" i="56"/>
  <c r="CQ84" i="56"/>
  <c r="CP84" i="56"/>
  <c r="CO84" i="56"/>
  <c r="CN84" i="56"/>
  <c r="CM84" i="56"/>
  <c r="CL84" i="56"/>
  <c r="CK84" i="56"/>
  <c r="CJ84" i="56"/>
  <c r="CI84" i="56"/>
  <c r="CH84" i="56"/>
  <c r="CG84" i="56"/>
  <c r="CE84" i="56"/>
  <c r="CD84" i="56"/>
  <c r="CC84" i="56"/>
  <c r="CB84" i="56"/>
  <c r="CA84" i="56"/>
  <c r="BZ84" i="56"/>
  <c r="BY84" i="56"/>
  <c r="BX84" i="56"/>
  <c r="BW84" i="56"/>
  <c r="BV84" i="56"/>
  <c r="BU84" i="56"/>
  <c r="BT84" i="56"/>
  <c r="BR84" i="56"/>
  <c r="BQ84" i="56"/>
  <c r="BP84" i="56"/>
  <c r="BO84" i="56"/>
  <c r="BN84" i="56"/>
  <c r="BM84" i="56"/>
  <c r="BL84" i="56"/>
  <c r="BK84" i="56"/>
  <c r="BJ84" i="56"/>
  <c r="BI84" i="56"/>
  <c r="BH84" i="56"/>
  <c r="BG84" i="56"/>
  <c r="BE84" i="56"/>
  <c r="BD84" i="56"/>
  <c r="BC84" i="56"/>
  <c r="BB84" i="56"/>
  <c r="BA84" i="56"/>
  <c r="AZ84" i="56"/>
  <c r="AY84" i="56"/>
  <c r="AX84" i="56"/>
  <c r="AW84" i="56"/>
  <c r="AV84" i="56"/>
  <c r="AU84" i="56"/>
  <c r="AT84" i="56"/>
  <c r="AR84" i="56"/>
  <c r="AQ84" i="56"/>
  <c r="AP84" i="56"/>
  <c r="AO84" i="56"/>
  <c r="AN84" i="56"/>
  <c r="AM84" i="56"/>
  <c r="AL84" i="56"/>
  <c r="AK84" i="56"/>
  <c r="AJ84" i="56"/>
  <c r="AI84" i="56"/>
  <c r="AH84" i="56"/>
  <c r="AG84" i="56"/>
  <c r="AE84" i="56"/>
  <c r="AD84" i="56"/>
  <c r="AC84" i="56"/>
  <c r="AB84" i="56"/>
  <c r="AA84" i="56"/>
  <c r="Z84" i="56"/>
  <c r="Y84" i="56"/>
  <c r="X84" i="56"/>
  <c r="W84" i="56"/>
  <c r="V84" i="56"/>
  <c r="U84" i="56"/>
  <c r="T84" i="56"/>
  <c r="R84" i="56"/>
  <c r="Q84" i="56"/>
  <c r="P84" i="56"/>
  <c r="O84" i="56"/>
  <c r="N84" i="56"/>
  <c r="M84" i="56"/>
  <c r="L84" i="56"/>
  <c r="K84" i="56"/>
  <c r="J84" i="56"/>
  <c r="I84" i="56"/>
  <c r="H84" i="56"/>
  <c r="G84" i="56"/>
  <c r="F84" i="56"/>
  <c r="DF83" i="56"/>
  <c r="CS83" i="56"/>
  <c r="CF83" i="56"/>
  <c r="BS83" i="56"/>
  <c r="BF83" i="56"/>
  <c r="AS83" i="56"/>
  <c r="AF83" i="56"/>
  <c r="DF82" i="56"/>
  <c r="CS82" i="56"/>
  <c r="CF82" i="56"/>
  <c r="BS82" i="56"/>
  <c r="BF82" i="56"/>
  <c r="AS82" i="56"/>
  <c r="AF82" i="56"/>
  <c r="DG81" i="56"/>
  <c r="DE81" i="56"/>
  <c r="DD81" i="56"/>
  <c r="DC81" i="56"/>
  <c r="DB81" i="56"/>
  <c r="DA81" i="56"/>
  <c r="CZ81" i="56"/>
  <c r="CY81" i="56"/>
  <c r="CX81" i="56"/>
  <c r="CW81" i="56"/>
  <c r="CV81" i="56"/>
  <c r="CU81" i="56"/>
  <c r="CT81" i="56"/>
  <c r="CR81" i="56"/>
  <c r="CQ81" i="56"/>
  <c r="CP81" i="56"/>
  <c r="CO81" i="56"/>
  <c r="CN81" i="56"/>
  <c r="CM81" i="56"/>
  <c r="CL81" i="56"/>
  <c r="CK81" i="56"/>
  <c r="CJ81" i="56"/>
  <c r="CI81" i="56"/>
  <c r="CH81" i="56"/>
  <c r="CG81" i="56"/>
  <c r="CE81" i="56"/>
  <c r="CD81" i="56"/>
  <c r="CC81" i="56"/>
  <c r="CB81" i="56"/>
  <c r="CA81" i="56"/>
  <c r="BZ81" i="56"/>
  <c r="BY81" i="56"/>
  <c r="BX81" i="56"/>
  <c r="BW81" i="56"/>
  <c r="BV81" i="56"/>
  <c r="BU81" i="56"/>
  <c r="BT81" i="56"/>
  <c r="BR81" i="56"/>
  <c r="BQ81" i="56"/>
  <c r="BP81" i="56"/>
  <c r="BO81" i="56"/>
  <c r="BN81" i="56"/>
  <c r="BM81" i="56"/>
  <c r="BL81" i="56"/>
  <c r="BK81" i="56"/>
  <c r="BJ81" i="56"/>
  <c r="BI81" i="56"/>
  <c r="BH81" i="56"/>
  <c r="BG81" i="56"/>
  <c r="BE81" i="56"/>
  <c r="BD81" i="56"/>
  <c r="BC81" i="56"/>
  <c r="BB81" i="56"/>
  <c r="BA81" i="56"/>
  <c r="AZ81" i="56"/>
  <c r="AY81" i="56"/>
  <c r="AX81" i="56"/>
  <c r="AW81" i="56"/>
  <c r="AV81" i="56"/>
  <c r="AU81" i="56"/>
  <c r="AT81" i="56"/>
  <c r="AR81" i="56"/>
  <c r="AQ81" i="56"/>
  <c r="AP81" i="56"/>
  <c r="AO81" i="56"/>
  <c r="AN81" i="56"/>
  <c r="AM81" i="56"/>
  <c r="AL81" i="56"/>
  <c r="AK81" i="56"/>
  <c r="AJ81" i="56"/>
  <c r="AI81" i="56"/>
  <c r="AH81" i="56"/>
  <c r="AG81" i="56"/>
  <c r="AE81" i="56"/>
  <c r="AD81" i="56"/>
  <c r="AC81" i="56"/>
  <c r="AB81" i="56"/>
  <c r="AA81" i="56"/>
  <c r="Z81" i="56"/>
  <c r="Y81" i="56"/>
  <c r="X81" i="56"/>
  <c r="W81" i="56"/>
  <c r="V81" i="56"/>
  <c r="U81" i="56"/>
  <c r="T81" i="56"/>
  <c r="R81" i="56"/>
  <c r="Q81" i="56"/>
  <c r="P81" i="56"/>
  <c r="O81" i="56"/>
  <c r="N81" i="56"/>
  <c r="M81" i="56"/>
  <c r="L81" i="56"/>
  <c r="K81" i="56"/>
  <c r="J81" i="56"/>
  <c r="I81" i="56"/>
  <c r="H81" i="56"/>
  <c r="G81" i="56"/>
  <c r="F81" i="56"/>
  <c r="DF80" i="56"/>
  <c r="CS80" i="56"/>
  <c r="CF80" i="56"/>
  <c r="BS80" i="56"/>
  <c r="BF80" i="56"/>
  <c r="AS80" i="56"/>
  <c r="AF80" i="56"/>
  <c r="DF79" i="56"/>
  <c r="CS79" i="56"/>
  <c r="CF79" i="56"/>
  <c r="BS79" i="56"/>
  <c r="BF79" i="56"/>
  <c r="AS79" i="56"/>
  <c r="AF79" i="56"/>
  <c r="DG69" i="56"/>
  <c r="DE69" i="56"/>
  <c r="DD69" i="56"/>
  <c r="DC69" i="56"/>
  <c r="DB69" i="56"/>
  <c r="DA69" i="56"/>
  <c r="CZ69" i="56"/>
  <c r="CY69" i="56"/>
  <c r="CX69" i="56"/>
  <c r="CW69" i="56"/>
  <c r="CV69" i="56"/>
  <c r="CU69" i="56"/>
  <c r="CT69" i="56"/>
  <c r="CR69" i="56"/>
  <c r="CQ69" i="56"/>
  <c r="CP69" i="56"/>
  <c r="CO69" i="56"/>
  <c r="CN69" i="56"/>
  <c r="CM69" i="56"/>
  <c r="CL69" i="56"/>
  <c r="CK69" i="56"/>
  <c r="CJ69" i="56"/>
  <c r="CI69" i="56"/>
  <c r="CH69" i="56"/>
  <c r="CG69" i="56"/>
  <c r="CE69" i="56"/>
  <c r="CD69" i="56"/>
  <c r="CC69" i="56"/>
  <c r="CB69" i="56"/>
  <c r="CA69" i="56"/>
  <c r="BZ69" i="56"/>
  <c r="BY69" i="56"/>
  <c r="BX69" i="56"/>
  <c r="BW69" i="56"/>
  <c r="BV69" i="56"/>
  <c r="BU69" i="56"/>
  <c r="BT69" i="56"/>
  <c r="BR69" i="56"/>
  <c r="BQ69" i="56"/>
  <c r="BP69" i="56"/>
  <c r="BO69" i="56"/>
  <c r="BN69" i="56"/>
  <c r="BM69" i="56"/>
  <c r="BL69" i="56"/>
  <c r="BK69" i="56"/>
  <c r="BJ69" i="56"/>
  <c r="BI69" i="56"/>
  <c r="BH69" i="56"/>
  <c r="BG69" i="56"/>
  <c r="BE69" i="56"/>
  <c r="BD69" i="56"/>
  <c r="BC69" i="56"/>
  <c r="BB69" i="56"/>
  <c r="BA69" i="56"/>
  <c r="AZ69" i="56"/>
  <c r="AY69" i="56"/>
  <c r="AX69" i="56"/>
  <c r="AW69" i="56"/>
  <c r="AV69" i="56"/>
  <c r="AU69" i="56"/>
  <c r="AT69" i="56"/>
  <c r="AR69" i="56"/>
  <c r="AQ69" i="56"/>
  <c r="AP69" i="56"/>
  <c r="AO69" i="56"/>
  <c r="AN69" i="56"/>
  <c r="AM69" i="56"/>
  <c r="AL69" i="56"/>
  <c r="AK69" i="56"/>
  <c r="AJ69" i="56"/>
  <c r="AI69" i="56"/>
  <c r="AH69" i="56"/>
  <c r="AG69" i="56"/>
  <c r="AE69" i="56"/>
  <c r="AD69" i="56"/>
  <c r="AC69" i="56"/>
  <c r="AB69" i="56"/>
  <c r="AA69" i="56"/>
  <c r="Z69" i="56"/>
  <c r="Y69" i="56"/>
  <c r="X69" i="56"/>
  <c r="W69" i="56"/>
  <c r="V69" i="56"/>
  <c r="U69" i="56"/>
  <c r="T69" i="56"/>
  <c r="R69" i="56"/>
  <c r="Q69" i="56"/>
  <c r="P69" i="56"/>
  <c r="O69" i="56"/>
  <c r="N69" i="56"/>
  <c r="M69" i="56"/>
  <c r="L69" i="56"/>
  <c r="K69" i="56"/>
  <c r="J69" i="56"/>
  <c r="I69" i="56"/>
  <c r="H69" i="56"/>
  <c r="G69" i="56"/>
  <c r="F69" i="56"/>
  <c r="DF68" i="56"/>
  <c r="CS68" i="56"/>
  <c r="CF68" i="56"/>
  <c r="BS68" i="56"/>
  <c r="BF68" i="56"/>
  <c r="AS68" i="56"/>
  <c r="AF68" i="56"/>
  <c r="DF67" i="56"/>
  <c r="CS67" i="56"/>
  <c r="CF67" i="56"/>
  <c r="BS67" i="56"/>
  <c r="BF67" i="56"/>
  <c r="AS67" i="56"/>
  <c r="DM67" i="56" s="1"/>
  <c r="AF67" i="56"/>
  <c r="DG66" i="56"/>
  <c r="DE66" i="56"/>
  <c r="DD66" i="56"/>
  <c r="DC66" i="56"/>
  <c r="DB66" i="56"/>
  <c r="DA66" i="56"/>
  <c r="CZ66" i="56"/>
  <c r="CY66" i="56"/>
  <c r="CX66" i="56"/>
  <c r="CW66" i="56"/>
  <c r="CV66" i="56"/>
  <c r="CU66" i="56"/>
  <c r="CT66" i="56"/>
  <c r="CR66" i="56"/>
  <c r="CQ66" i="56"/>
  <c r="CP66" i="56"/>
  <c r="CO66" i="56"/>
  <c r="CN66" i="56"/>
  <c r="CM66" i="56"/>
  <c r="CL66" i="56"/>
  <c r="CK66" i="56"/>
  <c r="CJ66" i="56"/>
  <c r="CI66" i="56"/>
  <c r="CH66" i="56"/>
  <c r="CG66" i="56"/>
  <c r="CE66" i="56"/>
  <c r="CD66" i="56"/>
  <c r="CC66" i="56"/>
  <c r="CB66" i="56"/>
  <c r="CA66" i="56"/>
  <c r="BZ66" i="56"/>
  <c r="BY66" i="56"/>
  <c r="BX66" i="56"/>
  <c r="BW66" i="56"/>
  <c r="BV66" i="56"/>
  <c r="BU66" i="56"/>
  <c r="BT66" i="56"/>
  <c r="BR66" i="56"/>
  <c r="BQ66" i="56"/>
  <c r="BP66" i="56"/>
  <c r="BO66" i="56"/>
  <c r="BN66" i="56"/>
  <c r="BM66" i="56"/>
  <c r="BL66" i="56"/>
  <c r="BK66" i="56"/>
  <c r="BJ66" i="56"/>
  <c r="BI66" i="56"/>
  <c r="BH66" i="56"/>
  <c r="BG66" i="56"/>
  <c r="BE66" i="56"/>
  <c r="BD66" i="56"/>
  <c r="BC66" i="56"/>
  <c r="BB66" i="56"/>
  <c r="BA66" i="56"/>
  <c r="AZ66" i="56"/>
  <c r="AY66" i="56"/>
  <c r="AX66" i="56"/>
  <c r="AW66" i="56"/>
  <c r="AV66" i="56"/>
  <c r="AU66" i="56"/>
  <c r="AT66" i="56"/>
  <c r="AR66" i="56"/>
  <c r="AQ66" i="56"/>
  <c r="AP66" i="56"/>
  <c r="AO66" i="56"/>
  <c r="AN66" i="56"/>
  <c r="AM66" i="56"/>
  <c r="AL66" i="56"/>
  <c r="AK66" i="56"/>
  <c r="AJ66" i="56"/>
  <c r="AI66" i="56"/>
  <c r="AH66" i="56"/>
  <c r="AG66" i="56"/>
  <c r="AE66" i="56"/>
  <c r="AD66" i="56"/>
  <c r="AC66" i="56"/>
  <c r="AB66" i="56"/>
  <c r="AA66" i="56"/>
  <c r="Z66" i="56"/>
  <c r="Y66" i="56"/>
  <c r="X66" i="56"/>
  <c r="W66" i="56"/>
  <c r="V66" i="56"/>
  <c r="U66" i="56"/>
  <c r="T66" i="56"/>
  <c r="R66" i="56"/>
  <c r="Q66" i="56"/>
  <c r="P66" i="56"/>
  <c r="O66" i="56"/>
  <c r="N66" i="56"/>
  <c r="M66" i="56"/>
  <c r="L66" i="56"/>
  <c r="K66" i="56"/>
  <c r="J66" i="56"/>
  <c r="I66" i="56"/>
  <c r="H66" i="56"/>
  <c r="G66" i="56"/>
  <c r="F66" i="56"/>
  <c r="DF65" i="56"/>
  <c r="CS65" i="56"/>
  <c r="CF65" i="56"/>
  <c r="BS65" i="56"/>
  <c r="BF65" i="56"/>
  <c r="AS65" i="56"/>
  <c r="AF65" i="56"/>
  <c r="DF64" i="56"/>
  <c r="CS64" i="56"/>
  <c r="CF64" i="56"/>
  <c r="BS64" i="56"/>
  <c r="BF64" i="56"/>
  <c r="AS64" i="56"/>
  <c r="DM64" i="56" s="1"/>
  <c r="AF64" i="56"/>
  <c r="DE255" i="56"/>
  <c r="DD255" i="56"/>
  <c r="DC255" i="56"/>
  <c r="DB255" i="56"/>
  <c r="DA255" i="56"/>
  <c r="CZ255" i="56"/>
  <c r="CY255" i="56"/>
  <c r="CX255" i="56"/>
  <c r="CW255" i="56"/>
  <c r="CV255" i="56"/>
  <c r="CU255" i="56"/>
  <c r="CT255" i="56"/>
  <c r="DE252" i="56"/>
  <c r="DD252" i="56"/>
  <c r="DC252" i="56"/>
  <c r="DB252" i="56"/>
  <c r="DA252" i="56"/>
  <c r="CZ252" i="56"/>
  <c r="CY252" i="56"/>
  <c r="CX252" i="56"/>
  <c r="CW252" i="56"/>
  <c r="CV252" i="56"/>
  <c r="CU252" i="56"/>
  <c r="CT252" i="56"/>
  <c r="DE245" i="56"/>
  <c r="DD245" i="56"/>
  <c r="DB245" i="56"/>
  <c r="DA245" i="56"/>
  <c r="CY245" i="56"/>
  <c r="CX245" i="56"/>
  <c r="CU245" i="56"/>
  <c r="CT245" i="56"/>
  <c r="DF243" i="56"/>
  <c r="DE242" i="56"/>
  <c r="DD242" i="56"/>
  <c r="DC242" i="56"/>
  <c r="DB242" i="56"/>
  <c r="DA242" i="56"/>
  <c r="CZ242" i="56"/>
  <c r="CY242" i="56"/>
  <c r="CX242" i="56"/>
  <c r="CW242" i="56"/>
  <c r="CV242" i="56"/>
  <c r="CU242" i="56"/>
  <c r="CT242" i="56"/>
  <c r="DF241" i="56"/>
  <c r="DF240" i="56"/>
  <c r="DF234" i="56"/>
  <c r="CX233" i="56"/>
  <c r="CV233" i="56"/>
  <c r="DE230" i="56"/>
  <c r="DD230" i="56"/>
  <c r="DC230" i="56"/>
  <c r="DB230" i="56"/>
  <c r="DA230" i="56"/>
  <c r="CZ230" i="56"/>
  <c r="CY230" i="56"/>
  <c r="CX230" i="56"/>
  <c r="CW230" i="56"/>
  <c r="CV230" i="56"/>
  <c r="CU230" i="56"/>
  <c r="CT230" i="56"/>
  <c r="DF229" i="56"/>
  <c r="DF228" i="56"/>
  <c r="DF252" i="56" s="1"/>
  <c r="DE227" i="56"/>
  <c r="DD227" i="56"/>
  <c r="DC227" i="56"/>
  <c r="DB227" i="56"/>
  <c r="DA227" i="56"/>
  <c r="CZ227" i="56"/>
  <c r="CY227" i="56"/>
  <c r="CX227" i="56"/>
  <c r="CW227" i="56"/>
  <c r="CV227" i="56"/>
  <c r="CU227" i="56"/>
  <c r="CT227" i="56"/>
  <c r="DF226" i="56"/>
  <c r="DF225" i="56"/>
  <c r="DE224" i="56"/>
  <c r="DD224" i="56"/>
  <c r="DC224" i="56"/>
  <c r="DB224" i="56"/>
  <c r="DA224" i="56"/>
  <c r="CZ224" i="56"/>
  <c r="CY224" i="56"/>
  <c r="CX224" i="56"/>
  <c r="CW224" i="56"/>
  <c r="CV224" i="56"/>
  <c r="CU224" i="56"/>
  <c r="CT224" i="56"/>
  <c r="DF223" i="56"/>
  <c r="DF222" i="56"/>
  <c r="DF212" i="56"/>
  <c r="DA233" i="56"/>
  <c r="CZ233" i="56"/>
  <c r="DE198" i="56"/>
  <c r="DD198" i="56"/>
  <c r="DC198" i="56"/>
  <c r="DB198" i="56"/>
  <c r="DA198" i="56"/>
  <c r="CZ198" i="56"/>
  <c r="CY198" i="56"/>
  <c r="CX198" i="56"/>
  <c r="CW198" i="56"/>
  <c r="CV198" i="56"/>
  <c r="CU198" i="56"/>
  <c r="CT198" i="56"/>
  <c r="DF197" i="56"/>
  <c r="DF196" i="56"/>
  <c r="DF195" i="56"/>
  <c r="DE194" i="56"/>
  <c r="DD194" i="56"/>
  <c r="DC194" i="56"/>
  <c r="DB194" i="56"/>
  <c r="DA194" i="56"/>
  <c r="CZ194" i="56"/>
  <c r="CY194" i="56"/>
  <c r="CX194" i="56"/>
  <c r="CW194" i="56"/>
  <c r="CV194" i="56"/>
  <c r="CU194" i="56"/>
  <c r="CT194" i="56"/>
  <c r="DF193" i="56"/>
  <c r="DF192" i="56"/>
  <c r="DF191" i="56"/>
  <c r="DE190" i="56"/>
  <c r="DD190" i="56"/>
  <c r="DC190" i="56"/>
  <c r="DB190" i="56"/>
  <c r="DA190" i="56"/>
  <c r="CZ190" i="56"/>
  <c r="CY190" i="56"/>
  <c r="CX190" i="56"/>
  <c r="CW190" i="56"/>
  <c r="CV190" i="56"/>
  <c r="CU190" i="56"/>
  <c r="CT190" i="56"/>
  <c r="DF189" i="56"/>
  <c r="DF188" i="56"/>
  <c r="DE186" i="56"/>
  <c r="DD186" i="56"/>
  <c r="DC186" i="56"/>
  <c r="DB186" i="56"/>
  <c r="DA186" i="56"/>
  <c r="CZ186" i="56"/>
  <c r="CY186" i="56"/>
  <c r="CX186" i="56"/>
  <c r="CW186" i="56"/>
  <c r="CV186" i="56"/>
  <c r="CU186" i="56"/>
  <c r="CT186" i="56"/>
  <c r="DF185" i="56"/>
  <c r="DF184" i="56"/>
  <c r="DF183" i="56"/>
  <c r="DE178" i="56"/>
  <c r="DD178" i="56"/>
  <c r="DC178" i="56"/>
  <c r="DB178" i="56"/>
  <c r="DA178" i="56"/>
  <c r="CZ178" i="56"/>
  <c r="CY178" i="56"/>
  <c r="CX178" i="56"/>
  <c r="CW178" i="56"/>
  <c r="CV178" i="56"/>
  <c r="CU178" i="56"/>
  <c r="CT178" i="56"/>
  <c r="DF177" i="56"/>
  <c r="DF176" i="56"/>
  <c r="DE175" i="56"/>
  <c r="DD175" i="56"/>
  <c r="DC175" i="56"/>
  <c r="DB175" i="56"/>
  <c r="DA175" i="56"/>
  <c r="CZ175" i="56"/>
  <c r="CY175" i="56"/>
  <c r="CX175" i="56"/>
  <c r="CW175" i="56"/>
  <c r="CV175" i="56"/>
  <c r="CU175" i="56"/>
  <c r="CT175" i="56"/>
  <c r="DF174" i="56"/>
  <c r="DF173" i="56"/>
  <c r="DE172" i="56"/>
  <c r="DD172" i="56"/>
  <c r="DC172" i="56"/>
  <c r="DB172" i="56"/>
  <c r="DA172" i="56"/>
  <c r="CZ172" i="56"/>
  <c r="CY172" i="56"/>
  <c r="CX172" i="56"/>
  <c r="CW172" i="56"/>
  <c r="CV172" i="56"/>
  <c r="CU172" i="56"/>
  <c r="CT172" i="56"/>
  <c r="DF171" i="56"/>
  <c r="DF170" i="56"/>
  <c r="DE169" i="56"/>
  <c r="DD169" i="56"/>
  <c r="DC169" i="56"/>
  <c r="DB169" i="56"/>
  <c r="DA169" i="56"/>
  <c r="CZ169" i="56"/>
  <c r="CY169" i="56"/>
  <c r="CX169" i="56"/>
  <c r="CW169" i="56"/>
  <c r="CV169" i="56"/>
  <c r="CU169" i="56"/>
  <c r="CT169" i="56"/>
  <c r="DF168" i="56"/>
  <c r="DF167" i="56"/>
  <c r="DE160" i="56"/>
  <c r="DD160" i="56"/>
  <c r="DC160" i="56"/>
  <c r="DB160" i="56"/>
  <c r="DA160" i="56"/>
  <c r="CZ160" i="56"/>
  <c r="CY160" i="56"/>
  <c r="CX160" i="56"/>
  <c r="CW160" i="56"/>
  <c r="CV160" i="56"/>
  <c r="CU160" i="56"/>
  <c r="CT160" i="56"/>
  <c r="DF159" i="56"/>
  <c r="DF158" i="56"/>
  <c r="DE157" i="56"/>
  <c r="DD157" i="56"/>
  <c r="DC157" i="56"/>
  <c r="DB157" i="56"/>
  <c r="DA157" i="56"/>
  <c r="CZ157" i="56"/>
  <c r="CY157" i="56"/>
  <c r="CX157" i="56"/>
  <c r="CW157" i="56"/>
  <c r="CV157" i="56"/>
  <c r="CU157" i="56"/>
  <c r="CT157" i="56"/>
  <c r="DF156" i="56"/>
  <c r="DF155" i="56"/>
  <c r="DE154" i="56"/>
  <c r="DD154" i="56"/>
  <c r="DC154" i="56"/>
  <c r="DB154" i="56"/>
  <c r="DA154" i="56"/>
  <c r="CZ154" i="56"/>
  <c r="CY154" i="56"/>
  <c r="CX154" i="56"/>
  <c r="CW154" i="56"/>
  <c r="CV154" i="56"/>
  <c r="CU154" i="56"/>
  <c r="CT154" i="56"/>
  <c r="DF153" i="56"/>
  <c r="DF152" i="56"/>
  <c r="DE151" i="56"/>
  <c r="DD151" i="56"/>
  <c r="DC151" i="56"/>
  <c r="DB151" i="56"/>
  <c r="DA151" i="56"/>
  <c r="CZ151" i="56"/>
  <c r="CY151" i="56"/>
  <c r="CX151" i="56"/>
  <c r="CW151" i="56"/>
  <c r="CV151" i="56"/>
  <c r="CU151" i="56"/>
  <c r="CT151" i="56"/>
  <c r="DF150" i="56"/>
  <c r="DF149" i="56"/>
  <c r="DE148" i="56"/>
  <c r="DD148" i="56"/>
  <c r="DC148" i="56"/>
  <c r="DB148" i="56"/>
  <c r="DA148" i="56"/>
  <c r="CZ148" i="56"/>
  <c r="CY148" i="56"/>
  <c r="CX148" i="56"/>
  <c r="CW148" i="56"/>
  <c r="CV148" i="56"/>
  <c r="CU148" i="56"/>
  <c r="CT148" i="56"/>
  <c r="DF147" i="56"/>
  <c r="DF146" i="56"/>
  <c r="DE145" i="56"/>
  <c r="DD145" i="56"/>
  <c r="DC145" i="56"/>
  <c r="DB145" i="56"/>
  <c r="DA145" i="56"/>
  <c r="CZ145" i="56"/>
  <c r="CY145" i="56"/>
  <c r="CX145" i="56"/>
  <c r="CW145" i="56"/>
  <c r="CV145" i="56"/>
  <c r="CU145" i="56"/>
  <c r="CT145" i="56"/>
  <c r="DF144" i="56"/>
  <c r="DF143" i="56"/>
  <c r="DE142" i="56"/>
  <c r="DD142" i="56"/>
  <c r="DC142" i="56"/>
  <c r="DB142" i="56"/>
  <c r="DA142" i="56"/>
  <c r="CZ142" i="56"/>
  <c r="CY142" i="56"/>
  <c r="CX142" i="56"/>
  <c r="CW142" i="56"/>
  <c r="CV142" i="56"/>
  <c r="CU142" i="56"/>
  <c r="CT142" i="56"/>
  <c r="DF141" i="56"/>
  <c r="DF140" i="56"/>
  <c r="DE139" i="56"/>
  <c r="DD139" i="56"/>
  <c r="DC139" i="56"/>
  <c r="DB139" i="56"/>
  <c r="DA139" i="56"/>
  <c r="CZ139" i="56"/>
  <c r="CY139" i="56"/>
  <c r="CX139" i="56"/>
  <c r="CW139" i="56"/>
  <c r="CV139" i="56"/>
  <c r="CU139" i="56"/>
  <c r="CT139" i="56"/>
  <c r="DF138" i="56"/>
  <c r="DF137" i="56"/>
  <c r="DE121" i="56"/>
  <c r="DD121" i="56"/>
  <c r="DC121" i="56"/>
  <c r="DB121" i="56"/>
  <c r="DA121" i="56"/>
  <c r="CZ121" i="56"/>
  <c r="CY121" i="56"/>
  <c r="CX121" i="56"/>
  <c r="CW121" i="56"/>
  <c r="CV121" i="56"/>
  <c r="CU121" i="56"/>
  <c r="CT121" i="56"/>
  <c r="DF120" i="56"/>
  <c r="DF119" i="56"/>
  <c r="DE118" i="56"/>
  <c r="DD118" i="56"/>
  <c r="DC118" i="56"/>
  <c r="DB118" i="56"/>
  <c r="DA118" i="56"/>
  <c r="CZ118" i="56"/>
  <c r="CY118" i="56"/>
  <c r="CX118" i="56"/>
  <c r="CW118" i="56"/>
  <c r="CV118" i="56"/>
  <c r="CU118" i="56"/>
  <c r="CT118" i="56"/>
  <c r="DF117" i="56"/>
  <c r="DF116" i="56"/>
  <c r="DE115" i="56"/>
  <c r="DD115" i="56"/>
  <c r="DC115" i="56"/>
  <c r="DB115" i="56"/>
  <c r="DA115" i="56"/>
  <c r="CZ115" i="56"/>
  <c r="CY115" i="56"/>
  <c r="CX115" i="56"/>
  <c r="CW115" i="56"/>
  <c r="CV115" i="56"/>
  <c r="CU115" i="56"/>
  <c r="CT115" i="56"/>
  <c r="DF114" i="56"/>
  <c r="DF113" i="56"/>
  <c r="DE112" i="56"/>
  <c r="DD112" i="56"/>
  <c r="DC112" i="56"/>
  <c r="DB112" i="56"/>
  <c r="DA112" i="56"/>
  <c r="CZ112" i="56"/>
  <c r="CY112" i="56"/>
  <c r="CX112" i="56"/>
  <c r="CW112" i="56"/>
  <c r="CV112" i="56"/>
  <c r="CU112" i="56"/>
  <c r="CT112" i="56"/>
  <c r="DF111" i="56"/>
  <c r="DF110" i="56"/>
  <c r="DE109" i="56"/>
  <c r="DD109" i="56"/>
  <c r="DC109" i="56"/>
  <c r="DB109" i="56"/>
  <c r="DA109" i="56"/>
  <c r="CZ109" i="56"/>
  <c r="CY109" i="56"/>
  <c r="CX109" i="56"/>
  <c r="CW109" i="56"/>
  <c r="CV109" i="56"/>
  <c r="CU109" i="56"/>
  <c r="CT109" i="56"/>
  <c r="DF108" i="56"/>
  <c r="DF107" i="56"/>
  <c r="DE102" i="56"/>
  <c r="DD102" i="56"/>
  <c r="DC102" i="56"/>
  <c r="DB102" i="56"/>
  <c r="DA102" i="56"/>
  <c r="CZ102" i="56"/>
  <c r="CY102" i="56"/>
  <c r="CX102" i="56"/>
  <c r="CW102" i="56"/>
  <c r="CV102" i="56"/>
  <c r="CU102" i="56"/>
  <c r="CT102" i="56"/>
  <c r="DF101" i="56"/>
  <c r="DF100" i="56"/>
  <c r="DE99" i="56"/>
  <c r="DD99" i="56"/>
  <c r="DC99" i="56"/>
  <c r="DB99" i="56"/>
  <c r="DA99" i="56"/>
  <c r="CZ99" i="56"/>
  <c r="CY99" i="56"/>
  <c r="CX99" i="56"/>
  <c r="CW99" i="56"/>
  <c r="CV99" i="56"/>
  <c r="CU99" i="56"/>
  <c r="CT99" i="56"/>
  <c r="DF98" i="56"/>
  <c r="DF97" i="56"/>
  <c r="DE96" i="56"/>
  <c r="DD96" i="56"/>
  <c r="DC96" i="56"/>
  <c r="DB96" i="56"/>
  <c r="DA96" i="56"/>
  <c r="CZ96" i="56"/>
  <c r="CY96" i="56"/>
  <c r="CX96" i="56"/>
  <c r="CW96" i="56"/>
  <c r="CV96" i="56"/>
  <c r="CU96" i="56"/>
  <c r="CT96" i="56"/>
  <c r="DF95" i="56"/>
  <c r="DF94" i="56"/>
  <c r="DE93" i="56"/>
  <c r="DD93" i="56"/>
  <c r="DC93" i="56"/>
  <c r="DB93" i="56"/>
  <c r="DA93" i="56"/>
  <c r="CZ93" i="56"/>
  <c r="CY93" i="56"/>
  <c r="CX93" i="56"/>
  <c r="CW93" i="56"/>
  <c r="CV93" i="56"/>
  <c r="CU93" i="56"/>
  <c r="CT93" i="56"/>
  <c r="DF92" i="56"/>
  <c r="DF91" i="56"/>
  <c r="DE90" i="56"/>
  <c r="DD90" i="56"/>
  <c r="DC90" i="56"/>
  <c r="DB90" i="56"/>
  <c r="DA90" i="56"/>
  <c r="CZ90" i="56"/>
  <c r="CY90" i="56"/>
  <c r="CX90" i="56"/>
  <c r="CW90" i="56"/>
  <c r="CV90" i="56"/>
  <c r="CU90" i="56"/>
  <c r="CT90" i="56"/>
  <c r="DF89" i="56"/>
  <c r="DF88" i="56"/>
  <c r="DE87" i="56"/>
  <c r="DD87" i="56"/>
  <c r="DC87" i="56"/>
  <c r="DB87" i="56"/>
  <c r="DA87" i="56"/>
  <c r="CZ87" i="56"/>
  <c r="CY87" i="56"/>
  <c r="CX87" i="56"/>
  <c r="CW87" i="56"/>
  <c r="CV87" i="56"/>
  <c r="CU87" i="56"/>
  <c r="CT87" i="56"/>
  <c r="DF86" i="56"/>
  <c r="DF85" i="56"/>
  <c r="DE78" i="56"/>
  <c r="DD78" i="56"/>
  <c r="DC78" i="56"/>
  <c r="DB78" i="56"/>
  <c r="DA78" i="56"/>
  <c r="CZ78" i="56"/>
  <c r="CY78" i="56"/>
  <c r="CX78" i="56"/>
  <c r="CW78" i="56"/>
  <c r="CV78" i="56"/>
  <c r="CU78" i="56"/>
  <c r="CT78" i="56"/>
  <c r="DF77" i="56"/>
  <c r="DF76" i="56"/>
  <c r="DE75" i="56"/>
  <c r="DD75" i="56"/>
  <c r="DC75" i="56"/>
  <c r="DB75" i="56"/>
  <c r="DA75" i="56"/>
  <c r="CZ75" i="56"/>
  <c r="CY75" i="56"/>
  <c r="CX75" i="56"/>
  <c r="CW75" i="56"/>
  <c r="CV75" i="56"/>
  <c r="CU75" i="56"/>
  <c r="CT75" i="56"/>
  <c r="DF74" i="56"/>
  <c r="DF73" i="56"/>
  <c r="DE72" i="56"/>
  <c r="DD72" i="56"/>
  <c r="DC72" i="56"/>
  <c r="DB72" i="56"/>
  <c r="DA72" i="56"/>
  <c r="CZ72" i="56"/>
  <c r="CY72" i="56"/>
  <c r="CX72" i="56"/>
  <c r="CW72" i="56"/>
  <c r="CV72" i="56"/>
  <c r="CU72" i="56"/>
  <c r="CT72" i="56"/>
  <c r="DF71" i="56"/>
  <c r="DF70" i="56"/>
  <c r="DE63" i="56"/>
  <c r="DD63" i="56"/>
  <c r="DC63" i="56"/>
  <c r="DB63" i="56"/>
  <c r="DA63" i="56"/>
  <c r="CZ63" i="56"/>
  <c r="CY63" i="56"/>
  <c r="CX63" i="56"/>
  <c r="CW63" i="56"/>
  <c r="CV63" i="56"/>
  <c r="CU63" i="56"/>
  <c r="CT63" i="56"/>
  <c r="DF62" i="56"/>
  <c r="DF61" i="56"/>
  <c r="DE60" i="56"/>
  <c r="DD60" i="56"/>
  <c r="DC60" i="56"/>
  <c r="DB60" i="56"/>
  <c r="DA60" i="56"/>
  <c r="CZ60" i="56"/>
  <c r="CY60" i="56"/>
  <c r="CX60" i="56"/>
  <c r="CW60" i="56"/>
  <c r="CV60" i="56"/>
  <c r="CU60" i="56"/>
  <c r="CT60" i="56"/>
  <c r="DF59" i="56"/>
  <c r="DF58" i="56"/>
  <c r="DE57" i="56"/>
  <c r="DD57" i="56"/>
  <c r="DC57" i="56"/>
  <c r="DB57" i="56"/>
  <c r="DA57" i="56"/>
  <c r="CZ57" i="56"/>
  <c r="CY57" i="56"/>
  <c r="CX57" i="56"/>
  <c r="CW57" i="56"/>
  <c r="CV57" i="56"/>
  <c r="CU57" i="56"/>
  <c r="CT57" i="56"/>
  <c r="DF56" i="56"/>
  <c r="DF55" i="56"/>
  <c r="DE54" i="56"/>
  <c r="DD54" i="56"/>
  <c r="DC54" i="56"/>
  <c r="DB54" i="56"/>
  <c r="DA54" i="56"/>
  <c r="CZ54" i="56"/>
  <c r="CY54" i="56"/>
  <c r="CX54" i="56"/>
  <c r="CW54" i="56"/>
  <c r="CV54" i="56"/>
  <c r="CU54" i="56"/>
  <c r="CT54" i="56"/>
  <c r="DF53" i="56"/>
  <c r="DF52" i="56"/>
  <c r="DE51" i="56"/>
  <c r="DD51" i="56"/>
  <c r="DC51" i="56"/>
  <c r="DB51" i="56"/>
  <c r="DA51" i="56"/>
  <c r="CZ51" i="56"/>
  <c r="CY51" i="56"/>
  <c r="CX51" i="56"/>
  <c r="CW51" i="56"/>
  <c r="CV51" i="56"/>
  <c r="CU51" i="56"/>
  <c r="CT51" i="56"/>
  <c r="DF50" i="56"/>
  <c r="DF49" i="56"/>
  <c r="DE42" i="56"/>
  <c r="DD42" i="56"/>
  <c r="DC42" i="56"/>
  <c r="DB42" i="56"/>
  <c r="DA42" i="56"/>
  <c r="CZ42" i="56"/>
  <c r="CY42" i="56"/>
  <c r="CX42" i="56"/>
  <c r="CW42" i="56"/>
  <c r="CV42" i="56"/>
  <c r="CU42" i="56"/>
  <c r="CT42" i="56"/>
  <c r="DF41" i="56"/>
  <c r="DF40" i="56"/>
  <c r="DE39" i="56"/>
  <c r="DD39" i="56"/>
  <c r="DC39" i="56"/>
  <c r="DB39" i="56"/>
  <c r="DA39" i="56"/>
  <c r="CZ39" i="56"/>
  <c r="CY39" i="56"/>
  <c r="CX39" i="56"/>
  <c r="CW39" i="56"/>
  <c r="CV39" i="56"/>
  <c r="CU39" i="56"/>
  <c r="CT39" i="56"/>
  <c r="DF38" i="56"/>
  <c r="DF37" i="56"/>
  <c r="DE36" i="56"/>
  <c r="DD36" i="56"/>
  <c r="DC36" i="56"/>
  <c r="DB36" i="56"/>
  <c r="DA36" i="56"/>
  <c r="CZ36" i="56"/>
  <c r="CY36" i="56"/>
  <c r="CX36" i="56"/>
  <c r="CW36" i="56"/>
  <c r="CV36" i="56"/>
  <c r="CU36" i="56"/>
  <c r="CT36" i="56"/>
  <c r="DF35" i="56"/>
  <c r="DF34" i="56"/>
  <c r="DE33" i="56"/>
  <c r="DD33" i="56"/>
  <c r="DC33" i="56"/>
  <c r="DB33" i="56"/>
  <c r="DA33" i="56"/>
  <c r="CZ33" i="56"/>
  <c r="CY33" i="56"/>
  <c r="CX33" i="56"/>
  <c r="CW33" i="56"/>
  <c r="CV33" i="56"/>
  <c r="CU33" i="56"/>
  <c r="CT33" i="56"/>
  <c r="DF32" i="56"/>
  <c r="DF31" i="56"/>
  <c r="DE30" i="56"/>
  <c r="DD30" i="56"/>
  <c r="DC30" i="56"/>
  <c r="DB30" i="56"/>
  <c r="DA30" i="56"/>
  <c r="CZ30" i="56"/>
  <c r="CY30" i="56"/>
  <c r="CX30" i="56"/>
  <c r="CW30" i="56"/>
  <c r="CV30" i="56"/>
  <c r="CU30" i="56"/>
  <c r="CT30" i="56"/>
  <c r="DF29" i="56"/>
  <c r="DF28" i="56"/>
  <c r="DE27" i="56"/>
  <c r="DD27" i="56"/>
  <c r="DC27" i="56"/>
  <c r="DB27" i="56"/>
  <c r="DA27" i="56"/>
  <c r="CZ27" i="56"/>
  <c r="CY27" i="56"/>
  <c r="CX27" i="56"/>
  <c r="CW27" i="56"/>
  <c r="CV27" i="56"/>
  <c r="CU27" i="56"/>
  <c r="CT27" i="56"/>
  <c r="DF26" i="56"/>
  <c r="DF25" i="56"/>
  <c r="DE24" i="56"/>
  <c r="DD24" i="56"/>
  <c r="DC24" i="56"/>
  <c r="DB24" i="56"/>
  <c r="DA24" i="56"/>
  <c r="CZ24" i="56"/>
  <c r="CY24" i="56"/>
  <c r="CX24" i="56"/>
  <c r="CW24" i="56"/>
  <c r="CV24" i="56"/>
  <c r="CU24" i="56"/>
  <c r="CT24" i="56"/>
  <c r="DF23" i="56"/>
  <c r="DF22" i="56"/>
  <c r="DE21" i="56"/>
  <c r="DD21" i="56"/>
  <c r="DC21" i="56"/>
  <c r="DB21" i="56"/>
  <c r="DA21" i="56"/>
  <c r="CZ21" i="56"/>
  <c r="CY21" i="56"/>
  <c r="CX21" i="56"/>
  <c r="CW21" i="56"/>
  <c r="CV21" i="56"/>
  <c r="CU21" i="56"/>
  <c r="CT21" i="56"/>
  <c r="DF20" i="56"/>
  <c r="DF19" i="56"/>
  <c r="DE18" i="56"/>
  <c r="DD18" i="56"/>
  <c r="DC18" i="56"/>
  <c r="DB18" i="56"/>
  <c r="DA18" i="56"/>
  <c r="CZ18" i="56"/>
  <c r="CY18" i="56"/>
  <c r="CX18" i="56"/>
  <c r="CW18" i="56"/>
  <c r="CV18" i="56"/>
  <c r="CU18" i="56"/>
  <c r="CT18" i="56"/>
  <c r="DF17" i="56"/>
  <c r="DF16" i="56"/>
  <c r="DM79" i="56" l="1"/>
  <c r="DM82" i="56"/>
  <c r="DM43" i="56"/>
  <c r="DM65" i="56"/>
  <c r="DN65" i="56" s="1"/>
  <c r="DM68" i="56"/>
  <c r="DN68" i="56" s="1"/>
  <c r="DM44" i="56"/>
  <c r="DM80" i="56"/>
  <c r="DN80" i="56" s="1"/>
  <c r="DM83" i="56"/>
  <c r="DN83" i="56" s="1"/>
  <c r="BD248" i="69"/>
  <c r="BD255" i="69"/>
  <c r="BF136" i="56"/>
  <c r="BA50" i="56"/>
  <c r="BA51" i="56"/>
  <c r="E135" i="56"/>
  <c r="DI135" i="56" s="1"/>
  <c r="E65" i="56"/>
  <c r="DI65" i="56" s="1"/>
  <c r="AS133" i="56"/>
  <c r="DH65" i="56"/>
  <c r="DH68" i="56"/>
  <c r="DH134" i="56"/>
  <c r="DH126" i="56"/>
  <c r="DH131" i="56"/>
  <c r="E68" i="56"/>
  <c r="DI68" i="56" s="1"/>
  <c r="DH129" i="56"/>
  <c r="E131" i="56"/>
  <c r="DI131" i="56" s="1"/>
  <c r="AF130" i="56"/>
  <c r="BS127" i="56"/>
  <c r="E122" i="56"/>
  <c r="DI122" i="56" s="1"/>
  <c r="E125" i="56"/>
  <c r="DI125" i="56" s="1"/>
  <c r="DH135" i="56"/>
  <c r="DF133" i="56"/>
  <c r="E123" i="56"/>
  <c r="DI123" i="56" s="1"/>
  <c r="E126" i="56"/>
  <c r="DI126" i="56" s="1"/>
  <c r="CS130" i="56"/>
  <c r="BF124" i="56"/>
  <c r="DH46" i="56"/>
  <c r="DF48" i="56"/>
  <c r="S66" i="56"/>
  <c r="S69" i="56"/>
  <c r="S81" i="56"/>
  <c r="S84" i="56"/>
  <c r="DH79" i="56"/>
  <c r="DH82" i="56"/>
  <c r="AS124" i="56"/>
  <c r="CS124" i="56"/>
  <c r="BF130" i="56"/>
  <c r="CS133" i="56"/>
  <c r="DF136" i="56"/>
  <c r="CS127" i="56"/>
  <c r="CF130" i="56"/>
  <c r="DF130" i="56"/>
  <c r="S133" i="56"/>
  <c r="DF124" i="56"/>
  <c r="BF133" i="56"/>
  <c r="S136" i="56"/>
  <c r="BS136" i="56"/>
  <c r="CS136" i="56"/>
  <c r="CF136" i="56"/>
  <c r="CF124" i="56"/>
  <c r="AF127" i="56"/>
  <c r="E129" i="56"/>
  <c r="AS130" i="56"/>
  <c r="E134" i="56"/>
  <c r="DI134" i="56" s="1"/>
  <c r="E132" i="56"/>
  <c r="DI132" i="56" s="1"/>
  <c r="DH122" i="56"/>
  <c r="E128" i="56"/>
  <c r="CF133" i="56"/>
  <c r="DH125" i="56"/>
  <c r="DF127" i="56"/>
  <c r="BS130" i="56"/>
  <c r="BS133" i="56"/>
  <c r="AS127" i="56"/>
  <c r="AF124" i="56"/>
  <c r="BF127" i="56"/>
  <c r="CF127" i="56"/>
  <c r="AS136" i="56"/>
  <c r="BS124" i="56"/>
  <c r="S130" i="56"/>
  <c r="AF84" i="56"/>
  <c r="DH47" i="56"/>
  <c r="DM46" i="56"/>
  <c r="E47" i="56"/>
  <c r="DI47" i="56" s="1"/>
  <c r="DM47" i="56"/>
  <c r="DH132" i="56"/>
  <c r="DH128" i="56"/>
  <c r="DH123" i="56"/>
  <c r="DH64" i="56"/>
  <c r="DH67" i="56"/>
  <c r="S48" i="56"/>
  <c r="E46" i="56"/>
  <c r="DH43" i="56"/>
  <c r="E44" i="56"/>
  <c r="DI44" i="56" s="1"/>
  <c r="S45" i="56"/>
  <c r="CF45" i="56"/>
  <c r="BF48" i="56"/>
  <c r="BS48" i="56"/>
  <c r="E43" i="56"/>
  <c r="BS45" i="56"/>
  <c r="AS48" i="56"/>
  <c r="AS45" i="56"/>
  <c r="AF48" i="56"/>
  <c r="AF45" i="56"/>
  <c r="DH44" i="56"/>
  <c r="DB210" i="56"/>
  <c r="CS45" i="56"/>
  <c r="DF45" i="56"/>
  <c r="CF48" i="56"/>
  <c r="CS48" i="56"/>
  <c r="BF45" i="56"/>
  <c r="E80" i="56"/>
  <c r="DI80" i="56" s="1"/>
  <c r="E83" i="56"/>
  <c r="DI83" i="56" s="1"/>
  <c r="BF84" i="56"/>
  <c r="E82" i="56"/>
  <c r="DH80" i="56"/>
  <c r="DF84" i="56"/>
  <c r="DC210" i="56"/>
  <c r="AS81" i="56"/>
  <c r="BS81" i="56"/>
  <c r="AF81" i="56"/>
  <c r="E79" i="56"/>
  <c r="AS84" i="56"/>
  <c r="BF81" i="56"/>
  <c r="DH83" i="56"/>
  <c r="CF84" i="56"/>
  <c r="DF81" i="56"/>
  <c r="BS84" i="56"/>
  <c r="CS84" i="56"/>
  <c r="CS81" i="56"/>
  <c r="CF81" i="56"/>
  <c r="CF69" i="56"/>
  <c r="BS69" i="56"/>
  <c r="CW181" i="56"/>
  <c r="DF115" i="56"/>
  <c r="DF154" i="56"/>
  <c r="CX181" i="56"/>
  <c r="AF69" i="56"/>
  <c r="AS66" i="56"/>
  <c r="AF66" i="56"/>
  <c r="CY181" i="56"/>
  <c r="DD210" i="56"/>
  <c r="AS69" i="56"/>
  <c r="CU215" i="56"/>
  <c r="CU219" i="56" s="1"/>
  <c r="CU5" i="56" s="1"/>
  <c r="CX210" i="56"/>
  <c r="E64" i="56"/>
  <c r="E67" i="56"/>
  <c r="BF69" i="56"/>
  <c r="DE210" i="56"/>
  <c r="BF66" i="56"/>
  <c r="CZ210" i="56"/>
  <c r="DF27" i="56"/>
  <c r="CY210" i="56"/>
  <c r="DF69" i="56"/>
  <c r="CW105" i="56"/>
  <c r="DF66" i="56"/>
  <c r="CS69" i="56"/>
  <c r="CS66" i="56"/>
  <c r="CF66" i="56"/>
  <c r="BS66" i="56"/>
  <c r="DJ68" i="56"/>
  <c r="DF102" i="56"/>
  <c r="DF30" i="56"/>
  <c r="DF90" i="56"/>
  <c r="DF60" i="56"/>
  <c r="DF151" i="56"/>
  <c r="DF160" i="56"/>
  <c r="DF209" i="56"/>
  <c r="DF42" i="56"/>
  <c r="DF78" i="56"/>
  <c r="DF148" i="56"/>
  <c r="DF190" i="56"/>
  <c r="DF99" i="56"/>
  <c r="DD215" i="56"/>
  <c r="DD219" i="56" s="1"/>
  <c r="DD5" i="56" s="1"/>
  <c r="DF142" i="56"/>
  <c r="DF186" i="56"/>
  <c r="DF208" i="56"/>
  <c r="DF227" i="56"/>
  <c r="DF112" i="56"/>
  <c r="DF33" i="56"/>
  <c r="DF96" i="56"/>
  <c r="DA181" i="56"/>
  <c r="DF72" i="56"/>
  <c r="DF93" i="56"/>
  <c r="DC181" i="56"/>
  <c r="DF198" i="56"/>
  <c r="DC215" i="56"/>
  <c r="DC219" i="56" s="1"/>
  <c r="DC5" i="56" s="1"/>
  <c r="DF145" i="56"/>
  <c r="DF157" i="56"/>
  <c r="DF121" i="56"/>
  <c r="CU181" i="56"/>
  <c r="DF230" i="56"/>
  <c r="DF139" i="56"/>
  <c r="DF169" i="56"/>
  <c r="DA210" i="56"/>
  <c r="DE215" i="56"/>
  <c r="DE219" i="56" s="1"/>
  <c r="DE5" i="56" s="1"/>
  <c r="CT181" i="56"/>
  <c r="DC214" i="56"/>
  <c r="DC218" i="56" s="1"/>
  <c r="DF118" i="56"/>
  <c r="CV181" i="56"/>
  <c r="DF194" i="56"/>
  <c r="DD214" i="56"/>
  <c r="DD218" i="56" s="1"/>
  <c r="CU214" i="56"/>
  <c r="CU218" i="56" s="1"/>
  <c r="CU4" i="56" s="1"/>
  <c r="DE181" i="56"/>
  <c r="DA215" i="56"/>
  <c r="DA219" i="56" s="1"/>
  <c r="DA5" i="56" s="1"/>
  <c r="DF180" i="56"/>
  <c r="CT214" i="56"/>
  <c r="CT218" i="56" s="1"/>
  <c r="DD181" i="56"/>
  <c r="CV214" i="56"/>
  <c r="CV218" i="56" s="1"/>
  <c r="CV4" i="56" s="1"/>
  <c r="CX214" i="56"/>
  <c r="CX218" i="56" s="1"/>
  <c r="CX4" i="56" s="1"/>
  <c r="CV105" i="56"/>
  <c r="DF63" i="56"/>
  <c r="DF57" i="56"/>
  <c r="CY105" i="56"/>
  <c r="DF54" i="56"/>
  <c r="DF51" i="56"/>
  <c r="CZ105" i="56"/>
  <c r="DF39" i="56"/>
  <c r="DA105" i="56"/>
  <c r="DB105" i="56"/>
  <c r="CX105" i="56"/>
  <c r="DF36" i="56"/>
  <c r="CZ214" i="56"/>
  <c r="CZ218" i="56" s="1"/>
  <c r="CZ4" i="56" s="1"/>
  <c r="DF104" i="56"/>
  <c r="CW215" i="56"/>
  <c r="CW219" i="56" s="1"/>
  <c r="CW5" i="56" s="1"/>
  <c r="DB214" i="56"/>
  <c r="DB218" i="56" s="1"/>
  <c r="DB4" i="56" s="1"/>
  <c r="CV215" i="56"/>
  <c r="CV219" i="56" s="1"/>
  <c r="CV5" i="56" s="1"/>
  <c r="DE105" i="56"/>
  <c r="CT105" i="56"/>
  <c r="CT215" i="56"/>
  <c r="CT219" i="56" s="1"/>
  <c r="CT5" i="56" s="1"/>
  <c r="CU105" i="56"/>
  <c r="CW210" i="56"/>
  <c r="DF207" i="56"/>
  <c r="DE233" i="56"/>
  <c r="DF179" i="56"/>
  <c r="DF87" i="56"/>
  <c r="DF103" i="56"/>
  <c r="CT233" i="56"/>
  <c r="CY215" i="56"/>
  <c r="CY219" i="56" s="1"/>
  <c r="CY5" i="56" s="1"/>
  <c r="DF187" i="56"/>
  <c r="CT210" i="56"/>
  <c r="DB233" i="56"/>
  <c r="CW214" i="56"/>
  <c r="CZ215" i="56"/>
  <c r="CZ219" i="56" s="1"/>
  <c r="DC105" i="56"/>
  <c r="DF178" i="56"/>
  <c r="CU210" i="56"/>
  <c r="DA214" i="56"/>
  <c r="DF224" i="56"/>
  <c r="DF231" i="56"/>
  <c r="DC233" i="56"/>
  <c r="DF21" i="56"/>
  <c r="CV210" i="56"/>
  <c r="CY214" i="56"/>
  <c r="DB215" i="56"/>
  <c r="DB219" i="56" s="1"/>
  <c r="DB5" i="56" s="1"/>
  <c r="DF175" i="56"/>
  <c r="CZ181" i="56"/>
  <c r="CY233" i="56"/>
  <c r="CX215" i="56"/>
  <c r="CX219" i="56" s="1"/>
  <c r="CX5" i="56" s="1"/>
  <c r="DF242" i="56"/>
  <c r="DD105" i="56"/>
  <c r="DD233" i="56"/>
  <c r="DF24" i="56"/>
  <c r="DF75" i="56"/>
  <c r="DF18" i="56"/>
  <c r="DF109" i="56"/>
  <c r="DF172" i="56"/>
  <c r="DB181" i="56"/>
  <c r="DE214" i="56"/>
  <c r="DN44" i="56" l="1"/>
  <c r="DN47" i="56"/>
  <c r="BD257" i="69"/>
  <c r="BD7" i="69"/>
  <c r="DK65" i="56"/>
  <c r="DJ65" i="56"/>
  <c r="DJ135" i="56"/>
  <c r="DJ47" i="56"/>
  <c r="E69" i="56"/>
  <c r="DI69" i="56" s="1"/>
  <c r="DK68" i="56"/>
  <c r="DJ131" i="56"/>
  <c r="BA52" i="56"/>
  <c r="BA103" i="56" s="1"/>
  <c r="E66" i="56"/>
  <c r="DI66" i="56" s="1"/>
  <c r="DJ126" i="56"/>
  <c r="DK132" i="56"/>
  <c r="DJ134" i="56"/>
  <c r="DH136" i="56"/>
  <c r="DJ136" i="56" s="1"/>
  <c r="E127" i="56"/>
  <c r="DI127" i="56" s="1"/>
  <c r="DK126" i="56"/>
  <c r="DK129" i="56"/>
  <c r="DH130" i="56"/>
  <c r="DJ130" i="56" s="1"/>
  <c r="DJ122" i="56"/>
  <c r="DK135" i="56"/>
  <c r="DH127" i="56"/>
  <c r="DK47" i="56"/>
  <c r="DJ125" i="56"/>
  <c r="E124" i="56"/>
  <c r="DI124" i="56" s="1"/>
  <c r="DH133" i="56"/>
  <c r="DJ133" i="56" s="1"/>
  <c r="DH124" i="56"/>
  <c r="DJ83" i="56"/>
  <c r="E48" i="56"/>
  <c r="DI48" i="56" s="1"/>
  <c r="DK83" i="56"/>
  <c r="DI128" i="56"/>
  <c r="DJ128" i="56" s="1"/>
  <c r="DI129" i="56"/>
  <c r="DJ129" i="56" s="1"/>
  <c r="DK123" i="56"/>
  <c r="DI64" i="56"/>
  <c r="DJ64" i="56" s="1"/>
  <c r="DH48" i="56"/>
  <c r="E81" i="56"/>
  <c r="DI81" i="56" s="1"/>
  <c r="DH45" i="56"/>
  <c r="DI67" i="56"/>
  <c r="DJ67" i="56" s="1"/>
  <c r="DK44" i="56"/>
  <c r="DJ132" i="56"/>
  <c r="DJ80" i="56"/>
  <c r="DJ123" i="56"/>
  <c r="E84" i="56"/>
  <c r="DI84" i="56" s="1"/>
  <c r="DI43" i="56"/>
  <c r="DJ43" i="56" s="1"/>
  <c r="DI46" i="56"/>
  <c r="DJ46" i="56" s="1"/>
  <c r="E45" i="56"/>
  <c r="DI45" i="56" s="1"/>
  <c r="DH84" i="56"/>
  <c r="DI82" i="56"/>
  <c r="DJ82" i="56" s="1"/>
  <c r="DI79" i="56"/>
  <c r="DJ79" i="56" s="1"/>
  <c r="DH81" i="56"/>
  <c r="DK80" i="56"/>
  <c r="DH66" i="56"/>
  <c r="DJ44" i="56"/>
  <c r="DH69" i="56"/>
  <c r="DD216" i="56"/>
  <c r="CU216" i="56"/>
  <c r="CU220" i="56"/>
  <c r="DC216" i="56"/>
  <c r="DB6" i="56"/>
  <c r="DF181" i="56"/>
  <c r="DB220" i="56"/>
  <c r="DF105" i="56"/>
  <c r="CT216" i="56"/>
  <c r="CV220" i="56"/>
  <c r="CV216" i="56"/>
  <c r="CX216" i="56"/>
  <c r="CZ216" i="56"/>
  <c r="DF215" i="56"/>
  <c r="CX6" i="56"/>
  <c r="DC4" i="56"/>
  <c r="DC220" i="56"/>
  <c r="CU233" i="56"/>
  <c r="CU6" i="56"/>
  <c r="DE216" i="56"/>
  <c r="DE218" i="56"/>
  <c r="DA216" i="56"/>
  <c r="DA218" i="56"/>
  <c r="DF219" i="56"/>
  <c r="CZ5" i="56"/>
  <c r="DF5" i="56" s="1"/>
  <c r="CZ220" i="56"/>
  <c r="CT220" i="56"/>
  <c r="CT4" i="56"/>
  <c r="CV6" i="56"/>
  <c r="CW218" i="56"/>
  <c r="CW216" i="56"/>
  <c r="DF214" i="56"/>
  <c r="CX220" i="56"/>
  <c r="DF210" i="56"/>
  <c r="DF232" i="56"/>
  <c r="CY218" i="56"/>
  <c r="CY216" i="56"/>
  <c r="DB216" i="56"/>
  <c r="DD4" i="56"/>
  <c r="DD220" i="56"/>
  <c r="CW233" i="56"/>
  <c r="CF73" i="56"/>
  <c r="CF74" i="56"/>
  <c r="AW30" i="56"/>
  <c r="BD9" i="69" l="1"/>
  <c r="BD10" i="69"/>
  <c r="BD12" i="69" s="1"/>
  <c r="BD13" i="69" s="1"/>
  <c r="DJ66" i="56"/>
  <c r="DJ69" i="56"/>
  <c r="BA53" i="56"/>
  <c r="DJ124" i="56"/>
  <c r="DJ127" i="56"/>
  <c r="DJ81" i="56"/>
  <c r="DJ48" i="56"/>
  <c r="DJ45" i="56"/>
  <c r="DJ84" i="56"/>
  <c r="DF233" i="56"/>
  <c r="DF216" i="56"/>
  <c r="DA4" i="56"/>
  <c r="DA220" i="56"/>
  <c r="CW220" i="56"/>
  <c r="CW4" i="56"/>
  <c r="DF218" i="56"/>
  <c r="CT6" i="56"/>
  <c r="DC6" i="56"/>
  <c r="DD6" i="56"/>
  <c r="DE220" i="56"/>
  <c r="DE4" i="56"/>
  <c r="CY4" i="56"/>
  <c r="CY220" i="56"/>
  <c r="CZ6" i="56"/>
  <c r="AT104" i="56"/>
  <c r="AR104" i="56"/>
  <c r="AT103" i="56"/>
  <c r="AR103" i="56"/>
  <c r="BE259" i="69" l="1"/>
  <c r="BE260" i="69" s="1"/>
  <c r="BE246" i="69" s="1"/>
  <c r="BA54" i="56"/>
  <c r="BA104" i="56"/>
  <c r="DF220" i="56"/>
  <c r="DE6" i="56"/>
  <c r="CY6" i="56"/>
  <c r="DF4" i="56"/>
  <c r="CW6" i="56"/>
  <c r="DA6" i="56"/>
  <c r="DG99" i="56"/>
  <c r="CR99" i="56"/>
  <c r="CQ99" i="56"/>
  <c r="CP99" i="56"/>
  <c r="CO99" i="56"/>
  <c r="CN99" i="56"/>
  <c r="CM99" i="56"/>
  <c r="CL99" i="56"/>
  <c r="CK99" i="56"/>
  <c r="CJ99" i="56"/>
  <c r="CI99" i="56"/>
  <c r="CH99" i="56"/>
  <c r="CG99" i="56"/>
  <c r="CE99" i="56"/>
  <c r="CD99" i="56"/>
  <c r="CC99" i="56"/>
  <c r="CB99" i="56"/>
  <c r="CA99" i="56"/>
  <c r="BZ99" i="56"/>
  <c r="BY99" i="56"/>
  <c r="BX99" i="56"/>
  <c r="BW99" i="56"/>
  <c r="BV99" i="56"/>
  <c r="BU99" i="56"/>
  <c r="BT99" i="56"/>
  <c r="BR99" i="56"/>
  <c r="BQ99" i="56"/>
  <c r="BP99" i="56"/>
  <c r="BO99" i="56"/>
  <c r="BN99" i="56"/>
  <c r="BM99" i="56"/>
  <c r="BL99" i="56"/>
  <c r="BK99" i="56"/>
  <c r="BJ99" i="56"/>
  <c r="BI99" i="56"/>
  <c r="BH99" i="56"/>
  <c r="BG99" i="56"/>
  <c r="BE99" i="56"/>
  <c r="BD99" i="56"/>
  <c r="BC99" i="56"/>
  <c r="BB99" i="56"/>
  <c r="BA99" i="56"/>
  <c r="AZ99" i="56"/>
  <c r="AY99" i="56"/>
  <c r="AX99" i="56"/>
  <c r="AW99" i="56"/>
  <c r="AV99" i="56"/>
  <c r="AU99" i="56"/>
  <c r="AT99" i="56"/>
  <c r="AR99" i="56"/>
  <c r="AQ99" i="56"/>
  <c r="AP99" i="56"/>
  <c r="AO99" i="56"/>
  <c r="AN99" i="56"/>
  <c r="AM99" i="56"/>
  <c r="AL99" i="56"/>
  <c r="AK99" i="56"/>
  <c r="AJ99" i="56"/>
  <c r="AI99" i="56"/>
  <c r="AH99" i="56"/>
  <c r="AG99" i="56"/>
  <c r="AE99" i="56"/>
  <c r="AD99" i="56"/>
  <c r="AC99" i="56"/>
  <c r="AB99" i="56"/>
  <c r="AA99" i="56"/>
  <c r="Z99" i="56"/>
  <c r="Y99" i="56"/>
  <c r="X99" i="56"/>
  <c r="W99" i="56"/>
  <c r="V99" i="56"/>
  <c r="U99" i="56"/>
  <c r="T99" i="56"/>
  <c r="R99" i="56"/>
  <c r="Q99" i="56"/>
  <c r="P99" i="56"/>
  <c r="O99" i="56"/>
  <c r="N99" i="56"/>
  <c r="M99" i="56"/>
  <c r="L99" i="56"/>
  <c r="K99" i="56"/>
  <c r="J99" i="56"/>
  <c r="I99" i="56"/>
  <c r="H99" i="56"/>
  <c r="G99" i="56"/>
  <c r="F99" i="56"/>
  <c r="CS98" i="56"/>
  <c r="CF98" i="56"/>
  <c r="BS98" i="56"/>
  <c r="BF98" i="56"/>
  <c r="AS98" i="56"/>
  <c r="S98" i="56"/>
  <c r="CS97" i="56"/>
  <c r="CF97" i="56"/>
  <c r="BS97" i="56"/>
  <c r="BF97" i="56"/>
  <c r="AS97" i="56"/>
  <c r="S97" i="56"/>
  <c r="DG96" i="56"/>
  <c r="CR96" i="56"/>
  <c r="CQ96" i="56"/>
  <c r="CP96" i="56"/>
  <c r="CO96" i="56"/>
  <c r="CN96" i="56"/>
  <c r="CM96" i="56"/>
  <c r="CL96" i="56"/>
  <c r="CK96" i="56"/>
  <c r="CJ96" i="56"/>
  <c r="CI96" i="56"/>
  <c r="CH96" i="56"/>
  <c r="CG96" i="56"/>
  <c r="CE96" i="56"/>
  <c r="CD96" i="56"/>
  <c r="CC96" i="56"/>
  <c r="CB96" i="56"/>
  <c r="CA96" i="56"/>
  <c r="BZ96" i="56"/>
  <c r="BY96" i="56"/>
  <c r="BX96" i="56"/>
  <c r="BW96" i="56"/>
  <c r="BV96" i="56"/>
  <c r="BU96" i="56"/>
  <c r="BT96" i="56"/>
  <c r="BR96" i="56"/>
  <c r="BQ96" i="56"/>
  <c r="BP96" i="56"/>
  <c r="BO96" i="56"/>
  <c r="BN96" i="56"/>
  <c r="BM96" i="56"/>
  <c r="BL96" i="56"/>
  <c r="BK96" i="56"/>
  <c r="BJ96" i="56"/>
  <c r="BI96" i="56"/>
  <c r="BH96" i="56"/>
  <c r="BG96" i="56"/>
  <c r="BE96" i="56"/>
  <c r="BD96" i="56"/>
  <c r="BC96" i="56"/>
  <c r="BB96" i="56"/>
  <c r="BA96" i="56"/>
  <c r="AZ96" i="56"/>
  <c r="AY96" i="56"/>
  <c r="AX96" i="56"/>
  <c r="AW96" i="56"/>
  <c r="AV96" i="56"/>
  <c r="AU96" i="56"/>
  <c r="AT96" i="56"/>
  <c r="AR96" i="56"/>
  <c r="AQ96" i="56"/>
  <c r="AP96" i="56"/>
  <c r="AO96" i="56"/>
  <c r="AN96" i="56"/>
  <c r="AM96" i="56"/>
  <c r="AL96" i="56"/>
  <c r="AK96" i="56"/>
  <c r="AJ96" i="56"/>
  <c r="AI96" i="56"/>
  <c r="AH96" i="56"/>
  <c r="AG96" i="56"/>
  <c r="AE96" i="56"/>
  <c r="AD96" i="56"/>
  <c r="AC96" i="56"/>
  <c r="AB96" i="56"/>
  <c r="AA96" i="56"/>
  <c r="Z96" i="56"/>
  <c r="Y96" i="56"/>
  <c r="X96" i="56"/>
  <c r="W96" i="56"/>
  <c r="V96" i="56"/>
  <c r="U96" i="56"/>
  <c r="T96" i="56"/>
  <c r="R96" i="56"/>
  <c r="Q96" i="56"/>
  <c r="P96" i="56"/>
  <c r="O96" i="56"/>
  <c r="N96" i="56"/>
  <c r="M96" i="56"/>
  <c r="L96" i="56"/>
  <c r="K96" i="56"/>
  <c r="J96" i="56"/>
  <c r="I96" i="56"/>
  <c r="H96" i="56"/>
  <c r="G96" i="56"/>
  <c r="F96" i="56"/>
  <c r="CS95" i="56"/>
  <c r="CF95" i="56"/>
  <c r="BS95" i="56"/>
  <c r="BF95" i="56"/>
  <c r="AS95" i="56"/>
  <c r="S95" i="56"/>
  <c r="CS94" i="56"/>
  <c r="CF94" i="56"/>
  <c r="BS94" i="56"/>
  <c r="BF94" i="56"/>
  <c r="AS94" i="56"/>
  <c r="S94" i="56"/>
  <c r="BE248" i="69" l="1"/>
  <c r="BF248" i="69" s="1"/>
  <c r="BE255" i="69"/>
  <c r="BF246" i="69"/>
  <c r="BG272" i="69"/>
  <c r="E94" i="56"/>
  <c r="E95" i="56"/>
  <c r="E97" i="56"/>
  <c r="DI97" i="56" s="1"/>
  <c r="E98" i="56"/>
  <c r="DI98" i="56" s="1"/>
  <c r="DI94" i="56"/>
  <c r="DI95" i="56"/>
  <c r="DF6" i="56"/>
  <c r="S99" i="56"/>
  <c r="CF96" i="56"/>
  <c r="CS99" i="56"/>
  <c r="CF99" i="56"/>
  <c r="BS99" i="56"/>
  <c r="DH98" i="56"/>
  <c r="BF99" i="56"/>
  <c r="DH97" i="56"/>
  <c r="AS99" i="56"/>
  <c r="DH94" i="56"/>
  <c r="DH95" i="56"/>
  <c r="CS96" i="56"/>
  <c r="BS96" i="56"/>
  <c r="AS96" i="56"/>
  <c r="BF96" i="56"/>
  <c r="S96" i="56"/>
  <c r="BE257" i="69" l="1"/>
  <c r="BF257" i="69" s="1"/>
  <c r="BE7" i="69"/>
  <c r="BF255" i="69"/>
  <c r="DJ94" i="56"/>
  <c r="E99" i="56"/>
  <c r="DI99" i="56" s="1"/>
  <c r="E96" i="56"/>
  <c r="DI96" i="56" s="1"/>
  <c r="DJ97" i="56"/>
  <c r="DJ98" i="56"/>
  <c r="DK95" i="56"/>
  <c r="DH99" i="56"/>
  <c r="DJ99" i="56" s="1"/>
  <c r="DH96" i="56"/>
  <c r="DJ95" i="56"/>
  <c r="DK98" i="56"/>
  <c r="BE9" i="69" l="1"/>
  <c r="BF9" i="69" s="1"/>
  <c r="BE10" i="69"/>
  <c r="BF7" i="69"/>
  <c r="DJ96" i="56"/>
  <c r="AP104" i="56"/>
  <c r="AP103" i="56"/>
  <c r="BE12" i="69" l="1"/>
  <c r="BF10" i="69"/>
  <c r="AQ105" i="56"/>
  <c r="DG87" i="56"/>
  <c r="CR87" i="56"/>
  <c r="CQ87" i="56"/>
  <c r="CP87" i="56"/>
  <c r="CO87" i="56"/>
  <c r="CN87" i="56"/>
  <c r="CM87" i="56"/>
  <c r="CL87" i="56"/>
  <c r="CK87" i="56"/>
  <c r="CJ87" i="56"/>
  <c r="CI87" i="56"/>
  <c r="CH87" i="56"/>
  <c r="CG87" i="56"/>
  <c r="CE87" i="56"/>
  <c r="CD87" i="56"/>
  <c r="CC87" i="56"/>
  <c r="CB87" i="56"/>
  <c r="CA87" i="56"/>
  <c r="BZ87" i="56"/>
  <c r="BY87" i="56"/>
  <c r="BX87" i="56"/>
  <c r="BW87" i="56"/>
  <c r="BV87" i="56"/>
  <c r="BU87" i="56"/>
  <c r="BT87" i="56"/>
  <c r="BR87" i="56"/>
  <c r="BQ87" i="56"/>
  <c r="BP87" i="56"/>
  <c r="BO87" i="56"/>
  <c r="BN87" i="56"/>
  <c r="BM87" i="56"/>
  <c r="BL87" i="56"/>
  <c r="BK87" i="56"/>
  <c r="BJ87" i="56"/>
  <c r="BI87" i="56"/>
  <c r="BH87" i="56"/>
  <c r="BG87" i="56"/>
  <c r="BE87" i="56"/>
  <c r="BD87" i="56"/>
  <c r="BC87" i="56"/>
  <c r="BB87" i="56"/>
  <c r="BA87" i="56"/>
  <c r="AZ87" i="56"/>
  <c r="AY87" i="56"/>
  <c r="AX87" i="56"/>
  <c r="AW87" i="56"/>
  <c r="AV87" i="56"/>
  <c r="AU87" i="56"/>
  <c r="AT87" i="56"/>
  <c r="AR87" i="56"/>
  <c r="AQ87" i="56"/>
  <c r="AP87" i="56"/>
  <c r="AO87" i="56"/>
  <c r="AN87" i="56"/>
  <c r="AM87" i="56"/>
  <c r="AL87" i="56"/>
  <c r="AK87" i="56"/>
  <c r="AJ87" i="56"/>
  <c r="AI87" i="56"/>
  <c r="AH87" i="56"/>
  <c r="AG87" i="56"/>
  <c r="AE87" i="56"/>
  <c r="AD87" i="56"/>
  <c r="AC87" i="56"/>
  <c r="AB87" i="56"/>
  <c r="AA87" i="56"/>
  <c r="Z87" i="56"/>
  <c r="Y87" i="56"/>
  <c r="X87" i="56"/>
  <c r="W87" i="56"/>
  <c r="V87" i="56"/>
  <c r="U87" i="56"/>
  <c r="T87" i="56"/>
  <c r="R87" i="56"/>
  <c r="Q87" i="56"/>
  <c r="P87" i="56"/>
  <c r="O87" i="56"/>
  <c r="N87" i="56"/>
  <c r="M87" i="56"/>
  <c r="L87" i="56"/>
  <c r="K87" i="56"/>
  <c r="J87" i="56"/>
  <c r="I87" i="56"/>
  <c r="H87" i="56"/>
  <c r="G87" i="56"/>
  <c r="F87" i="56"/>
  <c r="CS86" i="56"/>
  <c r="CF86" i="56"/>
  <c r="BS86" i="56"/>
  <c r="BF86" i="56"/>
  <c r="AS86" i="56"/>
  <c r="AF86" i="56"/>
  <c r="E86" i="56" s="1"/>
  <c r="CS85" i="56"/>
  <c r="CF85" i="56"/>
  <c r="BS85" i="56"/>
  <c r="BF85" i="56"/>
  <c r="AS85" i="56"/>
  <c r="AF85" i="56"/>
  <c r="BF12" i="69" l="1"/>
  <c r="BE13" i="69"/>
  <c r="S87" i="56"/>
  <c r="E85" i="56"/>
  <c r="E87" i="56" s="1"/>
  <c r="DI87" i="56" s="1"/>
  <c r="DI86" i="56"/>
  <c r="DH86" i="56"/>
  <c r="CF87" i="56"/>
  <c r="DH85" i="56"/>
  <c r="CS87" i="56"/>
  <c r="BS87" i="56"/>
  <c r="AS87" i="56"/>
  <c r="BF87" i="56"/>
  <c r="AF87" i="56"/>
  <c r="BF259" i="69" l="1"/>
  <c r="BF260" i="69" s="1"/>
  <c r="BF13" i="69"/>
  <c r="DK86" i="56"/>
  <c r="DJ86" i="56"/>
  <c r="DH87" i="56"/>
  <c r="DJ87" i="56" s="1"/>
  <c r="DI85" i="56"/>
  <c r="DJ85" i="56" s="1"/>
  <c r="AR180" i="56"/>
  <c r="AR179" i="56"/>
  <c r="AS107" i="56"/>
  <c r="AS108" i="56"/>
  <c r="BG259" i="69" l="1"/>
  <c r="BG260" i="69" s="1"/>
  <c r="BG246" i="69" s="1"/>
  <c r="AN241" i="56"/>
  <c r="BG248" i="69" l="1"/>
  <c r="BG255" i="69"/>
  <c r="DG54" i="56"/>
  <c r="CR54" i="56"/>
  <c r="CQ54" i="56"/>
  <c r="CP54" i="56"/>
  <c r="CO54" i="56"/>
  <c r="CN54" i="56"/>
  <c r="CM54" i="56"/>
  <c r="CL54" i="56"/>
  <c r="CK54" i="56"/>
  <c r="CJ54" i="56"/>
  <c r="CI54" i="56"/>
  <c r="CH54" i="56"/>
  <c r="CG54" i="56"/>
  <c r="CE54" i="56"/>
  <c r="CD54" i="56"/>
  <c r="CC54" i="56"/>
  <c r="CB54" i="56"/>
  <c r="CA54" i="56"/>
  <c r="BZ54" i="56"/>
  <c r="BY54" i="56"/>
  <c r="BX54" i="56"/>
  <c r="BW54" i="56"/>
  <c r="BV54" i="56"/>
  <c r="BU54" i="56"/>
  <c r="BT54" i="56"/>
  <c r="BR54" i="56"/>
  <c r="BQ54" i="56"/>
  <c r="BP54" i="56"/>
  <c r="BO54" i="56"/>
  <c r="BN54" i="56"/>
  <c r="BM54" i="56"/>
  <c r="BL54" i="56"/>
  <c r="BK54" i="56"/>
  <c r="BJ54" i="56"/>
  <c r="BI54" i="56"/>
  <c r="BH54" i="56"/>
  <c r="BG54" i="56"/>
  <c r="BE54" i="56"/>
  <c r="BD54" i="56"/>
  <c r="BC54" i="56"/>
  <c r="BB54" i="56"/>
  <c r="AZ54" i="56"/>
  <c r="AY54" i="56"/>
  <c r="AX54" i="56"/>
  <c r="AW54" i="56"/>
  <c r="AV54" i="56"/>
  <c r="AU54" i="56"/>
  <c r="AT54" i="56"/>
  <c r="AR54" i="56"/>
  <c r="AQ54" i="56"/>
  <c r="AP54" i="56"/>
  <c r="AO54" i="56"/>
  <c r="AN54" i="56"/>
  <c r="AM54" i="56"/>
  <c r="AL54" i="56"/>
  <c r="AK54" i="56"/>
  <c r="AJ54" i="56"/>
  <c r="AI54" i="56"/>
  <c r="AH54" i="56"/>
  <c r="AG54" i="56"/>
  <c r="AE54" i="56"/>
  <c r="AD54" i="56"/>
  <c r="AC54" i="56"/>
  <c r="AB54" i="56"/>
  <c r="AA54" i="56"/>
  <c r="Z54" i="56"/>
  <c r="Y54" i="56"/>
  <c r="X54" i="56"/>
  <c r="W54" i="56"/>
  <c r="V54" i="56"/>
  <c r="U54" i="56"/>
  <c r="T54" i="56"/>
  <c r="R54" i="56"/>
  <c r="Q54" i="56"/>
  <c r="P54" i="56"/>
  <c r="O54" i="56"/>
  <c r="N54" i="56"/>
  <c r="M54" i="56"/>
  <c r="L54" i="56"/>
  <c r="K54" i="56"/>
  <c r="J54" i="56"/>
  <c r="I54" i="56"/>
  <c r="H54" i="56"/>
  <c r="G54" i="56"/>
  <c r="F54" i="56"/>
  <c r="CS53" i="56"/>
  <c r="CF53" i="56"/>
  <c r="BS53" i="56"/>
  <c r="BF53" i="56"/>
  <c r="AS53" i="56"/>
  <c r="AF53" i="56"/>
  <c r="CS52" i="56"/>
  <c r="CF52" i="56"/>
  <c r="BS52" i="56"/>
  <c r="BF52" i="56"/>
  <c r="AS52" i="56"/>
  <c r="AF52" i="56"/>
  <c r="DG51" i="56"/>
  <c r="CR51" i="56"/>
  <c r="CQ51" i="56"/>
  <c r="CP51" i="56"/>
  <c r="CO51" i="56"/>
  <c r="CN51" i="56"/>
  <c r="CM51" i="56"/>
  <c r="CL51" i="56"/>
  <c r="CK51" i="56"/>
  <c r="CJ51" i="56"/>
  <c r="CI51" i="56"/>
  <c r="CH51" i="56"/>
  <c r="CG51" i="56"/>
  <c r="CE51" i="56"/>
  <c r="CD51" i="56"/>
  <c r="CC51" i="56"/>
  <c r="CB51" i="56"/>
  <c r="CA51" i="56"/>
  <c r="BZ51" i="56"/>
  <c r="BY51" i="56"/>
  <c r="BX51" i="56"/>
  <c r="BW51" i="56"/>
  <c r="BV51" i="56"/>
  <c r="BU51" i="56"/>
  <c r="BT51" i="56"/>
  <c r="BR51" i="56"/>
  <c r="BQ51" i="56"/>
  <c r="BP51" i="56"/>
  <c r="BO51" i="56"/>
  <c r="BN51" i="56"/>
  <c r="BM51" i="56"/>
  <c r="BL51" i="56"/>
  <c r="BK51" i="56"/>
  <c r="BJ51" i="56"/>
  <c r="BI51" i="56"/>
  <c r="BH51" i="56"/>
  <c r="BG51" i="56"/>
  <c r="BE51" i="56"/>
  <c r="BD51" i="56"/>
  <c r="BC51" i="56"/>
  <c r="BB51" i="56"/>
  <c r="AZ51" i="56"/>
  <c r="AY51" i="56"/>
  <c r="AX51" i="56"/>
  <c r="AW51" i="56"/>
  <c r="AV51" i="56"/>
  <c r="AU51" i="56"/>
  <c r="AT51" i="56"/>
  <c r="AR51" i="56"/>
  <c r="AQ51" i="56"/>
  <c r="AP51" i="56"/>
  <c r="AO51" i="56"/>
  <c r="AN51" i="56"/>
  <c r="AM51" i="56"/>
  <c r="AL51" i="56"/>
  <c r="AK51" i="56"/>
  <c r="AJ51" i="56"/>
  <c r="AI51" i="56"/>
  <c r="AH51" i="56"/>
  <c r="AG51" i="56"/>
  <c r="AE51" i="56"/>
  <c r="AD51" i="56"/>
  <c r="AC51" i="56"/>
  <c r="AB51" i="56"/>
  <c r="AA51" i="56"/>
  <c r="Z51" i="56"/>
  <c r="Y51" i="56"/>
  <c r="X51" i="56"/>
  <c r="W51" i="56"/>
  <c r="V51" i="56"/>
  <c r="U51" i="56"/>
  <c r="T51" i="56"/>
  <c r="R51" i="56"/>
  <c r="Q51" i="56"/>
  <c r="P51" i="56"/>
  <c r="O51" i="56"/>
  <c r="N51" i="56"/>
  <c r="M51" i="56"/>
  <c r="L51" i="56"/>
  <c r="K51" i="56"/>
  <c r="J51" i="56"/>
  <c r="I51" i="56"/>
  <c r="H51" i="56"/>
  <c r="G51" i="56"/>
  <c r="F51" i="56"/>
  <c r="CS50" i="56"/>
  <c r="CF50" i="56"/>
  <c r="BS50" i="56"/>
  <c r="BF50" i="56"/>
  <c r="AS50" i="56"/>
  <c r="AF50" i="56"/>
  <c r="CS49" i="56"/>
  <c r="CF49" i="56"/>
  <c r="BS49" i="56"/>
  <c r="BF49" i="56"/>
  <c r="AS49" i="56"/>
  <c r="AF49" i="56"/>
  <c r="DM50" i="56" l="1"/>
  <c r="BG257" i="69"/>
  <c r="BG7" i="69"/>
  <c r="E53" i="56"/>
  <c r="E50" i="56"/>
  <c r="DI50" i="56" s="1"/>
  <c r="AS54" i="56"/>
  <c r="DM53" i="56"/>
  <c r="S51" i="56"/>
  <c r="S54" i="56"/>
  <c r="E52" i="56"/>
  <c r="DI52" i="56" s="1"/>
  <c r="E49" i="56"/>
  <c r="DM49" i="56"/>
  <c r="DM52" i="56"/>
  <c r="CS54" i="56"/>
  <c r="AS51" i="56"/>
  <c r="AF54" i="56"/>
  <c r="DH53" i="56"/>
  <c r="AF51" i="56"/>
  <c r="BF51" i="56"/>
  <c r="CF54" i="56"/>
  <c r="CS51" i="56"/>
  <c r="CF51" i="56"/>
  <c r="BS54" i="56"/>
  <c r="BS51" i="56"/>
  <c r="BF54" i="56"/>
  <c r="DI53" i="56"/>
  <c r="DH49" i="56"/>
  <c r="DH52" i="56"/>
  <c r="DI49" i="56"/>
  <c r="DH50" i="56"/>
  <c r="BG9" i="69" l="1"/>
  <c r="BG10" i="69"/>
  <c r="DH54" i="56"/>
  <c r="DJ53" i="56"/>
  <c r="DH51" i="56"/>
  <c r="DK53" i="56"/>
  <c r="DK50" i="56"/>
  <c r="DJ49" i="56"/>
  <c r="E54" i="56"/>
  <c r="DI54" i="56" s="1"/>
  <c r="E51" i="56"/>
  <c r="DI51" i="56" s="1"/>
  <c r="DJ51" i="56" s="1"/>
  <c r="DJ52" i="56"/>
  <c r="DJ50" i="56"/>
  <c r="BG12" i="69" l="1"/>
  <c r="DJ54" i="56"/>
  <c r="AS16" i="56"/>
  <c r="AS17" i="56"/>
  <c r="BG13" i="69" l="1"/>
  <c r="AS146" i="56"/>
  <c r="AS147" i="56"/>
  <c r="AS140" i="56"/>
  <c r="AS141" i="56"/>
  <c r="BH259" i="69" l="1"/>
  <c r="BH260" i="69" s="1"/>
  <c r="BH246" i="69" s="1"/>
  <c r="BV14" i="53"/>
  <c r="BU14" i="53"/>
  <c r="BT14" i="53"/>
  <c r="BS14" i="53"/>
  <c r="BR14" i="53"/>
  <c r="BQ14" i="53"/>
  <c r="BP14" i="53"/>
  <c r="BO14" i="53"/>
  <c r="BN14" i="53"/>
  <c r="BM14" i="53"/>
  <c r="BL14" i="53"/>
  <c r="BV13" i="53"/>
  <c r="BU13" i="53"/>
  <c r="BT13" i="53"/>
  <c r="BS13" i="53"/>
  <c r="BR13" i="53"/>
  <c r="BQ13" i="53"/>
  <c r="BP13" i="53"/>
  <c r="BO13" i="53"/>
  <c r="BN13" i="53"/>
  <c r="BM13" i="53"/>
  <c r="BL13" i="53"/>
  <c r="BV12" i="53"/>
  <c r="BU12" i="53"/>
  <c r="BT12" i="53"/>
  <c r="BS12" i="53"/>
  <c r="BR12" i="53"/>
  <c r="BQ12" i="53"/>
  <c r="BP12" i="53"/>
  <c r="BO12" i="53"/>
  <c r="BN12" i="53"/>
  <c r="BM12" i="53"/>
  <c r="BL12" i="53"/>
  <c r="BV8" i="53"/>
  <c r="BU8" i="53"/>
  <c r="BT8" i="53"/>
  <c r="BS8" i="53"/>
  <c r="BR8" i="53"/>
  <c r="BQ8" i="53"/>
  <c r="BP8" i="53"/>
  <c r="BO8" i="53"/>
  <c r="BN8" i="53"/>
  <c r="BM8" i="53"/>
  <c r="BL8" i="53"/>
  <c r="BV7" i="53"/>
  <c r="BU7" i="53"/>
  <c r="BT7" i="53"/>
  <c r="BS7" i="53"/>
  <c r="BR7" i="53"/>
  <c r="BQ7" i="53"/>
  <c r="BP7" i="53"/>
  <c r="BO7" i="53"/>
  <c r="BN7" i="53"/>
  <c r="BM7" i="53"/>
  <c r="BL7" i="53"/>
  <c r="BV6" i="53"/>
  <c r="BU6" i="53"/>
  <c r="BT6" i="53"/>
  <c r="BS6" i="53"/>
  <c r="BR6" i="53"/>
  <c r="BP6" i="53"/>
  <c r="BO6" i="53"/>
  <c r="BN6" i="53"/>
  <c r="BM6" i="53"/>
  <c r="BL6" i="53"/>
  <c r="BK14" i="53"/>
  <c r="BK13" i="53"/>
  <c r="BK12" i="53"/>
  <c r="BK8" i="53"/>
  <c r="BK7" i="53"/>
  <c r="BK6" i="53"/>
  <c r="BH248" i="69" l="1"/>
  <c r="BH255" i="69"/>
  <c r="AS176" i="56"/>
  <c r="AS177" i="56"/>
  <c r="BH257" i="69" l="1"/>
  <c r="BH7" i="69"/>
  <c r="DG172" i="56"/>
  <c r="CR172" i="56"/>
  <c r="CQ172" i="56"/>
  <c r="CP172" i="56"/>
  <c r="CO172" i="56"/>
  <c r="CN172" i="56"/>
  <c r="CM172" i="56"/>
  <c r="CL172" i="56"/>
  <c r="CK172" i="56"/>
  <c r="CJ172" i="56"/>
  <c r="CI172" i="56"/>
  <c r="CH172" i="56"/>
  <c r="CG172" i="56"/>
  <c r="CE172" i="56"/>
  <c r="CD172" i="56"/>
  <c r="CC172" i="56"/>
  <c r="CB172" i="56"/>
  <c r="CA172" i="56"/>
  <c r="BZ172" i="56"/>
  <c r="BY172" i="56"/>
  <c r="BX172" i="56"/>
  <c r="BW172" i="56"/>
  <c r="BV172" i="56"/>
  <c r="BU172" i="56"/>
  <c r="BT172" i="56"/>
  <c r="BR172" i="56"/>
  <c r="BQ172" i="56"/>
  <c r="BP172" i="56"/>
  <c r="BO172" i="56"/>
  <c r="BN172" i="56"/>
  <c r="BM172" i="56"/>
  <c r="BL172" i="56"/>
  <c r="BK172" i="56"/>
  <c r="BJ172" i="56"/>
  <c r="BI172" i="56"/>
  <c r="BH172" i="56"/>
  <c r="BG172" i="56"/>
  <c r="BE172" i="56"/>
  <c r="BD172" i="56"/>
  <c r="BC172" i="56"/>
  <c r="BB172" i="56"/>
  <c r="BA172" i="56"/>
  <c r="AZ172" i="56"/>
  <c r="AY172" i="56"/>
  <c r="AX172" i="56"/>
  <c r="AW172" i="56"/>
  <c r="AV172" i="56"/>
  <c r="AU172" i="56"/>
  <c r="AT172" i="56"/>
  <c r="AR172" i="56"/>
  <c r="AQ172" i="56"/>
  <c r="AP172" i="56"/>
  <c r="AO172" i="56"/>
  <c r="AN172" i="56"/>
  <c r="AM172" i="56"/>
  <c r="AL172" i="56"/>
  <c r="AK172" i="56"/>
  <c r="AJ172" i="56"/>
  <c r="AI172" i="56"/>
  <c r="AH172" i="56"/>
  <c r="AG172" i="56"/>
  <c r="AE172" i="56"/>
  <c r="AD172" i="56"/>
  <c r="AC172" i="56"/>
  <c r="AB172" i="56"/>
  <c r="AA172" i="56"/>
  <c r="Z172" i="56"/>
  <c r="Y172" i="56"/>
  <c r="X172" i="56"/>
  <c r="W172" i="56"/>
  <c r="V172" i="56"/>
  <c r="U172" i="56"/>
  <c r="T172" i="56"/>
  <c r="R172" i="56"/>
  <c r="Q172" i="56"/>
  <c r="P172" i="56"/>
  <c r="O172" i="56"/>
  <c r="N172" i="56"/>
  <c r="M172" i="56"/>
  <c r="L172" i="56"/>
  <c r="K172" i="56"/>
  <c r="J172" i="56"/>
  <c r="I172" i="56"/>
  <c r="H172" i="56"/>
  <c r="G172" i="56"/>
  <c r="F172" i="56"/>
  <c r="CS171" i="56"/>
  <c r="CF171" i="56"/>
  <c r="BS171" i="56"/>
  <c r="BF171" i="56"/>
  <c r="AS171" i="56"/>
  <c r="AF171" i="56"/>
  <c r="CS170" i="56"/>
  <c r="CF170" i="56"/>
  <c r="BS170" i="56"/>
  <c r="BF170" i="56"/>
  <c r="AS170" i="56"/>
  <c r="AF170" i="56"/>
  <c r="DG175" i="56"/>
  <c r="CR175" i="56"/>
  <c r="CQ175" i="56"/>
  <c r="CP175" i="56"/>
  <c r="CO175" i="56"/>
  <c r="CN175" i="56"/>
  <c r="CM175" i="56"/>
  <c r="CL175" i="56"/>
  <c r="CK175" i="56"/>
  <c r="CJ175" i="56"/>
  <c r="CI175" i="56"/>
  <c r="CH175" i="56"/>
  <c r="CG175" i="56"/>
  <c r="CE175" i="56"/>
  <c r="CD175" i="56"/>
  <c r="CC175" i="56"/>
  <c r="CB175" i="56"/>
  <c r="CA175" i="56"/>
  <c r="BZ175" i="56"/>
  <c r="BY175" i="56"/>
  <c r="BX175" i="56"/>
  <c r="BW175" i="56"/>
  <c r="BV175" i="56"/>
  <c r="BU175" i="56"/>
  <c r="BT175" i="56"/>
  <c r="BR175" i="56"/>
  <c r="BQ175" i="56"/>
  <c r="BP175" i="56"/>
  <c r="BO175" i="56"/>
  <c r="BN175" i="56"/>
  <c r="BM175" i="56"/>
  <c r="BL175" i="56"/>
  <c r="BK175" i="56"/>
  <c r="BJ175" i="56"/>
  <c r="BI175" i="56"/>
  <c r="BH175" i="56"/>
  <c r="BG175" i="56"/>
  <c r="BE175" i="56"/>
  <c r="BD175" i="56"/>
  <c r="BC175" i="56"/>
  <c r="BB175" i="56"/>
  <c r="BA175" i="56"/>
  <c r="AZ175" i="56"/>
  <c r="AY175" i="56"/>
  <c r="AX175" i="56"/>
  <c r="AW175" i="56"/>
  <c r="AV175" i="56"/>
  <c r="AU175" i="56"/>
  <c r="AT175" i="56"/>
  <c r="AR175" i="56"/>
  <c r="AQ175" i="56"/>
  <c r="AP175" i="56"/>
  <c r="AO175" i="56"/>
  <c r="AN175" i="56"/>
  <c r="AM175" i="56"/>
  <c r="AL175" i="56"/>
  <c r="AK175" i="56"/>
  <c r="AJ175" i="56"/>
  <c r="AI175" i="56"/>
  <c r="AH175" i="56"/>
  <c r="AG175" i="56"/>
  <c r="AE175" i="56"/>
  <c r="AD175" i="56"/>
  <c r="AC175" i="56"/>
  <c r="AB175" i="56"/>
  <c r="AA175" i="56"/>
  <c r="Z175" i="56"/>
  <c r="Y175" i="56"/>
  <c r="X175" i="56"/>
  <c r="W175" i="56"/>
  <c r="V175" i="56"/>
  <c r="U175" i="56"/>
  <c r="T175" i="56"/>
  <c r="R175" i="56"/>
  <c r="Q175" i="56"/>
  <c r="P175" i="56"/>
  <c r="O175" i="56"/>
  <c r="N175" i="56"/>
  <c r="M175" i="56"/>
  <c r="L175" i="56"/>
  <c r="K175" i="56"/>
  <c r="J175" i="56"/>
  <c r="I175" i="56"/>
  <c r="H175" i="56"/>
  <c r="G175" i="56"/>
  <c r="F175" i="56"/>
  <c r="CS174" i="56"/>
  <c r="CF174" i="56"/>
  <c r="BS174" i="56"/>
  <c r="BF174" i="56"/>
  <c r="AS174" i="56"/>
  <c r="AF174" i="56"/>
  <c r="CS173" i="56"/>
  <c r="CF173" i="56"/>
  <c r="BS173" i="56"/>
  <c r="BF173" i="56"/>
  <c r="AS173" i="56"/>
  <c r="AF173" i="56"/>
  <c r="DG178" i="56"/>
  <c r="CR178" i="56"/>
  <c r="CQ178" i="56"/>
  <c r="CP178" i="56"/>
  <c r="CO178" i="56"/>
  <c r="CN178" i="56"/>
  <c r="CM178" i="56"/>
  <c r="CL178" i="56"/>
  <c r="CK178" i="56"/>
  <c r="CJ178" i="56"/>
  <c r="CI178" i="56"/>
  <c r="CH178" i="56"/>
  <c r="CG178" i="56"/>
  <c r="CE178" i="56"/>
  <c r="CD178" i="56"/>
  <c r="CC178" i="56"/>
  <c r="CB178" i="56"/>
  <c r="CA178" i="56"/>
  <c r="BZ178" i="56"/>
  <c r="BY178" i="56"/>
  <c r="BX178" i="56"/>
  <c r="BW178" i="56"/>
  <c r="BV178" i="56"/>
  <c r="BU178" i="56"/>
  <c r="BT178" i="56"/>
  <c r="BR178" i="56"/>
  <c r="BQ178" i="56"/>
  <c r="BP178" i="56"/>
  <c r="BO178" i="56"/>
  <c r="BN178" i="56"/>
  <c r="BM178" i="56"/>
  <c r="BL178" i="56"/>
  <c r="BK178" i="56"/>
  <c r="BJ178" i="56"/>
  <c r="BI178" i="56"/>
  <c r="BH178" i="56"/>
  <c r="BG178" i="56"/>
  <c r="BE178" i="56"/>
  <c r="BD178" i="56"/>
  <c r="BC178" i="56"/>
  <c r="BB178" i="56"/>
  <c r="BA178" i="56"/>
  <c r="AZ178" i="56"/>
  <c r="AY178" i="56"/>
  <c r="AX178" i="56"/>
  <c r="AW178" i="56"/>
  <c r="AV178" i="56"/>
  <c r="AU178" i="56"/>
  <c r="AT178" i="56"/>
  <c r="AR178" i="56"/>
  <c r="AQ178" i="56"/>
  <c r="AP178" i="56"/>
  <c r="AO178" i="56"/>
  <c r="AN178" i="56"/>
  <c r="AM178" i="56"/>
  <c r="AL178" i="56"/>
  <c r="AK178" i="56"/>
  <c r="AJ178" i="56"/>
  <c r="AI178" i="56"/>
  <c r="AH178" i="56"/>
  <c r="AG178" i="56"/>
  <c r="AE178" i="56"/>
  <c r="AD178" i="56"/>
  <c r="AC178" i="56"/>
  <c r="AB178" i="56"/>
  <c r="AA178" i="56"/>
  <c r="Z178" i="56"/>
  <c r="Y178" i="56"/>
  <c r="X178" i="56"/>
  <c r="W178" i="56"/>
  <c r="V178" i="56"/>
  <c r="U178" i="56"/>
  <c r="T178" i="56"/>
  <c r="R178" i="56"/>
  <c r="Q178" i="56"/>
  <c r="P178" i="56"/>
  <c r="O178" i="56"/>
  <c r="N178" i="56"/>
  <c r="M178" i="56"/>
  <c r="L178" i="56"/>
  <c r="K178" i="56"/>
  <c r="J178" i="56"/>
  <c r="I178" i="56"/>
  <c r="H178" i="56"/>
  <c r="G178" i="56"/>
  <c r="F178" i="56"/>
  <c r="CS177" i="56"/>
  <c r="CF177" i="56"/>
  <c r="BS177" i="56"/>
  <c r="BF177" i="56"/>
  <c r="AF177" i="56"/>
  <c r="CS176" i="56"/>
  <c r="CF176" i="56"/>
  <c r="BS176" i="56"/>
  <c r="BF176" i="56"/>
  <c r="AF176" i="56"/>
  <c r="BH9" i="69" l="1"/>
  <c r="BH10" i="69"/>
  <c r="E174" i="56"/>
  <c r="DI174" i="56" s="1"/>
  <c r="E173" i="56"/>
  <c r="E171" i="56"/>
  <c r="DI171" i="56" s="1"/>
  <c r="E176" i="56"/>
  <c r="E177" i="56"/>
  <c r="DI177" i="56" s="1"/>
  <c r="E170" i="56"/>
  <c r="DH170" i="56"/>
  <c r="AS172" i="56"/>
  <c r="AF172" i="56"/>
  <c r="DI170" i="56"/>
  <c r="DJ170" i="56" s="1"/>
  <c r="BF172" i="56"/>
  <c r="BS172" i="56"/>
  <c r="DI173" i="56"/>
  <c r="DH171" i="56"/>
  <c r="DK171" i="56" s="1"/>
  <c r="CS175" i="56"/>
  <c r="CS172" i="56"/>
  <c r="CF172" i="56"/>
  <c r="DH174" i="56"/>
  <c r="CF175" i="56"/>
  <c r="AS175" i="56"/>
  <c r="AF175" i="56"/>
  <c r="BS175" i="56"/>
  <c r="BF175" i="56"/>
  <c r="DH173" i="56"/>
  <c r="CF178" i="56"/>
  <c r="BS178" i="56"/>
  <c r="AS178" i="56"/>
  <c r="CS178" i="56"/>
  <c r="DH176" i="56"/>
  <c r="BF178" i="56"/>
  <c r="AF178" i="56"/>
  <c r="DH177" i="56"/>
  <c r="BH12" i="69" l="1"/>
  <c r="DJ171" i="56"/>
  <c r="E172" i="56"/>
  <c r="DI172" i="56" s="1"/>
  <c r="DH172" i="56"/>
  <c r="DJ174" i="56"/>
  <c r="DH175" i="56"/>
  <c r="E175" i="56"/>
  <c r="DI175" i="56" s="1"/>
  <c r="DK174" i="56"/>
  <c r="DJ173" i="56"/>
  <c r="DH178" i="56"/>
  <c r="DK177" i="56"/>
  <c r="DJ177" i="56"/>
  <c r="DI176" i="56"/>
  <c r="DJ176" i="56" s="1"/>
  <c r="E178" i="56"/>
  <c r="DI178" i="56" s="1"/>
  <c r="DJ178" i="56" s="1"/>
  <c r="CJ207" i="56"/>
  <c r="BW207" i="56"/>
  <c r="BH13" i="69" l="1"/>
  <c r="DJ172" i="56"/>
  <c r="DJ175" i="56"/>
  <c r="P31" i="63"/>
  <c r="O31" i="63"/>
  <c r="N31" i="63"/>
  <c r="M31" i="63"/>
  <c r="L31" i="63"/>
  <c r="K31" i="63"/>
  <c r="J31" i="63"/>
  <c r="I31" i="63"/>
  <c r="I32" i="63" s="1"/>
  <c r="H31" i="63"/>
  <c r="G31" i="63"/>
  <c r="F31" i="63"/>
  <c r="E31" i="63"/>
  <c r="D31" i="63"/>
  <c r="P25" i="63"/>
  <c r="O25" i="63"/>
  <c r="N25" i="63"/>
  <c r="M25" i="63"/>
  <c r="L25" i="63"/>
  <c r="K25" i="63"/>
  <c r="J25" i="63"/>
  <c r="I25" i="63"/>
  <c r="H25" i="63"/>
  <c r="G25" i="63"/>
  <c r="F25" i="63"/>
  <c r="E25" i="63"/>
  <c r="D25" i="63"/>
  <c r="Q30" i="63"/>
  <c r="Q29" i="63"/>
  <c r="Q28" i="63"/>
  <c r="Q27" i="63"/>
  <c r="Q26" i="63"/>
  <c r="Q24" i="63"/>
  <c r="Q23" i="63"/>
  <c r="Q22" i="63"/>
  <c r="Q21" i="63"/>
  <c r="N14" i="63"/>
  <c r="M14" i="63"/>
  <c r="L14" i="63"/>
  <c r="K14" i="63"/>
  <c r="J14" i="63"/>
  <c r="I14" i="63"/>
  <c r="H14" i="63"/>
  <c r="G14" i="63"/>
  <c r="F14" i="63"/>
  <c r="E14" i="63"/>
  <c r="D14" i="63"/>
  <c r="N8" i="63"/>
  <c r="N15" i="63" s="1"/>
  <c r="M8" i="63"/>
  <c r="M15" i="63" s="1"/>
  <c r="L8" i="63"/>
  <c r="K8" i="63"/>
  <c r="J8" i="63"/>
  <c r="I8" i="63"/>
  <c r="H8" i="63"/>
  <c r="G8" i="63"/>
  <c r="F8" i="63"/>
  <c r="E8" i="63"/>
  <c r="D8" i="63"/>
  <c r="BI259" i="69" l="1"/>
  <c r="BI260" i="69" s="1"/>
  <c r="BI246" i="69" s="1"/>
  <c r="H32" i="63"/>
  <c r="E32" i="63"/>
  <c r="E33" i="63" s="1"/>
  <c r="G32" i="63"/>
  <c r="D32" i="63"/>
  <c r="D15" i="63"/>
  <c r="E15" i="63"/>
  <c r="E16" i="63" s="1"/>
  <c r="F32" i="63"/>
  <c r="F15" i="63"/>
  <c r="G15" i="63"/>
  <c r="H15" i="63"/>
  <c r="I15" i="63"/>
  <c r="J15" i="63"/>
  <c r="K15" i="63"/>
  <c r="L15" i="63"/>
  <c r="J32" i="63"/>
  <c r="K32" i="63"/>
  <c r="L32" i="63"/>
  <c r="M32" i="63"/>
  <c r="N32" i="63"/>
  <c r="Q25" i="63"/>
  <c r="Q31" i="63"/>
  <c r="O32" i="63"/>
  <c r="Q32" i="63"/>
  <c r="Q33" i="63" s="1"/>
  <c r="P32" i="63"/>
  <c r="BI248" i="69" l="1"/>
  <c r="BI255" i="69"/>
  <c r="BJ272" i="69"/>
  <c r="F16" i="63"/>
  <c r="G16" i="63" s="1"/>
  <c r="H16" i="63" s="1"/>
  <c r="I16" i="63" s="1"/>
  <c r="J16" i="63" s="1"/>
  <c r="K16" i="63" s="1"/>
  <c r="L16" i="63" s="1"/>
  <c r="M16" i="63" s="1"/>
  <c r="N16" i="63" s="1"/>
  <c r="F33" i="63"/>
  <c r="G33" i="63" s="1"/>
  <c r="H33" i="63" s="1"/>
  <c r="I33" i="63" s="1"/>
  <c r="J33" i="63" s="1"/>
  <c r="K33" i="63" s="1"/>
  <c r="L33" i="63" s="1"/>
  <c r="M33" i="63" s="1"/>
  <c r="N33" i="63" s="1"/>
  <c r="O33" i="63"/>
  <c r="P33" i="63" s="1"/>
  <c r="BI257" i="69" l="1"/>
  <c r="BI7" i="69"/>
  <c r="BV15" i="62"/>
  <c r="BV14" i="62"/>
  <c r="BV13" i="62"/>
  <c r="BV12" i="62"/>
  <c r="BV11" i="62"/>
  <c r="BV10" i="62"/>
  <c r="BV9" i="62"/>
  <c r="BV8" i="62"/>
  <c r="BV7" i="62"/>
  <c r="BV6" i="62"/>
  <c r="BV5" i="62"/>
  <c r="BV4" i="62"/>
  <c r="BO15" i="62"/>
  <c r="BO14" i="62"/>
  <c r="BO13" i="62"/>
  <c r="BO12" i="62"/>
  <c r="BO11" i="62"/>
  <c r="BO10" i="62"/>
  <c r="BO9" i="62"/>
  <c r="BO8" i="62"/>
  <c r="BO7" i="62"/>
  <c r="BO6" i="62"/>
  <c r="BO5" i="62"/>
  <c r="BO4" i="62"/>
  <c r="BH5" i="62"/>
  <c r="BH6" i="62"/>
  <c r="BH7" i="62"/>
  <c r="BH8" i="62"/>
  <c r="BH9" i="62"/>
  <c r="BH10" i="62"/>
  <c r="BH11" i="62"/>
  <c r="BH12" i="62"/>
  <c r="BH13" i="62"/>
  <c r="BH14" i="62"/>
  <c r="BH15" i="62"/>
  <c r="BH4" i="62"/>
  <c r="BA5" i="62"/>
  <c r="BA6" i="62"/>
  <c r="BA7" i="62"/>
  <c r="BA8" i="62"/>
  <c r="BA9" i="62"/>
  <c r="BA10" i="62"/>
  <c r="BA11" i="62"/>
  <c r="BA12" i="62"/>
  <c r="BA13" i="62"/>
  <c r="BA14" i="62"/>
  <c r="BA15" i="62"/>
  <c r="BA4" i="62"/>
  <c r="AT5" i="62"/>
  <c r="AT6" i="62"/>
  <c r="AT7" i="62"/>
  <c r="AT8" i="62"/>
  <c r="AT9" i="62"/>
  <c r="AT10" i="62"/>
  <c r="AT11" i="62"/>
  <c r="AT12" i="62"/>
  <c r="AT13" i="62"/>
  <c r="AT14" i="62"/>
  <c r="AT15" i="62"/>
  <c r="AT4" i="62"/>
  <c r="AM15" i="62"/>
  <c r="AM14" i="62"/>
  <c r="AM13" i="62"/>
  <c r="AM12" i="62"/>
  <c r="AM11" i="62"/>
  <c r="AM10" i="62"/>
  <c r="AM9" i="62"/>
  <c r="AM8" i="62"/>
  <c r="AM7" i="62"/>
  <c r="AM6" i="62"/>
  <c r="AM5" i="62"/>
  <c r="AM4" i="62"/>
  <c r="AF15" i="62"/>
  <c r="AF14" i="62"/>
  <c r="AF13" i="62"/>
  <c r="AF12" i="62"/>
  <c r="AF11" i="62"/>
  <c r="AF10" i="62"/>
  <c r="AF9" i="62"/>
  <c r="AF8" i="62"/>
  <c r="AF7" i="62"/>
  <c r="AF6" i="62"/>
  <c r="AF5" i="62"/>
  <c r="AF4" i="62"/>
  <c r="Y15" i="62"/>
  <c r="Y14" i="62"/>
  <c r="Y13" i="62"/>
  <c r="Y12" i="62"/>
  <c r="Y11" i="62"/>
  <c r="Y10" i="62"/>
  <c r="Y9" i="62"/>
  <c r="Y8" i="62"/>
  <c r="Y7" i="62"/>
  <c r="Y6" i="62"/>
  <c r="Y5" i="62"/>
  <c r="Y4" i="62"/>
  <c r="R15" i="62"/>
  <c r="R14" i="62"/>
  <c r="R13" i="62"/>
  <c r="R12" i="62"/>
  <c r="R11" i="62"/>
  <c r="R10" i="62"/>
  <c r="R9" i="62"/>
  <c r="R8" i="62"/>
  <c r="R7" i="62"/>
  <c r="R6" i="62"/>
  <c r="R5" i="62"/>
  <c r="R4" i="62"/>
  <c r="K15" i="62"/>
  <c r="K16" i="62" s="1"/>
  <c r="K14" i="62"/>
  <c r="K13" i="62"/>
  <c r="K12" i="62"/>
  <c r="K11" i="62"/>
  <c r="K10" i="62"/>
  <c r="K9" i="62"/>
  <c r="K8" i="62"/>
  <c r="K7" i="62"/>
  <c r="K6" i="62"/>
  <c r="K5" i="62"/>
  <c r="K4" i="62"/>
  <c r="BI9" i="69" l="1"/>
  <c r="BI10" i="69"/>
  <c r="R16" i="62"/>
  <c r="Y16" i="62"/>
  <c r="AF16" i="62" s="1"/>
  <c r="AM16" i="62" s="1"/>
  <c r="AT16" i="62" s="1"/>
  <c r="BA16" i="62" s="1"/>
  <c r="BH16" i="62" s="1"/>
  <c r="BO16" i="62" s="1"/>
  <c r="BV16" i="62" s="1"/>
  <c r="BI12" i="69" l="1"/>
  <c r="BS32" i="56"/>
  <c r="BI13" i="69" l="1"/>
  <c r="CR255" i="56"/>
  <c r="CQ255" i="56"/>
  <c r="CP255" i="56"/>
  <c r="CO255" i="56"/>
  <c r="CN255" i="56"/>
  <c r="CM255" i="56"/>
  <c r="CL255" i="56"/>
  <c r="CK255" i="56"/>
  <c r="CJ255" i="56"/>
  <c r="CI255" i="56"/>
  <c r="CH255" i="56"/>
  <c r="CG255" i="56"/>
  <c r="CR252" i="56"/>
  <c r="CQ252" i="56"/>
  <c r="CP252" i="56"/>
  <c r="CO252" i="56"/>
  <c r="CN252" i="56"/>
  <c r="CM252" i="56"/>
  <c r="CL252" i="56"/>
  <c r="CK252" i="56"/>
  <c r="CJ252" i="56"/>
  <c r="CI252" i="56"/>
  <c r="CH252" i="56"/>
  <c r="CG252" i="56"/>
  <c r="CR245" i="56"/>
  <c r="CQ245" i="56"/>
  <c r="CO245" i="56"/>
  <c r="CN245" i="56"/>
  <c r="CL245" i="56"/>
  <c r="CK245" i="56"/>
  <c r="CH245" i="56"/>
  <c r="CS243" i="56"/>
  <c r="CR242" i="56"/>
  <c r="CQ242" i="56"/>
  <c r="CP242" i="56"/>
  <c r="CO242" i="56"/>
  <c r="CN242" i="56"/>
  <c r="CM242" i="56"/>
  <c r="CL242" i="56"/>
  <c r="CK242" i="56"/>
  <c r="CJ242" i="56"/>
  <c r="CI242" i="56"/>
  <c r="CH242" i="56"/>
  <c r="CG242" i="56"/>
  <c r="CS241" i="56"/>
  <c r="CS240" i="56"/>
  <c r="CS234" i="56"/>
  <c r="CR230" i="56"/>
  <c r="CQ230" i="56"/>
  <c r="CP230" i="56"/>
  <c r="CO230" i="56"/>
  <c r="CN230" i="56"/>
  <c r="CM230" i="56"/>
  <c r="CL230" i="56"/>
  <c r="CK230" i="56"/>
  <c r="CJ230" i="56"/>
  <c r="CI230" i="56"/>
  <c r="CH230" i="56"/>
  <c r="CG230" i="56"/>
  <c r="CS229" i="56"/>
  <c r="CS228" i="56"/>
  <c r="CS252" i="56" s="1"/>
  <c r="CR227" i="56"/>
  <c r="CQ227" i="56"/>
  <c r="CP227" i="56"/>
  <c r="CO227" i="56"/>
  <c r="CN227" i="56"/>
  <c r="CM227" i="56"/>
  <c r="CL227" i="56"/>
  <c r="CK227" i="56"/>
  <c r="CJ227" i="56"/>
  <c r="CI227" i="56"/>
  <c r="CH227" i="56"/>
  <c r="CG227" i="56"/>
  <c r="CS226" i="56"/>
  <c r="CS225" i="56"/>
  <c r="CR224" i="56"/>
  <c r="CQ224" i="56"/>
  <c r="CP224" i="56"/>
  <c r="CO224" i="56"/>
  <c r="CN224" i="56"/>
  <c r="CM224" i="56"/>
  <c r="CL224" i="56"/>
  <c r="CK224" i="56"/>
  <c r="CJ224" i="56"/>
  <c r="CI224" i="56"/>
  <c r="CH224" i="56"/>
  <c r="CG224" i="56"/>
  <c r="CS223" i="56"/>
  <c r="CS222" i="56"/>
  <c r="CS212" i="56"/>
  <c r="CQ231" i="56"/>
  <c r="CP231" i="56"/>
  <c r="CO231" i="56"/>
  <c r="CN231" i="56"/>
  <c r="CM231" i="56"/>
  <c r="CL231" i="56"/>
  <c r="CK231" i="56"/>
  <c r="CJ231" i="56"/>
  <c r="CR198" i="56"/>
  <c r="CQ198" i="56"/>
  <c r="CP198" i="56"/>
  <c r="CO198" i="56"/>
  <c r="CN198" i="56"/>
  <c r="CM198" i="56"/>
  <c r="CL198" i="56"/>
  <c r="CK198" i="56"/>
  <c r="CJ198" i="56"/>
  <c r="CI198" i="56"/>
  <c r="CH198" i="56"/>
  <c r="CG198" i="56"/>
  <c r="CS197" i="56"/>
  <c r="CS196" i="56"/>
  <c r="CS195" i="56"/>
  <c r="CR194" i="56"/>
  <c r="CQ194" i="56"/>
  <c r="CP194" i="56"/>
  <c r="CO194" i="56"/>
  <c r="CN194" i="56"/>
  <c r="CM194" i="56"/>
  <c r="CL194" i="56"/>
  <c r="CK194" i="56"/>
  <c r="CJ194" i="56"/>
  <c r="CI194" i="56"/>
  <c r="CH194" i="56"/>
  <c r="CG194" i="56"/>
  <c r="CS193" i="56"/>
  <c r="CS192" i="56"/>
  <c r="CS191" i="56"/>
  <c r="CR190" i="56"/>
  <c r="CQ190" i="56"/>
  <c r="CP190" i="56"/>
  <c r="CO190" i="56"/>
  <c r="CN190" i="56"/>
  <c r="CM190" i="56"/>
  <c r="CL190" i="56"/>
  <c r="CK190" i="56"/>
  <c r="CJ190" i="56"/>
  <c r="CI190" i="56"/>
  <c r="CH190" i="56"/>
  <c r="CG190" i="56"/>
  <c r="CS189" i="56"/>
  <c r="CS188" i="56"/>
  <c r="CS187" i="56"/>
  <c r="CR186" i="56"/>
  <c r="CQ186" i="56"/>
  <c r="CP186" i="56"/>
  <c r="CO186" i="56"/>
  <c r="CN186" i="56"/>
  <c r="CM186" i="56"/>
  <c r="CL186" i="56"/>
  <c r="CK186" i="56"/>
  <c r="CJ186" i="56"/>
  <c r="CI186" i="56"/>
  <c r="CH186" i="56"/>
  <c r="CG186" i="56"/>
  <c r="CS185" i="56"/>
  <c r="CS184" i="56"/>
  <c r="CS183" i="56"/>
  <c r="CR169" i="56"/>
  <c r="CQ169" i="56"/>
  <c r="CP169" i="56"/>
  <c r="CO169" i="56"/>
  <c r="CN169" i="56"/>
  <c r="CM169" i="56"/>
  <c r="CL169" i="56"/>
  <c r="CK169" i="56"/>
  <c r="CJ169" i="56"/>
  <c r="CI169" i="56"/>
  <c r="CH169" i="56"/>
  <c r="CG169" i="56"/>
  <c r="CS168" i="56"/>
  <c r="CS167" i="56"/>
  <c r="CR160" i="56"/>
  <c r="CQ160" i="56"/>
  <c r="CP160" i="56"/>
  <c r="CO160" i="56"/>
  <c r="CN160" i="56"/>
  <c r="CM160" i="56"/>
  <c r="CL160" i="56"/>
  <c r="CK160" i="56"/>
  <c r="CJ160" i="56"/>
  <c r="CI160" i="56"/>
  <c r="CH160" i="56"/>
  <c r="CG160" i="56"/>
  <c r="CS159" i="56"/>
  <c r="CS158" i="56"/>
  <c r="CR157" i="56"/>
  <c r="CQ157" i="56"/>
  <c r="CP157" i="56"/>
  <c r="CO157" i="56"/>
  <c r="CN157" i="56"/>
  <c r="CM157" i="56"/>
  <c r="CL157" i="56"/>
  <c r="CK157" i="56"/>
  <c r="CJ157" i="56"/>
  <c r="CI157" i="56"/>
  <c r="CH157" i="56"/>
  <c r="CG157" i="56"/>
  <c r="CS156" i="56"/>
  <c r="CS155" i="56"/>
  <c r="CR154" i="56"/>
  <c r="CQ154" i="56"/>
  <c r="CP154" i="56"/>
  <c r="CO154" i="56"/>
  <c r="CN154" i="56"/>
  <c r="CM154" i="56"/>
  <c r="CL154" i="56"/>
  <c r="CK154" i="56"/>
  <c r="CJ154" i="56"/>
  <c r="CI154" i="56"/>
  <c r="CH154" i="56"/>
  <c r="CG154" i="56"/>
  <c r="CS153" i="56"/>
  <c r="CS152" i="56"/>
  <c r="CR151" i="56"/>
  <c r="CQ151" i="56"/>
  <c r="CP151" i="56"/>
  <c r="CO151" i="56"/>
  <c r="CN151" i="56"/>
  <c r="CM151" i="56"/>
  <c r="CL151" i="56"/>
  <c r="CK151" i="56"/>
  <c r="CJ151" i="56"/>
  <c r="CI151" i="56"/>
  <c r="CH151" i="56"/>
  <c r="CG151" i="56"/>
  <c r="CS150" i="56"/>
  <c r="CS149" i="56"/>
  <c r="CR148" i="56"/>
  <c r="CQ148" i="56"/>
  <c r="CP148" i="56"/>
  <c r="CO148" i="56"/>
  <c r="CN148" i="56"/>
  <c r="CM148" i="56"/>
  <c r="CL148" i="56"/>
  <c r="CK148" i="56"/>
  <c r="CJ148" i="56"/>
  <c r="CI148" i="56"/>
  <c r="CH148" i="56"/>
  <c r="CG148" i="56"/>
  <c r="CS147" i="56"/>
  <c r="CS146" i="56"/>
  <c r="CR145" i="56"/>
  <c r="CQ145" i="56"/>
  <c r="CP145" i="56"/>
  <c r="CO145" i="56"/>
  <c r="CN145" i="56"/>
  <c r="CM145" i="56"/>
  <c r="CL145" i="56"/>
  <c r="CK145" i="56"/>
  <c r="CJ145" i="56"/>
  <c r="CI145" i="56"/>
  <c r="CH145" i="56"/>
  <c r="CG145" i="56"/>
  <c r="CS144" i="56"/>
  <c r="CS143" i="56"/>
  <c r="CR142" i="56"/>
  <c r="CQ142" i="56"/>
  <c r="CP142" i="56"/>
  <c r="CO142" i="56"/>
  <c r="CN142" i="56"/>
  <c r="CM142" i="56"/>
  <c r="CL142" i="56"/>
  <c r="CK142" i="56"/>
  <c r="CJ142" i="56"/>
  <c r="CI142" i="56"/>
  <c r="CH142" i="56"/>
  <c r="CG142" i="56"/>
  <c r="CS141" i="56"/>
  <c r="CS140" i="56"/>
  <c r="CR139" i="56"/>
  <c r="CQ139" i="56"/>
  <c r="CP139" i="56"/>
  <c r="CO139" i="56"/>
  <c r="CN139" i="56"/>
  <c r="CM139" i="56"/>
  <c r="CL139" i="56"/>
  <c r="CK139" i="56"/>
  <c r="CJ139" i="56"/>
  <c r="CI139" i="56"/>
  <c r="CH139" i="56"/>
  <c r="CG139" i="56"/>
  <c r="CS138" i="56"/>
  <c r="CS137" i="56"/>
  <c r="CR121" i="56"/>
  <c r="CQ121" i="56"/>
  <c r="CP121" i="56"/>
  <c r="CO121" i="56"/>
  <c r="CN121" i="56"/>
  <c r="CM121" i="56"/>
  <c r="CL121" i="56"/>
  <c r="CK121" i="56"/>
  <c r="CJ121" i="56"/>
  <c r="CI121" i="56"/>
  <c r="CH121" i="56"/>
  <c r="CG121" i="56"/>
  <c r="CS120" i="56"/>
  <c r="CS119" i="56"/>
  <c r="CR118" i="56"/>
  <c r="CQ118" i="56"/>
  <c r="CP118" i="56"/>
  <c r="CO118" i="56"/>
  <c r="CN118" i="56"/>
  <c r="CM118" i="56"/>
  <c r="CL118" i="56"/>
  <c r="CK118" i="56"/>
  <c r="CJ118" i="56"/>
  <c r="CI118" i="56"/>
  <c r="CH118" i="56"/>
  <c r="CG118" i="56"/>
  <c r="CS117" i="56"/>
  <c r="CS116" i="56"/>
  <c r="CR115" i="56"/>
  <c r="CQ115" i="56"/>
  <c r="CP115" i="56"/>
  <c r="CO115" i="56"/>
  <c r="CN115" i="56"/>
  <c r="CM115" i="56"/>
  <c r="CL115" i="56"/>
  <c r="CK115" i="56"/>
  <c r="CJ115" i="56"/>
  <c r="CI115" i="56"/>
  <c r="CH115" i="56"/>
  <c r="CG115" i="56"/>
  <c r="CS114" i="56"/>
  <c r="CS113" i="56"/>
  <c r="CR112" i="56"/>
  <c r="CQ112" i="56"/>
  <c r="CP112" i="56"/>
  <c r="CO112" i="56"/>
  <c r="CN112" i="56"/>
  <c r="CM112" i="56"/>
  <c r="CL112" i="56"/>
  <c r="CK112" i="56"/>
  <c r="CJ112" i="56"/>
  <c r="CI112" i="56"/>
  <c r="CH112" i="56"/>
  <c r="CG112" i="56"/>
  <c r="CS111" i="56"/>
  <c r="CS110" i="56"/>
  <c r="CR109" i="56"/>
  <c r="CQ109" i="56"/>
  <c r="CP109" i="56"/>
  <c r="CO109" i="56"/>
  <c r="CN109" i="56"/>
  <c r="CM109" i="56"/>
  <c r="CL109" i="56"/>
  <c r="CK109" i="56"/>
  <c r="CJ109" i="56"/>
  <c r="CI109" i="56"/>
  <c r="CH109" i="56"/>
  <c r="CG109" i="56"/>
  <c r="CS108" i="56"/>
  <c r="CS107" i="56"/>
  <c r="CR102" i="56"/>
  <c r="CQ102" i="56"/>
  <c r="CP102" i="56"/>
  <c r="CO102" i="56"/>
  <c r="CN102" i="56"/>
  <c r="CM102" i="56"/>
  <c r="CL102" i="56"/>
  <c r="CK102" i="56"/>
  <c r="CJ102" i="56"/>
  <c r="CI102" i="56"/>
  <c r="CH102" i="56"/>
  <c r="CG102" i="56"/>
  <c r="CS101" i="56"/>
  <c r="CS100" i="56"/>
  <c r="CR93" i="56"/>
  <c r="CQ93" i="56"/>
  <c r="CP93" i="56"/>
  <c r="CO93" i="56"/>
  <c r="CN93" i="56"/>
  <c r="CM93" i="56"/>
  <c r="CL93" i="56"/>
  <c r="CK93" i="56"/>
  <c r="CJ93" i="56"/>
  <c r="CI93" i="56"/>
  <c r="CH93" i="56"/>
  <c r="CG93" i="56"/>
  <c r="CS92" i="56"/>
  <c r="CS91" i="56"/>
  <c r="CR90" i="56"/>
  <c r="CQ90" i="56"/>
  <c r="CP90" i="56"/>
  <c r="CO90" i="56"/>
  <c r="CN90" i="56"/>
  <c r="CM90" i="56"/>
  <c r="CL90" i="56"/>
  <c r="CK90" i="56"/>
  <c r="CJ90" i="56"/>
  <c r="CI90" i="56"/>
  <c r="CH90" i="56"/>
  <c r="CG90" i="56"/>
  <c r="CS89" i="56"/>
  <c r="CS88" i="56"/>
  <c r="CR78" i="56"/>
  <c r="CQ78" i="56"/>
  <c r="CP78" i="56"/>
  <c r="CO78" i="56"/>
  <c r="CN78" i="56"/>
  <c r="CM78" i="56"/>
  <c r="CL78" i="56"/>
  <c r="CK78" i="56"/>
  <c r="CJ78" i="56"/>
  <c r="CI78" i="56"/>
  <c r="CH78" i="56"/>
  <c r="CG78" i="56"/>
  <c r="CS77" i="56"/>
  <c r="CS76" i="56"/>
  <c r="CR75" i="56"/>
  <c r="CQ75" i="56"/>
  <c r="CP75" i="56"/>
  <c r="CO75" i="56"/>
  <c r="CN75" i="56"/>
  <c r="CM75" i="56"/>
  <c r="CL75" i="56"/>
  <c r="CK75" i="56"/>
  <c r="CJ75" i="56"/>
  <c r="CI75" i="56"/>
  <c r="CH75" i="56"/>
  <c r="CG75" i="56"/>
  <c r="CS74" i="56"/>
  <c r="CS73" i="56"/>
  <c r="CR72" i="56"/>
  <c r="CQ72" i="56"/>
  <c r="CP72" i="56"/>
  <c r="CO72" i="56"/>
  <c r="CN72" i="56"/>
  <c r="CM72" i="56"/>
  <c r="CL72" i="56"/>
  <c r="CK72" i="56"/>
  <c r="CJ72" i="56"/>
  <c r="CI72" i="56"/>
  <c r="CH72" i="56"/>
  <c r="CG72" i="56"/>
  <c r="CS71" i="56"/>
  <c r="CS70" i="56"/>
  <c r="CR63" i="56"/>
  <c r="CQ63" i="56"/>
  <c r="CP63" i="56"/>
  <c r="CO63" i="56"/>
  <c r="CN63" i="56"/>
  <c r="CM63" i="56"/>
  <c r="CL63" i="56"/>
  <c r="CK63" i="56"/>
  <c r="CJ63" i="56"/>
  <c r="CI63" i="56"/>
  <c r="CH63" i="56"/>
  <c r="CG63" i="56"/>
  <c r="CS62" i="56"/>
  <c r="CS61" i="56"/>
  <c r="CR60" i="56"/>
  <c r="CQ60" i="56"/>
  <c r="CP60" i="56"/>
  <c r="CO60" i="56"/>
  <c r="CN60" i="56"/>
  <c r="CM60" i="56"/>
  <c r="CL60" i="56"/>
  <c r="CK60" i="56"/>
  <c r="CJ60" i="56"/>
  <c r="CI60" i="56"/>
  <c r="CH60" i="56"/>
  <c r="CG60" i="56"/>
  <c r="CS59" i="56"/>
  <c r="CS58" i="56"/>
  <c r="CR57" i="56"/>
  <c r="CQ57" i="56"/>
  <c r="CP57" i="56"/>
  <c r="CO57" i="56"/>
  <c r="CN57" i="56"/>
  <c r="CM57" i="56"/>
  <c r="CL57" i="56"/>
  <c r="CK57" i="56"/>
  <c r="CJ57" i="56"/>
  <c r="CI57" i="56"/>
  <c r="CH57" i="56"/>
  <c r="CG57" i="56"/>
  <c r="CS56" i="56"/>
  <c r="CS55" i="56"/>
  <c r="CR42" i="56"/>
  <c r="CQ42" i="56"/>
  <c r="CP42" i="56"/>
  <c r="CO42" i="56"/>
  <c r="CN42" i="56"/>
  <c r="CM42" i="56"/>
  <c r="CL42" i="56"/>
  <c r="CK42" i="56"/>
  <c r="CJ42" i="56"/>
  <c r="CI42" i="56"/>
  <c r="CH42" i="56"/>
  <c r="CG42" i="56"/>
  <c r="CS41" i="56"/>
  <c r="CS40" i="56"/>
  <c r="CR39" i="56"/>
  <c r="CQ39" i="56"/>
  <c r="CP39" i="56"/>
  <c r="CO39" i="56"/>
  <c r="CN39" i="56"/>
  <c r="CM39" i="56"/>
  <c r="CL39" i="56"/>
  <c r="CK39" i="56"/>
  <c r="CJ39" i="56"/>
  <c r="CI39" i="56"/>
  <c r="CH39" i="56"/>
  <c r="CG39" i="56"/>
  <c r="CS38" i="56"/>
  <c r="CS37" i="56"/>
  <c r="CR36" i="56"/>
  <c r="CQ36" i="56"/>
  <c r="CP36" i="56"/>
  <c r="CO36" i="56"/>
  <c r="CN36" i="56"/>
  <c r="CM36" i="56"/>
  <c r="CL36" i="56"/>
  <c r="CK36" i="56"/>
  <c r="CJ36" i="56"/>
  <c r="CI36" i="56"/>
  <c r="CH36" i="56"/>
  <c r="CG36" i="56"/>
  <c r="CS35" i="56"/>
  <c r="CS34" i="56"/>
  <c r="CR33" i="56"/>
  <c r="CQ33" i="56"/>
  <c r="CP33" i="56"/>
  <c r="CO33" i="56"/>
  <c r="CN33" i="56"/>
  <c r="CM33" i="56"/>
  <c r="CL33" i="56"/>
  <c r="CK33" i="56"/>
  <c r="CJ33" i="56"/>
  <c r="CI33" i="56"/>
  <c r="CH33" i="56"/>
  <c r="CG33" i="56"/>
  <c r="CS32" i="56"/>
  <c r="CS31" i="56"/>
  <c r="CR30" i="56"/>
  <c r="CQ30" i="56"/>
  <c r="CP30" i="56"/>
  <c r="CO30" i="56"/>
  <c r="CN30" i="56"/>
  <c r="CM30" i="56"/>
  <c r="CL30" i="56"/>
  <c r="CK30" i="56"/>
  <c r="CJ30" i="56"/>
  <c r="CI30" i="56"/>
  <c r="CH30" i="56"/>
  <c r="CG30" i="56"/>
  <c r="CS29" i="56"/>
  <c r="CS28" i="56"/>
  <c r="CR27" i="56"/>
  <c r="CQ27" i="56"/>
  <c r="CP27" i="56"/>
  <c r="CO27" i="56"/>
  <c r="CN27" i="56"/>
  <c r="CM27" i="56"/>
  <c r="CL27" i="56"/>
  <c r="CK27" i="56"/>
  <c r="CJ27" i="56"/>
  <c r="CI27" i="56"/>
  <c r="CH27" i="56"/>
  <c r="CG27" i="56"/>
  <c r="CS26" i="56"/>
  <c r="CS25" i="56"/>
  <c r="CR24" i="56"/>
  <c r="CQ24" i="56"/>
  <c r="CP24" i="56"/>
  <c r="CO24" i="56"/>
  <c r="CN24" i="56"/>
  <c r="CM24" i="56"/>
  <c r="CL24" i="56"/>
  <c r="CK24" i="56"/>
  <c r="CJ24" i="56"/>
  <c r="CI24" i="56"/>
  <c r="CH24" i="56"/>
  <c r="CG24" i="56"/>
  <c r="CS23" i="56"/>
  <c r="CS22" i="56"/>
  <c r="CR21" i="56"/>
  <c r="CQ21" i="56"/>
  <c r="CP21" i="56"/>
  <c r="CO21" i="56"/>
  <c r="CN21" i="56"/>
  <c r="CM21" i="56"/>
  <c r="CL21" i="56"/>
  <c r="CK21" i="56"/>
  <c r="CJ21" i="56"/>
  <c r="CI21" i="56"/>
  <c r="CH21" i="56"/>
  <c r="CG21" i="56"/>
  <c r="CS20" i="56"/>
  <c r="CS19" i="56"/>
  <c r="CR18" i="56"/>
  <c r="CQ18" i="56"/>
  <c r="CP18" i="56"/>
  <c r="CO18" i="56"/>
  <c r="CN18" i="56"/>
  <c r="CM18" i="56"/>
  <c r="CL18" i="56"/>
  <c r="CK18" i="56"/>
  <c r="CJ18" i="56"/>
  <c r="CI18" i="56"/>
  <c r="CH18" i="56"/>
  <c r="CG18" i="56"/>
  <c r="CS17" i="56"/>
  <c r="CS16" i="56"/>
  <c r="CE255" i="56"/>
  <c r="CD255" i="56"/>
  <c r="CC255" i="56"/>
  <c r="CB255" i="56"/>
  <c r="CA255" i="56"/>
  <c r="BZ255" i="56"/>
  <c r="BY255" i="56"/>
  <c r="BX255" i="56"/>
  <c r="BW255" i="56"/>
  <c r="BV255" i="56"/>
  <c r="BU255" i="56"/>
  <c r="BT255" i="56"/>
  <c r="CE252" i="56"/>
  <c r="CD252" i="56"/>
  <c r="CC252" i="56"/>
  <c r="CB252" i="56"/>
  <c r="CA252" i="56"/>
  <c r="BZ252" i="56"/>
  <c r="BY252" i="56"/>
  <c r="BX252" i="56"/>
  <c r="BW252" i="56"/>
  <c r="BV252" i="56"/>
  <c r="BU252" i="56"/>
  <c r="BT252" i="56"/>
  <c r="CE245" i="56"/>
  <c r="CD245" i="56"/>
  <c r="CB245" i="56"/>
  <c r="CA245" i="56"/>
  <c r="BY245" i="56"/>
  <c r="BX245" i="56"/>
  <c r="BV245" i="56"/>
  <c r="BU245" i="56"/>
  <c r="CF243" i="56"/>
  <c r="CE242" i="56"/>
  <c r="CD242" i="56"/>
  <c r="CC242" i="56"/>
  <c r="CB242" i="56"/>
  <c r="CA242" i="56"/>
  <c r="BZ242" i="56"/>
  <c r="BY242" i="56"/>
  <c r="BX242" i="56"/>
  <c r="BW242" i="56"/>
  <c r="BV242" i="56"/>
  <c r="BU242" i="56"/>
  <c r="BT242" i="56"/>
  <c r="CF241" i="56"/>
  <c r="CF240" i="56"/>
  <c r="CE230" i="56"/>
  <c r="CD230" i="56"/>
  <c r="CC230" i="56"/>
  <c r="CB230" i="56"/>
  <c r="CA230" i="56"/>
  <c r="BZ230" i="56"/>
  <c r="BY230" i="56"/>
  <c r="BX230" i="56"/>
  <c r="BW230" i="56"/>
  <c r="BV230" i="56"/>
  <c r="BU230" i="56"/>
  <c r="BT230" i="56"/>
  <c r="CF229" i="56"/>
  <c r="CF228" i="56"/>
  <c r="CF252" i="56" s="1"/>
  <c r="CE227" i="56"/>
  <c r="CD227" i="56"/>
  <c r="CC227" i="56"/>
  <c r="CB227" i="56"/>
  <c r="CA227" i="56"/>
  <c r="BZ227" i="56"/>
  <c r="BY227" i="56"/>
  <c r="BX227" i="56"/>
  <c r="BW227" i="56"/>
  <c r="BV227" i="56"/>
  <c r="BU227" i="56"/>
  <c r="BT227" i="56"/>
  <c r="CF226" i="56"/>
  <c r="CF225" i="56"/>
  <c r="CE224" i="56"/>
  <c r="CD224" i="56"/>
  <c r="CC224" i="56"/>
  <c r="CB224" i="56"/>
  <c r="CA224" i="56"/>
  <c r="BZ224" i="56"/>
  <c r="BY224" i="56"/>
  <c r="BX224" i="56"/>
  <c r="BW224" i="56"/>
  <c r="BV224" i="56"/>
  <c r="BU224" i="56"/>
  <c r="BT224" i="56"/>
  <c r="CF223" i="56"/>
  <c r="CF222" i="56"/>
  <c r="CF212" i="56"/>
  <c r="CD231" i="56"/>
  <c r="CC231" i="56"/>
  <c r="CA231" i="56"/>
  <c r="BZ231" i="56"/>
  <c r="BY231" i="56"/>
  <c r="BX231" i="56"/>
  <c r="BW231" i="56"/>
  <c r="BU231" i="56"/>
  <c r="BT231" i="56"/>
  <c r="CE198" i="56"/>
  <c r="CD198" i="56"/>
  <c r="CC198" i="56"/>
  <c r="CB198" i="56"/>
  <c r="CA198" i="56"/>
  <c r="BZ198" i="56"/>
  <c r="BY198" i="56"/>
  <c r="BX198" i="56"/>
  <c r="BW198" i="56"/>
  <c r="BV198" i="56"/>
  <c r="BU198" i="56"/>
  <c r="BT198" i="56"/>
  <c r="CF197" i="56"/>
  <c r="CF196" i="56"/>
  <c r="CF195" i="56"/>
  <c r="CE194" i="56"/>
  <c r="CD194" i="56"/>
  <c r="CC194" i="56"/>
  <c r="CB194" i="56"/>
  <c r="CA194" i="56"/>
  <c r="BZ194" i="56"/>
  <c r="BY194" i="56"/>
  <c r="BX194" i="56"/>
  <c r="BW194" i="56"/>
  <c r="BV194" i="56"/>
  <c r="BU194" i="56"/>
  <c r="BT194" i="56"/>
  <c r="CF193" i="56"/>
  <c r="CF192" i="56"/>
  <c r="CF191" i="56"/>
  <c r="CE190" i="56"/>
  <c r="CD190" i="56"/>
  <c r="CC190" i="56"/>
  <c r="CB190" i="56"/>
  <c r="CA190" i="56"/>
  <c r="BZ190" i="56"/>
  <c r="BY190" i="56"/>
  <c r="BX190" i="56"/>
  <c r="BW190" i="56"/>
  <c r="BV190" i="56"/>
  <c r="BT190" i="56"/>
  <c r="CF189" i="56"/>
  <c r="CF188" i="56"/>
  <c r="CF187" i="56"/>
  <c r="CE186" i="56"/>
  <c r="CD186" i="56"/>
  <c r="CC186" i="56"/>
  <c r="CB186" i="56"/>
  <c r="CA186" i="56"/>
  <c r="BZ186" i="56"/>
  <c r="BY186" i="56"/>
  <c r="BX186" i="56"/>
  <c r="BW186" i="56"/>
  <c r="BV186" i="56"/>
  <c r="BU186" i="56"/>
  <c r="BT186" i="56"/>
  <c r="CF185" i="56"/>
  <c r="CF184" i="56"/>
  <c r="CF183" i="56"/>
  <c r="CE169" i="56"/>
  <c r="CD169" i="56"/>
  <c r="CC169" i="56"/>
  <c r="CB169" i="56"/>
  <c r="CA169" i="56"/>
  <c r="BZ169" i="56"/>
  <c r="BY169" i="56"/>
  <c r="BX169" i="56"/>
  <c r="BW169" i="56"/>
  <c r="BV169" i="56"/>
  <c r="BU169" i="56"/>
  <c r="BT169" i="56"/>
  <c r="CF168" i="56"/>
  <c r="CF167" i="56"/>
  <c r="CE160" i="56"/>
  <c r="CD160" i="56"/>
  <c r="CC160" i="56"/>
  <c r="CB160" i="56"/>
  <c r="CA160" i="56"/>
  <c r="BZ160" i="56"/>
  <c r="BY160" i="56"/>
  <c r="BX160" i="56"/>
  <c r="BW160" i="56"/>
  <c r="BV160" i="56"/>
  <c r="BU160" i="56"/>
  <c r="BT160" i="56"/>
  <c r="CF159" i="56"/>
  <c r="CF158" i="56"/>
  <c r="CE157" i="56"/>
  <c r="CD157" i="56"/>
  <c r="CC157" i="56"/>
  <c r="CB157" i="56"/>
  <c r="CA157" i="56"/>
  <c r="BZ157" i="56"/>
  <c r="BY157" i="56"/>
  <c r="BX157" i="56"/>
  <c r="BW157" i="56"/>
  <c r="BV157" i="56"/>
  <c r="BU157" i="56"/>
  <c r="BT157" i="56"/>
  <c r="CF156" i="56"/>
  <c r="CF155" i="56"/>
  <c r="CE154" i="56"/>
  <c r="CD154" i="56"/>
  <c r="CC154" i="56"/>
  <c r="CB154" i="56"/>
  <c r="CA154" i="56"/>
  <c r="BZ154" i="56"/>
  <c r="BY154" i="56"/>
  <c r="BX154" i="56"/>
  <c r="BW154" i="56"/>
  <c r="BV154" i="56"/>
  <c r="BU154" i="56"/>
  <c r="BT154" i="56"/>
  <c r="CF153" i="56"/>
  <c r="CF152" i="56"/>
  <c r="CE151" i="56"/>
  <c r="CD151" i="56"/>
  <c r="CC151" i="56"/>
  <c r="CB151" i="56"/>
  <c r="CA151" i="56"/>
  <c r="BZ151" i="56"/>
  <c r="BY151" i="56"/>
  <c r="BX151" i="56"/>
  <c r="BW151" i="56"/>
  <c r="BV151" i="56"/>
  <c r="BU151" i="56"/>
  <c r="BT151" i="56"/>
  <c r="CF150" i="56"/>
  <c r="CF149" i="56"/>
  <c r="CE148" i="56"/>
  <c r="CD148" i="56"/>
  <c r="CC148" i="56"/>
  <c r="CB148" i="56"/>
  <c r="CA148" i="56"/>
  <c r="BZ148" i="56"/>
  <c r="BY148" i="56"/>
  <c r="BX148" i="56"/>
  <c r="BW148" i="56"/>
  <c r="BV148" i="56"/>
  <c r="BU148" i="56"/>
  <c r="BT148" i="56"/>
  <c r="CF147" i="56"/>
  <c r="CF146" i="56"/>
  <c r="CE145" i="56"/>
  <c r="CD145" i="56"/>
  <c r="CC145" i="56"/>
  <c r="CB145" i="56"/>
  <c r="CA145" i="56"/>
  <c r="BZ145" i="56"/>
  <c r="BY145" i="56"/>
  <c r="BX145" i="56"/>
  <c r="BW145" i="56"/>
  <c r="BV145" i="56"/>
  <c r="BU145" i="56"/>
  <c r="BT145" i="56"/>
  <c r="CF144" i="56"/>
  <c r="CF143" i="56"/>
  <c r="CE142" i="56"/>
  <c r="CD142" i="56"/>
  <c r="CC142" i="56"/>
  <c r="CB142" i="56"/>
  <c r="CA142" i="56"/>
  <c r="BZ142" i="56"/>
  <c r="BY142" i="56"/>
  <c r="BX142" i="56"/>
  <c r="BW142" i="56"/>
  <c r="BV142" i="56"/>
  <c r="BU142" i="56"/>
  <c r="BT142" i="56"/>
  <c r="CF141" i="56"/>
  <c r="CF140" i="56"/>
  <c r="CE139" i="56"/>
  <c r="CD139" i="56"/>
  <c r="CC139" i="56"/>
  <c r="CB139" i="56"/>
  <c r="CA139" i="56"/>
  <c r="BZ139" i="56"/>
  <c r="BY139" i="56"/>
  <c r="BX139" i="56"/>
  <c r="BW139" i="56"/>
  <c r="BV139" i="56"/>
  <c r="BU139" i="56"/>
  <c r="BT139" i="56"/>
  <c r="CF138" i="56"/>
  <c r="CF137" i="56"/>
  <c r="CE121" i="56"/>
  <c r="CD121" i="56"/>
  <c r="CC121" i="56"/>
  <c r="CB121" i="56"/>
  <c r="CA121" i="56"/>
  <c r="BZ121" i="56"/>
  <c r="BY121" i="56"/>
  <c r="BX121" i="56"/>
  <c r="BW121" i="56"/>
  <c r="BV121" i="56"/>
  <c r="BU121" i="56"/>
  <c r="BT121" i="56"/>
  <c r="CF120" i="56"/>
  <c r="CF119" i="56"/>
  <c r="CE118" i="56"/>
  <c r="CD118" i="56"/>
  <c r="CC118" i="56"/>
  <c r="CB118" i="56"/>
  <c r="CA118" i="56"/>
  <c r="BZ118" i="56"/>
  <c r="BY118" i="56"/>
  <c r="BX118" i="56"/>
  <c r="BW118" i="56"/>
  <c r="BV118" i="56"/>
  <c r="BU118" i="56"/>
  <c r="BT118" i="56"/>
  <c r="CF117" i="56"/>
  <c r="CF116" i="56"/>
  <c r="CE115" i="56"/>
  <c r="CD115" i="56"/>
  <c r="CC115" i="56"/>
  <c r="CB115" i="56"/>
  <c r="CA115" i="56"/>
  <c r="BZ115" i="56"/>
  <c r="BY115" i="56"/>
  <c r="BX115" i="56"/>
  <c r="BW115" i="56"/>
  <c r="BV115" i="56"/>
  <c r="BU115" i="56"/>
  <c r="BT115" i="56"/>
  <c r="CF114" i="56"/>
  <c r="CF113" i="56"/>
  <c r="CE112" i="56"/>
  <c r="CD112" i="56"/>
  <c r="CC112" i="56"/>
  <c r="CB112" i="56"/>
  <c r="CA112" i="56"/>
  <c r="BZ112" i="56"/>
  <c r="BY112" i="56"/>
  <c r="BX112" i="56"/>
  <c r="BW112" i="56"/>
  <c r="BV112" i="56"/>
  <c r="BU112" i="56"/>
  <c r="BT112" i="56"/>
  <c r="CF111" i="56"/>
  <c r="CF110" i="56"/>
  <c r="CE109" i="56"/>
  <c r="CD109" i="56"/>
  <c r="CC109" i="56"/>
  <c r="CB109" i="56"/>
  <c r="CA109" i="56"/>
  <c r="BZ109" i="56"/>
  <c r="BY109" i="56"/>
  <c r="BX109" i="56"/>
  <c r="BW109" i="56"/>
  <c r="BV109" i="56"/>
  <c r="BU109" i="56"/>
  <c r="BT109" i="56"/>
  <c r="CF108" i="56"/>
  <c r="CF107" i="56"/>
  <c r="CE102" i="56"/>
  <c r="CD102" i="56"/>
  <c r="CC102" i="56"/>
  <c r="CB102" i="56"/>
  <c r="CA102" i="56"/>
  <c r="BZ102" i="56"/>
  <c r="BY102" i="56"/>
  <c r="BX102" i="56"/>
  <c r="BW102" i="56"/>
  <c r="BV102" i="56"/>
  <c r="BU102" i="56"/>
  <c r="BT102" i="56"/>
  <c r="CF101" i="56"/>
  <c r="CF100" i="56"/>
  <c r="CE93" i="56"/>
  <c r="CD93" i="56"/>
  <c r="CC93" i="56"/>
  <c r="CB93" i="56"/>
  <c r="CA93" i="56"/>
  <c r="BZ93" i="56"/>
  <c r="BY93" i="56"/>
  <c r="BX93" i="56"/>
  <c r="BW93" i="56"/>
  <c r="BV93" i="56"/>
  <c r="BU93" i="56"/>
  <c r="BT93" i="56"/>
  <c r="CF92" i="56"/>
  <c r="CF91" i="56"/>
  <c r="CE90" i="56"/>
  <c r="CD90" i="56"/>
  <c r="CC90" i="56"/>
  <c r="CB90" i="56"/>
  <c r="CA90" i="56"/>
  <c r="BZ90" i="56"/>
  <c r="BY90" i="56"/>
  <c r="BX90" i="56"/>
  <c r="BW90" i="56"/>
  <c r="BV90" i="56"/>
  <c r="BU90" i="56"/>
  <c r="BT90" i="56"/>
  <c r="CF89" i="56"/>
  <c r="CF88" i="56"/>
  <c r="CE78" i="56"/>
  <c r="CD78" i="56"/>
  <c r="CC78" i="56"/>
  <c r="CB78" i="56"/>
  <c r="CA78" i="56"/>
  <c r="BZ78" i="56"/>
  <c r="BY78" i="56"/>
  <c r="BX78" i="56"/>
  <c r="BW78" i="56"/>
  <c r="BV78" i="56"/>
  <c r="BU78" i="56"/>
  <c r="BT78" i="56"/>
  <c r="CF77" i="56"/>
  <c r="CF76" i="56"/>
  <c r="CE75" i="56"/>
  <c r="CD75" i="56"/>
  <c r="CC75" i="56"/>
  <c r="CB75" i="56"/>
  <c r="CA75" i="56"/>
  <c r="BZ75" i="56"/>
  <c r="BY75" i="56"/>
  <c r="BX75" i="56"/>
  <c r="BW75" i="56"/>
  <c r="BV75" i="56"/>
  <c r="BU75" i="56"/>
  <c r="BT75" i="56"/>
  <c r="CE72" i="56"/>
  <c r="CD72" i="56"/>
  <c r="CC72" i="56"/>
  <c r="CB72" i="56"/>
  <c r="CA72" i="56"/>
  <c r="BZ72" i="56"/>
  <c r="BY72" i="56"/>
  <c r="BX72" i="56"/>
  <c r="BW72" i="56"/>
  <c r="BV72" i="56"/>
  <c r="BU72" i="56"/>
  <c r="BT72" i="56"/>
  <c r="CF71" i="56"/>
  <c r="CF70" i="56"/>
  <c r="CE63" i="56"/>
  <c r="CD63" i="56"/>
  <c r="CC63" i="56"/>
  <c r="CB63" i="56"/>
  <c r="CA63" i="56"/>
  <c r="BZ63" i="56"/>
  <c r="BY63" i="56"/>
  <c r="BX63" i="56"/>
  <c r="BW63" i="56"/>
  <c r="BV63" i="56"/>
  <c r="BU63" i="56"/>
  <c r="BT63" i="56"/>
  <c r="CF62" i="56"/>
  <c r="CF61" i="56"/>
  <c r="CE60" i="56"/>
  <c r="CD60" i="56"/>
  <c r="CC60" i="56"/>
  <c r="CB60" i="56"/>
  <c r="CA60" i="56"/>
  <c r="BZ60" i="56"/>
  <c r="BY60" i="56"/>
  <c r="BX60" i="56"/>
  <c r="BW60" i="56"/>
  <c r="BV60" i="56"/>
  <c r="BU60" i="56"/>
  <c r="BT60" i="56"/>
  <c r="CF59" i="56"/>
  <c r="CF58" i="56"/>
  <c r="CE57" i="56"/>
  <c r="CD57" i="56"/>
  <c r="CC57" i="56"/>
  <c r="CB57" i="56"/>
  <c r="CA57" i="56"/>
  <c r="BZ57" i="56"/>
  <c r="BY57" i="56"/>
  <c r="BX57" i="56"/>
  <c r="BW57" i="56"/>
  <c r="BV57" i="56"/>
  <c r="BU57" i="56"/>
  <c r="BT57" i="56"/>
  <c r="CF56" i="56"/>
  <c r="CF55" i="56"/>
  <c r="CE42" i="56"/>
  <c r="CD42" i="56"/>
  <c r="CC42" i="56"/>
  <c r="CB42" i="56"/>
  <c r="CA42" i="56"/>
  <c r="BZ42" i="56"/>
  <c r="BY42" i="56"/>
  <c r="BX42" i="56"/>
  <c r="BW42" i="56"/>
  <c r="BV42" i="56"/>
  <c r="BU42" i="56"/>
  <c r="BT42" i="56"/>
  <c r="CF41" i="56"/>
  <c r="CF40" i="56"/>
  <c r="CE39" i="56"/>
  <c r="CD39" i="56"/>
  <c r="CC39" i="56"/>
  <c r="CB39" i="56"/>
  <c r="CA39" i="56"/>
  <c r="BZ39" i="56"/>
  <c r="BY39" i="56"/>
  <c r="BX39" i="56"/>
  <c r="BW39" i="56"/>
  <c r="BV39" i="56"/>
  <c r="BU39" i="56"/>
  <c r="BT39" i="56"/>
  <c r="CF38" i="56"/>
  <c r="CF37" i="56"/>
  <c r="CE36" i="56"/>
  <c r="CD36" i="56"/>
  <c r="CC36" i="56"/>
  <c r="CB36" i="56"/>
  <c r="CA36" i="56"/>
  <c r="BZ36" i="56"/>
  <c r="BY36" i="56"/>
  <c r="BX36" i="56"/>
  <c r="BW36" i="56"/>
  <c r="BV36" i="56"/>
  <c r="BU36" i="56"/>
  <c r="BT36" i="56"/>
  <c r="CF35" i="56"/>
  <c r="CF34" i="56"/>
  <c r="CE33" i="56"/>
  <c r="CD33" i="56"/>
  <c r="CC33" i="56"/>
  <c r="CB33" i="56"/>
  <c r="CA33" i="56"/>
  <c r="BZ33" i="56"/>
  <c r="BY33" i="56"/>
  <c r="BX33" i="56"/>
  <c r="BW33" i="56"/>
  <c r="BV33" i="56"/>
  <c r="BU33" i="56"/>
  <c r="BT33" i="56"/>
  <c r="CF32" i="56"/>
  <c r="CF31" i="56"/>
  <c r="CE30" i="56"/>
  <c r="CD30" i="56"/>
  <c r="CC30" i="56"/>
  <c r="CB30" i="56"/>
  <c r="CA30" i="56"/>
  <c r="BZ30" i="56"/>
  <c r="BY30" i="56"/>
  <c r="BX30" i="56"/>
  <c r="BW30" i="56"/>
  <c r="BV30" i="56"/>
  <c r="BU30" i="56"/>
  <c r="BT30" i="56"/>
  <c r="CF29" i="56"/>
  <c r="CF28" i="56"/>
  <c r="CE27" i="56"/>
  <c r="CD27" i="56"/>
  <c r="CC27" i="56"/>
  <c r="CB27" i="56"/>
  <c r="CA27" i="56"/>
  <c r="BZ27" i="56"/>
  <c r="BY27" i="56"/>
  <c r="BX27" i="56"/>
  <c r="BW27" i="56"/>
  <c r="BV27" i="56"/>
  <c r="BU27" i="56"/>
  <c r="BT27" i="56"/>
  <c r="CF26" i="56"/>
  <c r="CF25" i="56"/>
  <c r="CE24" i="56"/>
  <c r="CD24" i="56"/>
  <c r="CC24" i="56"/>
  <c r="CB24" i="56"/>
  <c r="CA24" i="56"/>
  <c r="BZ24" i="56"/>
  <c r="BY24" i="56"/>
  <c r="BX24" i="56"/>
  <c r="BW24" i="56"/>
  <c r="BV24" i="56"/>
  <c r="BU24" i="56"/>
  <c r="BT24" i="56"/>
  <c r="CF23" i="56"/>
  <c r="CF22" i="56"/>
  <c r="CE21" i="56"/>
  <c r="CD21" i="56"/>
  <c r="CC21" i="56"/>
  <c r="CB21" i="56"/>
  <c r="CA21" i="56"/>
  <c r="BZ21" i="56"/>
  <c r="BY21" i="56"/>
  <c r="BX21" i="56"/>
  <c r="BW21" i="56"/>
  <c r="BV21" i="56"/>
  <c r="BU21" i="56"/>
  <c r="BT21" i="56"/>
  <c r="CF20" i="56"/>
  <c r="CF19" i="56"/>
  <c r="CE18" i="56"/>
  <c r="CD18" i="56"/>
  <c r="CC18" i="56"/>
  <c r="CB18" i="56"/>
  <c r="CA18" i="56"/>
  <c r="BZ18" i="56"/>
  <c r="BY18" i="56"/>
  <c r="BX18" i="56"/>
  <c r="BW18" i="56"/>
  <c r="BV18" i="56"/>
  <c r="BU18" i="56"/>
  <c r="BT18" i="56"/>
  <c r="CF17" i="56"/>
  <c r="CF16" i="56"/>
  <c r="BJ259" i="69" l="1"/>
  <c r="BJ260" i="69" s="1"/>
  <c r="BJ246" i="69" s="1"/>
  <c r="CS21" i="56"/>
  <c r="CS230" i="56"/>
  <c r="CR232" i="56"/>
  <c r="BV232" i="56"/>
  <c r="CR210" i="56"/>
  <c r="CS198" i="56"/>
  <c r="CG232" i="56"/>
  <c r="BY232" i="56"/>
  <c r="CH232" i="56"/>
  <c r="CO232" i="56"/>
  <c r="CO233" i="56" s="1"/>
  <c r="BZ232" i="56"/>
  <c r="CI232" i="56"/>
  <c r="CP232" i="56"/>
  <c r="CP233" i="56" s="1"/>
  <c r="CA232" i="56"/>
  <c r="CJ232" i="56"/>
  <c r="CJ233" i="56" s="1"/>
  <c r="CB232" i="56"/>
  <c r="CK232" i="56"/>
  <c r="CK233" i="56" s="1"/>
  <c r="CC232" i="56"/>
  <c r="CL232" i="56"/>
  <c r="CL233" i="56" s="1"/>
  <c r="CD232" i="56"/>
  <c r="CM232" i="56"/>
  <c r="CM233" i="56" s="1"/>
  <c r="CQ232" i="56"/>
  <c r="CQ233" i="56" s="1"/>
  <c r="BU233" i="56"/>
  <c r="CC214" i="56"/>
  <c r="CC218" i="56" s="1"/>
  <c r="CE232" i="56"/>
  <c r="CN232" i="56"/>
  <c r="CN233" i="56" s="1"/>
  <c r="CS154" i="56"/>
  <c r="CF102" i="56"/>
  <c r="BX181" i="56"/>
  <c r="CJ181" i="56"/>
  <c r="CS169" i="56"/>
  <c r="CE181" i="56"/>
  <c r="CS194" i="56"/>
  <c r="CS190" i="56"/>
  <c r="CS186" i="56"/>
  <c r="CS27" i="56"/>
  <c r="CS227" i="56"/>
  <c r="CS224" i="56"/>
  <c r="CS24" i="56"/>
  <c r="CS145" i="56"/>
  <c r="CS157" i="56"/>
  <c r="CN210" i="56"/>
  <c r="CF208" i="56"/>
  <c r="CS115" i="56"/>
  <c r="CS142" i="56"/>
  <c r="CO210" i="56"/>
  <c r="CS93" i="56"/>
  <c r="CS139" i="56"/>
  <c r="CP210" i="56"/>
  <c r="CK210" i="56"/>
  <c r="CQ210" i="56"/>
  <c r="CA210" i="56"/>
  <c r="CS102" i="56"/>
  <c r="CF145" i="56"/>
  <c r="CS209" i="56"/>
  <c r="CS18" i="56"/>
  <c r="CB181" i="56"/>
  <c r="CJ210" i="56"/>
  <c r="BW210" i="56"/>
  <c r="CS78" i="56"/>
  <c r="CS63" i="56"/>
  <c r="CS39" i="56"/>
  <c r="CQ105" i="56"/>
  <c r="CM181" i="56"/>
  <c r="CK215" i="56"/>
  <c r="CK219" i="56" s="1"/>
  <c r="CK5" i="56" s="1"/>
  <c r="CA11" i="53" s="1"/>
  <c r="CK181" i="56"/>
  <c r="CS121" i="56"/>
  <c r="CH181" i="56"/>
  <c r="CN215" i="56"/>
  <c r="CN219" i="56" s="1"/>
  <c r="CN5" i="56" s="1"/>
  <c r="CD11" i="53" s="1"/>
  <c r="CK214" i="56"/>
  <c r="CK218" i="56" s="1"/>
  <c r="CK4" i="56" s="1"/>
  <c r="CA5" i="53" s="1"/>
  <c r="CN181" i="56"/>
  <c r="CR181" i="56"/>
  <c r="CO181" i="56"/>
  <c r="CI215" i="56"/>
  <c r="CI219" i="56" s="1"/>
  <c r="CI5" i="56" s="1"/>
  <c r="BY11" i="53" s="1"/>
  <c r="CS118" i="56"/>
  <c r="CJ215" i="56"/>
  <c r="CJ219" i="56" s="1"/>
  <c r="CJ5" i="56" s="1"/>
  <c r="BZ11" i="53" s="1"/>
  <c r="CH214" i="56"/>
  <c r="CH218" i="56" s="1"/>
  <c r="CH4" i="56" s="1"/>
  <c r="BX5" i="53" s="1"/>
  <c r="CL215" i="56"/>
  <c r="CL219" i="56" s="1"/>
  <c r="CL5" i="56" s="1"/>
  <c r="CB11" i="53" s="1"/>
  <c r="CI214" i="56"/>
  <c r="CI218" i="56" s="1"/>
  <c r="CI4" i="56" s="1"/>
  <c r="BY5" i="53" s="1"/>
  <c r="CL181" i="56"/>
  <c r="CP214" i="56"/>
  <c r="CP218" i="56" s="1"/>
  <c r="CQ214" i="56"/>
  <c r="CQ218" i="56" s="1"/>
  <c r="CG215" i="56"/>
  <c r="CG219" i="56" s="1"/>
  <c r="CG5" i="56" s="1"/>
  <c r="BW11" i="53" s="1"/>
  <c r="CR214" i="56"/>
  <c r="CR218" i="56" s="1"/>
  <c r="CG181" i="56"/>
  <c r="CS75" i="56"/>
  <c r="CS72" i="56"/>
  <c r="CS60" i="56"/>
  <c r="CS57" i="56"/>
  <c r="CN105" i="56"/>
  <c r="CS36" i="56"/>
  <c r="CO105" i="56"/>
  <c r="CS33" i="56"/>
  <c r="CL105" i="56"/>
  <c r="CS30" i="56"/>
  <c r="CM105" i="56"/>
  <c r="CJ214" i="56"/>
  <c r="CJ218" i="56" s="1"/>
  <c r="CJ4" i="56" s="1"/>
  <c r="BZ5" i="53" s="1"/>
  <c r="CP215" i="56"/>
  <c r="CP219" i="56" s="1"/>
  <c r="CP5" i="56" s="1"/>
  <c r="CF11" i="53" s="1"/>
  <c r="CP105" i="56"/>
  <c r="CR105" i="56"/>
  <c r="BZ181" i="56"/>
  <c r="CC215" i="56"/>
  <c r="CC219" i="56" s="1"/>
  <c r="CC5" i="56" s="1"/>
  <c r="BT11" i="53" s="1"/>
  <c r="BY181" i="56"/>
  <c r="BZ214" i="56"/>
  <c r="BZ218" i="56" s="1"/>
  <c r="BU181" i="56"/>
  <c r="CF60" i="56"/>
  <c r="CF39" i="56"/>
  <c r="BW105" i="56"/>
  <c r="BW214" i="56"/>
  <c r="BW218" i="56" s="1"/>
  <c r="BW181" i="56"/>
  <c r="CA215" i="56"/>
  <c r="CA219" i="56" s="1"/>
  <c r="CA5" i="56" s="1"/>
  <c r="BR11" i="53" s="1"/>
  <c r="CS104" i="56"/>
  <c r="CH215" i="56"/>
  <c r="CB215" i="56"/>
  <c r="CB219" i="56" s="1"/>
  <c r="CB5" i="56" s="1"/>
  <c r="BS11" i="53" s="1"/>
  <c r="BY214" i="56"/>
  <c r="BY218" i="56" s="1"/>
  <c r="CF21" i="56"/>
  <c r="CF230" i="56"/>
  <c r="CS90" i="56"/>
  <c r="CK105" i="56"/>
  <c r="CS180" i="56"/>
  <c r="CR231" i="56"/>
  <c r="CI181" i="56"/>
  <c r="CS179" i="56"/>
  <c r="CM215" i="56"/>
  <c r="CM219" i="56" s="1"/>
  <c r="CM5" i="56" s="1"/>
  <c r="CC11" i="53" s="1"/>
  <c r="CF198" i="56"/>
  <c r="CS160" i="56"/>
  <c r="CM214" i="56"/>
  <c r="CA214" i="56"/>
  <c r="CE215" i="56"/>
  <c r="CE219" i="56" s="1"/>
  <c r="CE5" i="56" s="1"/>
  <c r="BV11" i="53" s="1"/>
  <c r="CF190" i="56"/>
  <c r="CP181" i="56"/>
  <c r="CF72" i="56"/>
  <c r="BY105" i="56"/>
  <c r="CC181" i="56"/>
  <c r="CF186" i="56"/>
  <c r="CS112" i="56"/>
  <c r="CQ181" i="56"/>
  <c r="CD181" i="56"/>
  <c r="CF227" i="56"/>
  <c r="CJ105" i="56"/>
  <c r="CS109" i="56"/>
  <c r="CS151" i="56"/>
  <c r="CS208" i="56"/>
  <c r="CG105" i="56"/>
  <c r="CG214" i="56"/>
  <c r="CS103" i="56"/>
  <c r="CF42" i="56"/>
  <c r="CD214" i="56"/>
  <c r="CD218" i="56" s="1"/>
  <c r="BX214" i="56"/>
  <c r="BX218" i="56" s="1"/>
  <c r="BX4" i="56" s="1"/>
  <c r="BO5" i="53" s="1"/>
  <c r="BX105" i="56"/>
  <c r="CA181" i="56"/>
  <c r="CB105" i="56"/>
  <c r="CF154" i="56"/>
  <c r="CF27" i="56"/>
  <c r="CO215" i="56"/>
  <c r="CO219" i="56" s="1"/>
  <c r="CO5" i="56" s="1"/>
  <c r="CE11" i="53" s="1"/>
  <c r="CF24" i="56"/>
  <c r="CE105" i="56"/>
  <c r="CE214" i="56"/>
  <c r="CE218" i="56" s="1"/>
  <c r="CF142" i="56"/>
  <c r="CF151" i="56"/>
  <c r="BT215" i="56"/>
  <c r="BT219" i="56" s="1"/>
  <c r="BT5" i="56" s="1"/>
  <c r="BK11" i="53" s="1"/>
  <c r="CL214" i="56"/>
  <c r="CS148" i="56"/>
  <c r="CF63" i="56"/>
  <c r="CF30" i="56"/>
  <c r="CQ215" i="56"/>
  <c r="CQ219" i="56" s="1"/>
  <c r="CQ5" i="56" s="1"/>
  <c r="CG11" i="53" s="1"/>
  <c r="CG210" i="56"/>
  <c r="CS207" i="56"/>
  <c r="CS42" i="56"/>
  <c r="CN214" i="56"/>
  <c r="CR215" i="56"/>
  <c r="CR219" i="56" s="1"/>
  <c r="CR5" i="56" s="1"/>
  <c r="CH11" i="53" s="1"/>
  <c r="CH210" i="56"/>
  <c r="CG231" i="56"/>
  <c r="CS242" i="56"/>
  <c r="CB231" i="56"/>
  <c r="CB210" i="56"/>
  <c r="CO214" i="56"/>
  <c r="CH105" i="56"/>
  <c r="CI210" i="56"/>
  <c r="CH231" i="56"/>
  <c r="BU214" i="56"/>
  <c r="BU218" i="56" s="1"/>
  <c r="CF224" i="56"/>
  <c r="CI105" i="56"/>
  <c r="CL210" i="56"/>
  <c r="BV105" i="56"/>
  <c r="CM210" i="56"/>
  <c r="CI231" i="56"/>
  <c r="CF57" i="56"/>
  <c r="CB214" i="56"/>
  <c r="CB218" i="56" s="1"/>
  <c r="CF194" i="56"/>
  <c r="BX210" i="56"/>
  <c r="CF139" i="56"/>
  <c r="CC210" i="56"/>
  <c r="CF109" i="56"/>
  <c r="CF112" i="56"/>
  <c r="CF121" i="56"/>
  <c r="CF148" i="56"/>
  <c r="CD210" i="56"/>
  <c r="BW232" i="56"/>
  <c r="CF93" i="56"/>
  <c r="BV210" i="56"/>
  <c r="BX232" i="56"/>
  <c r="CF36" i="56"/>
  <c r="BU105" i="56"/>
  <c r="CF179" i="56"/>
  <c r="CF90" i="56"/>
  <c r="CC105" i="56"/>
  <c r="BY215" i="56"/>
  <c r="BY219" i="56" s="1"/>
  <c r="BY5" i="56" s="1"/>
  <c r="BP11" i="53" s="1"/>
  <c r="BV214" i="56"/>
  <c r="BV181" i="56"/>
  <c r="BZ215" i="56"/>
  <c r="BZ219" i="56" s="1"/>
  <c r="BZ5" i="56" s="1"/>
  <c r="BQ11" i="53" s="1"/>
  <c r="BZ105" i="56"/>
  <c r="CF118" i="56"/>
  <c r="CF104" i="56"/>
  <c r="CA105" i="56"/>
  <c r="CF169" i="56"/>
  <c r="CF33" i="56"/>
  <c r="CF209" i="56"/>
  <c r="BW215" i="56"/>
  <c r="BW219" i="56" s="1"/>
  <c r="BW5" i="56" s="1"/>
  <c r="BN11" i="53" s="1"/>
  <c r="CF160" i="56"/>
  <c r="CF242" i="56"/>
  <c r="BT210" i="56"/>
  <c r="CF207" i="56"/>
  <c r="CD105" i="56"/>
  <c r="CD215" i="56"/>
  <c r="CD219" i="56" s="1"/>
  <c r="CD5" i="56" s="1"/>
  <c r="BU11" i="53" s="1"/>
  <c r="BU210" i="56"/>
  <c r="BU215" i="56"/>
  <c r="BU219" i="56" s="1"/>
  <c r="BU5" i="56" s="1"/>
  <c r="BL11" i="53" s="1"/>
  <c r="CF115" i="56"/>
  <c r="CF75" i="56"/>
  <c r="CF78" i="56"/>
  <c r="BV215" i="56"/>
  <c r="BV219" i="56" s="1"/>
  <c r="BV5" i="56" s="1"/>
  <c r="BM11" i="53" s="1"/>
  <c r="CF18" i="56"/>
  <c r="BT105" i="56"/>
  <c r="BT214" i="56"/>
  <c r="CF103" i="56"/>
  <c r="BX215" i="56"/>
  <c r="BX219" i="56" s="1"/>
  <c r="BX5" i="56" s="1"/>
  <c r="BO11" i="53" s="1"/>
  <c r="CF157" i="56"/>
  <c r="CE210" i="56"/>
  <c r="CE231" i="56"/>
  <c r="BY210" i="56"/>
  <c r="BZ210" i="56"/>
  <c r="BT232" i="56"/>
  <c r="BT233" i="56" s="1"/>
  <c r="CF180" i="56"/>
  <c r="BV231" i="56"/>
  <c r="BT181" i="56"/>
  <c r="BJ248" i="69" l="1"/>
  <c r="BJ255" i="69"/>
  <c r="BW233" i="56"/>
  <c r="CC233" i="56"/>
  <c r="CD233" i="56"/>
  <c r="BZ233" i="56"/>
  <c r="BY233" i="56"/>
  <c r="CA233" i="56"/>
  <c r="CB233" i="56"/>
  <c r="CS232" i="56"/>
  <c r="CK220" i="56"/>
  <c r="CI6" i="56"/>
  <c r="CC216" i="56"/>
  <c r="CK216" i="56"/>
  <c r="CI216" i="56"/>
  <c r="CH216" i="56"/>
  <c r="CJ220" i="56"/>
  <c r="CP216" i="56"/>
  <c r="CJ216" i="56"/>
  <c r="CI220" i="56"/>
  <c r="CS105" i="56"/>
  <c r="CR216" i="56"/>
  <c r="CF231" i="56"/>
  <c r="CA216" i="56"/>
  <c r="BU220" i="56"/>
  <c r="CB216" i="56"/>
  <c r="BW220" i="56"/>
  <c r="CH233" i="56"/>
  <c r="CG218" i="56"/>
  <c r="CG216" i="56"/>
  <c r="CS214" i="56"/>
  <c r="CM216" i="56"/>
  <c r="CM218" i="56"/>
  <c r="CS210" i="56"/>
  <c r="CR4" i="56"/>
  <c r="CH5" i="53" s="1"/>
  <c r="CR220" i="56"/>
  <c r="BW4" i="56"/>
  <c r="CA218" i="56"/>
  <c r="CA220" i="56" s="1"/>
  <c r="CO216" i="56"/>
  <c r="CO218" i="56"/>
  <c r="CE216" i="56"/>
  <c r="CL216" i="56"/>
  <c r="CL218" i="56"/>
  <c r="CF215" i="56"/>
  <c r="CN216" i="56"/>
  <c r="CN218" i="56"/>
  <c r="CQ4" i="56"/>
  <c r="CG5" i="53" s="1"/>
  <c r="CQ220" i="56"/>
  <c r="CQ216" i="56"/>
  <c r="CS181" i="56"/>
  <c r="CJ6" i="56"/>
  <c r="CR233" i="56"/>
  <c r="CK6" i="56"/>
  <c r="CP220" i="56"/>
  <c r="CP4" i="56"/>
  <c r="CF5" i="53" s="1"/>
  <c r="BU4" i="56"/>
  <c r="CG233" i="56"/>
  <c r="CS231" i="56"/>
  <c r="CI233" i="56"/>
  <c r="CH219" i="56"/>
  <c r="CS215" i="56"/>
  <c r="BX6" i="56"/>
  <c r="CC220" i="56"/>
  <c r="CC4" i="56"/>
  <c r="CF5" i="56"/>
  <c r="BY216" i="56"/>
  <c r="CE233" i="56"/>
  <c r="BX216" i="56"/>
  <c r="BZ216" i="56"/>
  <c r="BT218" i="56"/>
  <c r="CF214" i="56"/>
  <c r="BT216" i="56"/>
  <c r="BX233" i="56"/>
  <c r="CF105" i="56"/>
  <c r="BY220" i="56"/>
  <c r="BY4" i="56"/>
  <c r="BP5" i="53" s="1"/>
  <c r="BV218" i="56"/>
  <c r="BV216" i="56"/>
  <c r="BU216" i="56"/>
  <c r="CB4" i="56"/>
  <c r="BS5" i="53" s="1"/>
  <c r="CB220" i="56"/>
  <c r="BZ4" i="56"/>
  <c r="BZ220" i="56"/>
  <c r="CF210" i="56"/>
  <c r="CE4" i="56"/>
  <c r="BV5" i="53" s="1"/>
  <c r="CE220" i="56"/>
  <c r="CD4" i="56"/>
  <c r="BU5" i="53" s="1"/>
  <c r="CD220" i="56"/>
  <c r="CF219" i="56"/>
  <c r="CF181" i="56"/>
  <c r="CD216" i="56"/>
  <c r="BV233" i="56"/>
  <c r="BW216" i="56"/>
  <c r="BX220" i="56"/>
  <c r="CF232" i="56"/>
  <c r="BJ7" i="69" l="1"/>
  <c r="BJ257" i="69"/>
  <c r="BT5" i="53"/>
  <c r="BU269" i="56"/>
  <c r="BU267" i="56"/>
  <c r="BQ5" i="53"/>
  <c r="BU6" i="56"/>
  <c r="BL5" i="53"/>
  <c r="BW6" i="56"/>
  <c r="BN5" i="53"/>
  <c r="CF233" i="56"/>
  <c r="CA4" i="56"/>
  <c r="BU268" i="56" s="1"/>
  <c r="CO4" i="56"/>
  <c r="CE5" i="53" s="1"/>
  <c r="CO220" i="56"/>
  <c r="CH5" i="56"/>
  <c r="BX11" i="53" s="1"/>
  <c r="CS219" i="56"/>
  <c r="CH220" i="56"/>
  <c r="CQ6" i="56"/>
  <c r="CN4" i="56"/>
  <c r="CD5" i="53" s="1"/>
  <c r="CN220" i="56"/>
  <c r="CR6" i="56"/>
  <c r="CS216" i="56"/>
  <c r="CM4" i="56"/>
  <c r="CC5" i="53" s="1"/>
  <c r="CM220" i="56"/>
  <c r="CS233" i="56"/>
  <c r="CP6" i="56"/>
  <c r="CL4" i="56"/>
  <c r="CB5" i="53" s="1"/>
  <c r="CL220" i="56"/>
  <c r="CS218" i="56"/>
  <c r="CG220" i="56"/>
  <c r="CG4" i="56"/>
  <c r="BW5" i="53" s="1"/>
  <c r="CB6" i="56"/>
  <c r="BV220" i="56"/>
  <c r="BV4" i="56"/>
  <c r="BM5" i="53" s="1"/>
  <c r="CE6" i="56"/>
  <c r="CF218" i="56"/>
  <c r="BT220" i="56"/>
  <c r="BT4" i="56"/>
  <c r="CD6" i="56"/>
  <c r="CC6" i="56"/>
  <c r="BZ6" i="56"/>
  <c r="BY6" i="56"/>
  <c r="CF216" i="56"/>
  <c r="AR209" i="56"/>
  <c r="AQ209" i="56"/>
  <c r="AP209" i="56"/>
  <c r="AO209" i="56"/>
  <c r="AN209" i="56"/>
  <c r="AM209" i="56"/>
  <c r="AL209" i="56"/>
  <c r="AK209" i="56"/>
  <c r="AI209" i="56"/>
  <c r="AH209" i="56"/>
  <c r="AG209" i="56"/>
  <c r="AR208" i="56"/>
  <c r="AQ208" i="56"/>
  <c r="AP208" i="56"/>
  <c r="AO208" i="56"/>
  <c r="AN208" i="56"/>
  <c r="AM208" i="56"/>
  <c r="AL208" i="56"/>
  <c r="AK208" i="56"/>
  <c r="AJ208" i="56"/>
  <c r="AI208" i="56"/>
  <c r="AH208" i="56"/>
  <c r="AG208" i="56"/>
  <c r="AR207" i="56"/>
  <c r="AR231" i="56" s="1"/>
  <c r="AQ207" i="56"/>
  <c r="AP207" i="56"/>
  <c r="AO207" i="56"/>
  <c r="AN207" i="56"/>
  <c r="AM207" i="56"/>
  <c r="AL207" i="56"/>
  <c r="AK207" i="56"/>
  <c r="AJ207" i="56"/>
  <c r="AI207" i="56"/>
  <c r="AH207" i="56"/>
  <c r="AG207" i="56"/>
  <c r="BJ9" i="69" l="1"/>
  <c r="BJ10" i="69"/>
  <c r="BU266" i="56"/>
  <c r="BK5" i="53"/>
  <c r="CF220" i="56"/>
  <c r="CA6" i="56"/>
  <c r="CC245" i="56" s="1"/>
  <c r="BR5" i="53"/>
  <c r="CS220" i="56"/>
  <c r="CS5" i="56"/>
  <c r="CH6" i="56"/>
  <c r="CM6" i="56"/>
  <c r="CN6" i="56"/>
  <c r="CG6" i="56"/>
  <c r="CS4" i="56"/>
  <c r="CL6" i="56"/>
  <c r="CO6" i="56"/>
  <c r="BV6" i="56"/>
  <c r="BT6" i="56"/>
  <c r="CF4" i="56"/>
  <c r="BJ12" i="69" l="1"/>
  <c r="BU270" i="56"/>
  <c r="BV266" i="56" s="1"/>
  <c r="CF6" i="56"/>
  <c r="CS6" i="56"/>
  <c r="BJ13" i="69" l="1"/>
  <c r="BV269" i="56"/>
  <c r="BV268" i="56"/>
  <c r="BV267" i="56"/>
  <c r="CV245" i="56"/>
  <c r="CG245" i="56"/>
  <c r="BF55" i="56"/>
  <c r="BF56" i="56"/>
  <c r="BK259" i="69" l="1"/>
  <c r="BK260" i="69" s="1"/>
  <c r="BK246" i="69" s="1"/>
  <c r="AJ209" i="56"/>
  <c r="BK248" i="69" l="1"/>
  <c r="BK255" i="69"/>
  <c r="DG78" i="56"/>
  <c r="BR78" i="56"/>
  <c r="BQ78" i="56"/>
  <c r="BP78" i="56"/>
  <c r="BO78" i="56"/>
  <c r="BN78" i="56"/>
  <c r="BM78" i="56"/>
  <c r="BL78" i="56"/>
  <c r="BK78" i="56"/>
  <c r="BJ78" i="56"/>
  <c r="BI78" i="56"/>
  <c r="BH78" i="56"/>
  <c r="BG78" i="56"/>
  <c r="BE78" i="56"/>
  <c r="BD78" i="56"/>
  <c r="BC78" i="56"/>
  <c r="BB78" i="56"/>
  <c r="BA78" i="56"/>
  <c r="AZ78" i="56"/>
  <c r="AY78" i="56"/>
  <c r="AX78" i="56"/>
  <c r="AW78" i="56"/>
  <c r="AV78" i="56"/>
  <c r="AU78" i="56"/>
  <c r="AT78" i="56"/>
  <c r="AR78" i="56"/>
  <c r="AQ78" i="56"/>
  <c r="AP78" i="56"/>
  <c r="AO78" i="56"/>
  <c r="AN78" i="56"/>
  <c r="AM78" i="56"/>
  <c r="AL78" i="56"/>
  <c r="AK78" i="56"/>
  <c r="AJ78" i="56"/>
  <c r="AI78" i="56"/>
  <c r="AH78" i="56"/>
  <c r="AG78" i="56"/>
  <c r="AE78" i="56"/>
  <c r="AD78" i="56"/>
  <c r="AC78" i="56"/>
  <c r="AB78" i="56"/>
  <c r="AA78" i="56"/>
  <c r="Z78" i="56"/>
  <c r="Y78" i="56"/>
  <c r="X78" i="56"/>
  <c r="W78" i="56"/>
  <c r="V78" i="56"/>
  <c r="U78" i="56"/>
  <c r="T78" i="56"/>
  <c r="R78" i="56"/>
  <c r="Q78" i="56"/>
  <c r="P78" i="56"/>
  <c r="O78" i="56"/>
  <c r="N78" i="56"/>
  <c r="M78" i="56"/>
  <c r="L78" i="56"/>
  <c r="K78" i="56"/>
  <c r="J78" i="56"/>
  <c r="I78" i="56"/>
  <c r="H78" i="56"/>
  <c r="G78" i="56"/>
  <c r="F78" i="56"/>
  <c r="BS77" i="56"/>
  <c r="BF77" i="56"/>
  <c r="AS77" i="56"/>
  <c r="AF77" i="56"/>
  <c r="BS76" i="56"/>
  <c r="BF76" i="56"/>
  <c r="AS76" i="56"/>
  <c r="AF76" i="56"/>
  <c r="DG75" i="56"/>
  <c r="BR75" i="56"/>
  <c r="BQ75" i="56"/>
  <c r="BP75" i="56"/>
  <c r="BO75" i="56"/>
  <c r="BN75" i="56"/>
  <c r="BM75" i="56"/>
  <c r="BL75" i="56"/>
  <c r="BK75" i="56"/>
  <c r="BJ75" i="56"/>
  <c r="BI75" i="56"/>
  <c r="BH75" i="56"/>
  <c r="BG75" i="56"/>
  <c r="BE75" i="56"/>
  <c r="BD75" i="56"/>
  <c r="BC75" i="56"/>
  <c r="BB75" i="56"/>
  <c r="BA75" i="56"/>
  <c r="AZ75" i="56"/>
  <c r="AY75" i="56"/>
  <c r="AX75" i="56"/>
  <c r="AW75" i="56"/>
  <c r="AV75" i="56"/>
  <c r="AU75" i="56"/>
  <c r="AT75" i="56"/>
  <c r="AR75" i="56"/>
  <c r="AQ75" i="56"/>
  <c r="AP75" i="56"/>
  <c r="AO75" i="56"/>
  <c r="AN75" i="56"/>
  <c r="AM75" i="56"/>
  <c r="AL75" i="56"/>
  <c r="AK75" i="56"/>
  <c r="AJ75" i="56"/>
  <c r="AI75" i="56"/>
  <c r="AH75" i="56"/>
  <c r="AG75" i="56"/>
  <c r="AE75" i="56"/>
  <c r="AD75" i="56"/>
  <c r="AC75" i="56"/>
  <c r="AB75" i="56"/>
  <c r="AA75" i="56"/>
  <c r="Z75" i="56"/>
  <c r="Y75" i="56"/>
  <c r="X75" i="56"/>
  <c r="W75" i="56"/>
  <c r="V75" i="56"/>
  <c r="U75" i="56"/>
  <c r="T75" i="56"/>
  <c r="R75" i="56"/>
  <c r="Q75" i="56"/>
  <c r="P75" i="56"/>
  <c r="O75" i="56"/>
  <c r="N75" i="56"/>
  <c r="M75" i="56"/>
  <c r="L75" i="56"/>
  <c r="K75" i="56"/>
  <c r="J75" i="56"/>
  <c r="I75" i="56"/>
  <c r="H75" i="56"/>
  <c r="G75" i="56"/>
  <c r="F75" i="56"/>
  <c r="BS74" i="56"/>
  <c r="BF74" i="56"/>
  <c r="AS74" i="56"/>
  <c r="DM74" i="56" s="1"/>
  <c r="AF74" i="56"/>
  <c r="BS73" i="56"/>
  <c r="BF73" i="56"/>
  <c r="AS73" i="56"/>
  <c r="AF73" i="56"/>
  <c r="DG72" i="56"/>
  <c r="BR72" i="56"/>
  <c r="BQ72" i="56"/>
  <c r="BP72" i="56"/>
  <c r="BO72" i="56"/>
  <c r="BN72" i="56"/>
  <c r="BM72" i="56"/>
  <c r="BL72" i="56"/>
  <c r="BK72" i="56"/>
  <c r="BJ72" i="56"/>
  <c r="BI72" i="56"/>
  <c r="BH72" i="56"/>
  <c r="BG72" i="56"/>
  <c r="BE72" i="56"/>
  <c r="BD72" i="56"/>
  <c r="BC72" i="56"/>
  <c r="BB72" i="56"/>
  <c r="BA72" i="56"/>
  <c r="AZ72" i="56"/>
  <c r="AY72" i="56"/>
  <c r="AX72" i="56"/>
  <c r="AW72" i="56"/>
  <c r="AV72" i="56"/>
  <c r="AU72" i="56"/>
  <c r="AT72" i="56"/>
  <c r="AR72" i="56"/>
  <c r="AQ72" i="56"/>
  <c r="AP72" i="56"/>
  <c r="AO72" i="56"/>
  <c r="AN72" i="56"/>
  <c r="AM72" i="56"/>
  <c r="AL72" i="56"/>
  <c r="AK72" i="56"/>
  <c r="AJ72" i="56"/>
  <c r="AI72" i="56"/>
  <c r="AH72" i="56"/>
  <c r="AG72" i="56"/>
  <c r="AE72" i="56"/>
  <c r="AD72" i="56"/>
  <c r="AC72" i="56"/>
  <c r="AB72" i="56"/>
  <c r="AA72" i="56"/>
  <c r="Z72" i="56"/>
  <c r="Y72" i="56"/>
  <c r="X72" i="56"/>
  <c r="W72" i="56"/>
  <c r="V72" i="56"/>
  <c r="U72" i="56"/>
  <c r="T72" i="56"/>
  <c r="R72" i="56"/>
  <c r="Q72" i="56"/>
  <c r="P72" i="56"/>
  <c r="O72" i="56"/>
  <c r="N72" i="56"/>
  <c r="M72" i="56"/>
  <c r="L72" i="56"/>
  <c r="K72" i="56"/>
  <c r="J72" i="56"/>
  <c r="I72" i="56"/>
  <c r="H72" i="56"/>
  <c r="G72" i="56"/>
  <c r="F72" i="56"/>
  <c r="BS71" i="56"/>
  <c r="BF71" i="56"/>
  <c r="AS71" i="56"/>
  <c r="AF71" i="56"/>
  <c r="BS70" i="56"/>
  <c r="BF70" i="56"/>
  <c r="AS70" i="56"/>
  <c r="AF70" i="56"/>
  <c r="DG63" i="56"/>
  <c r="BR63" i="56"/>
  <c r="BQ63" i="56"/>
  <c r="BP63" i="56"/>
  <c r="BO63" i="56"/>
  <c r="BN63" i="56"/>
  <c r="BM63" i="56"/>
  <c r="BL63" i="56"/>
  <c r="BK63" i="56"/>
  <c r="BJ63" i="56"/>
  <c r="BI63" i="56"/>
  <c r="BH63" i="56"/>
  <c r="BG63" i="56"/>
  <c r="BE63" i="56"/>
  <c r="BD63" i="56"/>
  <c r="BC63" i="56"/>
  <c r="BB63" i="56"/>
  <c r="BA63" i="56"/>
  <c r="AZ63" i="56"/>
  <c r="AY63" i="56"/>
  <c r="AX63" i="56"/>
  <c r="AW63" i="56"/>
  <c r="AV63" i="56"/>
  <c r="AU63" i="56"/>
  <c r="AT63" i="56"/>
  <c r="AR63" i="56"/>
  <c r="AQ63" i="56"/>
  <c r="AP63" i="56"/>
  <c r="AO63" i="56"/>
  <c r="AN63" i="56"/>
  <c r="AM63" i="56"/>
  <c r="AL63" i="56"/>
  <c r="AK63" i="56"/>
  <c r="AJ63" i="56"/>
  <c r="AI63" i="56"/>
  <c r="AH63" i="56"/>
  <c r="AG63" i="56"/>
  <c r="AE63" i="56"/>
  <c r="AD63" i="56"/>
  <c r="AC63" i="56"/>
  <c r="AB63" i="56"/>
  <c r="AA63" i="56"/>
  <c r="Z63" i="56"/>
  <c r="Y63" i="56"/>
  <c r="X63" i="56"/>
  <c r="W63" i="56"/>
  <c r="V63" i="56"/>
  <c r="U63" i="56"/>
  <c r="T63" i="56"/>
  <c r="R63" i="56"/>
  <c r="Q63" i="56"/>
  <c r="P63" i="56"/>
  <c r="O63" i="56"/>
  <c r="N63" i="56"/>
  <c r="M63" i="56"/>
  <c r="L63" i="56"/>
  <c r="K63" i="56"/>
  <c r="J63" i="56"/>
  <c r="I63" i="56"/>
  <c r="H63" i="56"/>
  <c r="G63" i="56"/>
  <c r="F63" i="56"/>
  <c r="BS62" i="56"/>
  <c r="BF62" i="56"/>
  <c r="AS62" i="56"/>
  <c r="DM62" i="56" s="1"/>
  <c r="AF62" i="56"/>
  <c r="BS61" i="56"/>
  <c r="BF61" i="56"/>
  <c r="AS61" i="56"/>
  <c r="DM61" i="56" s="1"/>
  <c r="AF61" i="56"/>
  <c r="DG60" i="56"/>
  <c r="BR60" i="56"/>
  <c r="BQ60" i="56"/>
  <c r="BP60" i="56"/>
  <c r="BO60" i="56"/>
  <c r="BN60" i="56"/>
  <c r="BM60" i="56"/>
  <c r="BL60" i="56"/>
  <c r="BK60" i="56"/>
  <c r="BJ60" i="56"/>
  <c r="BI60" i="56"/>
  <c r="BH60" i="56"/>
  <c r="BG60" i="56"/>
  <c r="BE60" i="56"/>
  <c r="BD60" i="56"/>
  <c r="BC60" i="56"/>
  <c r="BB60" i="56"/>
  <c r="BA60" i="56"/>
  <c r="AZ60" i="56"/>
  <c r="AY60" i="56"/>
  <c r="AX60" i="56"/>
  <c r="AW60" i="56"/>
  <c r="AV60" i="56"/>
  <c r="AU60" i="56"/>
  <c r="AT60" i="56"/>
  <c r="AR60" i="56"/>
  <c r="AQ60" i="56"/>
  <c r="AP60" i="56"/>
  <c r="AO60" i="56"/>
  <c r="AN60" i="56"/>
  <c r="AM60" i="56"/>
  <c r="AL60" i="56"/>
  <c r="AK60" i="56"/>
  <c r="AJ60" i="56"/>
  <c r="AI60" i="56"/>
  <c r="AH60" i="56"/>
  <c r="AG60" i="56"/>
  <c r="AE60" i="56"/>
  <c r="AD60" i="56"/>
  <c r="AC60" i="56"/>
  <c r="AB60" i="56"/>
  <c r="AA60" i="56"/>
  <c r="Z60" i="56"/>
  <c r="Y60" i="56"/>
  <c r="X60" i="56"/>
  <c r="W60" i="56"/>
  <c r="V60" i="56"/>
  <c r="U60" i="56"/>
  <c r="T60" i="56"/>
  <c r="R60" i="56"/>
  <c r="Q60" i="56"/>
  <c r="P60" i="56"/>
  <c r="O60" i="56"/>
  <c r="N60" i="56"/>
  <c r="M60" i="56"/>
  <c r="L60" i="56"/>
  <c r="K60" i="56"/>
  <c r="J60" i="56"/>
  <c r="I60" i="56"/>
  <c r="H60" i="56"/>
  <c r="G60" i="56"/>
  <c r="F60" i="56"/>
  <c r="BS59" i="56"/>
  <c r="BF59" i="56"/>
  <c r="AS59" i="56"/>
  <c r="AF59" i="56"/>
  <c r="BS58" i="56"/>
  <c r="BF58" i="56"/>
  <c r="AS58" i="56"/>
  <c r="AF58" i="56"/>
  <c r="DG57" i="56"/>
  <c r="BR57" i="56"/>
  <c r="BQ57" i="56"/>
  <c r="BP57" i="56"/>
  <c r="BO57" i="56"/>
  <c r="BN57" i="56"/>
  <c r="BM57" i="56"/>
  <c r="BL57" i="56"/>
  <c r="BK57" i="56"/>
  <c r="BJ57" i="56"/>
  <c r="BI57" i="56"/>
  <c r="BH57" i="56"/>
  <c r="BG57" i="56"/>
  <c r="BE57" i="56"/>
  <c r="BD57" i="56"/>
  <c r="BC57" i="56"/>
  <c r="BB57" i="56"/>
  <c r="BA57" i="56"/>
  <c r="AZ57" i="56"/>
  <c r="AY57" i="56"/>
  <c r="AX57" i="56"/>
  <c r="AW57" i="56"/>
  <c r="AV57" i="56"/>
  <c r="AU57" i="56"/>
  <c r="AT57" i="56"/>
  <c r="AR57" i="56"/>
  <c r="AQ57" i="56"/>
  <c r="AP57" i="56"/>
  <c r="AO57" i="56"/>
  <c r="AN57" i="56"/>
  <c r="AM57" i="56"/>
  <c r="AL57" i="56"/>
  <c r="AK57" i="56"/>
  <c r="AJ57" i="56"/>
  <c r="AI57" i="56"/>
  <c r="AH57" i="56"/>
  <c r="AG57" i="56"/>
  <c r="AE57" i="56"/>
  <c r="AD57" i="56"/>
  <c r="AC57" i="56"/>
  <c r="AB57" i="56"/>
  <c r="AA57" i="56"/>
  <c r="Z57" i="56"/>
  <c r="Y57" i="56"/>
  <c r="X57" i="56"/>
  <c r="W57" i="56"/>
  <c r="V57" i="56"/>
  <c r="U57" i="56"/>
  <c r="T57" i="56"/>
  <c r="R57" i="56"/>
  <c r="Q57" i="56"/>
  <c r="P57" i="56"/>
  <c r="O57" i="56"/>
  <c r="N57" i="56"/>
  <c r="M57" i="56"/>
  <c r="L57" i="56"/>
  <c r="K57" i="56"/>
  <c r="J57" i="56"/>
  <c r="I57" i="56"/>
  <c r="H57" i="56"/>
  <c r="G57" i="56"/>
  <c r="F57" i="56"/>
  <c r="BS56" i="56"/>
  <c r="AS56" i="56"/>
  <c r="DM56" i="56" s="1"/>
  <c r="AF56" i="56"/>
  <c r="BS55" i="56"/>
  <c r="AS55" i="56"/>
  <c r="AF55" i="56"/>
  <c r="DG33" i="56"/>
  <c r="BR33" i="56"/>
  <c r="BQ33" i="56"/>
  <c r="BP33" i="56"/>
  <c r="BO33" i="56"/>
  <c r="BN33" i="56"/>
  <c r="BM33" i="56"/>
  <c r="BL33" i="56"/>
  <c r="BK33" i="56"/>
  <c r="BJ33" i="56"/>
  <c r="BI33" i="56"/>
  <c r="BG33" i="56"/>
  <c r="BE33" i="56"/>
  <c r="BD33" i="56"/>
  <c r="BC33" i="56"/>
  <c r="BB33" i="56"/>
  <c r="BA33" i="56"/>
  <c r="AZ33" i="56"/>
  <c r="AY33" i="56"/>
  <c r="AX33" i="56"/>
  <c r="AW33" i="56"/>
  <c r="AV33" i="56"/>
  <c r="AU33" i="56"/>
  <c r="AT33" i="56"/>
  <c r="AR33" i="56"/>
  <c r="AQ33" i="56"/>
  <c r="AP33" i="56"/>
  <c r="AO33" i="56"/>
  <c r="AN33" i="56"/>
  <c r="AM33" i="56"/>
  <c r="AL33" i="56"/>
  <c r="AK33" i="56"/>
  <c r="AJ33" i="56"/>
  <c r="AI33" i="56"/>
  <c r="AH33" i="56"/>
  <c r="AG33" i="56"/>
  <c r="AE33" i="56"/>
  <c r="AD33" i="56"/>
  <c r="AC33" i="56"/>
  <c r="AB33" i="56"/>
  <c r="AA33" i="56"/>
  <c r="Z33" i="56"/>
  <c r="Y33" i="56"/>
  <c r="X33" i="56"/>
  <c r="W33" i="56"/>
  <c r="V33" i="56"/>
  <c r="U33" i="56"/>
  <c r="T33" i="56"/>
  <c r="R33" i="56"/>
  <c r="Q33" i="56"/>
  <c r="P33" i="56"/>
  <c r="O33" i="56"/>
  <c r="N33" i="56"/>
  <c r="M33" i="56"/>
  <c r="L33" i="56"/>
  <c r="K33" i="56"/>
  <c r="J33" i="56"/>
  <c r="I33" i="56"/>
  <c r="H33" i="56"/>
  <c r="G33" i="56"/>
  <c r="F33" i="56"/>
  <c r="BF32" i="56"/>
  <c r="AS32" i="56"/>
  <c r="AF32" i="56"/>
  <c r="S32" i="56"/>
  <c r="BS31" i="56"/>
  <c r="BF31" i="56"/>
  <c r="AS31" i="56"/>
  <c r="AF31" i="56"/>
  <c r="S31" i="56"/>
  <c r="DG30" i="56"/>
  <c r="BR30" i="56"/>
  <c r="BQ30" i="56"/>
  <c r="BP30" i="56"/>
  <c r="BO30" i="56"/>
  <c r="BN30" i="56"/>
  <c r="BM30" i="56"/>
  <c r="BL30" i="56"/>
  <c r="BK30" i="56"/>
  <c r="BJ30" i="56"/>
  <c r="BI30" i="56"/>
  <c r="BH30" i="56"/>
  <c r="BG30" i="56"/>
  <c r="BE30" i="56"/>
  <c r="BD30" i="56"/>
  <c r="BC30" i="56"/>
  <c r="BB30" i="56"/>
  <c r="BA30" i="56"/>
  <c r="AZ30" i="56"/>
  <c r="AY30" i="56"/>
  <c r="AX30" i="56"/>
  <c r="AV30" i="56"/>
  <c r="AU30" i="56"/>
  <c r="AT30" i="56"/>
  <c r="AR30" i="56"/>
  <c r="AQ30" i="56"/>
  <c r="AP30" i="56"/>
  <c r="AO30" i="56"/>
  <c r="AN30" i="56"/>
  <c r="AM30" i="56"/>
  <c r="AL30" i="56"/>
  <c r="AK30" i="56"/>
  <c r="AJ30" i="56"/>
  <c r="AI30" i="56"/>
  <c r="AH30" i="56"/>
  <c r="AG30" i="56"/>
  <c r="AE30" i="56"/>
  <c r="AD30" i="56"/>
  <c r="AC30" i="56"/>
  <c r="AB30" i="56"/>
  <c r="AA30" i="56"/>
  <c r="Z30" i="56"/>
  <c r="Y30" i="56"/>
  <c r="X30" i="56"/>
  <c r="W30" i="56"/>
  <c r="V30" i="56"/>
  <c r="U30" i="56"/>
  <c r="T30" i="56"/>
  <c r="R30" i="56"/>
  <c r="Q30" i="56"/>
  <c r="P30" i="56"/>
  <c r="O30" i="56"/>
  <c r="N30" i="56"/>
  <c r="M30" i="56"/>
  <c r="L30" i="56"/>
  <c r="K30" i="56"/>
  <c r="J30" i="56"/>
  <c r="I30" i="56"/>
  <c r="H30" i="56"/>
  <c r="G30" i="56"/>
  <c r="F30" i="56"/>
  <c r="BS29" i="56"/>
  <c r="BF29" i="56"/>
  <c r="AS29" i="56"/>
  <c r="AF29" i="56"/>
  <c r="S29" i="56"/>
  <c r="BS28" i="56"/>
  <c r="BF28" i="56"/>
  <c r="AS28" i="56"/>
  <c r="AF28" i="56"/>
  <c r="S28" i="56"/>
  <c r="DG39" i="56"/>
  <c r="BR39" i="56"/>
  <c r="BQ39" i="56"/>
  <c r="BP39" i="56"/>
  <c r="BO39" i="56"/>
  <c r="BN39" i="56"/>
  <c r="BM39" i="56"/>
  <c r="BL39" i="56"/>
  <c r="BK39" i="56"/>
  <c r="BJ39" i="56"/>
  <c r="BI39" i="56"/>
  <c r="BH39" i="56"/>
  <c r="BG39" i="56"/>
  <c r="BE39" i="56"/>
  <c r="BD39" i="56"/>
  <c r="BC39" i="56"/>
  <c r="BB39" i="56"/>
  <c r="BA39" i="56"/>
  <c r="AZ39" i="56"/>
  <c r="AY39" i="56"/>
  <c r="AX39" i="56"/>
  <c r="AW39" i="56"/>
  <c r="AV39" i="56"/>
  <c r="AU39" i="56"/>
  <c r="AT39" i="56"/>
  <c r="AR39" i="56"/>
  <c r="AQ39" i="56"/>
  <c r="AP39" i="56"/>
  <c r="AO39" i="56"/>
  <c r="AN39" i="56"/>
  <c r="AM39" i="56"/>
  <c r="AL39" i="56"/>
  <c r="AK39" i="56"/>
  <c r="AJ39" i="56"/>
  <c r="AI39" i="56"/>
  <c r="AH39" i="56"/>
  <c r="AG39" i="56"/>
  <c r="AE39" i="56"/>
  <c r="AD39" i="56"/>
  <c r="AC39" i="56"/>
  <c r="AB39" i="56"/>
  <c r="AA39" i="56"/>
  <c r="Z39" i="56"/>
  <c r="Y39" i="56"/>
  <c r="X39" i="56"/>
  <c r="W39" i="56"/>
  <c r="V39" i="56"/>
  <c r="U39" i="56"/>
  <c r="T39" i="56"/>
  <c r="R39" i="56"/>
  <c r="Q39" i="56"/>
  <c r="P39" i="56"/>
  <c r="O39" i="56"/>
  <c r="N39" i="56"/>
  <c r="M39" i="56"/>
  <c r="L39" i="56"/>
  <c r="K39" i="56"/>
  <c r="J39" i="56"/>
  <c r="I39" i="56"/>
  <c r="H39" i="56"/>
  <c r="G39" i="56"/>
  <c r="F39" i="56"/>
  <c r="BS38" i="56"/>
  <c r="BF38" i="56"/>
  <c r="AS38" i="56"/>
  <c r="AF38" i="56"/>
  <c r="BS37" i="56"/>
  <c r="BF37" i="56"/>
  <c r="AS37" i="56"/>
  <c r="AF37" i="56"/>
  <c r="DM28" i="56" l="1"/>
  <c r="DM73" i="56"/>
  <c r="DM37" i="56"/>
  <c r="E74" i="56"/>
  <c r="DM59" i="56"/>
  <c r="DM76" i="56"/>
  <c r="DM29" i="56"/>
  <c r="DN29" i="56" s="1"/>
  <c r="DN62" i="56"/>
  <c r="DM55" i="56"/>
  <c r="DM70" i="56"/>
  <c r="DM77" i="56"/>
  <c r="DN77" i="56" s="1"/>
  <c r="DN56" i="56"/>
  <c r="DM58" i="56"/>
  <c r="DM31" i="56"/>
  <c r="DM32" i="56"/>
  <c r="DN32" i="56" s="1"/>
  <c r="DN59" i="56"/>
  <c r="DM38" i="56"/>
  <c r="DM71" i="56"/>
  <c r="DN74" i="56"/>
  <c r="BK257" i="69"/>
  <c r="BK7" i="69"/>
  <c r="E56" i="56"/>
  <c r="S63" i="56"/>
  <c r="S39" i="56"/>
  <c r="E71" i="56"/>
  <c r="DI71" i="56" s="1"/>
  <c r="S78" i="56"/>
  <c r="E73" i="56"/>
  <c r="S57" i="56"/>
  <c r="S60" i="56"/>
  <c r="S75" i="56"/>
  <c r="S72" i="56"/>
  <c r="E62" i="56"/>
  <c r="DI62" i="56" s="1"/>
  <c r="E37" i="56"/>
  <c r="E76" i="56"/>
  <c r="DI76" i="56" s="1"/>
  <c r="E58" i="56"/>
  <c r="E59" i="56"/>
  <c r="DI59" i="56" s="1"/>
  <c r="E29" i="56"/>
  <c r="DI29" i="56" s="1"/>
  <c r="E32" i="56"/>
  <c r="DI32" i="56" s="1"/>
  <c r="E38" i="56"/>
  <c r="DI38" i="56" s="1"/>
  <c r="E55" i="56"/>
  <c r="DI55" i="56" s="1"/>
  <c r="E70" i="56"/>
  <c r="DI70" i="56" s="1"/>
  <c r="E77" i="56"/>
  <c r="E28" i="56"/>
  <c r="DI28" i="56" s="1"/>
  <c r="E31" i="56"/>
  <c r="DI31" i="56" s="1"/>
  <c r="DH61" i="56"/>
  <c r="E61" i="56"/>
  <c r="DI61" i="56" s="1"/>
  <c r="AF60" i="56"/>
  <c r="BS75" i="56"/>
  <c r="BS72" i="56"/>
  <c r="DH70" i="56"/>
  <c r="AS63" i="56"/>
  <c r="BF63" i="56"/>
  <c r="DH71" i="56"/>
  <c r="DH73" i="56"/>
  <c r="AS75" i="56"/>
  <c r="BS60" i="56"/>
  <c r="DH74" i="56"/>
  <c r="AF72" i="56"/>
  <c r="AF75" i="56"/>
  <c r="BF60" i="56"/>
  <c r="BF72" i="56"/>
  <c r="BF75" i="56"/>
  <c r="BF33" i="56"/>
  <c r="AS60" i="56"/>
  <c r="AS72" i="56"/>
  <c r="AF78" i="56"/>
  <c r="AF33" i="56"/>
  <c r="AF63" i="56"/>
  <c r="BS63" i="56"/>
  <c r="DH77" i="56"/>
  <c r="BF78" i="56"/>
  <c r="DH76" i="56"/>
  <c r="BS78" i="56"/>
  <c r="AS78" i="56"/>
  <c r="DH59" i="56"/>
  <c r="DH62" i="56"/>
  <c r="DI74" i="56"/>
  <c r="DH58" i="56"/>
  <c r="DH32" i="56"/>
  <c r="DH38" i="56"/>
  <c r="DH56" i="56"/>
  <c r="BS57" i="56"/>
  <c r="AF57" i="56"/>
  <c r="BF57" i="56"/>
  <c r="DH55" i="56"/>
  <c r="AS57" i="56"/>
  <c r="S33" i="56"/>
  <c r="BS33" i="56"/>
  <c r="AS33" i="56"/>
  <c r="DI56" i="56"/>
  <c r="DH37" i="56"/>
  <c r="DH31" i="56"/>
  <c r="DH28" i="56"/>
  <c r="AS30" i="56"/>
  <c r="S30" i="56"/>
  <c r="BS39" i="56"/>
  <c r="AF30" i="56"/>
  <c r="AS39" i="56"/>
  <c r="AF39" i="56"/>
  <c r="BF39" i="56"/>
  <c r="BS30" i="56"/>
  <c r="BF30" i="56"/>
  <c r="DH29" i="56"/>
  <c r="DN71" i="56" l="1"/>
  <c r="DN38" i="56"/>
  <c r="BK10" i="69"/>
  <c r="BK9" i="69"/>
  <c r="DK71" i="56"/>
  <c r="DJ61" i="56"/>
  <c r="DI77" i="56"/>
  <c r="DJ77" i="56"/>
  <c r="DH78" i="56"/>
  <c r="DK62" i="56"/>
  <c r="DK38" i="56"/>
  <c r="DH63" i="56"/>
  <c r="DJ76" i="56"/>
  <c r="DJ29" i="56"/>
  <c r="DK74" i="56"/>
  <c r="DH75" i="56"/>
  <c r="DH60" i="56"/>
  <c r="DJ70" i="56"/>
  <c r="DH72" i="56"/>
  <c r="DJ56" i="56"/>
  <c r="DJ32" i="56"/>
  <c r="DK77" i="56"/>
  <c r="DJ59" i="56"/>
  <c r="DJ74" i="56"/>
  <c r="DJ71" i="56"/>
  <c r="DJ28" i="56"/>
  <c r="DJ62" i="56"/>
  <c r="DI73" i="56"/>
  <c r="DJ73" i="56" s="1"/>
  <c r="E75" i="56"/>
  <c r="DI75" i="56" s="1"/>
  <c r="DK59" i="56"/>
  <c r="E78" i="56"/>
  <c r="DI78" i="56" s="1"/>
  <c r="DJ78" i="56" s="1"/>
  <c r="E63" i="56"/>
  <c r="DI63" i="56" s="1"/>
  <c r="DJ38" i="56"/>
  <c r="E72" i="56"/>
  <c r="DI72" i="56" s="1"/>
  <c r="DH33" i="56"/>
  <c r="DK56" i="56"/>
  <c r="DI58" i="56"/>
  <c r="DJ58" i="56" s="1"/>
  <c r="E60" i="56"/>
  <c r="DI60" i="56" s="1"/>
  <c r="DJ55" i="56"/>
  <c r="DJ31" i="56"/>
  <c r="DK32" i="56"/>
  <c r="DH57" i="56"/>
  <c r="DH39" i="56"/>
  <c r="E57" i="56"/>
  <c r="DI57" i="56" s="1"/>
  <c r="E33" i="56"/>
  <c r="DI33" i="56" s="1"/>
  <c r="DK29" i="56"/>
  <c r="DH30" i="56"/>
  <c r="E30" i="56"/>
  <c r="DI30" i="56" s="1"/>
  <c r="DI37" i="56"/>
  <c r="DJ37" i="56" s="1"/>
  <c r="E39" i="56"/>
  <c r="DI39" i="56" s="1"/>
  <c r="AB212" i="56"/>
  <c r="BK12" i="69" l="1"/>
  <c r="DJ63" i="56"/>
  <c r="DJ75" i="56"/>
  <c r="DJ60" i="56"/>
  <c r="DJ72" i="56"/>
  <c r="DJ30" i="56"/>
  <c r="DJ39" i="56"/>
  <c r="DJ33" i="56"/>
  <c r="DJ57" i="56"/>
  <c r="BK13" i="69" l="1"/>
  <c r="AP27" i="56"/>
  <c r="BL259" i="69" l="1"/>
  <c r="BL260" i="69" s="1"/>
  <c r="BL246" i="69" s="1"/>
  <c r="DI102" i="56"/>
  <c r="DG102" i="56"/>
  <c r="BR102" i="56"/>
  <c r="BQ102" i="56"/>
  <c r="BP102" i="56"/>
  <c r="BO102" i="56"/>
  <c r="BN102" i="56"/>
  <c r="BM102" i="56"/>
  <c r="BL102" i="56"/>
  <c r="BK102" i="56"/>
  <c r="BJ102" i="56"/>
  <c r="BI102" i="56"/>
  <c r="BH102" i="56"/>
  <c r="BG102" i="56"/>
  <c r="BE102" i="56"/>
  <c r="BD102" i="56"/>
  <c r="BC102" i="56"/>
  <c r="BB102" i="56"/>
  <c r="BA102" i="56"/>
  <c r="AZ102" i="56"/>
  <c r="AY102" i="56"/>
  <c r="AX102" i="56"/>
  <c r="AW102" i="56"/>
  <c r="AV102" i="56"/>
  <c r="AU102" i="56"/>
  <c r="AT102" i="56"/>
  <c r="AR102" i="56"/>
  <c r="AQ102" i="56"/>
  <c r="AP102" i="56"/>
  <c r="AO102" i="56"/>
  <c r="AN102" i="56"/>
  <c r="AM102" i="56"/>
  <c r="AL102" i="56"/>
  <c r="AK102" i="56"/>
  <c r="AJ102" i="56"/>
  <c r="AI102" i="56"/>
  <c r="AH102" i="56"/>
  <c r="AG102" i="56"/>
  <c r="AE102" i="56"/>
  <c r="AD102" i="56"/>
  <c r="AC102" i="56"/>
  <c r="AB102" i="56"/>
  <c r="AA102" i="56"/>
  <c r="Z102" i="56"/>
  <c r="Y102" i="56"/>
  <c r="X102" i="56"/>
  <c r="W102" i="56"/>
  <c r="V102" i="56"/>
  <c r="U102" i="56"/>
  <c r="T102" i="56"/>
  <c r="R102" i="56"/>
  <c r="Q102" i="56"/>
  <c r="P102" i="56"/>
  <c r="O102" i="56"/>
  <c r="N102" i="56"/>
  <c r="M102" i="56"/>
  <c r="L102" i="56"/>
  <c r="K102" i="56"/>
  <c r="J102" i="56"/>
  <c r="I102" i="56"/>
  <c r="H102" i="56"/>
  <c r="G102" i="56"/>
  <c r="F102" i="56"/>
  <c r="BS101" i="56"/>
  <c r="BF101" i="56"/>
  <c r="AS101" i="56"/>
  <c r="AF101" i="56"/>
  <c r="S101" i="56"/>
  <c r="BS100" i="56"/>
  <c r="BF100" i="56"/>
  <c r="AS100" i="56"/>
  <c r="AF100" i="56"/>
  <c r="S100" i="56"/>
  <c r="DG93" i="56"/>
  <c r="BR93" i="56"/>
  <c r="BQ93" i="56"/>
  <c r="BP93" i="56"/>
  <c r="BO93" i="56"/>
  <c r="BN93" i="56"/>
  <c r="BM93" i="56"/>
  <c r="BL93" i="56"/>
  <c r="BK93" i="56"/>
  <c r="BJ93" i="56"/>
  <c r="BI93" i="56"/>
  <c r="BH93" i="56"/>
  <c r="BG93" i="56"/>
  <c r="BE93" i="56"/>
  <c r="BD93" i="56"/>
  <c r="BC93" i="56"/>
  <c r="BB93" i="56"/>
  <c r="BA93" i="56"/>
  <c r="AZ93" i="56"/>
  <c r="AY93" i="56"/>
  <c r="AX93" i="56"/>
  <c r="AW93" i="56"/>
  <c r="AV93" i="56"/>
  <c r="AU93" i="56"/>
  <c r="AT93" i="56"/>
  <c r="AR93" i="56"/>
  <c r="AQ93" i="56"/>
  <c r="AP93" i="56"/>
  <c r="AO93" i="56"/>
  <c r="AN93" i="56"/>
  <c r="AM93" i="56"/>
  <c r="AL93" i="56"/>
  <c r="AK93" i="56"/>
  <c r="AJ93" i="56"/>
  <c r="AI93" i="56"/>
  <c r="AH93" i="56"/>
  <c r="AG93" i="56"/>
  <c r="AE93" i="56"/>
  <c r="AD93" i="56"/>
  <c r="AC93" i="56"/>
  <c r="AB93" i="56"/>
  <c r="AA93" i="56"/>
  <c r="Z93" i="56"/>
  <c r="Y93" i="56"/>
  <c r="X93" i="56"/>
  <c r="W93" i="56"/>
  <c r="V93" i="56"/>
  <c r="U93" i="56"/>
  <c r="T93" i="56"/>
  <c r="R93" i="56"/>
  <c r="Q93" i="56"/>
  <c r="P93" i="56"/>
  <c r="O93" i="56"/>
  <c r="N93" i="56"/>
  <c r="M93" i="56"/>
  <c r="L93" i="56"/>
  <c r="K93" i="56"/>
  <c r="J93" i="56"/>
  <c r="I93" i="56"/>
  <c r="H93" i="56"/>
  <c r="G93" i="56"/>
  <c r="F93" i="56"/>
  <c r="BS92" i="56"/>
  <c r="BF92" i="56"/>
  <c r="AS92" i="56"/>
  <c r="AF92" i="56"/>
  <c r="S92" i="56"/>
  <c r="BS91" i="56"/>
  <c r="BF91" i="56"/>
  <c r="AS91" i="56"/>
  <c r="AF91" i="56"/>
  <c r="S91" i="56"/>
  <c r="DM100" i="56" l="1"/>
  <c r="DM101" i="56"/>
  <c r="BL248" i="69"/>
  <c r="BL255" i="69"/>
  <c r="BM272" i="69"/>
  <c r="E92" i="56"/>
  <c r="DI92" i="56" s="1"/>
  <c r="E91" i="56"/>
  <c r="E100" i="56"/>
  <c r="DI100" i="56" s="1"/>
  <c r="E101" i="56"/>
  <c r="DI101" i="56" s="1"/>
  <c r="BS102" i="56"/>
  <c r="BF102" i="56"/>
  <c r="BS93" i="56"/>
  <c r="BF93" i="56"/>
  <c r="S93" i="56"/>
  <c r="AS93" i="56"/>
  <c r="S102" i="56"/>
  <c r="DH101" i="56"/>
  <c r="DH91" i="56"/>
  <c r="DH92" i="56"/>
  <c r="AF93" i="56"/>
  <c r="AS102" i="56"/>
  <c r="DH100" i="56"/>
  <c r="AF102" i="56"/>
  <c r="E93" i="56" l="1"/>
  <c r="DI93" i="56" s="1"/>
  <c r="DN101" i="56"/>
  <c r="BL257" i="69"/>
  <c r="BL7" i="69"/>
  <c r="DJ92" i="56"/>
  <c r="DJ101" i="56"/>
  <c r="DI91" i="56"/>
  <c r="DJ91" i="56" s="1"/>
  <c r="DH93" i="56"/>
  <c r="DJ93" i="56" s="1"/>
  <c r="DJ100" i="56"/>
  <c r="DH102" i="56"/>
  <c r="DJ102" i="56" s="1"/>
  <c r="DK92" i="56"/>
  <c r="DK101" i="56"/>
  <c r="T212" i="56"/>
  <c r="Z185" i="56"/>
  <c r="Y185" i="56"/>
  <c r="X185" i="56"/>
  <c r="U185" i="56"/>
  <c r="U212" i="56" s="1"/>
  <c r="Z197" i="56"/>
  <c r="Y197" i="56"/>
  <c r="X197" i="56"/>
  <c r="W197" i="56"/>
  <c r="W212" i="56" s="1"/>
  <c r="BL9" i="69" l="1"/>
  <c r="BL10" i="69"/>
  <c r="BL12" i="69" s="1"/>
  <c r="BL13" i="69" s="1"/>
  <c r="Y212" i="56"/>
  <c r="X212" i="56"/>
  <c r="Z212" i="56"/>
  <c r="DI160" i="56"/>
  <c r="DG160" i="56"/>
  <c r="BR160" i="56"/>
  <c r="BQ160" i="56"/>
  <c r="BP160" i="56"/>
  <c r="BO160" i="56"/>
  <c r="BN160" i="56"/>
  <c r="BM160" i="56"/>
  <c r="BL160" i="56"/>
  <c r="BK160" i="56"/>
  <c r="BJ160" i="56"/>
  <c r="BI160" i="56"/>
  <c r="BH160" i="56"/>
  <c r="BG160" i="56"/>
  <c r="BE160" i="56"/>
  <c r="BD160" i="56"/>
  <c r="BC160" i="56"/>
  <c r="BB160" i="56"/>
  <c r="BA160" i="56"/>
  <c r="AZ160" i="56"/>
  <c r="AY160" i="56"/>
  <c r="AX160" i="56"/>
  <c r="AW160" i="56"/>
  <c r="AV160" i="56"/>
  <c r="AU160" i="56"/>
  <c r="AT160" i="56"/>
  <c r="AR160" i="56"/>
  <c r="AQ160" i="56"/>
  <c r="AP160" i="56"/>
  <c r="AO160" i="56"/>
  <c r="AN160" i="56"/>
  <c r="AM160" i="56"/>
  <c r="AL160" i="56"/>
  <c r="AK160" i="56"/>
  <c r="AJ160" i="56"/>
  <c r="AI160" i="56"/>
  <c r="AH160" i="56"/>
  <c r="AG160" i="56"/>
  <c r="AE160" i="56"/>
  <c r="AD160" i="56"/>
  <c r="AC160" i="56"/>
  <c r="AB160" i="56"/>
  <c r="AA160" i="56"/>
  <c r="Z160" i="56"/>
  <c r="Y160" i="56"/>
  <c r="X160" i="56"/>
  <c r="W160" i="56"/>
  <c r="V160" i="56"/>
  <c r="U160" i="56"/>
  <c r="T160" i="56"/>
  <c r="R160" i="56"/>
  <c r="Q160" i="56"/>
  <c r="P160" i="56"/>
  <c r="O160" i="56"/>
  <c r="N160" i="56"/>
  <c r="M160" i="56"/>
  <c r="L160" i="56"/>
  <c r="K160" i="56"/>
  <c r="J160" i="56"/>
  <c r="I160" i="56"/>
  <c r="H160" i="56"/>
  <c r="G160" i="56"/>
  <c r="F160" i="56"/>
  <c r="BS159" i="56"/>
  <c r="BF159" i="56"/>
  <c r="AS159" i="56"/>
  <c r="AF159" i="56"/>
  <c r="S159" i="56"/>
  <c r="BS158" i="56"/>
  <c r="BF158" i="56"/>
  <c r="AS158" i="56"/>
  <c r="AF158" i="56"/>
  <c r="S158" i="56"/>
  <c r="BM259" i="69" l="1"/>
  <c r="BM260" i="69" s="1"/>
  <c r="BM246" i="69" s="1"/>
  <c r="E158" i="56"/>
  <c r="E159" i="56"/>
  <c r="AS160" i="56"/>
  <c r="S160" i="56"/>
  <c r="BF160" i="56"/>
  <c r="BS160" i="56"/>
  <c r="AF160" i="56"/>
  <c r="DH158" i="56"/>
  <c r="DH159" i="56"/>
  <c r="BM248" i="69" l="1"/>
  <c r="BM255" i="69"/>
  <c r="DI159" i="56"/>
  <c r="DJ159" i="56" s="1"/>
  <c r="DI158" i="56"/>
  <c r="DJ158" i="56" s="1"/>
  <c r="DH160" i="56"/>
  <c r="DJ160" i="56" s="1"/>
  <c r="DK159" i="56"/>
  <c r="BM257" i="69" l="1"/>
  <c r="BM7" i="69"/>
  <c r="DG90" i="56"/>
  <c r="BR90" i="56"/>
  <c r="BQ90" i="56"/>
  <c r="BP90" i="56"/>
  <c r="BO90" i="56"/>
  <c r="BN90" i="56"/>
  <c r="BM90" i="56"/>
  <c r="BL90" i="56"/>
  <c r="BK90" i="56"/>
  <c r="BJ90" i="56"/>
  <c r="BI90" i="56"/>
  <c r="BH90" i="56"/>
  <c r="BG90" i="56"/>
  <c r="BE90" i="56"/>
  <c r="BD90" i="56"/>
  <c r="BC90" i="56"/>
  <c r="BB90" i="56"/>
  <c r="BA90" i="56"/>
  <c r="AZ90" i="56"/>
  <c r="AY90" i="56"/>
  <c r="AX90" i="56"/>
  <c r="AW90" i="56"/>
  <c r="AV90" i="56"/>
  <c r="AU90" i="56"/>
  <c r="AT90" i="56"/>
  <c r="AR90" i="56"/>
  <c r="AQ90" i="56"/>
  <c r="AP90" i="56"/>
  <c r="AO90" i="56"/>
  <c r="AN90" i="56"/>
  <c r="AM90" i="56"/>
  <c r="AL90" i="56"/>
  <c r="AK90" i="56"/>
  <c r="AJ90" i="56"/>
  <c r="AI90" i="56"/>
  <c r="AH90" i="56"/>
  <c r="AG90" i="56"/>
  <c r="AE90" i="56"/>
  <c r="AD90" i="56"/>
  <c r="AC90" i="56"/>
  <c r="AB90" i="56"/>
  <c r="AA90" i="56"/>
  <c r="Z90" i="56"/>
  <c r="Y90" i="56"/>
  <c r="X90" i="56"/>
  <c r="W90" i="56"/>
  <c r="V90" i="56"/>
  <c r="U90" i="56"/>
  <c r="T90" i="56"/>
  <c r="R90" i="56"/>
  <c r="Q90" i="56"/>
  <c r="P90" i="56"/>
  <c r="O90" i="56"/>
  <c r="N90" i="56"/>
  <c r="M90" i="56"/>
  <c r="L90" i="56"/>
  <c r="K90" i="56"/>
  <c r="J90" i="56"/>
  <c r="I90" i="56"/>
  <c r="H90" i="56"/>
  <c r="G90" i="56"/>
  <c r="F90" i="56"/>
  <c r="BS89" i="56"/>
  <c r="BF89" i="56"/>
  <c r="AS89" i="56"/>
  <c r="AF89" i="56"/>
  <c r="BS88" i="56"/>
  <c r="BF88" i="56"/>
  <c r="AS88" i="56"/>
  <c r="AF88" i="56"/>
  <c r="BM9" i="69" l="1"/>
  <c r="BM10" i="69"/>
  <c r="BM12" i="69" s="1"/>
  <c r="BM13" i="69" s="1"/>
  <c r="S90" i="56"/>
  <c r="E88" i="56"/>
  <c r="E89" i="56"/>
  <c r="DI89" i="56" s="1"/>
  <c r="DH88" i="56"/>
  <c r="AS90" i="56"/>
  <c r="BF90" i="56"/>
  <c r="BS90" i="56"/>
  <c r="DH89" i="56"/>
  <c r="AF90" i="56"/>
  <c r="BN259" i="69" l="1"/>
  <c r="BN260" i="69" s="1"/>
  <c r="BN246" i="69" s="1"/>
  <c r="DJ89" i="56"/>
  <c r="DH90" i="56"/>
  <c r="DK89" i="56"/>
  <c r="DI88" i="56"/>
  <c r="DJ88" i="56" s="1"/>
  <c r="E90" i="56"/>
  <c r="DI90" i="56" s="1"/>
  <c r="BN248" i="69" l="1"/>
  <c r="BN255" i="69"/>
  <c r="DJ90" i="56"/>
  <c r="X169" i="56"/>
  <c r="Y169" i="56"/>
  <c r="Z169" i="56"/>
  <c r="AA169" i="56"/>
  <c r="AB169" i="56"/>
  <c r="AC169" i="56"/>
  <c r="AD169" i="56"/>
  <c r="AE169" i="56"/>
  <c r="BN257" i="69" l="1"/>
  <c r="BN7" i="69"/>
  <c r="DI169" i="56"/>
  <c r="DG169" i="56"/>
  <c r="BR169" i="56"/>
  <c r="BQ169" i="56"/>
  <c r="BP169" i="56"/>
  <c r="BO169" i="56"/>
  <c r="BN169" i="56"/>
  <c r="BM169" i="56"/>
  <c r="BL169" i="56"/>
  <c r="BK169" i="56"/>
  <c r="BJ169" i="56"/>
  <c r="BI169" i="56"/>
  <c r="BH169" i="56"/>
  <c r="BG169" i="56"/>
  <c r="BE169" i="56"/>
  <c r="BD169" i="56"/>
  <c r="BC169" i="56"/>
  <c r="BB169" i="56"/>
  <c r="BA169" i="56"/>
  <c r="AZ169" i="56"/>
  <c r="AY169" i="56"/>
  <c r="AX169" i="56"/>
  <c r="AW169" i="56"/>
  <c r="AV169" i="56"/>
  <c r="AU169" i="56"/>
  <c r="AT169" i="56"/>
  <c r="AR169" i="56"/>
  <c r="AQ169" i="56"/>
  <c r="AP169" i="56"/>
  <c r="AO169" i="56"/>
  <c r="AN169" i="56"/>
  <c r="AM169" i="56"/>
  <c r="AL169" i="56"/>
  <c r="AK169" i="56"/>
  <c r="AJ169" i="56"/>
  <c r="AI169" i="56"/>
  <c r="AH169" i="56"/>
  <c r="AG169" i="56"/>
  <c r="W169" i="56"/>
  <c r="V169" i="56"/>
  <c r="U169" i="56"/>
  <c r="T169" i="56"/>
  <c r="R169" i="56"/>
  <c r="Q169" i="56"/>
  <c r="P169" i="56"/>
  <c r="O169" i="56"/>
  <c r="N169" i="56"/>
  <c r="M169" i="56"/>
  <c r="L169" i="56"/>
  <c r="K169" i="56"/>
  <c r="J169" i="56"/>
  <c r="I169" i="56"/>
  <c r="H169" i="56"/>
  <c r="G169" i="56"/>
  <c r="F169" i="56"/>
  <c r="BS168" i="56"/>
  <c r="BF168" i="56"/>
  <c r="AS168" i="56"/>
  <c r="AF168" i="56"/>
  <c r="S168" i="56"/>
  <c r="BS167" i="56"/>
  <c r="BF167" i="56"/>
  <c r="AS167" i="56"/>
  <c r="AF167" i="56"/>
  <c r="S167" i="56"/>
  <c r="BN9" i="69" l="1"/>
  <c r="BN10" i="69"/>
  <c r="BN12" i="69" s="1"/>
  <c r="BN13" i="69" s="1"/>
  <c r="E167" i="56"/>
  <c r="DI167" i="56" s="1"/>
  <c r="E168" i="56"/>
  <c r="DI168" i="56" s="1"/>
  <c r="BS169" i="56"/>
  <c r="BF169" i="56"/>
  <c r="AS169" i="56"/>
  <c r="S169" i="56"/>
  <c r="DH167" i="56"/>
  <c r="DH168" i="56"/>
  <c r="AF169" i="56"/>
  <c r="BO259" i="69" l="1"/>
  <c r="BO260" i="69" s="1"/>
  <c r="BO246" i="69" s="1"/>
  <c r="DJ167" i="56"/>
  <c r="DH169" i="56"/>
  <c r="DJ169" i="56" s="1"/>
  <c r="DK168" i="56"/>
  <c r="DJ168" i="56"/>
  <c r="BO248" i="69" l="1"/>
  <c r="BO255" i="69"/>
  <c r="BP272" i="69"/>
  <c r="Q9" i="53"/>
  <c r="P6" i="53"/>
  <c r="P7" i="53"/>
  <c r="P8" i="53"/>
  <c r="BO7" i="69" l="1"/>
  <c r="BO257" i="69"/>
  <c r="DG245" i="56"/>
  <c r="BR245" i="56"/>
  <c r="BQ245" i="56"/>
  <c r="BP245" i="56"/>
  <c r="BO245" i="56"/>
  <c r="BN245" i="56"/>
  <c r="BM245" i="56"/>
  <c r="BL245" i="56"/>
  <c r="BK245" i="56"/>
  <c r="BH245" i="56"/>
  <c r="BE245" i="56"/>
  <c r="BD245" i="56"/>
  <c r="AY245" i="56"/>
  <c r="AX245" i="56"/>
  <c r="AV245" i="56"/>
  <c r="AU245" i="56"/>
  <c r="AT245" i="56"/>
  <c r="AR245" i="56"/>
  <c r="AQ245" i="56"/>
  <c r="AP245" i="56"/>
  <c r="AO245" i="56"/>
  <c r="AN245" i="56"/>
  <c r="AM245" i="56"/>
  <c r="AL245" i="56"/>
  <c r="AK245" i="56"/>
  <c r="AJ245" i="56"/>
  <c r="AI245" i="56"/>
  <c r="AH245" i="56"/>
  <c r="AG245" i="56"/>
  <c r="AE245" i="56"/>
  <c r="AD245" i="56"/>
  <c r="AC245" i="56"/>
  <c r="AB245" i="56"/>
  <c r="AA245" i="56"/>
  <c r="Z245" i="56"/>
  <c r="Y245" i="56"/>
  <c r="X245" i="56"/>
  <c r="W245" i="56"/>
  <c r="V245" i="56"/>
  <c r="U245" i="56"/>
  <c r="T245" i="56"/>
  <c r="R245" i="56"/>
  <c r="Q245" i="56"/>
  <c r="P245" i="56"/>
  <c r="O245" i="56"/>
  <c r="N245" i="56"/>
  <c r="M245" i="56"/>
  <c r="L245" i="56"/>
  <c r="K245" i="56"/>
  <c r="J245" i="56"/>
  <c r="I245" i="56"/>
  <c r="H245" i="56"/>
  <c r="G245" i="56"/>
  <c r="F245" i="56"/>
  <c r="AS244" i="56"/>
  <c r="AF244" i="56"/>
  <c r="S244" i="56"/>
  <c r="BS243" i="56"/>
  <c r="BF243" i="56"/>
  <c r="AS243" i="56"/>
  <c r="AF243" i="56"/>
  <c r="S243" i="56"/>
  <c r="BO9" i="69" l="1"/>
  <c r="BO10" i="69"/>
  <c r="BO12" i="69" s="1"/>
  <c r="BO13" i="69" s="1"/>
  <c r="E243" i="56"/>
  <c r="AS245" i="56"/>
  <c r="DH243" i="56"/>
  <c r="S245" i="56"/>
  <c r="AF245" i="56"/>
  <c r="BP259" i="69" l="1"/>
  <c r="BP260" i="69" s="1"/>
  <c r="BP246" i="69" s="1"/>
  <c r="DI243" i="56"/>
  <c r="DJ243" i="56" s="1"/>
  <c r="DG42" i="56"/>
  <c r="BR42" i="56"/>
  <c r="BQ42" i="56"/>
  <c r="BP42" i="56"/>
  <c r="BO42" i="56"/>
  <c r="BN42" i="56"/>
  <c r="BM42" i="56"/>
  <c r="BL42" i="56"/>
  <c r="BK42" i="56"/>
  <c r="BJ42" i="56"/>
  <c r="BI42" i="56"/>
  <c r="BH42" i="56"/>
  <c r="BG42" i="56"/>
  <c r="BE42" i="56"/>
  <c r="BD42" i="56"/>
  <c r="BC42" i="56"/>
  <c r="BB42" i="56"/>
  <c r="BA42" i="56"/>
  <c r="AZ42" i="56"/>
  <c r="AY42" i="56"/>
  <c r="AX42" i="56"/>
  <c r="AW42" i="56"/>
  <c r="AV42" i="56"/>
  <c r="AU42" i="56"/>
  <c r="AT42" i="56"/>
  <c r="AR42" i="56"/>
  <c r="AQ42" i="56"/>
  <c r="AP42" i="56"/>
  <c r="AO42" i="56"/>
  <c r="AN42" i="56"/>
  <c r="AM42" i="56"/>
  <c r="AL42" i="56"/>
  <c r="AK42" i="56"/>
  <c r="AJ42" i="56"/>
  <c r="AI42" i="56"/>
  <c r="AH42" i="56"/>
  <c r="AG42" i="56"/>
  <c r="AE42" i="56"/>
  <c r="AD42" i="56"/>
  <c r="AC42" i="56"/>
  <c r="AB42" i="56"/>
  <c r="AA42" i="56"/>
  <c r="Z42" i="56"/>
  <c r="Y42" i="56"/>
  <c r="X42" i="56"/>
  <c r="W42" i="56"/>
  <c r="V42" i="56"/>
  <c r="U42" i="56"/>
  <c r="T42" i="56"/>
  <c r="R42" i="56"/>
  <c r="Q42" i="56"/>
  <c r="P42" i="56"/>
  <c r="O42" i="56"/>
  <c r="N42" i="56"/>
  <c r="M42" i="56"/>
  <c r="L42" i="56"/>
  <c r="K42" i="56"/>
  <c r="J42" i="56"/>
  <c r="I42" i="56"/>
  <c r="H42" i="56"/>
  <c r="G42" i="56"/>
  <c r="S42" i="56" s="1"/>
  <c r="F42" i="56"/>
  <c r="BS41" i="56"/>
  <c r="BF41" i="56"/>
  <c r="AS41" i="56"/>
  <c r="AF41" i="56"/>
  <c r="BS40" i="56"/>
  <c r="BF40" i="56"/>
  <c r="AS40" i="56"/>
  <c r="AF40" i="56"/>
  <c r="DG36" i="56"/>
  <c r="BR36" i="56"/>
  <c r="BQ36" i="56"/>
  <c r="BP36" i="56"/>
  <c r="BO36" i="56"/>
  <c r="BN36" i="56"/>
  <c r="BM36" i="56"/>
  <c r="BL36" i="56"/>
  <c r="BK36" i="56"/>
  <c r="BJ36" i="56"/>
  <c r="BI36" i="56"/>
  <c r="BH36" i="56"/>
  <c r="BG36" i="56"/>
  <c r="BE36" i="56"/>
  <c r="BD36" i="56"/>
  <c r="BC36" i="56"/>
  <c r="BB36" i="56"/>
  <c r="BA36" i="56"/>
  <c r="AZ36" i="56"/>
  <c r="AY36" i="56"/>
  <c r="AX36" i="56"/>
  <c r="AW36" i="56"/>
  <c r="AV36" i="56"/>
  <c r="AU36" i="56"/>
  <c r="AT36" i="56"/>
  <c r="AR36" i="56"/>
  <c r="AQ36" i="56"/>
  <c r="AP36" i="56"/>
  <c r="AO36" i="56"/>
  <c r="AN36" i="56"/>
  <c r="AM36" i="56"/>
  <c r="AL36" i="56"/>
  <c r="AK36" i="56"/>
  <c r="AJ36" i="56"/>
  <c r="AI36" i="56"/>
  <c r="AH36" i="56"/>
  <c r="AG36" i="56"/>
  <c r="AE36" i="56"/>
  <c r="AD36" i="56"/>
  <c r="AC36" i="56"/>
  <c r="AB36" i="56"/>
  <c r="AA36" i="56"/>
  <c r="Z36" i="56"/>
  <c r="Y36" i="56"/>
  <c r="X36" i="56"/>
  <c r="W36" i="56"/>
  <c r="V36" i="56"/>
  <c r="U36" i="56"/>
  <c r="T36" i="56"/>
  <c r="R36" i="56"/>
  <c r="Q36" i="56"/>
  <c r="P36" i="56"/>
  <c r="O36" i="56"/>
  <c r="N36" i="56"/>
  <c r="M36" i="56"/>
  <c r="L36" i="56"/>
  <c r="K36" i="56"/>
  <c r="J36" i="56"/>
  <c r="I36" i="56"/>
  <c r="H36" i="56"/>
  <c r="G36" i="56"/>
  <c r="F36" i="56"/>
  <c r="BS35" i="56"/>
  <c r="BF35" i="56"/>
  <c r="AS35" i="56"/>
  <c r="AF35" i="56"/>
  <c r="BS34" i="56"/>
  <c r="BF34" i="56"/>
  <c r="AS34" i="56"/>
  <c r="AF34" i="56"/>
  <c r="DM34" i="56" l="1"/>
  <c r="DM35" i="56"/>
  <c r="DN35" i="56" s="1"/>
  <c r="DM40" i="56"/>
  <c r="DM41" i="56"/>
  <c r="DN41" i="56" s="1"/>
  <c r="BP248" i="69"/>
  <c r="BP255" i="69"/>
  <c r="E34" i="56"/>
  <c r="DI34" i="56" s="1"/>
  <c r="E40" i="56"/>
  <c r="DI40" i="56" s="1"/>
  <c r="E35" i="56"/>
  <c r="DI35" i="56" s="1"/>
  <c r="E41" i="56"/>
  <c r="DI41" i="56" s="1"/>
  <c r="S36" i="56"/>
  <c r="BS42" i="56"/>
  <c r="AS42" i="56"/>
  <c r="DH35" i="56"/>
  <c r="AS36" i="56"/>
  <c r="BF104" i="56"/>
  <c r="DH41" i="56"/>
  <c r="BS104" i="56"/>
  <c r="BF42" i="56"/>
  <c r="AF42" i="56"/>
  <c r="BF36" i="56"/>
  <c r="BS103" i="56"/>
  <c r="BS36" i="56"/>
  <c r="AF36" i="56"/>
  <c r="AS104" i="56"/>
  <c r="DH34" i="56"/>
  <c r="AS103" i="56"/>
  <c r="BF103" i="56"/>
  <c r="DH40" i="56"/>
  <c r="BP7" i="69" l="1"/>
  <c r="BP257" i="69"/>
  <c r="DH36" i="56"/>
  <c r="DJ35" i="56"/>
  <c r="DK35" i="56"/>
  <c r="DJ41" i="56"/>
  <c r="DH42" i="56"/>
  <c r="DK41" i="56"/>
  <c r="DJ34" i="56"/>
  <c r="E36" i="56"/>
  <c r="DI36" i="56" s="1"/>
  <c r="E42" i="56"/>
  <c r="DI42" i="56" s="1"/>
  <c r="DJ40" i="56"/>
  <c r="BP9" i="69" l="1"/>
  <c r="BP10" i="69"/>
  <c r="BP12" i="69" s="1"/>
  <c r="BP13" i="69" s="1"/>
  <c r="DJ36" i="56"/>
  <c r="DJ42" i="56"/>
  <c r="DG27" i="56"/>
  <c r="BR27" i="56"/>
  <c r="BQ27" i="56"/>
  <c r="BP27" i="56"/>
  <c r="BO27" i="56"/>
  <c r="BN27" i="56"/>
  <c r="BM27" i="56"/>
  <c r="BL27" i="56"/>
  <c r="BK27" i="56"/>
  <c r="BJ27" i="56"/>
  <c r="BI27" i="56"/>
  <c r="BH27" i="56"/>
  <c r="BG27" i="56"/>
  <c r="BE27" i="56"/>
  <c r="BD27" i="56"/>
  <c r="BC27" i="56"/>
  <c r="BB27" i="56"/>
  <c r="BA27" i="56"/>
  <c r="AZ27" i="56"/>
  <c r="AY27" i="56"/>
  <c r="AX27" i="56"/>
  <c r="AW27" i="56"/>
  <c r="AV27" i="56"/>
  <c r="AU27" i="56"/>
  <c r="AT27" i="56"/>
  <c r="AR27" i="56"/>
  <c r="AQ27" i="56"/>
  <c r="AO27" i="56"/>
  <c r="AN27" i="56"/>
  <c r="AM27" i="56"/>
  <c r="AL27" i="56"/>
  <c r="AK27" i="56"/>
  <c r="AJ27" i="56"/>
  <c r="AI27" i="56"/>
  <c r="AH27" i="56"/>
  <c r="AG27" i="56"/>
  <c r="AE27" i="56"/>
  <c r="AD27" i="56"/>
  <c r="AC27" i="56"/>
  <c r="AB27" i="56"/>
  <c r="AA27" i="56"/>
  <c r="Z27" i="56"/>
  <c r="Y27" i="56"/>
  <c r="X27" i="56"/>
  <c r="W27" i="56"/>
  <c r="V27" i="56"/>
  <c r="U27" i="56"/>
  <c r="T27" i="56"/>
  <c r="R27" i="56"/>
  <c r="Q27" i="56"/>
  <c r="P27" i="56"/>
  <c r="O27" i="56"/>
  <c r="N27" i="56"/>
  <c r="M27" i="56"/>
  <c r="L27" i="56"/>
  <c r="K27" i="56"/>
  <c r="J27" i="56"/>
  <c r="I27" i="56"/>
  <c r="H27" i="56"/>
  <c r="G27" i="56"/>
  <c r="F27" i="56"/>
  <c r="BS26" i="56"/>
  <c r="BF26" i="56"/>
  <c r="AS26" i="56"/>
  <c r="AF26" i="56"/>
  <c r="S26" i="56"/>
  <c r="BS25" i="56"/>
  <c r="BF25" i="56"/>
  <c r="AS25" i="56"/>
  <c r="AF25" i="56"/>
  <c r="S25" i="56"/>
  <c r="DM25" i="56" l="1"/>
  <c r="DM26" i="56"/>
  <c r="BQ259" i="69"/>
  <c r="BQ260" i="69" s="1"/>
  <c r="BQ246" i="69" s="1"/>
  <c r="E25" i="56"/>
  <c r="E26" i="56"/>
  <c r="DI26" i="56" s="1"/>
  <c r="S27" i="56"/>
  <c r="DH26" i="56"/>
  <c r="BS27" i="56"/>
  <c r="BF27" i="56"/>
  <c r="AS27" i="56"/>
  <c r="AF27" i="56"/>
  <c r="DH25" i="56"/>
  <c r="DN26" i="56" l="1"/>
  <c r="BQ248" i="69"/>
  <c r="BQ255" i="69"/>
  <c r="DH27" i="56"/>
  <c r="DJ26" i="56"/>
  <c r="DK26" i="56"/>
  <c r="E27" i="56"/>
  <c r="DI27" i="56" s="1"/>
  <c r="DI25" i="56"/>
  <c r="DJ25" i="56" s="1"/>
  <c r="BQ7" i="69" l="1"/>
  <c r="BQ257" i="69"/>
  <c r="DJ27" i="56"/>
  <c r="DG194" i="56"/>
  <c r="BR194" i="56"/>
  <c r="BQ194" i="56"/>
  <c r="BP194" i="56"/>
  <c r="BO194" i="56"/>
  <c r="BN194" i="56"/>
  <c r="BL194" i="56"/>
  <c r="BK194" i="56"/>
  <c r="BJ194" i="56"/>
  <c r="BI194" i="56"/>
  <c r="BH194" i="56"/>
  <c r="BG194" i="56"/>
  <c r="BB194" i="56"/>
  <c r="BA194" i="56"/>
  <c r="AZ194" i="56"/>
  <c r="AY194" i="56"/>
  <c r="AX194" i="56"/>
  <c r="AW194" i="56"/>
  <c r="AV194" i="56"/>
  <c r="AU194" i="56"/>
  <c r="AT194" i="56"/>
  <c r="AR194" i="56"/>
  <c r="AQ194" i="56"/>
  <c r="AP194" i="56"/>
  <c r="AO194" i="56"/>
  <c r="AN194" i="56"/>
  <c r="AM194" i="56"/>
  <c r="AL194" i="56"/>
  <c r="AK194" i="56"/>
  <c r="AJ194" i="56"/>
  <c r="AI194" i="56"/>
  <c r="AH194" i="56"/>
  <c r="AG194" i="56"/>
  <c r="AE194" i="56"/>
  <c r="AD194" i="56"/>
  <c r="AC194" i="56"/>
  <c r="AB194" i="56"/>
  <c r="AA194" i="56"/>
  <c r="Z194" i="56"/>
  <c r="Y194" i="56"/>
  <c r="X194" i="56"/>
  <c r="W194" i="56"/>
  <c r="V194" i="56"/>
  <c r="U194" i="56"/>
  <c r="T194" i="56"/>
  <c r="R194" i="56"/>
  <c r="Q194" i="56"/>
  <c r="P194" i="56"/>
  <c r="O194" i="56"/>
  <c r="N194" i="56"/>
  <c r="M194" i="56"/>
  <c r="L194" i="56"/>
  <c r="K194" i="56"/>
  <c r="J194" i="56"/>
  <c r="I194" i="56"/>
  <c r="H194" i="56"/>
  <c r="G194" i="56"/>
  <c r="F194" i="56"/>
  <c r="AE208" i="56"/>
  <c r="AE232" i="56" s="1"/>
  <c r="AD208" i="56"/>
  <c r="AD232" i="56" s="1"/>
  <c r="AC208" i="56"/>
  <c r="AC232" i="56" s="1"/>
  <c r="AB208" i="56"/>
  <c r="AB232" i="56" s="1"/>
  <c r="AA208" i="56"/>
  <c r="Z208" i="56"/>
  <c r="Y208" i="56"/>
  <c r="Y232" i="56" s="1"/>
  <c r="X208" i="56"/>
  <c r="X232" i="56" s="1"/>
  <c r="W208" i="56"/>
  <c r="W232" i="56" s="1"/>
  <c r="V208" i="56"/>
  <c r="V232" i="56" s="1"/>
  <c r="U208" i="56"/>
  <c r="U232" i="56" s="1"/>
  <c r="T208" i="56"/>
  <c r="BQ9" i="69" l="1"/>
  <c r="BQ10" i="69"/>
  <c r="BQ12" i="69" s="1"/>
  <c r="BQ13" i="69" s="1"/>
  <c r="BC194" i="56"/>
  <c r="BD194" i="56"/>
  <c r="BE194" i="56"/>
  <c r="DI157" i="56"/>
  <c r="DG157" i="56"/>
  <c r="BR157" i="56"/>
  <c r="BQ157" i="56"/>
  <c r="BP157" i="56"/>
  <c r="BO157" i="56"/>
  <c r="BN157" i="56"/>
  <c r="BM157" i="56"/>
  <c r="BL157" i="56"/>
  <c r="BK157" i="56"/>
  <c r="BJ157" i="56"/>
  <c r="BI157" i="56"/>
  <c r="BH157" i="56"/>
  <c r="BG157" i="56"/>
  <c r="BE157" i="56"/>
  <c r="BD157" i="56"/>
  <c r="BC157" i="56"/>
  <c r="BB157" i="56"/>
  <c r="BA157" i="56"/>
  <c r="AZ157" i="56"/>
  <c r="AY157" i="56"/>
  <c r="AX157" i="56"/>
  <c r="AW157" i="56"/>
  <c r="AV157" i="56"/>
  <c r="AU157" i="56"/>
  <c r="AT157" i="56"/>
  <c r="AR157" i="56"/>
  <c r="AQ157" i="56"/>
  <c r="AP157" i="56"/>
  <c r="AO157" i="56"/>
  <c r="AN157" i="56"/>
  <c r="AM157" i="56"/>
  <c r="AL157" i="56"/>
  <c r="AK157" i="56"/>
  <c r="AJ157" i="56"/>
  <c r="AI157" i="56"/>
  <c r="AH157" i="56"/>
  <c r="AG157" i="56"/>
  <c r="AE157" i="56"/>
  <c r="AD157" i="56"/>
  <c r="AC157" i="56"/>
  <c r="AB157" i="56"/>
  <c r="AA157" i="56"/>
  <c r="Z157" i="56"/>
  <c r="Y157" i="56"/>
  <c r="X157" i="56"/>
  <c r="W157" i="56"/>
  <c r="V157" i="56"/>
  <c r="U157" i="56"/>
  <c r="T157" i="56"/>
  <c r="R157" i="56"/>
  <c r="Q157" i="56"/>
  <c r="P157" i="56"/>
  <c r="O157" i="56"/>
  <c r="N157" i="56"/>
  <c r="M157" i="56"/>
  <c r="L157" i="56"/>
  <c r="K157" i="56"/>
  <c r="J157" i="56"/>
  <c r="I157" i="56"/>
  <c r="H157" i="56"/>
  <c r="G157" i="56"/>
  <c r="F157" i="56"/>
  <c r="DI156" i="56"/>
  <c r="BS156" i="56"/>
  <c r="BF156" i="56"/>
  <c r="AS156" i="56"/>
  <c r="AF156" i="56"/>
  <c r="S156" i="56"/>
  <c r="DI155" i="56"/>
  <c r="BS155" i="56"/>
  <c r="BF155" i="56"/>
  <c r="AS155" i="56"/>
  <c r="AF155" i="56"/>
  <c r="S155" i="56"/>
  <c r="BR259" i="69" l="1"/>
  <c r="BR260" i="69" s="1"/>
  <c r="BR246" i="69" s="1"/>
  <c r="AS157" i="56"/>
  <c r="BF157" i="56"/>
  <c r="BS157" i="56"/>
  <c r="S157" i="56"/>
  <c r="DH155" i="56"/>
  <c r="AS179" i="56"/>
  <c r="BF179" i="56"/>
  <c r="BS179" i="56"/>
  <c r="BS180" i="56"/>
  <c r="DH156" i="56"/>
  <c r="DJ156" i="56" s="1"/>
  <c r="AF179" i="56"/>
  <c r="AF157" i="56"/>
  <c r="BR248" i="69" l="1"/>
  <c r="BS248" i="69" s="1"/>
  <c r="BR255" i="69"/>
  <c r="BS273" i="69"/>
  <c r="BS246" i="69"/>
  <c r="BS272" i="69"/>
  <c r="DK156" i="56"/>
  <c r="DH157" i="56"/>
  <c r="DJ157" i="56" s="1"/>
  <c r="DJ155" i="56"/>
  <c r="BR7" i="69" l="1"/>
  <c r="BR257" i="69"/>
  <c r="BS257" i="69" s="1"/>
  <c r="BS255" i="69"/>
  <c r="AS191" i="56"/>
  <c r="AS192" i="56"/>
  <c r="AS193" i="56"/>
  <c r="BR9" i="69" l="1"/>
  <c r="BS9" i="69" s="1"/>
  <c r="BR10" i="69"/>
  <c r="BS7" i="69"/>
  <c r="Q24" i="56"/>
  <c r="BR12" i="69" l="1"/>
  <c r="BS10" i="69"/>
  <c r="Y190" i="56"/>
  <c r="Z190" i="56"/>
  <c r="AA190" i="56"/>
  <c r="AB190" i="56"/>
  <c r="W190" i="56"/>
  <c r="X190" i="56"/>
  <c r="AC190" i="56"/>
  <c r="AD190" i="56"/>
  <c r="AE190" i="56"/>
  <c r="BS12" i="69" l="1"/>
  <c r="BR13" i="69"/>
  <c r="T186" i="56"/>
  <c r="U186" i="56"/>
  <c r="V186" i="56"/>
  <c r="W186" i="56"/>
  <c r="X186" i="56"/>
  <c r="Y186" i="56"/>
  <c r="Z186" i="56"/>
  <c r="AA186" i="56"/>
  <c r="AB186" i="56"/>
  <c r="AC186" i="56"/>
  <c r="AD186" i="56"/>
  <c r="AE186" i="56"/>
  <c r="BS259" i="69" l="1"/>
  <c r="BS13" i="69"/>
  <c r="AS23" i="56"/>
  <c r="AF23" i="56"/>
  <c r="AS22" i="56"/>
  <c r="AF22" i="56"/>
  <c r="BT259" i="69" l="1"/>
  <c r="BT260" i="69" s="1"/>
  <c r="BT246" i="69" s="1"/>
  <c r="DG259" i="69"/>
  <c r="DG260" i="69" s="1"/>
  <c r="DG246" i="69" s="1"/>
  <c r="BT138" i="59"/>
  <c r="BR138" i="59"/>
  <c r="BQ138" i="59"/>
  <c r="BP138" i="59"/>
  <c r="BO138" i="59"/>
  <c r="BN138" i="59"/>
  <c r="BM138" i="59"/>
  <c r="BL138" i="59"/>
  <c r="BK138" i="59"/>
  <c r="BJ138" i="59"/>
  <c r="BI138" i="59"/>
  <c r="BH138" i="59"/>
  <c r="BG138" i="59"/>
  <c r="BE138" i="59"/>
  <c r="BD138" i="59"/>
  <c r="BC138" i="59"/>
  <c r="BB138" i="59"/>
  <c r="BA138" i="59"/>
  <c r="AZ138" i="59"/>
  <c r="AY138" i="59"/>
  <c r="AX138" i="59"/>
  <c r="AW138" i="59"/>
  <c r="AV138" i="59"/>
  <c r="AU138" i="59"/>
  <c r="AT138" i="59"/>
  <c r="AR138" i="59"/>
  <c r="AQ138" i="59"/>
  <c r="AP138" i="59"/>
  <c r="AO138" i="59"/>
  <c r="AN138" i="59"/>
  <c r="AM138" i="59"/>
  <c r="AL138" i="59"/>
  <c r="AK138" i="59"/>
  <c r="AJ138" i="59"/>
  <c r="AI138" i="59"/>
  <c r="AH138" i="59"/>
  <c r="AG138" i="59"/>
  <c r="AE138" i="59"/>
  <c r="AE139" i="59" s="1"/>
  <c r="AD138" i="59"/>
  <c r="AC138" i="59"/>
  <c r="AC139" i="59" s="1"/>
  <c r="AD140" i="59" s="1"/>
  <c r="AD121" i="59" s="1"/>
  <c r="AD122" i="59" s="1"/>
  <c r="AB138" i="59"/>
  <c r="AA138" i="59"/>
  <c r="AA139" i="59" s="1"/>
  <c r="AB139" i="59" s="1"/>
  <c r="AC140" i="59" s="1"/>
  <c r="AC121" i="59" s="1"/>
  <c r="AC122" i="59" s="1"/>
  <c r="Z138" i="59"/>
  <c r="Y138" i="59"/>
  <c r="Y139" i="59" s="1"/>
  <c r="Z140" i="59" s="1"/>
  <c r="Z121" i="59" s="1"/>
  <c r="Z122" i="59" s="1"/>
  <c r="X138" i="59"/>
  <c r="W138" i="59"/>
  <c r="W139" i="59" s="1"/>
  <c r="X140" i="59" s="1"/>
  <c r="X121" i="59" s="1"/>
  <c r="X122" i="59" s="1"/>
  <c r="V138" i="59"/>
  <c r="U138" i="59"/>
  <c r="U139" i="59" s="1"/>
  <c r="T138" i="59"/>
  <c r="R138" i="59"/>
  <c r="Q138" i="59"/>
  <c r="P138" i="59"/>
  <c r="O138" i="59"/>
  <c r="N138" i="59"/>
  <c r="M138" i="59"/>
  <c r="L138" i="59"/>
  <c r="K138" i="59"/>
  <c r="J138" i="59"/>
  <c r="I138" i="59"/>
  <c r="H138" i="59"/>
  <c r="G138" i="59"/>
  <c r="G139" i="59" s="1"/>
  <c r="BT135" i="59"/>
  <c r="BR135" i="59"/>
  <c r="BQ135" i="59"/>
  <c r="BP135" i="59"/>
  <c r="BO135" i="59"/>
  <c r="BN135" i="59"/>
  <c r="BM135" i="59"/>
  <c r="BL135" i="59"/>
  <c r="BK135" i="59"/>
  <c r="BJ135" i="59"/>
  <c r="BI135" i="59"/>
  <c r="BH135" i="59"/>
  <c r="BG135" i="59"/>
  <c r="BE135" i="59"/>
  <c r="BD135" i="59"/>
  <c r="BC135" i="59"/>
  <c r="BB135" i="59"/>
  <c r="BA135" i="59"/>
  <c r="AZ135" i="59"/>
  <c r="AY135" i="59"/>
  <c r="AX135" i="59"/>
  <c r="AW135" i="59"/>
  <c r="AV135" i="59"/>
  <c r="AU135" i="59"/>
  <c r="AT135" i="59"/>
  <c r="AR135" i="59"/>
  <c r="AQ135" i="59"/>
  <c r="AP135" i="59"/>
  <c r="AO135" i="59"/>
  <c r="AN135" i="59"/>
  <c r="AM135" i="59"/>
  <c r="AL135" i="59"/>
  <c r="AK135" i="59"/>
  <c r="AJ135" i="59"/>
  <c r="AI135" i="59"/>
  <c r="AH135" i="59"/>
  <c r="AG135" i="59"/>
  <c r="AE135" i="59"/>
  <c r="AD135" i="59"/>
  <c r="AC135" i="59"/>
  <c r="AB135" i="59"/>
  <c r="AA135" i="59"/>
  <c r="Z135" i="59"/>
  <c r="Y135" i="59"/>
  <c r="X135" i="59"/>
  <c r="W135" i="59"/>
  <c r="V135" i="59"/>
  <c r="U135" i="59"/>
  <c r="T135" i="59"/>
  <c r="R135" i="59"/>
  <c r="Q135" i="59"/>
  <c r="P135" i="59"/>
  <c r="O135" i="59"/>
  <c r="N135" i="59"/>
  <c r="M135" i="59"/>
  <c r="L135" i="59"/>
  <c r="K135" i="59"/>
  <c r="J135" i="59"/>
  <c r="I135" i="59"/>
  <c r="H135" i="59"/>
  <c r="G135" i="59"/>
  <c r="G136" i="59" s="1"/>
  <c r="G137" i="59" s="1"/>
  <c r="G124" i="59" s="1"/>
  <c r="G125" i="59" s="1"/>
  <c r="G133" i="59"/>
  <c r="G134" i="59" s="1"/>
  <c r="BT128" i="59"/>
  <c r="BR128" i="59"/>
  <c r="BQ128" i="59"/>
  <c r="BP128" i="59"/>
  <c r="BO128" i="59"/>
  <c r="BN128" i="59"/>
  <c r="BM128" i="59"/>
  <c r="BL128" i="59"/>
  <c r="BK128" i="59"/>
  <c r="BJ128" i="59"/>
  <c r="BI128" i="59"/>
  <c r="BH128" i="59"/>
  <c r="BG128" i="59"/>
  <c r="BE128" i="59"/>
  <c r="BD128" i="59"/>
  <c r="BC128" i="59"/>
  <c r="BB128" i="59"/>
  <c r="BA128" i="59"/>
  <c r="AZ128" i="59"/>
  <c r="AY128" i="59"/>
  <c r="AX128" i="59"/>
  <c r="AW128" i="59"/>
  <c r="AV128" i="59"/>
  <c r="AU128" i="59"/>
  <c r="AT128" i="59"/>
  <c r="AR128" i="59"/>
  <c r="AQ128" i="59"/>
  <c r="AP128" i="59"/>
  <c r="AO128" i="59"/>
  <c r="AN128" i="59"/>
  <c r="AM128" i="59"/>
  <c r="AL128" i="59"/>
  <c r="AK128" i="59"/>
  <c r="AJ128" i="59"/>
  <c r="AI128" i="59"/>
  <c r="AH128" i="59"/>
  <c r="AG128" i="59"/>
  <c r="AE128" i="59"/>
  <c r="AD128" i="59"/>
  <c r="AC128" i="59"/>
  <c r="AB128" i="59"/>
  <c r="AA128" i="59"/>
  <c r="Z128" i="59"/>
  <c r="Y128" i="59"/>
  <c r="X128" i="59"/>
  <c r="W128" i="59"/>
  <c r="V128" i="59"/>
  <c r="U128" i="59"/>
  <c r="T128" i="59"/>
  <c r="R128" i="59"/>
  <c r="Q128" i="59"/>
  <c r="P128" i="59"/>
  <c r="O128" i="59"/>
  <c r="N128" i="59"/>
  <c r="M128" i="59"/>
  <c r="L128" i="59"/>
  <c r="K128" i="59"/>
  <c r="J128" i="59"/>
  <c r="I128" i="59"/>
  <c r="H128" i="59"/>
  <c r="G128" i="59"/>
  <c r="F128" i="59"/>
  <c r="BS127" i="59"/>
  <c r="BF127" i="59"/>
  <c r="AS127" i="59"/>
  <c r="AF127" i="59"/>
  <c r="S127" i="59"/>
  <c r="BS126" i="59"/>
  <c r="BF126" i="59"/>
  <c r="AS126" i="59"/>
  <c r="AF126" i="59"/>
  <c r="S126" i="59"/>
  <c r="F125" i="59"/>
  <c r="S123" i="59"/>
  <c r="F122" i="59"/>
  <c r="BS120" i="59"/>
  <c r="BF120" i="59"/>
  <c r="AS120" i="59"/>
  <c r="AF120" i="59"/>
  <c r="S120" i="59"/>
  <c r="BT116" i="59"/>
  <c r="BR116" i="59"/>
  <c r="BQ116" i="59"/>
  <c r="BP116" i="59"/>
  <c r="BO116" i="59"/>
  <c r="BN116" i="59"/>
  <c r="BM116" i="59"/>
  <c r="BL116" i="59"/>
  <c r="BK116" i="59"/>
  <c r="BJ116" i="59"/>
  <c r="BI116" i="59"/>
  <c r="BH116" i="59"/>
  <c r="BG116" i="59"/>
  <c r="BE116" i="59"/>
  <c r="BD116" i="59"/>
  <c r="BC116" i="59"/>
  <c r="BB116" i="59"/>
  <c r="BA116" i="59"/>
  <c r="AZ116" i="59"/>
  <c r="AY116" i="59"/>
  <c r="AX116" i="59"/>
  <c r="AW116" i="59"/>
  <c r="AV116" i="59"/>
  <c r="AU116" i="59"/>
  <c r="AT116" i="59"/>
  <c r="AR116" i="59"/>
  <c r="AQ116" i="59"/>
  <c r="AP116" i="59"/>
  <c r="AO116" i="59"/>
  <c r="AN116" i="59"/>
  <c r="AM116" i="59"/>
  <c r="AL116" i="59"/>
  <c r="AK116" i="59"/>
  <c r="AJ116" i="59"/>
  <c r="AI116" i="59"/>
  <c r="AH116" i="59"/>
  <c r="AG116" i="59"/>
  <c r="AE116" i="59"/>
  <c r="AD116" i="59"/>
  <c r="AC116" i="59"/>
  <c r="AB116" i="59"/>
  <c r="AA116" i="59"/>
  <c r="Z116" i="59"/>
  <c r="Y116" i="59"/>
  <c r="X116" i="59"/>
  <c r="W116" i="59"/>
  <c r="V116" i="59"/>
  <c r="U116" i="59"/>
  <c r="T116" i="59"/>
  <c r="R116" i="59"/>
  <c r="Q116" i="59"/>
  <c r="P116" i="59"/>
  <c r="O116" i="59"/>
  <c r="N116" i="59"/>
  <c r="M116" i="59"/>
  <c r="L116" i="59"/>
  <c r="K116" i="59"/>
  <c r="J116" i="59"/>
  <c r="I116" i="59"/>
  <c r="H116" i="59"/>
  <c r="G116" i="59"/>
  <c r="F116" i="59"/>
  <c r="BS115" i="59"/>
  <c r="BF115" i="59"/>
  <c r="AS115" i="59"/>
  <c r="AF115" i="59"/>
  <c r="S115" i="59"/>
  <c r="BS114" i="59"/>
  <c r="BS135" i="59" s="1"/>
  <c r="BF114" i="59"/>
  <c r="BF135" i="59" s="1"/>
  <c r="AS114" i="59"/>
  <c r="AS135" i="59" s="1"/>
  <c r="AF114" i="59"/>
  <c r="S114" i="59"/>
  <c r="S135" i="59" s="1"/>
  <c r="BT113" i="59"/>
  <c r="BR113" i="59"/>
  <c r="BQ113" i="59"/>
  <c r="BP113" i="59"/>
  <c r="BO113" i="59"/>
  <c r="BN113" i="59"/>
  <c r="BM113" i="59"/>
  <c r="BL113" i="59"/>
  <c r="BK113" i="59"/>
  <c r="BJ113" i="59"/>
  <c r="BI113" i="59"/>
  <c r="BH113" i="59"/>
  <c r="BG113" i="59"/>
  <c r="BE113" i="59"/>
  <c r="BD113" i="59"/>
  <c r="BC113" i="59"/>
  <c r="BB113" i="59"/>
  <c r="BA113" i="59"/>
  <c r="AZ113" i="59"/>
  <c r="AY113" i="59"/>
  <c r="AX113" i="59"/>
  <c r="AW113" i="59"/>
  <c r="AV113" i="59"/>
  <c r="AU113" i="59"/>
  <c r="AT113" i="59"/>
  <c r="AR113" i="59"/>
  <c r="AQ113" i="59"/>
  <c r="AP113" i="59"/>
  <c r="AO113" i="59"/>
  <c r="AN113" i="59"/>
  <c r="AM113" i="59"/>
  <c r="AL113" i="59"/>
  <c r="AK113" i="59"/>
  <c r="AJ113" i="59"/>
  <c r="AI113" i="59"/>
  <c r="AH113" i="59"/>
  <c r="AG113" i="59"/>
  <c r="AE113" i="59"/>
  <c r="AD113" i="59"/>
  <c r="AC113" i="59"/>
  <c r="AB113" i="59"/>
  <c r="AA113" i="59"/>
  <c r="Z113" i="59"/>
  <c r="Y113" i="59"/>
  <c r="X113" i="59"/>
  <c r="W113" i="59"/>
  <c r="V113" i="59"/>
  <c r="U113" i="59"/>
  <c r="T113" i="59"/>
  <c r="R113" i="59"/>
  <c r="Q113" i="59"/>
  <c r="P113" i="59"/>
  <c r="O113" i="59"/>
  <c r="N113" i="59"/>
  <c r="M113" i="59"/>
  <c r="L113" i="59"/>
  <c r="K113" i="59"/>
  <c r="J113" i="59"/>
  <c r="I113" i="59"/>
  <c r="H113" i="59"/>
  <c r="G113" i="59"/>
  <c r="F113" i="59"/>
  <c r="BS112" i="59"/>
  <c r="BF112" i="59"/>
  <c r="AS112" i="59"/>
  <c r="AF112" i="59"/>
  <c r="S112" i="59"/>
  <c r="BS111" i="59"/>
  <c r="BF111" i="59"/>
  <c r="AS111" i="59"/>
  <c r="AF111" i="59"/>
  <c r="S111" i="59"/>
  <c r="BT110" i="59"/>
  <c r="BR110" i="59"/>
  <c r="BQ110" i="59"/>
  <c r="BP110" i="59"/>
  <c r="BO110" i="59"/>
  <c r="BN110" i="59"/>
  <c r="BM110" i="59"/>
  <c r="BL110" i="59"/>
  <c r="BK110" i="59"/>
  <c r="BJ110" i="59"/>
  <c r="BI110" i="59"/>
  <c r="BH110" i="59"/>
  <c r="BG110" i="59"/>
  <c r="BE110" i="59"/>
  <c r="BD110" i="59"/>
  <c r="BC110" i="59"/>
  <c r="BB110" i="59"/>
  <c r="BA110" i="59"/>
  <c r="AZ110" i="59"/>
  <c r="AY110" i="59"/>
  <c r="AX110" i="59"/>
  <c r="AW110" i="59"/>
  <c r="AV110" i="59"/>
  <c r="AU110" i="59"/>
  <c r="AT110" i="59"/>
  <c r="AR110" i="59"/>
  <c r="AQ110" i="59"/>
  <c r="AP110" i="59"/>
  <c r="AO110" i="59"/>
  <c r="AN110" i="59"/>
  <c r="AM110" i="59"/>
  <c r="AL110" i="59"/>
  <c r="AK110" i="59"/>
  <c r="AJ110" i="59"/>
  <c r="AI110" i="59"/>
  <c r="AH110" i="59"/>
  <c r="AG110" i="59"/>
  <c r="AE110" i="59"/>
  <c r="AD110" i="59"/>
  <c r="AC110" i="59"/>
  <c r="AB110" i="59"/>
  <c r="AA110" i="59"/>
  <c r="Z110" i="59"/>
  <c r="Y110" i="59"/>
  <c r="X110" i="59"/>
  <c r="W110" i="59"/>
  <c r="V110" i="59"/>
  <c r="U110" i="59"/>
  <c r="T110" i="59"/>
  <c r="R110" i="59"/>
  <c r="Q110" i="59"/>
  <c r="P110" i="59"/>
  <c r="O110" i="59"/>
  <c r="N110" i="59"/>
  <c r="M110" i="59"/>
  <c r="L110" i="59"/>
  <c r="K110" i="59"/>
  <c r="J110" i="59"/>
  <c r="I110" i="59"/>
  <c r="H110" i="59"/>
  <c r="G110" i="59"/>
  <c r="F110" i="59"/>
  <c r="BS109" i="59"/>
  <c r="BF109" i="59"/>
  <c r="AS109" i="59"/>
  <c r="AF109" i="59"/>
  <c r="S109" i="59"/>
  <c r="BS108" i="59"/>
  <c r="BF108" i="59"/>
  <c r="AS108" i="59"/>
  <c r="AF108" i="59"/>
  <c r="S108" i="59"/>
  <c r="BU107" i="59"/>
  <c r="BS98" i="59"/>
  <c r="BF98" i="59"/>
  <c r="AS98" i="59"/>
  <c r="AF98" i="59"/>
  <c r="S98" i="59"/>
  <c r="BT95" i="59"/>
  <c r="BR95" i="59"/>
  <c r="BQ95" i="59"/>
  <c r="BP95" i="59"/>
  <c r="BO95" i="59"/>
  <c r="BN95" i="59"/>
  <c r="BM95" i="59"/>
  <c r="BL95" i="59"/>
  <c r="BK95" i="59"/>
  <c r="BJ95" i="59"/>
  <c r="BI95" i="59"/>
  <c r="BH95" i="59"/>
  <c r="BG95" i="59"/>
  <c r="BE95" i="59"/>
  <c r="BD95" i="59"/>
  <c r="BC95" i="59"/>
  <c r="BB95" i="59"/>
  <c r="BA95" i="59"/>
  <c r="AZ95" i="59"/>
  <c r="AY95" i="59"/>
  <c r="AX95" i="59"/>
  <c r="AW95" i="59"/>
  <c r="AV95" i="59"/>
  <c r="AU95" i="59"/>
  <c r="AT95" i="59"/>
  <c r="AR95" i="59"/>
  <c r="AQ95" i="59"/>
  <c r="AP95" i="59"/>
  <c r="AO95" i="59"/>
  <c r="AN95" i="59"/>
  <c r="AM95" i="59"/>
  <c r="AL95" i="59"/>
  <c r="AK95" i="59"/>
  <c r="AJ95" i="59"/>
  <c r="AI95" i="59"/>
  <c r="AH95" i="59"/>
  <c r="AG95" i="59"/>
  <c r="AE95" i="59"/>
  <c r="AD95" i="59"/>
  <c r="AC95" i="59"/>
  <c r="AB95" i="59"/>
  <c r="AA95" i="59"/>
  <c r="Z95" i="59"/>
  <c r="Y95" i="59"/>
  <c r="X95" i="59"/>
  <c r="W95" i="59"/>
  <c r="V95" i="59"/>
  <c r="U95" i="59"/>
  <c r="T95" i="59"/>
  <c r="R95" i="59"/>
  <c r="Q95" i="59"/>
  <c r="P95" i="59"/>
  <c r="O95" i="59"/>
  <c r="M95" i="59"/>
  <c r="L95" i="59"/>
  <c r="K95" i="59"/>
  <c r="J95" i="59"/>
  <c r="I95" i="59"/>
  <c r="H95" i="59"/>
  <c r="G95" i="59"/>
  <c r="F95" i="59"/>
  <c r="BS94" i="59"/>
  <c r="BE94" i="59"/>
  <c r="BD94" i="59"/>
  <c r="BC94" i="59"/>
  <c r="BB94" i="59"/>
  <c r="BA94" i="59"/>
  <c r="AZ94" i="59"/>
  <c r="AY94" i="59"/>
  <c r="AX94" i="59"/>
  <c r="AW94" i="59"/>
  <c r="AV94" i="59"/>
  <c r="AU94" i="59"/>
  <c r="AT94" i="59"/>
  <c r="AR94" i="59"/>
  <c r="AQ94" i="59"/>
  <c r="AP94" i="59"/>
  <c r="AO94" i="59"/>
  <c r="AN94" i="59"/>
  <c r="AM94" i="59"/>
  <c r="AL94" i="59"/>
  <c r="AK94" i="59"/>
  <c r="AJ94" i="59"/>
  <c r="AI94" i="59"/>
  <c r="AH94" i="59"/>
  <c r="AG94" i="59"/>
  <c r="AE94" i="59"/>
  <c r="AD94" i="59"/>
  <c r="AC94" i="59"/>
  <c r="AB94" i="59"/>
  <c r="AA94" i="59"/>
  <c r="Z94" i="59"/>
  <c r="Y94" i="59"/>
  <c r="X94" i="59"/>
  <c r="W94" i="59"/>
  <c r="V94" i="59"/>
  <c r="U94" i="59"/>
  <c r="T94" i="59"/>
  <c r="R94" i="59"/>
  <c r="Q94" i="59"/>
  <c r="P94" i="59"/>
  <c r="O94" i="59"/>
  <c r="N94" i="59"/>
  <c r="M94" i="59"/>
  <c r="L94" i="59"/>
  <c r="K94" i="59"/>
  <c r="J94" i="59"/>
  <c r="I94" i="59"/>
  <c r="H94" i="59"/>
  <c r="G94" i="59"/>
  <c r="F94" i="59"/>
  <c r="BS93" i="59"/>
  <c r="BE93" i="59"/>
  <c r="BD93" i="59"/>
  <c r="BC93" i="59"/>
  <c r="BB93" i="59"/>
  <c r="BA93" i="59"/>
  <c r="AZ93" i="59"/>
  <c r="AY93" i="59"/>
  <c r="AX93" i="59"/>
  <c r="AW93" i="59"/>
  <c r="AV93" i="59"/>
  <c r="AU93" i="59"/>
  <c r="AT93" i="59"/>
  <c r="AR93" i="59"/>
  <c r="AQ93" i="59"/>
  <c r="AP93" i="59"/>
  <c r="AO93" i="59"/>
  <c r="AN93" i="59"/>
  <c r="AM93" i="59"/>
  <c r="AL93" i="59"/>
  <c r="AK93" i="59"/>
  <c r="AJ93" i="59"/>
  <c r="AI93" i="59"/>
  <c r="AH93" i="59"/>
  <c r="AG93" i="59"/>
  <c r="AE93" i="59"/>
  <c r="AD93" i="59"/>
  <c r="AC93" i="59"/>
  <c r="AB93" i="59"/>
  <c r="AA93" i="59"/>
  <c r="Z93" i="59"/>
  <c r="Y93" i="59"/>
  <c r="X93" i="59"/>
  <c r="W93" i="59"/>
  <c r="V93" i="59"/>
  <c r="U93" i="59"/>
  <c r="T93" i="59"/>
  <c r="R93" i="59"/>
  <c r="Q93" i="59"/>
  <c r="P93" i="59"/>
  <c r="O93" i="59"/>
  <c r="N93" i="59"/>
  <c r="M93" i="59"/>
  <c r="L93" i="59"/>
  <c r="K93" i="59"/>
  <c r="J93" i="59"/>
  <c r="I93" i="59"/>
  <c r="H93" i="59"/>
  <c r="G93" i="59"/>
  <c r="F93" i="59"/>
  <c r="BT92" i="59"/>
  <c r="BR92" i="59"/>
  <c r="BQ92" i="59"/>
  <c r="BP92" i="59"/>
  <c r="BO92" i="59"/>
  <c r="BN92" i="59"/>
  <c r="BM92" i="59"/>
  <c r="BL92" i="59"/>
  <c r="BK92" i="59"/>
  <c r="BJ92" i="59"/>
  <c r="BI92" i="59"/>
  <c r="BH92" i="59"/>
  <c r="BG92" i="59"/>
  <c r="BE92" i="59"/>
  <c r="BD92" i="59"/>
  <c r="BC92" i="59"/>
  <c r="BB92" i="59"/>
  <c r="BA92" i="59"/>
  <c r="AZ92" i="59"/>
  <c r="AY92" i="59"/>
  <c r="AX92" i="59"/>
  <c r="AW92" i="59"/>
  <c r="AV92" i="59"/>
  <c r="AU92" i="59"/>
  <c r="AT92" i="59"/>
  <c r="AR92" i="59"/>
  <c r="AQ92" i="59"/>
  <c r="AP92" i="59"/>
  <c r="AO92" i="59"/>
  <c r="AN92" i="59"/>
  <c r="AM92" i="59"/>
  <c r="AL92" i="59"/>
  <c r="AK92" i="59"/>
  <c r="AJ92" i="59"/>
  <c r="AI92" i="59"/>
  <c r="AH92" i="59"/>
  <c r="AG92" i="59"/>
  <c r="AE92" i="59"/>
  <c r="AD92" i="59"/>
  <c r="AC92" i="59"/>
  <c r="AB92" i="59"/>
  <c r="AA92" i="59"/>
  <c r="Z92" i="59"/>
  <c r="Y92" i="59"/>
  <c r="X92" i="59"/>
  <c r="W92" i="59"/>
  <c r="V92" i="59"/>
  <c r="U92" i="59"/>
  <c r="T92" i="59"/>
  <c r="R92" i="59"/>
  <c r="Q92" i="59"/>
  <c r="P92" i="59"/>
  <c r="O92" i="59"/>
  <c r="N92" i="59"/>
  <c r="M92" i="59"/>
  <c r="L92" i="59"/>
  <c r="K92" i="59"/>
  <c r="J92" i="59"/>
  <c r="I92" i="59"/>
  <c r="H92" i="59"/>
  <c r="G92" i="59"/>
  <c r="F92" i="59"/>
  <c r="BT91" i="59"/>
  <c r="BT118" i="59" s="1"/>
  <c r="BR91" i="59"/>
  <c r="BR118" i="59" s="1"/>
  <c r="BQ91" i="59"/>
  <c r="BQ118" i="59" s="1"/>
  <c r="BP91" i="59"/>
  <c r="BP118" i="59" s="1"/>
  <c r="BO91" i="59"/>
  <c r="BO118" i="59" s="1"/>
  <c r="BN91" i="59"/>
  <c r="BN118" i="59" s="1"/>
  <c r="BM91" i="59"/>
  <c r="BM118" i="59" s="1"/>
  <c r="BL91" i="59"/>
  <c r="BL118" i="59" s="1"/>
  <c r="BK91" i="59"/>
  <c r="BJ91" i="59"/>
  <c r="BJ118" i="59" s="1"/>
  <c r="BI91" i="59"/>
  <c r="BI118" i="59" s="1"/>
  <c r="BH91" i="59"/>
  <c r="BG91" i="59"/>
  <c r="BG118" i="59" s="1"/>
  <c r="BE91" i="59"/>
  <c r="BE118" i="59" s="1"/>
  <c r="BD91" i="59"/>
  <c r="BD118" i="59" s="1"/>
  <c r="BC91" i="59"/>
  <c r="BC118" i="59" s="1"/>
  <c r="BB91" i="59"/>
  <c r="BB118" i="59" s="1"/>
  <c r="BA91" i="59"/>
  <c r="BA118" i="59" s="1"/>
  <c r="AZ91" i="59"/>
  <c r="AZ118" i="59" s="1"/>
  <c r="AY91" i="59"/>
  <c r="AY118" i="59" s="1"/>
  <c r="AX91" i="59"/>
  <c r="AX118" i="59" s="1"/>
  <c r="AW91" i="59"/>
  <c r="AW118" i="59" s="1"/>
  <c r="AV91" i="59"/>
  <c r="AV118" i="59" s="1"/>
  <c r="AU91" i="59"/>
  <c r="AU118" i="59" s="1"/>
  <c r="AT91" i="59"/>
  <c r="AR91" i="59"/>
  <c r="AR118" i="59" s="1"/>
  <c r="AQ91" i="59"/>
  <c r="AQ118" i="59" s="1"/>
  <c r="AP91" i="59"/>
  <c r="AP118" i="59" s="1"/>
  <c r="AO91" i="59"/>
  <c r="AO118" i="59" s="1"/>
  <c r="AN91" i="59"/>
  <c r="AN118" i="59" s="1"/>
  <c r="AM91" i="59"/>
  <c r="AM118" i="59" s="1"/>
  <c r="AL91" i="59"/>
  <c r="AL118" i="59" s="1"/>
  <c r="AK91" i="59"/>
  <c r="AK118" i="59" s="1"/>
  <c r="AJ91" i="59"/>
  <c r="AJ118" i="59" s="1"/>
  <c r="AI91" i="59"/>
  <c r="AI118" i="59" s="1"/>
  <c r="AH91" i="59"/>
  <c r="AH118" i="59" s="1"/>
  <c r="AG91" i="59"/>
  <c r="AG118" i="59" s="1"/>
  <c r="AE91" i="59"/>
  <c r="AE118" i="59" s="1"/>
  <c r="AD91" i="59"/>
  <c r="AD118" i="59" s="1"/>
  <c r="AC91" i="59"/>
  <c r="AC118" i="59" s="1"/>
  <c r="AB91" i="59"/>
  <c r="AB118" i="59" s="1"/>
  <c r="AA91" i="59"/>
  <c r="AA118" i="59" s="1"/>
  <c r="Z91" i="59"/>
  <c r="Z118" i="59" s="1"/>
  <c r="Y91" i="59"/>
  <c r="Y118" i="59" s="1"/>
  <c r="X91" i="59"/>
  <c r="X118" i="59" s="1"/>
  <c r="W91" i="59"/>
  <c r="W118" i="59" s="1"/>
  <c r="V91" i="59"/>
  <c r="V118" i="59" s="1"/>
  <c r="U91" i="59"/>
  <c r="U118" i="59" s="1"/>
  <c r="T91" i="59"/>
  <c r="T118" i="59" s="1"/>
  <c r="R91" i="59"/>
  <c r="R118" i="59" s="1"/>
  <c r="Q91" i="59"/>
  <c r="Q118" i="59" s="1"/>
  <c r="P91" i="59"/>
  <c r="P118" i="59" s="1"/>
  <c r="O91" i="59"/>
  <c r="O118" i="59" s="1"/>
  <c r="N91" i="59"/>
  <c r="N118" i="59" s="1"/>
  <c r="M91" i="59"/>
  <c r="M118" i="59" s="1"/>
  <c r="L91" i="59"/>
  <c r="K91" i="59"/>
  <c r="K118" i="59" s="1"/>
  <c r="J91" i="59"/>
  <c r="J118" i="59" s="1"/>
  <c r="I91" i="59"/>
  <c r="I118" i="59" s="1"/>
  <c r="H91" i="59"/>
  <c r="H118" i="59" s="1"/>
  <c r="G91" i="59"/>
  <c r="G118" i="59" s="1"/>
  <c r="F91" i="59"/>
  <c r="F118" i="59" s="1"/>
  <c r="BT90" i="59"/>
  <c r="BR90" i="59"/>
  <c r="BQ90" i="59"/>
  <c r="BP90" i="59"/>
  <c r="BO90" i="59"/>
  <c r="BN90" i="59"/>
  <c r="BM90" i="59"/>
  <c r="BM117" i="59" s="1"/>
  <c r="BL90" i="59"/>
  <c r="BL117" i="59" s="1"/>
  <c r="BK90" i="59"/>
  <c r="BK117" i="59" s="1"/>
  <c r="BJ90" i="59"/>
  <c r="BJ117" i="59" s="1"/>
  <c r="BI90" i="59"/>
  <c r="BI117" i="59" s="1"/>
  <c r="BH90" i="59"/>
  <c r="BG90" i="59"/>
  <c r="BE90" i="59"/>
  <c r="BE117" i="59" s="1"/>
  <c r="BD90" i="59"/>
  <c r="BC90" i="59"/>
  <c r="BB90" i="59"/>
  <c r="BA90" i="59"/>
  <c r="AZ90" i="59"/>
  <c r="AY90" i="59"/>
  <c r="AX90" i="59"/>
  <c r="AW90" i="59"/>
  <c r="AW117" i="59" s="1"/>
  <c r="AV90" i="59"/>
  <c r="AV117" i="59" s="1"/>
  <c r="AU90" i="59"/>
  <c r="AU117" i="59" s="1"/>
  <c r="AT90" i="59"/>
  <c r="AT117" i="59" s="1"/>
  <c r="AR90" i="59"/>
  <c r="AR117" i="59" s="1"/>
  <c r="AQ90" i="59"/>
  <c r="AQ117" i="59" s="1"/>
  <c r="AP90" i="59"/>
  <c r="AP117" i="59" s="1"/>
  <c r="AO90" i="59"/>
  <c r="AO117" i="59" s="1"/>
  <c r="AN90" i="59"/>
  <c r="AM90" i="59"/>
  <c r="AL90" i="59"/>
  <c r="AK90" i="59"/>
  <c r="AJ90" i="59"/>
  <c r="AI90" i="59"/>
  <c r="AH90" i="59"/>
  <c r="AG90" i="59"/>
  <c r="AE90" i="59"/>
  <c r="AE117" i="59" s="1"/>
  <c r="AD90" i="59"/>
  <c r="AD117" i="59" s="1"/>
  <c r="AC90" i="59"/>
  <c r="AC117" i="59" s="1"/>
  <c r="AB90" i="59"/>
  <c r="AB117" i="59" s="1"/>
  <c r="AA90" i="59"/>
  <c r="Z90" i="59"/>
  <c r="Z117" i="59" s="1"/>
  <c r="Y90" i="59"/>
  <c r="Y117" i="59" s="1"/>
  <c r="X90" i="59"/>
  <c r="W90" i="59"/>
  <c r="V90" i="59"/>
  <c r="U90" i="59"/>
  <c r="T90" i="59"/>
  <c r="R90" i="59"/>
  <c r="R117" i="59" s="1"/>
  <c r="R129" i="59" s="1"/>
  <c r="Q90" i="59"/>
  <c r="Q117" i="59" s="1"/>
  <c r="P90" i="59"/>
  <c r="O90" i="59"/>
  <c r="O117" i="59" s="1"/>
  <c r="N90" i="59"/>
  <c r="N117" i="59" s="1"/>
  <c r="M90" i="59"/>
  <c r="M117" i="59" s="1"/>
  <c r="L90" i="59"/>
  <c r="K90" i="59"/>
  <c r="J90" i="59"/>
  <c r="J117" i="59" s="1"/>
  <c r="I90" i="59"/>
  <c r="I117" i="59" s="1"/>
  <c r="H90" i="59"/>
  <c r="G90" i="59"/>
  <c r="G117" i="59" s="1"/>
  <c r="F90" i="59"/>
  <c r="BT89" i="59"/>
  <c r="BR89" i="59"/>
  <c r="BQ89" i="59"/>
  <c r="BP89" i="59"/>
  <c r="BO89" i="59"/>
  <c r="BN89" i="59"/>
  <c r="BM89" i="59"/>
  <c r="BL89" i="59"/>
  <c r="BK89" i="59"/>
  <c r="BJ89" i="59"/>
  <c r="BI89" i="59"/>
  <c r="BH89" i="59"/>
  <c r="BG89" i="59"/>
  <c r="BE89" i="59"/>
  <c r="BD89" i="59"/>
  <c r="BC89" i="59"/>
  <c r="BB89" i="59"/>
  <c r="BA89" i="59"/>
  <c r="AZ89" i="59"/>
  <c r="AY89" i="59"/>
  <c r="AX89" i="59"/>
  <c r="AW89" i="59"/>
  <c r="AV89" i="59"/>
  <c r="AU89" i="59"/>
  <c r="AT89" i="59"/>
  <c r="AR89" i="59"/>
  <c r="AQ89" i="59"/>
  <c r="AP89" i="59"/>
  <c r="AO89" i="59"/>
  <c r="AN89" i="59"/>
  <c r="AM89" i="59"/>
  <c r="AL89" i="59"/>
  <c r="AK89" i="59"/>
  <c r="AJ89" i="59"/>
  <c r="AI89" i="59"/>
  <c r="AH89" i="59"/>
  <c r="AG89" i="59"/>
  <c r="AE89" i="59"/>
  <c r="AD89" i="59"/>
  <c r="AC89" i="59"/>
  <c r="AB89" i="59"/>
  <c r="AA89" i="59"/>
  <c r="Z89" i="59"/>
  <c r="Y89" i="59"/>
  <c r="X89" i="59"/>
  <c r="W89" i="59"/>
  <c r="V89" i="59"/>
  <c r="U89" i="59"/>
  <c r="T89" i="59"/>
  <c r="R89" i="59"/>
  <c r="Q89" i="59"/>
  <c r="P89" i="59"/>
  <c r="O89" i="59"/>
  <c r="N89" i="59"/>
  <c r="M89" i="59"/>
  <c r="L89" i="59"/>
  <c r="K89" i="59"/>
  <c r="J89" i="59"/>
  <c r="I89" i="59"/>
  <c r="H89" i="59"/>
  <c r="G89" i="59"/>
  <c r="F89" i="59"/>
  <c r="BS88" i="59"/>
  <c r="BF88" i="59"/>
  <c r="AS88" i="59"/>
  <c r="AF88" i="59"/>
  <c r="S88" i="59"/>
  <c r="BS87" i="59"/>
  <c r="BF87" i="59"/>
  <c r="AS87" i="59"/>
  <c r="AF87" i="59"/>
  <c r="S87" i="59"/>
  <c r="BV86" i="59"/>
  <c r="BS86" i="59"/>
  <c r="BF86" i="59"/>
  <c r="AS86" i="59"/>
  <c r="AF86" i="59"/>
  <c r="S86" i="59"/>
  <c r="BT85" i="59"/>
  <c r="BR85" i="59"/>
  <c r="BQ85" i="59"/>
  <c r="BP85" i="59"/>
  <c r="BO85" i="59"/>
  <c r="BN85" i="59"/>
  <c r="BM85" i="59"/>
  <c r="BL85" i="59"/>
  <c r="BK85" i="59"/>
  <c r="BJ85" i="59"/>
  <c r="BI85" i="59"/>
  <c r="BH85" i="59"/>
  <c r="BG85" i="59"/>
  <c r="BE85" i="59"/>
  <c r="BD85" i="59"/>
  <c r="BC85" i="59"/>
  <c r="BB85" i="59"/>
  <c r="BA85" i="59"/>
  <c r="AZ85" i="59"/>
  <c r="AY85" i="59"/>
  <c r="AX85" i="59"/>
  <c r="AW85" i="59"/>
  <c r="AV85" i="59"/>
  <c r="AU85" i="59"/>
  <c r="AT85" i="59"/>
  <c r="AR85" i="59"/>
  <c r="AQ85" i="59"/>
  <c r="AP85" i="59"/>
  <c r="AO85" i="59"/>
  <c r="AN85" i="59"/>
  <c r="AM85" i="59"/>
  <c r="AL85" i="59"/>
  <c r="AK85" i="59"/>
  <c r="AJ85" i="59"/>
  <c r="AI85" i="59"/>
  <c r="AH85" i="59"/>
  <c r="AG85" i="59"/>
  <c r="AE85" i="59"/>
  <c r="AD85" i="59"/>
  <c r="AC85" i="59"/>
  <c r="AB85" i="59"/>
  <c r="AA85" i="59"/>
  <c r="Z85" i="59"/>
  <c r="Y85" i="59"/>
  <c r="X85" i="59"/>
  <c r="W85" i="59"/>
  <c r="V85" i="59"/>
  <c r="U85" i="59"/>
  <c r="T85" i="59"/>
  <c r="R85" i="59"/>
  <c r="Q85" i="59"/>
  <c r="P85" i="59"/>
  <c r="O85" i="59"/>
  <c r="N85" i="59"/>
  <c r="M85" i="59"/>
  <c r="L85" i="59"/>
  <c r="K85" i="59"/>
  <c r="J85" i="59"/>
  <c r="I85" i="59"/>
  <c r="H85" i="59"/>
  <c r="G85" i="59"/>
  <c r="F85" i="59"/>
  <c r="BS84" i="59"/>
  <c r="BF84" i="59"/>
  <c r="AS84" i="59"/>
  <c r="AF84" i="59"/>
  <c r="S84" i="59"/>
  <c r="BS83" i="59"/>
  <c r="BF83" i="59"/>
  <c r="AS83" i="59"/>
  <c r="AF83" i="59"/>
  <c r="S83" i="59"/>
  <c r="BS82" i="59"/>
  <c r="BF82" i="59"/>
  <c r="AS82" i="59"/>
  <c r="AF82" i="59"/>
  <c r="S82" i="59"/>
  <c r="BS81" i="59"/>
  <c r="BF81" i="59"/>
  <c r="AS81" i="59"/>
  <c r="AF81" i="59"/>
  <c r="S81" i="59"/>
  <c r="BV80" i="59"/>
  <c r="BS80" i="59"/>
  <c r="BF80" i="59"/>
  <c r="AS80" i="59"/>
  <c r="AF80" i="59"/>
  <c r="S80" i="59"/>
  <c r="BT79" i="59"/>
  <c r="BR79" i="59"/>
  <c r="BQ79" i="59"/>
  <c r="BP79" i="59"/>
  <c r="BO79" i="59"/>
  <c r="BN79" i="59"/>
  <c r="BM79" i="59"/>
  <c r="BL79" i="59"/>
  <c r="BK79" i="59"/>
  <c r="BJ79" i="59"/>
  <c r="BI79" i="59"/>
  <c r="BH79" i="59"/>
  <c r="BG79" i="59"/>
  <c r="BE79" i="59"/>
  <c r="BD79" i="59"/>
  <c r="BC79" i="59"/>
  <c r="BB79" i="59"/>
  <c r="BA79" i="59"/>
  <c r="AZ79" i="59"/>
  <c r="AY79" i="59"/>
  <c r="AX79" i="59"/>
  <c r="AW79" i="59"/>
  <c r="AV79" i="59"/>
  <c r="AU79" i="59"/>
  <c r="AT79" i="59"/>
  <c r="AR79" i="59"/>
  <c r="AQ79" i="59"/>
  <c r="AP79" i="59"/>
  <c r="AO79" i="59"/>
  <c r="AN79" i="59"/>
  <c r="AM79" i="59"/>
  <c r="AL79" i="59"/>
  <c r="AK79" i="59"/>
  <c r="AJ79" i="59"/>
  <c r="AI79" i="59"/>
  <c r="AH79" i="59"/>
  <c r="AG79" i="59"/>
  <c r="AE79" i="59"/>
  <c r="AD79" i="59"/>
  <c r="AC79" i="59"/>
  <c r="AB79" i="59"/>
  <c r="AA79" i="59"/>
  <c r="Z79" i="59"/>
  <c r="Y79" i="59"/>
  <c r="X79" i="59"/>
  <c r="W79" i="59"/>
  <c r="V79" i="59"/>
  <c r="U79" i="59"/>
  <c r="T79" i="59"/>
  <c r="R79" i="59"/>
  <c r="Q79" i="59"/>
  <c r="P79" i="59"/>
  <c r="O79" i="59"/>
  <c r="N79" i="59"/>
  <c r="M79" i="59"/>
  <c r="L79" i="59"/>
  <c r="K79" i="59"/>
  <c r="J79" i="59"/>
  <c r="I79" i="59"/>
  <c r="H79" i="59"/>
  <c r="G79" i="59"/>
  <c r="F79" i="59"/>
  <c r="BS78" i="59"/>
  <c r="BF78" i="59"/>
  <c r="AS78" i="59"/>
  <c r="AF78" i="59"/>
  <c r="S78" i="59"/>
  <c r="BS77" i="59"/>
  <c r="BF77" i="59"/>
  <c r="AS77" i="59"/>
  <c r="AF77" i="59"/>
  <c r="S77" i="59"/>
  <c r="BS76" i="59"/>
  <c r="BF76" i="59"/>
  <c r="AS76" i="59"/>
  <c r="AF76" i="59"/>
  <c r="S76" i="59"/>
  <c r="BT75" i="59"/>
  <c r="BR75" i="59"/>
  <c r="BQ75" i="59"/>
  <c r="BP75" i="59"/>
  <c r="BO75" i="59"/>
  <c r="BN75" i="59"/>
  <c r="BM75" i="59"/>
  <c r="BL75" i="59"/>
  <c r="BK75" i="59"/>
  <c r="BJ75" i="59"/>
  <c r="BI75" i="59"/>
  <c r="BH75" i="59"/>
  <c r="BG75" i="59"/>
  <c r="BE75" i="59"/>
  <c r="BD75" i="59"/>
  <c r="BC75" i="59"/>
  <c r="BB75" i="59"/>
  <c r="BA75" i="59"/>
  <c r="AZ75" i="59"/>
  <c r="AY75" i="59"/>
  <c r="AX75" i="59"/>
  <c r="AW75" i="59"/>
  <c r="AV75" i="59"/>
  <c r="AU75" i="59"/>
  <c r="AT75" i="59"/>
  <c r="AR75" i="59"/>
  <c r="AQ75" i="59"/>
  <c r="AP75" i="59"/>
  <c r="AO75" i="59"/>
  <c r="AN75" i="59"/>
  <c r="AM75" i="59"/>
  <c r="AL75" i="59"/>
  <c r="AK75" i="59"/>
  <c r="AJ75" i="59"/>
  <c r="AI75" i="59"/>
  <c r="AH75" i="59"/>
  <c r="AG75" i="59"/>
  <c r="AE75" i="59"/>
  <c r="AD75" i="59"/>
  <c r="AC75" i="59"/>
  <c r="AB75" i="59"/>
  <c r="AA75" i="59"/>
  <c r="Z75" i="59"/>
  <c r="Y75" i="59"/>
  <c r="X75" i="59"/>
  <c r="W75" i="59"/>
  <c r="V75" i="59"/>
  <c r="U75" i="59"/>
  <c r="T75" i="59"/>
  <c r="R75" i="59"/>
  <c r="Q75" i="59"/>
  <c r="P75" i="59"/>
  <c r="O75" i="59"/>
  <c r="M75" i="59"/>
  <c r="L75" i="59"/>
  <c r="K75" i="59"/>
  <c r="J75" i="59"/>
  <c r="I75" i="59"/>
  <c r="H75" i="59"/>
  <c r="G75" i="59"/>
  <c r="F75" i="59"/>
  <c r="BS74" i="59"/>
  <c r="BF74" i="59"/>
  <c r="AS74" i="59"/>
  <c r="AF74" i="59"/>
  <c r="N74" i="59"/>
  <c r="BS73" i="59"/>
  <c r="BF73" i="59"/>
  <c r="AS73" i="59"/>
  <c r="AF73" i="59"/>
  <c r="S73" i="59"/>
  <c r="BS72" i="59"/>
  <c r="BF72" i="59"/>
  <c r="AS72" i="59"/>
  <c r="AF72" i="59"/>
  <c r="S72" i="59"/>
  <c r="BT69" i="59"/>
  <c r="BR69" i="59"/>
  <c r="BQ69" i="59"/>
  <c r="BP69" i="59"/>
  <c r="BO69" i="59"/>
  <c r="BN69" i="59"/>
  <c r="BM69" i="59"/>
  <c r="BL69" i="59"/>
  <c r="BK69" i="59"/>
  <c r="BJ69" i="59"/>
  <c r="BI69" i="59"/>
  <c r="BH69" i="59"/>
  <c r="BG69" i="59"/>
  <c r="BE69" i="59"/>
  <c r="BD69" i="59"/>
  <c r="BC69" i="59"/>
  <c r="BB69" i="59"/>
  <c r="BA69" i="59"/>
  <c r="AZ69" i="59"/>
  <c r="AY69" i="59"/>
  <c r="AX69" i="59"/>
  <c r="AW69" i="59"/>
  <c r="AV69" i="59"/>
  <c r="AU69" i="59"/>
  <c r="AT69" i="59"/>
  <c r="AR69" i="59"/>
  <c r="AQ69" i="59"/>
  <c r="AP69" i="59"/>
  <c r="AO69" i="59"/>
  <c r="AN69" i="59"/>
  <c r="AM69" i="59"/>
  <c r="AL69" i="59"/>
  <c r="AK69" i="59"/>
  <c r="AJ69" i="59"/>
  <c r="AI69" i="59"/>
  <c r="AH69" i="59"/>
  <c r="AG69" i="59"/>
  <c r="AE69" i="59"/>
  <c r="AD69" i="59"/>
  <c r="AC69" i="59"/>
  <c r="AB69" i="59"/>
  <c r="AA69" i="59"/>
  <c r="Z69" i="59"/>
  <c r="Y69" i="59"/>
  <c r="X69" i="59"/>
  <c r="W69" i="59"/>
  <c r="V69" i="59"/>
  <c r="U69" i="59"/>
  <c r="T69" i="59"/>
  <c r="R69" i="59"/>
  <c r="Q69" i="59"/>
  <c r="P69" i="59"/>
  <c r="O69" i="59"/>
  <c r="N69" i="59"/>
  <c r="M69" i="59"/>
  <c r="L69" i="59"/>
  <c r="K69" i="59"/>
  <c r="J69" i="59"/>
  <c r="I69" i="59"/>
  <c r="H69" i="59"/>
  <c r="F69" i="59"/>
  <c r="BT68" i="59"/>
  <c r="BR68" i="59"/>
  <c r="BQ68" i="59"/>
  <c r="BP68" i="59"/>
  <c r="BO68" i="59"/>
  <c r="BN68" i="59"/>
  <c r="BM68" i="59"/>
  <c r="BL68" i="59"/>
  <c r="BK68" i="59"/>
  <c r="BJ68" i="59"/>
  <c r="BI68" i="59"/>
  <c r="BI70" i="59" s="1"/>
  <c r="BH68" i="59"/>
  <c r="BH70" i="59" s="1"/>
  <c r="BG68" i="59"/>
  <c r="BE68" i="59"/>
  <c r="BD68" i="59"/>
  <c r="BC68" i="59"/>
  <c r="BB68" i="59"/>
  <c r="BA68" i="59"/>
  <c r="AZ68" i="59"/>
  <c r="AY68" i="59"/>
  <c r="AX68" i="59"/>
  <c r="AW68" i="59"/>
  <c r="AV68" i="59"/>
  <c r="AU68" i="59"/>
  <c r="AT68" i="59"/>
  <c r="AR68" i="59"/>
  <c r="AQ68" i="59"/>
  <c r="AQ70" i="59" s="1"/>
  <c r="AP68" i="59"/>
  <c r="AP70" i="59" s="1"/>
  <c r="AO68" i="59"/>
  <c r="AN68" i="59"/>
  <c r="AM68" i="59"/>
  <c r="AM70" i="59" s="1"/>
  <c r="AL68" i="59"/>
  <c r="AK68" i="59"/>
  <c r="AJ68" i="59"/>
  <c r="AI68" i="59"/>
  <c r="AH68" i="59"/>
  <c r="AG68" i="59"/>
  <c r="AE68" i="59"/>
  <c r="AD68" i="59"/>
  <c r="AC68" i="59"/>
  <c r="AB68" i="59"/>
  <c r="AA68" i="59"/>
  <c r="Z68" i="59"/>
  <c r="Z70" i="59" s="1"/>
  <c r="Y68" i="59"/>
  <c r="Y70" i="59" s="1"/>
  <c r="X68" i="59"/>
  <c r="W68" i="59"/>
  <c r="V68" i="59"/>
  <c r="U68" i="59"/>
  <c r="T68" i="59"/>
  <c r="R68" i="59"/>
  <c r="P68" i="59"/>
  <c r="O68" i="59"/>
  <c r="N68" i="59"/>
  <c r="M68" i="59"/>
  <c r="L68" i="59"/>
  <c r="K68" i="59"/>
  <c r="J68" i="59"/>
  <c r="I68" i="59"/>
  <c r="H68" i="59"/>
  <c r="H70" i="59" s="1"/>
  <c r="G68" i="59"/>
  <c r="F68" i="59"/>
  <c r="BV67" i="59"/>
  <c r="BT67" i="59"/>
  <c r="BR67" i="59"/>
  <c r="BQ67" i="59"/>
  <c r="BP67" i="59"/>
  <c r="BO67" i="59"/>
  <c r="BN67" i="59"/>
  <c r="BM67" i="59"/>
  <c r="BL67" i="59"/>
  <c r="BK67" i="59"/>
  <c r="BJ67" i="59"/>
  <c r="BI67" i="59"/>
  <c r="BH67" i="59"/>
  <c r="BG67" i="59"/>
  <c r="BE67" i="59"/>
  <c r="BD67" i="59"/>
  <c r="BC67" i="59"/>
  <c r="BB67" i="59"/>
  <c r="BA67" i="59"/>
  <c r="AZ67" i="59"/>
  <c r="AY67" i="59"/>
  <c r="AX67" i="59"/>
  <c r="AW67" i="59"/>
  <c r="AV67" i="59"/>
  <c r="AU67" i="59"/>
  <c r="AT67" i="59"/>
  <c r="AR67" i="59"/>
  <c r="AQ67" i="59"/>
  <c r="AP67" i="59"/>
  <c r="AO67" i="59"/>
  <c r="AN67" i="59"/>
  <c r="AM67" i="59"/>
  <c r="AL67" i="59"/>
  <c r="AK67" i="59"/>
  <c r="AJ67" i="59"/>
  <c r="AI67" i="59"/>
  <c r="AH67" i="59"/>
  <c r="AG67" i="59"/>
  <c r="AE67" i="59"/>
  <c r="AD67" i="59"/>
  <c r="AC67" i="59"/>
  <c r="AB67" i="59"/>
  <c r="AA67" i="59"/>
  <c r="Z67" i="59"/>
  <c r="Y67" i="59"/>
  <c r="X67" i="59"/>
  <c r="W67" i="59"/>
  <c r="V67" i="59"/>
  <c r="U67" i="59"/>
  <c r="T67" i="59"/>
  <c r="R67" i="59"/>
  <c r="Q67" i="59"/>
  <c r="P67" i="59"/>
  <c r="O67" i="59"/>
  <c r="N67" i="59"/>
  <c r="M67" i="59"/>
  <c r="L67" i="59"/>
  <c r="K67" i="59"/>
  <c r="J67" i="59"/>
  <c r="I67" i="59"/>
  <c r="H67" i="59"/>
  <c r="G67" i="59"/>
  <c r="F67" i="59"/>
  <c r="BV66" i="59"/>
  <c r="BS66" i="59"/>
  <c r="BF66" i="59"/>
  <c r="AS66" i="59"/>
  <c r="AF66" i="59"/>
  <c r="S66" i="59"/>
  <c r="BV65" i="59"/>
  <c r="BS65" i="59"/>
  <c r="BF65" i="59"/>
  <c r="AS65" i="59"/>
  <c r="AF65" i="59"/>
  <c r="S65" i="59"/>
  <c r="BT64" i="59"/>
  <c r="BR64" i="59"/>
  <c r="BQ64" i="59"/>
  <c r="BP64" i="59"/>
  <c r="BO64" i="59"/>
  <c r="BN64" i="59"/>
  <c r="BM64" i="59"/>
  <c r="BL64" i="59"/>
  <c r="BK64" i="59"/>
  <c r="BJ64" i="59"/>
  <c r="BI64" i="59"/>
  <c r="BH64" i="59"/>
  <c r="BG64" i="59"/>
  <c r="BE64" i="59"/>
  <c r="BD64" i="59"/>
  <c r="BC64" i="59"/>
  <c r="BB64" i="59"/>
  <c r="BA64" i="59"/>
  <c r="AZ64" i="59"/>
  <c r="AY64" i="59"/>
  <c r="AX64" i="59"/>
  <c r="AW64" i="59"/>
  <c r="AV64" i="59"/>
  <c r="AU64" i="59"/>
  <c r="AT64" i="59"/>
  <c r="AR64" i="59"/>
  <c r="AQ64" i="59"/>
  <c r="AP64" i="59"/>
  <c r="AO64" i="59"/>
  <c r="AN64" i="59"/>
  <c r="AM64" i="59"/>
  <c r="AL64" i="59"/>
  <c r="AK64" i="59"/>
  <c r="AJ64" i="59"/>
  <c r="AI64" i="59"/>
  <c r="AH64" i="59"/>
  <c r="AG64" i="59"/>
  <c r="AE64" i="59"/>
  <c r="AD64" i="59"/>
  <c r="AC64" i="59"/>
  <c r="AB64" i="59"/>
  <c r="AA64" i="59"/>
  <c r="Z64" i="59"/>
  <c r="Y64" i="59"/>
  <c r="X64" i="59"/>
  <c r="W64" i="59"/>
  <c r="V64" i="59"/>
  <c r="U64" i="59"/>
  <c r="T64" i="59"/>
  <c r="R64" i="59"/>
  <c r="Q64" i="59"/>
  <c r="P64" i="59"/>
  <c r="O64" i="59"/>
  <c r="N64" i="59"/>
  <c r="M64" i="59"/>
  <c r="L64" i="59"/>
  <c r="K64" i="59"/>
  <c r="J64" i="59"/>
  <c r="I64" i="59"/>
  <c r="H64" i="59"/>
  <c r="G64" i="59"/>
  <c r="F64" i="59"/>
  <c r="E64" i="59"/>
  <c r="BV64" i="59" s="1"/>
  <c r="BV63" i="59"/>
  <c r="BS63" i="59"/>
  <c r="BF63" i="59"/>
  <c r="AS63" i="59"/>
  <c r="AF63" i="59"/>
  <c r="S63" i="59"/>
  <c r="BV62" i="59"/>
  <c r="BS62" i="59"/>
  <c r="BF62" i="59"/>
  <c r="AS62" i="59"/>
  <c r="AF62" i="59"/>
  <c r="S62" i="59"/>
  <c r="BT61" i="59"/>
  <c r="BR61" i="59"/>
  <c r="BQ61" i="59"/>
  <c r="BP61" i="59"/>
  <c r="BO61" i="59"/>
  <c r="BN61" i="59"/>
  <c r="BM61" i="59"/>
  <c r="BL61" i="59"/>
  <c r="BK61" i="59"/>
  <c r="BJ61" i="59"/>
  <c r="BI61" i="59"/>
  <c r="BH61" i="59"/>
  <c r="BG61" i="59"/>
  <c r="BE61" i="59"/>
  <c r="BD61" i="59"/>
  <c r="BC61" i="59"/>
  <c r="BB61" i="59"/>
  <c r="BA61" i="59"/>
  <c r="AZ61" i="59"/>
  <c r="AY61" i="59"/>
  <c r="AX61" i="59"/>
  <c r="AW61" i="59"/>
  <c r="AV61" i="59"/>
  <c r="AU61" i="59"/>
  <c r="AT61" i="59"/>
  <c r="AR61" i="59"/>
  <c r="AQ61" i="59"/>
  <c r="AP61" i="59"/>
  <c r="AO61" i="59"/>
  <c r="AN61" i="59"/>
  <c r="AM61" i="59"/>
  <c r="AL61" i="59"/>
  <c r="AK61" i="59"/>
  <c r="AJ61" i="59"/>
  <c r="AI61" i="59"/>
  <c r="AH61" i="59"/>
  <c r="AG61" i="59"/>
  <c r="AE61" i="59"/>
  <c r="AD61" i="59"/>
  <c r="AC61" i="59"/>
  <c r="AB61" i="59"/>
  <c r="AA61" i="59"/>
  <c r="Z61" i="59"/>
  <c r="Y61" i="59"/>
  <c r="X61" i="59"/>
  <c r="W61" i="59"/>
  <c r="V61" i="59"/>
  <c r="U61" i="59"/>
  <c r="T61" i="59"/>
  <c r="R61" i="59"/>
  <c r="Q61" i="59"/>
  <c r="P61" i="59"/>
  <c r="O61" i="59"/>
  <c r="N61" i="59"/>
  <c r="M61" i="59"/>
  <c r="L61" i="59"/>
  <c r="K61" i="59"/>
  <c r="J61" i="59"/>
  <c r="I61" i="59"/>
  <c r="H61" i="59"/>
  <c r="G61" i="59"/>
  <c r="F61" i="59"/>
  <c r="E61" i="59"/>
  <c r="BV61" i="59" s="1"/>
  <c r="BV60" i="59"/>
  <c r="BS60" i="59"/>
  <c r="BF60" i="59"/>
  <c r="AS60" i="59"/>
  <c r="AF60" i="59"/>
  <c r="S60" i="59"/>
  <c r="BV59" i="59"/>
  <c r="BS59" i="59"/>
  <c r="BF59" i="59"/>
  <c r="AS59" i="59"/>
  <c r="AF59" i="59"/>
  <c r="S59" i="59"/>
  <c r="BT58" i="59"/>
  <c r="BR58" i="59"/>
  <c r="BQ58" i="59"/>
  <c r="BP58" i="59"/>
  <c r="BO58" i="59"/>
  <c r="BN58" i="59"/>
  <c r="BM58" i="59"/>
  <c r="BL58" i="59"/>
  <c r="BK58" i="59"/>
  <c r="BJ58" i="59"/>
  <c r="BI58" i="59"/>
  <c r="BH58" i="59"/>
  <c r="BG58" i="59"/>
  <c r="BE58" i="59"/>
  <c r="BD58" i="59"/>
  <c r="BC58" i="59"/>
  <c r="BB58" i="59"/>
  <c r="BA58" i="59"/>
  <c r="AZ58" i="59"/>
  <c r="AY58" i="59"/>
  <c r="AX58" i="59"/>
  <c r="AW58" i="59"/>
  <c r="AV58" i="59"/>
  <c r="AU58" i="59"/>
  <c r="AT58" i="59"/>
  <c r="AR58" i="59"/>
  <c r="AQ58" i="59"/>
  <c r="AP58" i="59"/>
  <c r="AO58" i="59"/>
  <c r="AN58" i="59"/>
  <c r="AM58" i="59"/>
  <c r="AL58" i="59"/>
  <c r="AK58" i="59"/>
  <c r="AJ58" i="59"/>
  <c r="AI58" i="59"/>
  <c r="AH58" i="59"/>
  <c r="AG58" i="59"/>
  <c r="AE58" i="59"/>
  <c r="AD58" i="59"/>
  <c r="AC58" i="59"/>
  <c r="AB58" i="59"/>
  <c r="AA58" i="59"/>
  <c r="Z58" i="59"/>
  <c r="Y58" i="59"/>
  <c r="X58" i="59"/>
  <c r="W58" i="59"/>
  <c r="V58" i="59"/>
  <c r="U58" i="59"/>
  <c r="T58" i="59"/>
  <c r="R58" i="59"/>
  <c r="Q58" i="59"/>
  <c r="P58" i="59"/>
  <c r="O58" i="59"/>
  <c r="N58" i="59"/>
  <c r="M58" i="59"/>
  <c r="L58" i="59"/>
  <c r="K58" i="59"/>
  <c r="J58" i="59"/>
  <c r="I58" i="59"/>
  <c r="H58" i="59"/>
  <c r="G58" i="59"/>
  <c r="F58" i="59"/>
  <c r="E58" i="59"/>
  <c r="BV58" i="59" s="1"/>
  <c r="BV57" i="59"/>
  <c r="BS57" i="59"/>
  <c r="BF57" i="59"/>
  <c r="AS57" i="59"/>
  <c r="AF57" i="59"/>
  <c r="S57" i="59"/>
  <c r="BV56" i="59"/>
  <c r="BS56" i="59"/>
  <c r="BF56" i="59"/>
  <c r="AS56" i="59"/>
  <c r="AF56" i="59"/>
  <c r="S56" i="59"/>
  <c r="BT55" i="59"/>
  <c r="BR55" i="59"/>
  <c r="BQ55" i="59"/>
  <c r="BP55" i="59"/>
  <c r="BO55" i="59"/>
  <c r="BN55" i="59"/>
  <c r="BM55" i="59"/>
  <c r="BL55" i="59"/>
  <c r="BK55" i="59"/>
  <c r="BJ55" i="59"/>
  <c r="BI55" i="59"/>
  <c r="BH55" i="59"/>
  <c r="BG55" i="59"/>
  <c r="BE55" i="59"/>
  <c r="BD55" i="59"/>
  <c r="BC55" i="59"/>
  <c r="BB55" i="59"/>
  <c r="BA55" i="59"/>
  <c r="AZ55" i="59"/>
  <c r="AY55" i="59"/>
  <c r="AX55" i="59"/>
  <c r="AW55" i="59"/>
  <c r="AV55" i="59"/>
  <c r="AU55" i="59"/>
  <c r="AT55" i="59"/>
  <c r="AR55" i="59"/>
  <c r="AQ55" i="59"/>
  <c r="AP55" i="59"/>
  <c r="AO55" i="59"/>
  <c r="AN55" i="59"/>
  <c r="AM55" i="59"/>
  <c r="AL55" i="59"/>
  <c r="AK55" i="59"/>
  <c r="AJ55" i="59"/>
  <c r="AI55" i="59"/>
  <c r="AH55" i="59"/>
  <c r="AG55" i="59"/>
  <c r="AE55" i="59"/>
  <c r="AD55" i="59"/>
  <c r="AC55" i="59"/>
  <c r="AB55" i="59"/>
  <c r="AA55" i="59"/>
  <c r="Z55" i="59"/>
  <c r="Y55" i="59"/>
  <c r="X55" i="59"/>
  <c r="W55" i="59"/>
  <c r="V55" i="59"/>
  <c r="U55" i="59"/>
  <c r="T55" i="59"/>
  <c r="R55" i="59"/>
  <c r="Q55" i="59"/>
  <c r="P55" i="59"/>
  <c r="O55" i="59"/>
  <c r="N55" i="59"/>
  <c r="M55" i="59"/>
  <c r="L55" i="59"/>
  <c r="K55" i="59"/>
  <c r="J55" i="59"/>
  <c r="I55" i="59"/>
  <c r="H55" i="59"/>
  <c r="G55" i="59"/>
  <c r="F55" i="59"/>
  <c r="E55" i="59"/>
  <c r="BV55" i="59" s="1"/>
  <c r="BV54" i="59"/>
  <c r="BS54" i="59"/>
  <c r="BF54" i="59"/>
  <c r="AS54" i="59"/>
  <c r="AF54" i="59"/>
  <c r="S54" i="59"/>
  <c r="BV53" i="59"/>
  <c r="BS53" i="59"/>
  <c r="BF53" i="59"/>
  <c r="AS53" i="59"/>
  <c r="AF53" i="59"/>
  <c r="S53" i="59"/>
  <c r="BT52" i="59"/>
  <c r="BR52" i="59"/>
  <c r="BQ52" i="59"/>
  <c r="BP52" i="59"/>
  <c r="BO52" i="59"/>
  <c r="BN52" i="59"/>
  <c r="BM52" i="59"/>
  <c r="BL52" i="59"/>
  <c r="BK52" i="59"/>
  <c r="BJ52" i="59"/>
  <c r="BI52" i="59"/>
  <c r="BH52" i="59"/>
  <c r="BG52" i="59"/>
  <c r="BE52" i="59"/>
  <c r="BD52" i="59"/>
  <c r="BC52" i="59"/>
  <c r="BB52" i="59"/>
  <c r="BA52" i="59"/>
  <c r="AZ52" i="59"/>
  <c r="AY52" i="59"/>
  <c r="AX52" i="59"/>
  <c r="AW52" i="59"/>
  <c r="AV52" i="59"/>
  <c r="AU52" i="59"/>
  <c r="AT52" i="59"/>
  <c r="AR52" i="59"/>
  <c r="AQ52" i="59"/>
  <c r="AP52" i="59"/>
  <c r="AO52" i="59"/>
  <c r="AN52" i="59"/>
  <c r="AM52" i="59"/>
  <c r="AL52" i="59"/>
  <c r="AK52" i="59"/>
  <c r="AJ52" i="59"/>
  <c r="AI52" i="59"/>
  <c r="AH52" i="59"/>
  <c r="AG52" i="59"/>
  <c r="AE52" i="59"/>
  <c r="AD52" i="59"/>
  <c r="AC52" i="59"/>
  <c r="AB52" i="59"/>
  <c r="AA52" i="59"/>
  <c r="Z52" i="59"/>
  <c r="Y52" i="59"/>
  <c r="X52" i="59"/>
  <c r="W52" i="59"/>
  <c r="V52" i="59"/>
  <c r="U52" i="59"/>
  <c r="T52" i="59"/>
  <c r="R52" i="59"/>
  <c r="Q52" i="59"/>
  <c r="P52" i="59"/>
  <c r="O52" i="59"/>
  <c r="N52" i="59"/>
  <c r="M52" i="59"/>
  <c r="L52" i="59"/>
  <c r="K52" i="59"/>
  <c r="J52" i="59"/>
  <c r="I52" i="59"/>
  <c r="H52" i="59"/>
  <c r="G52" i="59"/>
  <c r="F52" i="59"/>
  <c r="E52" i="59"/>
  <c r="BV52" i="59" s="1"/>
  <c r="BV51" i="59"/>
  <c r="BS51" i="59"/>
  <c r="BF51" i="59"/>
  <c r="AS51" i="59"/>
  <c r="AF51" i="59"/>
  <c r="S51" i="59"/>
  <c r="BV50" i="59"/>
  <c r="BS50" i="59"/>
  <c r="BF50" i="59"/>
  <c r="AS50" i="59"/>
  <c r="AF50" i="59"/>
  <c r="S50" i="59"/>
  <c r="BT49" i="59"/>
  <c r="BR49" i="59"/>
  <c r="BQ49" i="59"/>
  <c r="BP49" i="59"/>
  <c r="BO49" i="59"/>
  <c r="BN49" i="59"/>
  <c r="BM49" i="59"/>
  <c r="BL49" i="59"/>
  <c r="BK49" i="59"/>
  <c r="BJ49" i="59"/>
  <c r="BI49" i="59"/>
  <c r="BH49" i="59"/>
  <c r="BG49" i="59"/>
  <c r="BE49" i="59"/>
  <c r="BD49" i="59"/>
  <c r="BC49" i="59"/>
  <c r="BB49" i="59"/>
  <c r="BA49" i="59"/>
  <c r="AZ49" i="59"/>
  <c r="AY49" i="59"/>
  <c r="AX49" i="59"/>
  <c r="AW49" i="59"/>
  <c r="AV49" i="59"/>
  <c r="AU49" i="59"/>
  <c r="AT49" i="59"/>
  <c r="AR49" i="59"/>
  <c r="AQ49" i="59"/>
  <c r="AP49" i="59"/>
  <c r="AO49" i="59"/>
  <c r="AN49" i="59"/>
  <c r="AM49" i="59"/>
  <c r="AL49" i="59"/>
  <c r="AK49" i="59"/>
  <c r="AJ49" i="59"/>
  <c r="AI49" i="59"/>
  <c r="AH49" i="59"/>
  <c r="AG49" i="59"/>
  <c r="AE49" i="59"/>
  <c r="AD49" i="59"/>
  <c r="AC49" i="59"/>
  <c r="AB49" i="59"/>
  <c r="AA49" i="59"/>
  <c r="Z49" i="59"/>
  <c r="Y49" i="59"/>
  <c r="X49" i="59"/>
  <c r="W49" i="59"/>
  <c r="V49" i="59"/>
  <c r="U49" i="59"/>
  <c r="T49" i="59"/>
  <c r="R49" i="59"/>
  <c r="P49" i="59"/>
  <c r="O49" i="59"/>
  <c r="N49" i="59"/>
  <c r="M49" i="59"/>
  <c r="L49" i="59"/>
  <c r="K49" i="59"/>
  <c r="J49" i="59"/>
  <c r="I49" i="59"/>
  <c r="H49" i="59"/>
  <c r="G49" i="59"/>
  <c r="F49" i="59"/>
  <c r="E49" i="59"/>
  <c r="BV49" i="59" s="1"/>
  <c r="BV48" i="59"/>
  <c r="BS48" i="59"/>
  <c r="BF48" i="59"/>
  <c r="AS48" i="59"/>
  <c r="AF48" i="59"/>
  <c r="S48" i="59"/>
  <c r="BV47" i="59"/>
  <c r="BS47" i="59"/>
  <c r="BF47" i="59"/>
  <c r="AS47" i="59"/>
  <c r="AF47" i="59"/>
  <c r="Q47" i="59"/>
  <c r="Q68" i="59" s="1"/>
  <c r="BT46" i="59"/>
  <c r="BR46" i="59"/>
  <c r="BQ46" i="59"/>
  <c r="BP46" i="59"/>
  <c r="BO46" i="59"/>
  <c r="BN46" i="59"/>
  <c r="BM46" i="59"/>
  <c r="BL46" i="59"/>
  <c r="BK46" i="59"/>
  <c r="BJ46" i="59"/>
  <c r="BI46" i="59"/>
  <c r="BH46" i="59"/>
  <c r="BG46" i="59"/>
  <c r="BE46" i="59"/>
  <c r="BD46" i="59"/>
  <c r="BC46" i="59"/>
  <c r="BB46" i="59"/>
  <c r="BA46" i="59"/>
  <c r="AZ46" i="59"/>
  <c r="AY46" i="59"/>
  <c r="AX46" i="59"/>
  <c r="AW46" i="59"/>
  <c r="AV46" i="59"/>
  <c r="AU46" i="59"/>
  <c r="AT46" i="59"/>
  <c r="AR46" i="59"/>
  <c r="AQ46" i="59"/>
  <c r="AP46" i="59"/>
  <c r="AO46" i="59"/>
  <c r="AN46" i="59"/>
  <c r="AM46" i="59"/>
  <c r="AL46" i="59"/>
  <c r="AK46" i="59"/>
  <c r="AJ46" i="59"/>
  <c r="AI46" i="59"/>
  <c r="AH46" i="59"/>
  <c r="AG46" i="59"/>
  <c r="AE46" i="59"/>
  <c r="AD46" i="59"/>
  <c r="AC46" i="59"/>
  <c r="AB46" i="59"/>
  <c r="AA46" i="59"/>
  <c r="Z46" i="59"/>
  <c r="Y46" i="59"/>
  <c r="X46" i="59"/>
  <c r="W46" i="59"/>
  <c r="V46" i="59"/>
  <c r="U46" i="59"/>
  <c r="T46" i="59"/>
  <c r="R46" i="59"/>
  <c r="Q46" i="59"/>
  <c r="P46" i="59"/>
  <c r="O46" i="59"/>
  <c r="N46" i="59"/>
  <c r="M46" i="59"/>
  <c r="L46" i="59"/>
  <c r="K46" i="59"/>
  <c r="J46" i="59"/>
  <c r="I46" i="59"/>
  <c r="H46" i="59"/>
  <c r="G46" i="59"/>
  <c r="F46" i="59"/>
  <c r="E46" i="59"/>
  <c r="BV46" i="59" s="1"/>
  <c r="BV45" i="59"/>
  <c r="BS45" i="59"/>
  <c r="BF45" i="59"/>
  <c r="AS45" i="59"/>
  <c r="AF45" i="59"/>
  <c r="S45" i="59"/>
  <c r="BV44" i="59"/>
  <c r="BS44" i="59"/>
  <c r="BF44" i="59"/>
  <c r="AS44" i="59"/>
  <c r="AF44" i="59"/>
  <c r="S44" i="59"/>
  <c r="BT43" i="59"/>
  <c r="BR43" i="59"/>
  <c r="BQ43" i="59"/>
  <c r="BP43" i="59"/>
  <c r="BO43" i="59"/>
  <c r="BN43" i="59"/>
  <c r="BM43" i="59"/>
  <c r="BL43" i="59"/>
  <c r="BK43" i="59"/>
  <c r="BJ43" i="59"/>
  <c r="BI43" i="59"/>
  <c r="BH43" i="59"/>
  <c r="BG43" i="59"/>
  <c r="BE43" i="59"/>
  <c r="BD43" i="59"/>
  <c r="BC43" i="59"/>
  <c r="BB43" i="59"/>
  <c r="BA43" i="59"/>
  <c r="AZ43" i="59"/>
  <c r="AY43" i="59"/>
  <c r="AX43" i="59"/>
  <c r="AW43" i="59"/>
  <c r="AV43" i="59"/>
  <c r="AU43" i="59"/>
  <c r="AT43" i="59"/>
  <c r="AR43" i="59"/>
  <c r="AQ43" i="59"/>
  <c r="AP43" i="59"/>
  <c r="AO43" i="59"/>
  <c r="AN43" i="59"/>
  <c r="AM43" i="59"/>
  <c r="AL43" i="59"/>
  <c r="AK43" i="59"/>
  <c r="AJ43" i="59"/>
  <c r="AI43" i="59"/>
  <c r="AH43" i="59"/>
  <c r="AG43" i="59"/>
  <c r="AE43" i="59"/>
  <c r="AD43" i="59"/>
  <c r="AC43" i="59"/>
  <c r="AB43" i="59"/>
  <c r="AA43" i="59"/>
  <c r="Z43" i="59"/>
  <c r="Y43" i="59"/>
  <c r="X43" i="59"/>
  <c r="W43" i="59"/>
  <c r="V43" i="59"/>
  <c r="U43" i="59"/>
  <c r="T43" i="59"/>
  <c r="R43" i="59"/>
  <c r="Q43" i="59"/>
  <c r="P43" i="59"/>
  <c r="O43" i="59"/>
  <c r="N43" i="59"/>
  <c r="M43" i="59"/>
  <c r="L43" i="59"/>
  <c r="K43" i="59"/>
  <c r="J43" i="59"/>
  <c r="I43" i="59"/>
  <c r="H43" i="59"/>
  <c r="G43" i="59"/>
  <c r="F43" i="59"/>
  <c r="BS42" i="59"/>
  <c r="BF42" i="59"/>
  <c r="AS42" i="59"/>
  <c r="AF42" i="59"/>
  <c r="S42" i="59"/>
  <c r="BS41" i="59"/>
  <c r="BF41" i="59"/>
  <c r="AS41" i="59"/>
  <c r="AF41" i="59"/>
  <c r="S41" i="59"/>
  <c r="E41" i="59"/>
  <c r="BT40" i="59"/>
  <c r="BR40" i="59"/>
  <c r="BQ40" i="59"/>
  <c r="BP40" i="59"/>
  <c r="BO40" i="59"/>
  <c r="BN40" i="59"/>
  <c r="BM40" i="59"/>
  <c r="BL40" i="59"/>
  <c r="BK40" i="59"/>
  <c r="BJ40" i="59"/>
  <c r="BI40" i="59"/>
  <c r="BH40" i="59"/>
  <c r="BG40" i="59"/>
  <c r="BE40" i="59"/>
  <c r="BD40" i="59"/>
  <c r="BC40" i="59"/>
  <c r="BB40" i="59"/>
  <c r="BA40" i="59"/>
  <c r="AZ40" i="59"/>
  <c r="AY40" i="59"/>
  <c r="AX40" i="59"/>
  <c r="AW40" i="59"/>
  <c r="AV40" i="59"/>
  <c r="AU40" i="59"/>
  <c r="AT40" i="59"/>
  <c r="AR40" i="59"/>
  <c r="AQ40" i="59"/>
  <c r="AP40" i="59"/>
  <c r="AO40" i="59"/>
  <c r="AN40" i="59"/>
  <c r="AM40" i="59"/>
  <c r="AL40" i="59"/>
  <c r="AK40" i="59"/>
  <c r="AJ40" i="59"/>
  <c r="AI40" i="59"/>
  <c r="AH40" i="59"/>
  <c r="AG40" i="59"/>
  <c r="AE40" i="59"/>
  <c r="AD40" i="59"/>
  <c r="AC40" i="59"/>
  <c r="AB40" i="59"/>
  <c r="AA40" i="59"/>
  <c r="Z40" i="59"/>
  <c r="Y40" i="59"/>
  <c r="X40" i="59"/>
  <c r="W40" i="59"/>
  <c r="V40" i="59"/>
  <c r="U40" i="59"/>
  <c r="T40" i="59"/>
  <c r="R40" i="59"/>
  <c r="Q40" i="59"/>
  <c r="P40" i="59"/>
  <c r="O40" i="59"/>
  <c r="N40" i="59"/>
  <c r="M40" i="59"/>
  <c r="L40" i="59"/>
  <c r="K40" i="59"/>
  <c r="J40" i="59"/>
  <c r="I40" i="59"/>
  <c r="H40" i="59"/>
  <c r="G40" i="59"/>
  <c r="F40" i="59"/>
  <c r="BV39" i="59"/>
  <c r="BS39" i="59"/>
  <c r="BF39" i="59"/>
  <c r="AS39" i="59"/>
  <c r="AF39" i="59"/>
  <c r="S39" i="59"/>
  <c r="BS38" i="59"/>
  <c r="BF38" i="59"/>
  <c r="AS38" i="59"/>
  <c r="AF38" i="59"/>
  <c r="S38" i="59"/>
  <c r="E38" i="59"/>
  <c r="BT37" i="59"/>
  <c r="BR37" i="59"/>
  <c r="BQ37" i="59"/>
  <c r="BP37" i="59"/>
  <c r="BO37" i="59"/>
  <c r="BN37" i="59"/>
  <c r="BM37" i="59"/>
  <c r="BL37" i="59"/>
  <c r="BK37" i="59"/>
  <c r="BJ37" i="59"/>
  <c r="BI37" i="59"/>
  <c r="BH37" i="59"/>
  <c r="BG37" i="59"/>
  <c r="BE37" i="59"/>
  <c r="BD37" i="59"/>
  <c r="BC37" i="59"/>
  <c r="BB37" i="59"/>
  <c r="BA37" i="59"/>
  <c r="AZ37" i="59"/>
  <c r="AY37" i="59"/>
  <c r="AX37" i="59"/>
  <c r="AW37" i="59"/>
  <c r="AV37" i="59"/>
  <c r="AU37" i="59"/>
  <c r="AT37" i="59"/>
  <c r="AR37" i="59"/>
  <c r="AQ37" i="59"/>
  <c r="AP37" i="59"/>
  <c r="AO37" i="59"/>
  <c r="AN37" i="59"/>
  <c r="AM37" i="59"/>
  <c r="AL37" i="59"/>
  <c r="AK37" i="59"/>
  <c r="AJ37" i="59"/>
  <c r="AI37" i="59"/>
  <c r="AH37" i="59"/>
  <c r="AG37" i="59"/>
  <c r="AE37" i="59"/>
  <c r="AD37" i="59"/>
  <c r="AC37" i="59"/>
  <c r="AB37" i="59"/>
  <c r="AA37" i="59"/>
  <c r="Z37" i="59"/>
  <c r="Y37" i="59"/>
  <c r="X37" i="59"/>
  <c r="W37" i="59"/>
  <c r="V37" i="59"/>
  <c r="U37" i="59"/>
  <c r="T37" i="59"/>
  <c r="R37" i="59"/>
  <c r="Q37" i="59"/>
  <c r="P37" i="59"/>
  <c r="O37" i="59"/>
  <c r="N37" i="59"/>
  <c r="M37" i="59"/>
  <c r="L37" i="59"/>
  <c r="K37" i="59"/>
  <c r="J37" i="59"/>
  <c r="I37" i="59"/>
  <c r="H37" i="59"/>
  <c r="F37" i="59"/>
  <c r="BS36" i="59"/>
  <c r="BF36" i="59"/>
  <c r="AS36" i="59"/>
  <c r="AF36" i="59"/>
  <c r="G36" i="59"/>
  <c r="G37" i="59" s="1"/>
  <c r="BS35" i="59"/>
  <c r="BF35" i="59"/>
  <c r="AS35" i="59"/>
  <c r="AF35" i="59"/>
  <c r="S35" i="59"/>
  <c r="BT32" i="59"/>
  <c r="BR32" i="59"/>
  <c r="BQ32" i="59"/>
  <c r="BP32" i="59"/>
  <c r="BO32" i="59"/>
  <c r="BN32" i="59"/>
  <c r="BM32" i="59"/>
  <c r="BL32" i="59"/>
  <c r="BK32" i="59"/>
  <c r="BJ32" i="59"/>
  <c r="BI32" i="59"/>
  <c r="BI101" i="59" s="1"/>
  <c r="BI105" i="59" s="1"/>
  <c r="BI5" i="59" s="1"/>
  <c r="BH32" i="59"/>
  <c r="BH101" i="59" s="1"/>
  <c r="BH105" i="59" s="1"/>
  <c r="BH5" i="59" s="1"/>
  <c r="BG32" i="59"/>
  <c r="BE32" i="59"/>
  <c r="BD32" i="59"/>
  <c r="BC32" i="59"/>
  <c r="BB32" i="59"/>
  <c r="BA32" i="59"/>
  <c r="AZ32" i="59"/>
  <c r="AY32" i="59"/>
  <c r="AX32" i="59"/>
  <c r="AW32" i="59"/>
  <c r="AV32" i="59"/>
  <c r="AU32" i="59"/>
  <c r="AT32" i="59"/>
  <c r="AR32" i="59"/>
  <c r="AQ32" i="59"/>
  <c r="AQ101" i="59" s="1"/>
  <c r="AQ105" i="59" s="1"/>
  <c r="AQ5" i="59" s="1"/>
  <c r="AP32" i="59"/>
  <c r="AP101" i="59" s="1"/>
  <c r="AP105" i="59" s="1"/>
  <c r="AP5" i="59" s="1"/>
  <c r="AO32" i="59"/>
  <c r="AN32" i="59"/>
  <c r="AM32" i="59"/>
  <c r="AM101" i="59" s="1"/>
  <c r="AM105" i="59" s="1"/>
  <c r="AM5" i="59" s="1"/>
  <c r="AL32" i="59"/>
  <c r="AK32" i="59"/>
  <c r="AJ32" i="59"/>
  <c r="AI32" i="59"/>
  <c r="AH32" i="59"/>
  <c r="AG32" i="59"/>
  <c r="AE32" i="59"/>
  <c r="AD32" i="59"/>
  <c r="AC32" i="59"/>
  <c r="AB32" i="59"/>
  <c r="AA32" i="59"/>
  <c r="Z32" i="59"/>
  <c r="Z101" i="59" s="1"/>
  <c r="Z105" i="59" s="1"/>
  <c r="Z5" i="59" s="1"/>
  <c r="Y32" i="59"/>
  <c r="X32" i="59"/>
  <c r="W32" i="59"/>
  <c r="V32" i="59"/>
  <c r="U32" i="59"/>
  <c r="T32" i="59"/>
  <c r="R32" i="59"/>
  <c r="Q32" i="59"/>
  <c r="P32" i="59"/>
  <c r="O32" i="59"/>
  <c r="N32" i="59"/>
  <c r="M32" i="59"/>
  <c r="L32" i="59"/>
  <c r="K32" i="59"/>
  <c r="J32" i="59"/>
  <c r="I32" i="59"/>
  <c r="H32" i="59"/>
  <c r="H101" i="59" s="1"/>
  <c r="H105" i="59" s="1"/>
  <c r="H5" i="59" s="1"/>
  <c r="G32" i="59"/>
  <c r="BT31" i="59"/>
  <c r="BR31" i="59"/>
  <c r="BQ31" i="59"/>
  <c r="BP31" i="59"/>
  <c r="BO31" i="59"/>
  <c r="BN31" i="59"/>
  <c r="BM31" i="59"/>
  <c r="BL31" i="59"/>
  <c r="BK31" i="59"/>
  <c r="BJ31" i="59"/>
  <c r="BI31" i="59"/>
  <c r="BH31" i="59"/>
  <c r="BG31" i="59"/>
  <c r="BE31" i="59"/>
  <c r="BD31" i="59"/>
  <c r="BC31" i="59"/>
  <c r="BB31" i="59"/>
  <c r="BA31" i="59"/>
  <c r="AZ31" i="59"/>
  <c r="AY31" i="59"/>
  <c r="AX31" i="59"/>
  <c r="AW31" i="59"/>
  <c r="AV31" i="59"/>
  <c r="AU31" i="59"/>
  <c r="AT31" i="59"/>
  <c r="AR31" i="59"/>
  <c r="AQ31" i="59"/>
  <c r="AP31" i="59"/>
  <c r="AO31" i="59"/>
  <c r="AN31" i="59"/>
  <c r="AM31" i="59"/>
  <c r="AL31" i="59"/>
  <c r="AK31" i="59"/>
  <c r="AJ31" i="59"/>
  <c r="AI31" i="59"/>
  <c r="AH31" i="59"/>
  <c r="AG31" i="59"/>
  <c r="AE31" i="59"/>
  <c r="AD31" i="59"/>
  <c r="AC31" i="59"/>
  <c r="AB31" i="59"/>
  <c r="AA31" i="59"/>
  <c r="Z31" i="59"/>
  <c r="Y31" i="59"/>
  <c r="X31" i="59"/>
  <c r="W31" i="59"/>
  <c r="V31" i="59"/>
  <c r="U31" i="59"/>
  <c r="T31" i="59"/>
  <c r="R31" i="59"/>
  <c r="Q31" i="59"/>
  <c r="P31" i="59"/>
  <c r="O31" i="59"/>
  <c r="N31" i="59"/>
  <c r="M31" i="59"/>
  <c r="L31" i="59"/>
  <c r="K31" i="59"/>
  <c r="J31" i="59"/>
  <c r="I31" i="59"/>
  <c r="H31" i="59"/>
  <c r="G31" i="59"/>
  <c r="BT30" i="59"/>
  <c r="BR30" i="59"/>
  <c r="BQ30" i="59"/>
  <c r="BP30" i="59"/>
  <c r="BO30" i="59"/>
  <c r="BN30" i="59"/>
  <c r="BM30" i="59"/>
  <c r="BL30" i="59"/>
  <c r="BK30" i="59"/>
  <c r="BJ30" i="59"/>
  <c r="BI30" i="59"/>
  <c r="BH30" i="59"/>
  <c r="BG30" i="59"/>
  <c r="BE30" i="59"/>
  <c r="BD30" i="59"/>
  <c r="BC30" i="59"/>
  <c r="BB30" i="59"/>
  <c r="BA30" i="59"/>
  <c r="AZ30" i="59"/>
  <c r="AY30" i="59"/>
  <c r="AX30" i="59"/>
  <c r="AW30" i="59"/>
  <c r="AV30" i="59"/>
  <c r="AU30" i="59"/>
  <c r="AT30" i="59"/>
  <c r="AR30" i="59"/>
  <c r="AQ30" i="59"/>
  <c r="AP30" i="59"/>
  <c r="AO30" i="59"/>
  <c r="AN30" i="59"/>
  <c r="AM30" i="59"/>
  <c r="AL30" i="59"/>
  <c r="AK30" i="59"/>
  <c r="AJ30" i="59"/>
  <c r="AI30" i="59"/>
  <c r="AH30" i="59"/>
  <c r="AG30" i="59"/>
  <c r="AE30" i="59"/>
  <c r="AD30" i="59"/>
  <c r="AC30" i="59"/>
  <c r="AB30" i="59"/>
  <c r="AA30" i="59"/>
  <c r="Z30" i="59"/>
  <c r="Y30" i="59"/>
  <c r="X30" i="59"/>
  <c r="W30" i="59"/>
  <c r="V30" i="59"/>
  <c r="U30" i="59"/>
  <c r="T30" i="59"/>
  <c r="R30" i="59"/>
  <c r="Q30" i="59"/>
  <c r="P30" i="59"/>
  <c r="O30" i="59"/>
  <c r="N30" i="59"/>
  <c r="M30" i="59"/>
  <c r="L30" i="59"/>
  <c r="K30" i="59"/>
  <c r="J30" i="59"/>
  <c r="I30" i="59"/>
  <c r="H30" i="59"/>
  <c r="G30" i="59"/>
  <c r="F30" i="59"/>
  <c r="E30" i="59"/>
  <c r="BV30" i="59" s="1"/>
  <c r="BV29" i="59"/>
  <c r="BS29" i="59"/>
  <c r="BF29" i="59"/>
  <c r="AS29" i="59"/>
  <c r="AF29" i="59"/>
  <c r="S29" i="59"/>
  <c r="BV28" i="59"/>
  <c r="BS28" i="59"/>
  <c r="BF28" i="59"/>
  <c r="AS28" i="59"/>
  <c r="AF28" i="59"/>
  <c r="S28" i="59"/>
  <c r="BT27" i="59"/>
  <c r="BR27" i="59"/>
  <c r="BQ27" i="59"/>
  <c r="BP27" i="59"/>
  <c r="BO27" i="59"/>
  <c r="BN27" i="59"/>
  <c r="BM27" i="59"/>
  <c r="BL27" i="59"/>
  <c r="BK27" i="59"/>
  <c r="BJ27" i="59"/>
  <c r="BI27" i="59"/>
  <c r="BH27" i="59"/>
  <c r="BG27" i="59"/>
  <c r="BE27" i="59"/>
  <c r="BD27" i="59"/>
  <c r="BC27" i="59"/>
  <c r="BB27" i="59"/>
  <c r="BA27" i="59"/>
  <c r="AZ27" i="59"/>
  <c r="AY27" i="59"/>
  <c r="AX27" i="59"/>
  <c r="AW27" i="59"/>
  <c r="AV27" i="59"/>
  <c r="AU27" i="59"/>
  <c r="AT27" i="59"/>
  <c r="AR27" i="59"/>
  <c r="AQ27" i="59"/>
  <c r="AP27" i="59"/>
  <c r="AO27" i="59"/>
  <c r="AN27" i="59"/>
  <c r="AM27" i="59"/>
  <c r="AL27" i="59"/>
  <c r="AK27" i="59"/>
  <c r="AJ27" i="59"/>
  <c r="AI27" i="59"/>
  <c r="AH27" i="59"/>
  <c r="AG27" i="59"/>
  <c r="AE27" i="59"/>
  <c r="AD27" i="59"/>
  <c r="AC27" i="59"/>
  <c r="AB27" i="59"/>
  <c r="AA27" i="59"/>
  <c r="Z27" i="59"/>
  <c r="Y27" i="59"/>
  <c r="X27" i="59"/>
  <c r="W27" i="59"/>
  <c r="V27" i="59"/>
  <c r="U27" i="59"/>
  <c r="T27" i="59"/>
  <c r="R27" i="59"/>
  <c r="Q27" i="59"/>
  <c r="P27" i="59"/>
  <c r="O27" i="59"/>
  <c r="N27" i="59"/>
  <c r="M27" i="59"/>
  <c r="L27" i="59"/>
  <c r="K27" i="59"/>
  <c r="J27" i="59"/>
  <c r="I27" i="59"/>
  <c r="H27" i="59"/>
  <c r="G27" i="59"/>
  <c r="F27" i="59"/>
  <c r="E27" i="59"/>
  <c r="BV27" i="59" s="1"/>
  <c r="BV26" i="59"/>
  <c r="BS26" i="59"/>
  <c r="BF26" i="59"/>
  <c r="AS26" i="59"/>
  <c r="AF26" i="59"/>
  <c r="S26" i="59"/>
  <c r="BV25" i="59"/>
  <c r="BS25" i="59"/>
  <c r="BF25" i="59"/>
  <c r="AS25" i="59"/>
  <c r="AF25" i="59"/>
  <c r="S25" i="59"/>
  <c r="BT24" i="59"/>
  <c r="BR24" i="59"/>
  <c r="BQ24" i="59"/>
  <c r="BP24" i="59"/>
  <c r="BO24" i="59"/>
  <c r="BN24" i="59"/>
  <c r="BM24" i="59"/>
  <c r="BL24" i="59"/>
  <c r="BK24" i="59"/>
  <c r="BJ24" i="59"/>
  <c r="BI24" i="59"/>
  <c r="BH24" i="59"/>
  <c r="BG24" i="59"/>
  <c r="BE24" i="59"/>
  <c r="BD24" i="59"/>
  <c r="BC24" i="59"/>
  <c r="BB24" i="59"/>
  <c r="BA24" i="59"/>
  <c r="AZ24" i="59"/>
  <c r="AY24" i="59"/>
  <c r="AX24" i="59"/>
  <c r="AW24" i="59"/>
  <c r="AV24" i="59"/>
  <c r="AU24" i="59"/>
  <c r="AT24" i="59"/>
  <c r="AR24" i="59"/>
  <c r="AQ24" i="59"/>
  <c r="AP24" i="59"/>
  <c r="AO24" i="59"/>
  <c r="AN24" i="59"/>
  <c r="AM24" i="59"/>
  <c r="AL24" i="59"/>
  <c r="AK24" i="59"/>
  <c r="AJ24" i="59"/>
  <c r="AI24" i="59"/>
  <c r="AH24" i="59"/>
  <c r="AG24" i="59"/>
  <c r="AE24" i="59"/>
  <c r="AD24" i="59"/>
  <c r="AC24" i="59"/>
  <c r="AB24" i="59"/>
  <c r="AA24" i="59"/>
  <c r="Z24" i="59"/>
  <c r="Y24" i="59"/>
  <c r="X24" i="59"/>
  <c r="W24" i="59"/>
  <c r="V24" i="59"/>
  <c r="U24" i="59"/>
  <c r="T24" i="59"/>
  <c r="R24" i="59"/>
  <c r="Q24" i="59"/>
  <c r="P24" i="59"/>
  <c r="O24" i="59"/>
  <c r="N24" i="59"/>
  <c r="M24" i="59"/>
  <c r="L24" i="59"/>
  <c r="K24" i="59"/>
  <c r="J24" i="59"/>
  <c r="I24" i="59"/>
  <c r="H24" i="59"/>
  <c r="G24" i="59"/>
  <c r="F24" i="59"/>
  <c r="E24" i="59"/>
  <c r="BV24" i="59" s="1"/>
  <c r="BV23" i="59"/>
  <c r="BS23" i="59"/>
  <c r="BF23" i="59"/>
  <c r="AS23" i="59"/>
  <c r="AF23" i="59"/>
  <c r="S23" i="59"/>
  <c r="BV22" i="59"/>
  <c r="BS22" i="59"/>
  <c r="BF22" i="59"/>
  <c r="AS22" i="59"/>
  <c r="AF22" i="59"/>
  <c r="S22" i="59"/>
  <c r="BT21" i="59"/>
  <c r="BR21" i="59"/>
  <c r="BQ21" i="59"/>
  <c r="BP21" i="59"/>
  <c r="BO21" i="59"/>
  <c r="BN21" i="59"/>
  <c r="BM21" i="59"/>
  <c r="BL21" i="59"/>
  <c r="BK21" i="59"/>
  <c r="BJ21" i="59"/>
  <c r="BI21" i="59"/>
  <c r="BH21" i="59"/>
  <c r="BG21" i="59"/>
  <c r="BE21" i="59"/>
  <c r="BD21" i="59"/>
  <c r="BC21" i="59"/>
  <c r="BB21" i="59"/>
  <c r="BA21" i="59"/>
  <c r="AZ21" i="59"/>
  <c r="AY21" i="59"/>
  <c r="AX21" i="59"/>
  <c r="AW21" i="59"/>
  <c r="AV21" i="59"/>
  <c r="AU21" i="59"/>
  <c r="AT21" i="59"/>
  <c r="AR21" i="59"/>
  <c r="AQ21" i="59"/>
  <c r="AP21" i="59"/>
  <c r="AO21" i="59"/>
  <c r="AN21" i="59"/>
  <c r="AM21" i="59"/>
  <c r="AL21" i="59"/>
  <c r="AK21" i="59"/>
  <c r="AJ21" i="59"/>
  <c r="AI21" i="59"/>
  <c r="AH21" i="59"/>
  <c r="AG21" i="59"/>
  <c r="AE21" i="59"/>
  <c r="AD21" i="59"/>
  <c r="AC21" i="59"/>
  <c r="AB21" i="59"/>
  <c r="AA21" i="59"/>
  <c r="Z21" i="59"/>
  <c r="Y21" i="59"/>
  <c r="X21" i="59"/>
  <c r="W21" i="59"/>
  <c r="V21" i="59"/>
  <c r="U21" i="59"/>
  <c r="T21" i="59"/>
  <c r="R21" i="59"/>
  <c r="Q21" i="59"/>
  <c r="P21" i="59"/>
  <c r="O21" i="59"/>
  <c r="N21" i="59"/>
  <c r="M21" i="59"/>
  <c r="L21" i="59"/>
  <c r="K21" i="59"/>
  <c r="J21" i="59"/>
  <c r="I21" i="59"/>
  <c r="H21" i="59"/>
  <c r="G21" i="59"/>
  <c r="E21" i="59"/>
  <c r="BV21" i="59" s="1"/>
  <c r="BV20" i="59"/>
  <c r="BS20" i="59"/>
  <c r="BF20" i="59"/>
  <c r="AS20" i="59"/>
  <c r="AF20" i="59"/>
  <c r="S20" i="59"/>
  <c r="F20" i="59" s="1"/>
  <c r="BV19" i="59"/>
  <c r="BS19" i="59"/>
  <c r="BF19" i="59"/>
  <c r="AS19" i="59"/>
  <c r="AF19" i="59"/>
  <c r="S19" i="59"/>
  <c r="F19" i="59" s="1"/>
  <c r="BT18" i="59"/>
  <c r="BR18" i="59"/>
  <c r="BQ18" i="59"/>
  <c r="BP18" i="59"/>
  <c r="BO18" i="59"/>
  <c r="BN18" i="59"/>
  <c r="BM18" i="59"/>
  <c r="BL18" i="59"/>
  <c r="BK18" i="59"/>
  <c r="BJ18" i="59"/>
  <c r="BI18" i="59"/>
  <c r="BH18" i="59"/>
  <c r="BG18" i="59"/>
  <c r="BE18" i="59"/>
  <c r="BD18" i="59"/>
  <c r="BC18" i="59"/>
  <c r="BB18" i="59"/>
  <c r="BA18" i="59"/>
  <c r="AZ18" i="59"/>
  <c r="AY18" i="59"/>
  <c r="AX18" i="59"/>
  <c r="AW18" i="59"/>
  <c r="AV18" i="59"/>
  <c r="AU18" i="59"/>
  <c r="AT18" i="59"/>
  <c r="AR18" i="59"/>
  <c r="AQ18" i="59"/>
  <c r="AP18" i="59"/>
  <c r="AO18" i="59"/>
  <c r="AN18" i="59"/>
  <c r="AM18" i="59"/>
  <c r="AL18" i="59"/>
  <c r="AK18" i="59"/>
  <c r="AJ18" i="59"/>
  <c r="AI18" i="59"/>
  <c r="AH18" i="59"/>
  <c r="AG18" i="59"/>
  <c r="AE18" i="59"/>
  <c r="AD18" i="59"/>
  <c r="AC18" i="59"/>
  <c r="AB18" i="59"/>
  <c r="AA18" i="59"/>
  <c r="Z18" i="59"/>
  <c r="Y18" i="59"/>
  <c r="X18" i="59"/>
  <c r="W18" i="59"/>
  <c r="V18" i="59"/>
  <c r="U18" i="59"/>
  <c r="T18" i="59"/>
  <c r="R18" i="59"/>
  <c r="Q18" i="59"/>
  <c r="P18" i="59"/>
  <c r="O18" i="59"/>
  <c r="N18" i="59"/>
  <c r="M18" i="59"/>
  <c r="L18" i="59"/>
  <c r="K18" i="59"/>
  <c r="J18" i="59"/>
  <c r="I18" i="59"/>
  <c r="H18" i="59"/>
  <c r="G18" i="59"/>
  <c r="F18" i="59"/>
  <c r="BS17" i="59"/>
  <c r="BF17" i="59"/>
  <c r="AS17" i="59"/>
  <c r="AF17" i="59"/>
  <c r="S17" i="59"/>
  <c r="BS16" i="59"/>
  <c r="BF16" i="59"/>
  <c r="AS16" i="59"/>
  <c r="AF16" i="59"/>
  <c r="S16" i="59"/>
  <c r="R7" i="59"/>
  <c r="DG255" i="69" l="1"/>
  <c r="DG248" i="69"/>
  <c r="DH248" i="69" s="1"/>
  <c r="DH246" i="69"/>
  <c r="DK247" i="69" s="1"/>
  <c r="BT248" i="69"/>
  <c r="BT255" i="69"/>
  <c r="F70" i="59"/>
  <c r="X70" i="59"/>
  <c r="AO70" i="59"/>
  <c r="AV119" i="59"/>
  <c r="AC70" i="59"/>
  <c r="BJ100" i="59"/>
  <c r="BJ104" i="59" s="1"/>
  <c r="BJ4" i="59" s="1"/>
  <c r="AH101" i="59"/>
  <c r="AH105" i="59" s="1"/>
  <c r="AH5" i="59" s="1"/>
  <c r="BP101" i="59"/>
  <c r="BP105" i="59" s="1"/>
  <c r="BP5" i="59" s="1"/>
  <c r="BQ101" i="59"/>
  <c r="BQ105" i="59" s="1"/>
  <c r="BQ5" i="59" s="1"/>
  <c r="L70" i="59"/>
  <c r="AV70" i="59"/>
  <c r="M70" i="59"/>
  <c r="BH96" i="59"/>
  <c r="U70" i="59"/>
  <c r="BC70" i="59"/>
  <c r="BD70" i="59"/>
  <c r="AL33" i="59"/>
  <c r="AA70" i="59"/>
  <c r="Q70" i="59"/>
  <c r="BL70" i="59"/>
  <c r="AD70" i="59"/>
  <c r="L101" i="59"/>
  <c r="L105" i="59" s="1"/>
  <c r="L5" i="59" s="1"/>
  <c r="AR100" i="59"/>
  <c r="M101" i="59"/>
  <c r="M105" i="59" s="1"/>
  <c r="M5" i="59" s="1"/>
  <c r="K100" i="59"/>
  <c r="P101" i="59"/>
  <c r="P105" i="59" s="1"/>
  <c r="P5" i="59" s="1"/>
  <c r="N33" i="59"/>
  <c r="AZ101" i="59"/>
  <c r="AZ105" i="59" s="1"/>
  <c r="AZ5" i="59" s="1"/>
  <c r="BU108" i="59"/>
  <c r="E108" i="59" s="1"/>
  <c r="E110" i="59" s="1"/>
  <c r="BV110" i="59" s="1"/>
  <c r="AL70" i="59"/>
  <c r="R100" i="59"/>
  <c r="R104" i="59" s="1"/>
  <c r="V101" i="59"/>
  <c r="V105" i="59" s="1"/>
  <c r="V5" i="59" s="1"/>
  <c r="BD101" i="59"/>
  <c r="BD105" i="59" s="1"/>
  <c r="BD5" i="59" s="1"/>
  <c r="AX100" i="59"/>
  <c r="AA101" i="59"/>
  <c r="AA105" i="59" s="1"/>
  <c r="AA5" i="59" s="1"/>
  <c r="BR101" i="59"/>
  <c r="BR105" i="59" s="1"/>
  <c r="BR5" i="59" s="1"/>
  <c r="S93" i="59"/>
  <c r="BU114" i="59"/>
  <c r="E114" i="59" s="1"/>
  <c r="BV114" i="59" s="1"/>
  <c r="BW114" i="59" s="1"/>
  <c r="S128" i="59"/>
  <c r="P100" i="59"/>
  <c r="P104" i="59" s="1"/>
  <c r="BH100" i="59"/>
  <c r="BH104" i="59" s="1"/>
  <c r="BH4" i="59" s="1"/>
  <c r="BH6" i="59" s="1"/>
  <c r="BP100" i="59"/>
  <c r="BP104" i="59" s="1"/>
  <c r="K101" i="59"/>
  <c r="K105" i="59" s="1"/>
  <c r="K5" i="59" s="1"/>
  <c r="AB101" i="59"/>
  <c r="AB105" i="59" s="1"/>
  <c r="AB5" i="59" s="1"/>
  <c r="AK101" i="59"/>
  <c r="AK105" i="59" s="1"/>
  <c r="AK5" i="59" s="1"/>
  <c r="BB101" i="59"/>
  <c r="BB105" i="59" s="1"/>
  <c r="BB5" i="59" s="1"/>
  <c r="BT101" i="59"/>
  <c r="BT105" i="59" s="1"/>
  <c r="BT5" i="59" s="1"/>
  <c r="S36" i="59"/>
  <c r="BU36" i="59" s="1"/>
  <c r="E36" i="59" s="1"/>
  <c r="BV36" i="59" s="1"/>
  <c r="BW36" i="59" s="1"/>
  <c r="AJ101" i="59"/>
  <c r="AJ105" i="59" s="1"/>
  <c r="AJ5" i="59" s="1"/>
  <c r="AF61" i="59"/>
  <c r="BS69" i="59"/>
  <c r="BU112" i="59"/>
  <c r="E112" i="59" s="1"/>
  <c r="BV112" i="59" s="1"/>
  <c r="BW112" i="59" s="1"/>
  <c r="I100" i="59"/>
  <c r="AI100" i="59"/>
  <c r="AI104" i="59" s="1"/>
  <c r="AI4" i="59" s="1"/>
  <c r="AQ100" i="59"/>
  <c r="AQ102" i="59" s="1"/>
  <c r="AZ100" i="59"/>
  <c r="BQ100" i="59"/>
  <c r="BQ104" i="59" s="1"/>
  <c r="U101" i="59"/>
  <c r="U105" i="59" s="1"/>
  <c r="U5" i="59" s="1"/>
  <c r="AC101" i="59"/>
  <c r="AC105" i="59" s="1"/>
  <c r="AC5" i="59" s="1"/>
  <c r="AL101" i="59"/>
  <c r="AL105" i="59" s="1"/>
  <c r="AL5" i="59" s="1"/>
  <c r="AU101" i="59"/>
  <c r="AU105" i="59" s="1"/>
  <c r="AU5" i="59" s="1"/>
  <c r="BC101" i="59"/>
  <c r="BC105" i="59" s="1"/>
  <c r="BC5" i="59" s="1"/>
  <c r="BL101" i="59"/>
  <c r="BL105" i="59" s="1"/>
  <c r="BL5" i="59" s="1"/>
  <c r="K33" i="59"/>
  <c r="S47" i="59"/>
  <c r="BU47" i="59" s="1"/>
  <c r="BW47" i="59" s="1"/>
  <c r="Q49" i="59"/>
  <c r="S49" i="59" s="1"/>
  <c r="BF55" i="59"/>
  <c r="R70" i="59"/>
  <c r="AJ70" i="59"/>
  <c r="AR70" i="59"/>
  <c r="BA70" i="59"/>
  <c r="BJ70" i="59"/>
  <c r="BR70" i="59"/>
  <c r="BU80" i="59"/>
  <c r="BW80" i="59" s="1"/>
  <c r="S90" i="59"/>
  <c r="S113" i="59"/>
  <c r="H136" i="59"/>
  <c r="I136" i="59" s="1"/>
  <c r="J136" i="59" s="1"/>
  <c r="AG100" i="59"/>
  <c r="AG104" i="59" s="1"/>
  <c r="J101" i="59"/>
  <c r="J105" i="59" s="1"/>
  <c r="J5" i="59" s="1"/>
  <c r="BJ101" i="59"/>
  <c r="BJ105" i="59" s="1"/>
  <c r="BJ5" i="59" s="1"/>
  <c r="BJ6" i="59" s="1"/>
  <c r="AJ33" i="59"/>
  <c r="BA33" i="59"/>
  <c r="BR33" i="59"/>
  <c r="AB70" i="59"/>
  <c r="BS92" i="59"/>
  <c r="T100" i="59"/>
  <c r="AB100" i="59"/>
  <c r="AB104" i="59" s="1"/>
  <c r="AB4" i="59" s="1"/>
  <c r="AK100" i="59"/>
  <c r="BB100" i="59"/>
  <c r="BB104" i="59" s="1"/>
  <c r="W101" i="59"/>
  <c r="W105" i="59" s="1"/>
  <c r="W5" i="59" s="1"/>
  <c r="AN101" i="59"/>
  <c r="AN105" i="59" s="1"/>
  <c r="AN5" i="59" s="1"/>
  <c r="AW101" i="59"/>
  <c r="AW105" i="59" s="1"/>
  <c r="AW5" i="59" s="1"/>
  <c r="BN101" i="59"/>
  <c r="BN105" i="59" s="1"/>
  <c r="BN5" i="59" s="1"/>
  <c r="AF37" i="59"/>
  <c r="BU84" i="59"/>
  <c r="E84" i="59" s="1"/>
  <c r="BV84" i="59" s="1"/>
  <c r="BW84" i="59" s="1"/>
  <c r="BF89" i="59"/>
  <c r="AF93" i="59"/>
  <c r="BU109" i="59"/>
  <c r="E109" i="59" s="1"/>
  <c r="BU115" i="59"/>
  <c r="E115" i="59" s="1"/>
  <c r="BS128" i="59"/>
  <c r="BO100" i="59"/>
  <c r="BO104" i="59" s="1"/>
  <c r="AR101" i="59"/>
  <c r="AR105" i="59" s="1"/>
  <c r="AR5" i="59" s="1"/>
  <c r="BU26" i="59"/>
  <c r="BW26" i="59" s="1"/>
  <c r="J70" i="59"/>
  <c r="BT70" i="59"/>
  <c r="AF21" i="59"/>
  <c r="AS30" i="59"/>
  <c r="BF30" i="59"/>
  <c r="L100" i="59"/>
  <c r="L104" i="59" s="1"/>
  <c r="L4" i="59" s="1"/>
  <c r="L6" i="59" s="1"/>
  <c r="X101" i="59"/>
  <c r="X105" i="59" s="1"/>
  <c r="X5" i="59" s="1"/>
  <c r="AX101" i="59"/>
  <c r="AX105" i="59" s="1"/>
  <c r="AX5" i="59" s="1"/>
  <c r="BG101" i="59"/>
  <c r="BG105" i="59" s="1"/>
  <c r="BO33" i="59"/>
  <c r="AF40" i="59"/>
  <c r="BU56" i="59"/>
  <c r="AF79" i="59"/>
  <c r="R101" i="59"/>
  <c r="R105" i="59" s="1"/>
  <c r="R5" i="59" s="1"/>
  <c r="BA101" i="59"/>
  <c r="BA105" i="59" s="1"/>
  <c r="BA5" i="59" s="1"/>
  <c r="W70" i="59"/>
  <c r="AN70" i="59"/>
  <c r="BE70" i="59"/>
  <c r="AF94" i="59"/>
  <c r="V139" i="59"/>
  <c r="W140" i="59" s="1"/>
  <c r="W121" i="59" s="1"/>
  <c r="W122" i="59" s="1"/>
  <c r="V140" i="59"/>
  <c r="V121" i="59" s="1"/>
  <c r="V122" i="59" s="1"/>
  <c r="H139" i="59"/>
  <c r="H141" i="59" s="1"/>
  <c r="G140" i="59"/>
  <c r="G121" i="59" s="1"/>
  <c r="G122" i="59" s="1"/>
  <c r="BS32" i="59"/>
  <c r="BU39" i="59"/>
  <c r="BW39" i="59" s="1"/>
  <c r="AS46" i="59"/>
  <c r="BU53" i="59"/>
  <c r="BW53" i="59" s="1"/>
  <c r="BU63" i="59"/>
  <c r="BW63" i="59" s="1"/>
  <c r="AF67" i="59"/>
  <c r="BK70" i="59"/>
  <c r="BS75" i="59"/>
  <c r="AS89" i="59"/>
  <c r="BS89" i="59"/>
  <c r="AS95" i="59"/>
  <c r="AP96" i="59"/>
  <c r="BH117" i="59"/>
  <c r="BU126" i="59"/>
  <c r="E126" i="59" s="1"/>
  <c r="BV126" i="59" s="1"/>
  <c r="BW126" i="59" s="1"/>
  <c r="AS18" i="59"/>
  <c r="S27" i="59"/>
  <c r="S30" i="59"/>
  <c r="AS37" i="59"/>
  <c r="S43" i="59"/>
  <c r="AS43" i="59"/>
  <c r="AF46" i="59"/>
  <c r="BU57" i="59"/>
  <c r="BX57" i="59" s="1"/>
  <c r="S67" i="59"/>
  <c r="N70" i="59"/>
  <c r="BS68" i="59"/>
  <c r="AF89" i="59"/>
  <c r="AF95" i="59"/>
  <c r="BU98" i="59"/>
  <c r="E98" i="59" s="1"/>
  <c r="BV98" i="59" s="1"/>
  <c r="BW98" i="59" s="1"/>
  <c r="BF110" i="59"/>
  <c r="AS128" i="59"/>
  <c r="S21" i="59"/>
  <c r="BU29" i="59"/>
  <c r="BW29" i="59" s="1"/>
  <c r="BS58" i="59"/>
  <c r="AS21" i="59"/>
  <c r="BF21" i="59"/>
  <c r="BS30" i="59"/>
  <c r="BJ33" i="59"/>
  <c r="BF37" i="59"/>
  <c r="BU51" i="59"/>
  <c r="BW51" i="59" s="1"/>
  <c r="S52" i="59"/>
  <c r="BF58" i="59"/>
  <c r="AS64" i="59"/>
  <c r="BS64" i="59"/>
  <c r="AS67" i="59"/>
  <c r="BQ70" i="59"/>
  <c r="AU70" i="59"/>
  <c r="BU77" i="59"/>
  <c r="E77" i="59" s="1"/>
  <c r="BV77" i="59" s="1"/>
  <c r="BW77" i="59" s="1"/>
  <c r="S92" i="59"/>
  <c r="AO96" i="59"/>
  <c r="AF110" i="59"/>
  <c r="AF128" i="59"/>
  <c r="AF49" i="59"/>
  <c r="BS52" i="59"/>
  <c r="AF55" i="59"/>
  <c r="AS58" i="59"/>
  <c r="AF64" i="59"/>
  <c r="I70" i="59"/>
  <c r="BU78" i="59"/>
  <c r="E78" i="59" s="1"/>
  <c r="BU82" i="59"/>
  <c r="E82" i="59" s="1"/>
  <c r="BV82" i="59" s="1"/>
  <c r="BW82" i="59" s="1"/>
  <c r="AF85" i="59"/>
  <c r="BU87" i="59"/>
  <c r="E87" i="59" s="1"/>
  <c r="BV87" i="59" s="1"/>
  <c r="BW87" i="59" s="1"/>
  <c r="Y96" i="59"/>
  <c r="AQ96" i="59"/>
  <c r="BP33" i="59"/>
  <c r="BS40" i="59"/>
  <c r="BU42" i="59"/>
  <c r="BU45" i="59"/>
  <c r="BW45" i="59" s="1"/>
  <c r="BU50" i="59"/>
  <c r="BW50" i="59" s="1"/>
  <c r="BF52" i="59"/>
  <c r="AF58" i="59"/>
  <c r="AS61" i="59"/>
  <c r="BU65" i="59"/>
  <c r="BW65" i="59" s="1"/>
  <c r="AK70" i="59"/>
  <c r="AT70" i="59"/>
  <c r="BB70" i="59"/>
  <c r="AE70" i="59"/>
  <c r="BU76" i="59"/>
  <c r="E76" i="59" s="1"/>
  <c r="BV76" i="59" s="1"/>
  <c r="BW76" i="59" s="1"/>
  <c r="BU86" i="59"/>
  <c r="BW86" i="59" s="1"/>
  <c r="R96" i="59"/>
  <c r="AR96" i="59"/>
  <c r="BU127" i="59"/>
  <c r="AB140" i="59"/>
  <c r="AB121" i="59" s="1"/>
  <c r="AB122" i="59" s="1"/>
  <c r="BU16" i="59"/>
  <c r="E16" i="59" s="1"/>
  <c r="E31" i="59" s="1"/>
  <c r="S18" i="59"/>
  <c r="BS24" i="59"/>
  <c r="BQ33" i="59"/>
  <c r="BU38" i="59"/>
  <c r="BF40" i="59"/>
  <c r="BS46" i="59"/>
  <c r="BU54" i="59"/>
  <c r="AS55" i="59"/>
  <c r="BU59" i="59"/>
  <c r="BW59" i="59" s="1"/>
  <c r="BU60" i="59"/>
  <c r="BW60" i="59" s="1"/>
  <c r="K70" i="59"/>
  <c r="O70" i="59"/>
  <c r="AS69" i="59"/>
  <c r="J96" i="59"/>
  <c r="AV96" i="59"/>
  <c r="BF116" i="59"/>
  <c r="BS18" i="59"/>
  <c r="BU17" i="59"/>
  <c r="E17" i="59" s="1"/>
  <c r="BV17" i="59" s="1"/>
  <c r="BW17" i="59" s="1"/>
  <c r="AS27" i="59"/>
  <c r="G33" i="59"/>
  <c r="O33" i="59"/>
  <c r="BU44" i="59"/>
  <c r="BW44" i="59" s="1"/>
  <c r="BF46" i="59"/>
  <c r="BU66" i="59"/>
  <c r="BF67" i="59"/>
  <c r="S79" i="59"/>
  <c r="AS79" i="59"/>
  <c r="AS92" i="59"/>
  <c r="BF95" i="59"/>
  <c r="BI96" i="59"/>
  <c r="BU111" i="59"/>
  <c r="E111" i="59" s="1"/>
  <c r="BV111" i="59" s="1"/>
  <c r="BW111" i="59" s="1"/>
  <c r="BS116" i="59"/>
  <c r="G141" i="59"/>
  <c r="U33" i="59"/>
  <c r="BU28" i="59"/>
  <c r="BW28" i="59" s="1"/>
  <c r="AF27" i="59"/>
  <c r="W33" i="59"/>
  <c r="V33" i="59"/>
  <c r="N100" i="59"/>
  <c r="R33" i="59"/>
  <c r="S24" i="59"/>
  <c r="T33" i="59"/>
  <c r="AF24" i="59"/>
  <c r="AB33" i="59"/>
  <c r="AI33" i="59"/>
  <c r="AS31" i="59"/>
  <c r="AS24" i="59"/>
  <c r="AK33" i="59"/>
  <c r="AZ33" i="59"/>
  <c r="BD33" i="59"/>
  <c r="BC33" i="59"/>
  <c r="BU23" i="59"/>
  <c r="BW23" i="59" s="1"/>
  <c r="BF31" i="59"/>
  <c r="BB33" i="59"/>
  <c r="BU19" i="59"/>
  <c r="BW19" i="59" s="1"/>
  <c r="F21" i="59"/>
  <c r="F31" i="59"/>
  <c r="BF68" i="59"/>
  <c r="S68" i="59"/>
  <c r="AR104" i="59"/>
  <c r="BI100" i="59"/>
  <c r="BI33" i="59"/>
  <c r="L33" i="59"/>
  <c r="AC100" i="59"/>
  <c r="AC33" i="59"/>
  <c r="M33" i="59"/>
  <c r="M100" i="59"/>
  <c r="S31" i="59"/>
  <c r="BF18" i="59"/>
  <c r="BK100" i="59"/>
  <c r="BK33" i="59"/>
  <c r="AE100" i="59"/>
  <c r="AE33" i="59"/>
  <c r="AU100" i="59"/>
  <c r="AU33" i="59"/>
  <c r="BL100" i="59"/>
  <c r="BL33" i="59"/>
  <c r="AJ117" i="59"/>
  <c r="AJ96" i="59"/>
  <c r="BA117" i="59"/>
  <c r="BA96" i="59"/>
  <c r="BR117" i="59"/>
  <c r="BR96" i="59"/>
  <c r="AF92" i="59"/>
  <c r="BT117" i="59"/>
  <c r="BT96" i="59"/>
  <c r="S37" i="59"/>
  <c r="U96" i="59"/>
  <c r="U117" i="59"/>
  <c r="AL117" i="59"/>
  <c r="AL96" i="59"/>
  <c r="BC117" i="59"/>
  <c r="BC96" i="59"/>
  <c r="BG70" i="59"/>
  <c r="F117" i="59"/>
  <c r="F96" i="59"/>
  <c r="V117" i="59"/>
  <c r="V96" i="59"/>
  <c r="AM117" i="59"/>
  <c r="AM96" i="59"/>
  <c r="BD117" i="59"/>
  <c r="BD96" i="59"/>
  <c r="O100" i="59"/>
  <c r="BM100" i="59"/>
  <c r="BM33" i="59"/>
  <c r="AF31" i="59"/>
  <c r="AV100" i="59"/>
  <c r="AV33" i="59"/>
  <c r="P33" i="59"/>
  <c r="AF69" i="59"/>
  <c r="T101" i="59"/>
  <c r="Q100" i="59"/>
  <c r="Q33" i="59"/>
  <c r="BN100" i="59"/>
  <c r="BN33" i="59"/>
  <c r="F32" i="59"/>
  <c r="BU20" i="59"/>
  <c r="S40" i="59"/>
  <c r="BF75" i="59"/>
  <c r="AT118" i="59"/>
  <c r="BF91" i="59"/>
  <c r="AT96" i="59"/>
  <c r="BK118" i="59"/>
  <c r="BK96" i="59"/>
  <c r="BF27" i="59"/>
  <c r="AA33" i="59"/>
  <c r="AS32" i="59"/>
  <c r="AX33" i="59"/>
  <c r="AF68" i="59"/>
  <c r="V70" i="59"/>
  <c r="BF79" i="59"/>
  <c r="BF92" i="59"/>
  <c r="N104" i="59"/>
  <c r="AN117" i="59"/>
  <c r="AN96" i="59"/>
  <c r="AH100" i="59"/>
  <c r="AH33" i="59"/>
  <c r="AX104" i="59"/>
  <c r="H117" i="59"/>
  <c r="H96" i="59"/>
  <c r="X117" i="59"/>
  <c r="X96" i="59"/>
  <c r="BG96" i="59"/>
  <c r="BS90" i="59"/>
  <c r="W117" i="59"/>
  <c r="W96" i="59"/>
  <c r="BU22" i="59"/>
  <c r="BS21" i="59"/>
  <c r="BU25" i="59"/>
  <c r="BW25" i="59" s="1"/>
  <c r="AY100" i="59"/>
  <c r="AY33" i="59"/>
  <c r="BF85" i="59"/>
  <c r="AW33" i="59"/>
  <c r="AW100" i="59"/>
  <c r="G129" i="59"/>
  <c r="G119" i="59"/>
  <c r="AG33" i="59"/>
  <c r="AS40" i="59"/>
  <c r="BU62" i="59"/>
  <c r="BT100" i="59"/>
  <c r="AF43" i="59"/>
  <c r="BF49" i="59"/>
  <c r="AP119" i="59"/>
  <c r="AR119" i="59"/>
  <c r="BF24" i="59"/>
  <c r="BS27" i="59"/>
  <c r="S32" i="59"/>
  <c r="AO101" i="59"/>
  <c r="AO105" i="59" s="1"/>
  <c r="AO5" i="59" s="1"/>
  <c r="AO33" i="59"/>
  <c r="BE101" i="59"/>
  <c r="BE105" i="59" s="1"/>
  <c r="BE5" i="59" s="1"/>
  <c r="BE33" i="59"/>
  <c r="BT33" i="59"/>
  <c r="E40" i="59"/>
  <c r="BV40" i="59" s="1"/>
  <c r="BV38" i="59"/>
  <c r="BW54" i="59"/>
  <c r="BS61" i="59"/>
  <c r="BU73" i="59"/>
  <c r="E73" i="59" s="1"/>
  <c r="AS85" i="59"/>
  <c r="AS110" i="59"/>
  <c r="AU119" i="59"/>
  <c r="AF18" i="59"/>
  <c r="H100" i="59"/>
  <c r="H33" i="59"/>
  <c r="X100" i="59"/>
  <c r="X33" i="59"/>
  <c r="AN100" i="59"/>
  <c r="AN33" i="59"/>
  <c r="BD100" i="59"/>
  <c r="Y101" i="59"/>
  <c r="Y105" i="59" s="1"/>
  <c r="Y5" i="59" s="1"/>
  <c r="Y33" i="59"/>
  <c r="BF32" i="59"/>
  <c r="BS95" i="59"/>
  <c r="K104" i="59"/>
  <c r="K102" i="59"/>
  <c r="BV109" i="59"/>
  <c r="BW109" i="59" s="1"/>
  <c r="BG117" i="59"/>
  <c r="I101" i="59"/>
  <c r="I105" i="59" s="1"/>
  <c r="I5" i="59" s="1"/>
  <c r="I33" i="59"/>
  <c r="AM33" i="59"/>
  <c r="BU35" i="59"/>
  <c r="E35" i="59" s="1"/>
  <c r="BS37" i="59"/>
  <c r="BU41" i="59"/>
  <c r="BU48" i="59"/>
  <c r="AS52" i="59"/>
  <c r="BU81" i="59"/>
  <c r="E81" i="59" s="1"/>
  <c r="G96" i="59"/>
  <c r="BG100" i="59"/>
  <c r="AS49" i="59"/>
  <c r="AS93" i="59"/>
  <c r="H140" i="59"/>
  <c r="H121" i="59" s="1"/>
  <c r="AF30" i="59"/>
  <c r="AD100" i="59"/>
  <c r="BF64" i="59"/>
  <c r="T70" i="59"/>
  <c r="S89" i="59"/>
  <c r="T117" i="59"/>
  <c r="AF90" i="59"/>
  <c r="AK96" i="59"/>
  <c r="AK117" i="59"/>
  <c r="BB117" i="59"/>
  <c r="BB96" i="59"/>
  <c r="AF118" i="59"/>
  <c r="J129" i="59"/>
  <c r="J119" i="59"/>
  <c r="T104" i="59"/>
  <c r="AJ100" i="59"/>
  <c r="BP102" i="59"/>
  <c r="AD101" i="59"/>
  <c r="AD105" i="59" s="1"/>
  <c r="AD5" i="59" s="1"/>
  <c r="AT101" i="59"/>
  <c r="E42" i="59"/>
  <c r="BV41" i="59"/>
  <c r="BW41" i="59" s="1"/>
  <c r="AF52" i="59"/>
  <c r="S64" i="59"/>
  <c r="AQ119" i="59"/>
  <c r="BJ96" i="59"/>
  <c r="U100" i="59"/>
  <c r="BA100" i="59"/>
  <c r="BQ102" i="59"/>
  <c r="O101" i="59"/>
  <c r="O105" i="59" s="1"/>
  <c r="O5" i="59" s="1"/>
  <c r="AE101" i="59"/>
  <c r="AE105" i="59" s="1"/>
  <c r="AE5" i="59" s="1"/>
  <c r="BK101" i="59"/>
  <c r="BK105" i="59" s="1"/>
  <c r="BK5" i="59" s="1"/>
  <c r="BG33" i="59"/>
  <c r="S46" i="59"/>
  <c r="S61" i="59"/>
  <c r="G69" i="59"/>
  <c r="K96" i="59"/>
  <c r="K117" i="59"/>
  <c r="AA117" i="59"/>
  <c r="AA96" i="59"/>
  <c r="BH118" i="59"/>
  <c r="BS91" i="59"/>
  <c r="Z96" i="59"/>
  <c r="AA100" i="59"/>
  <c r="AK104" i="59"/>
  <c r="BL119" i="59"/>
  <c r="BU120" i="59"/>
  <c r="E120" i="59" s="1"/>
  <c r="V100" i="59"/>
  <c r="AL100" i="59"/>
  <c r="BR100" i="59"/>
  <c r="AF32" i="59"/>
  <c r="AV101" i="59"/>
  <c r="AV105" i="59" s="1"/>
  <c r="AV5" i="59" s="1"/>
  <c r="AQ33" i="59"/>
  <c r="BH33" i="59"/>
  <c r="S58" i="59"/>
  <c r="BS67" i="59"/>
  <c r="N75" i="59"/>
  <c r="S75" i="59" s="1"/>
  <c r="S74" i="59"/>
  <c r="BU74" i="59" s="1"/>
  <c r="L96" i="59"/>
  <c r="BF94" i="59"/>
  <c r="N95" i="59"/>
  <c r="N96" i="59" s="1"/>
  <c r="BL96" i="59"/>
  <c r="G100" i="59"/>
  <c r="W100" i="59"/>
  <c r="AM100" i="59"/>
  <c r="BC100" i="59"/>
  <c r="BS31" i="59"/>
  <c r="Q101" i="59"/>
  <c r="Q105" i="59" s="1"/>
  <c r="Q5" i="59" s="1"/>
  <c r="AG101" i="59"/>
  <c r="BM101" i="59"/>
  <c r="BM105" i="59" s="1"/>
  <c r="BM5" i="59" s="1"/>
  <c r="AR33" i="59"/>
  <c r="S55" i="59"/>
  <c r="BU88" i="59"/>
  <c r="AU96" i="59"/>
  <c r="L118" i="59"/>
  <c r="S118" i="59" s="1"/>
  <c r="S91" i="59"/>
  <c r="AS91" i="59"/>
  <c r="AS94" i="59"/>
  <c r="T96" i="59"/>
  <c r="BM96" i="59"/>
  <c r="I104" i="59"/>
  <c r="Y100" i="59"/>
  <c r="AO100" i="59"/>
  <c r="BE100" i="59"/>
  <c r="AI101" i="59"/>
  <c r="AI105" i="59" s="1"/>
  <c r="AI5" i="59" s="1"/>
  <c r="AI6" i="59" s="1"/>
  <c r="AY101" i="59"/>
  <c r="AY105" i="59" s="1"/>
  <c r="AY5" i="59" s="1"/>
  <c r="BO101" i="59"/>
  <c r="BO105" i="59" s="1"/>
  <c r="BO5" i="59" s="1"/>
  <c r="AT33" i="59"/>
  <c r="AW70" i="59"/>
  <c r="BM70" i="59"/>
  <c r="BS79" i="59"/>
  <c r="S85" i="59"/>
  <c r="O96" i="59"/>
  <c r="AT100" i="59"/>
  <c r="J100" i="59"/>
  <c r="J33" i="59"/>
  <c r="Z100" i="59"/>
  <c r="Z33" i="59"/>
  <c r="AP100" i="59"/>
  <c r="AP33" i="59"/>
  <c r="AD33" i="59"/>
  <c r="BS43" i="59"/>
  <c r="BS55" i="59"/>
  <c r="AG70" i="59"/>
  <c r="AX70" i="59"/>
  <c r="BN70" i="59"/>
  <c r="BU72" i="59"/>
  <c r="E72" i="59" s="1"/>
  <c r="P96" i="59"/>
  <c r="AG96" i="59"/>
  <c r="BO96" i="59"/>
  <c r="BO117" i="59"/>
  <c r="AF91" i="59"/>
  <c r="BF61" i="59"/>
  <c r="AH70" i="59"/>
  <c r="AY70" i="59"/>
  <c r="BO70" i="59"/>
  <c r="AF75" i="59"/>
  <c r="AY117" i="59"/>
  <c r="AY96" i="59"/>
  <c r="BP96" i="59"/>
  <c r="BP117" i="59"/>
  <c r="AW119" i="59"/>
  <c r="AB96" i="59"/>
  <c r="BF43" i="59"/>
  <c r="BS49" i="59"/>
  <c r="BW56" i="59"/>
  <c r="P70" i="59"/>
  <c r="AI70" i="59"/>
  <c r="AZ70" i="59"/>
  <c r="BP70" i="59"/>
  <c r="BF69" i="59"/>
  <c r="AS75" i="59"/>
  <c r="BU83" i="59"/>
  <c r="E83" i="59" s="1"/>
  <c r="BS85" i="59"/>
  <c r="AI96" i="59"/>
  <c r="AI117" i="59"/>
  <c r="AS90" i="59"/>
  <c r="AZ117" i="59"/>
  <c r="AZ96" i="59"/>
  <c r="BQ96" i="59"/>
  <c r="BQ117" i="59"/>
  <c r="BF93" i="59"/>
  <c r="S94" i="59"/>
  <c r="AS113" i="59"/>
  <c r="AS118" i="59"/>
  <c r="BF128" i="59"/>
  <c r="AH96" i="59"/>
  <c r="AX117" i="59"/>
  <c r="AX96" i="59"/>
  <c r="BN96" i="59"/>
  <c r="Q96" i="59"/>
  <c r="AF139" i="59"/>
  <c r="AF140" i="59"/>
  <c r="I129" i="59"/>
  <c r="I119" i="59"/>
  <c r="Y119" i="59"/>
  <c r="AO119" i="59"/>
  <c r="BE119" i="59"/>
  <c r="AF113" i="59"/>
  <c r="BM119" i="59"/>
  <c r="AS68" i="59"/>
  <c r="Z119" i="59"/>
  <c r="BF90" i="59"/>
  <c r="I96" i="59"/>
  <c r="S110" i="59"/>
  <c r="S116" i="59"/>
  <c r="L117" i="59"/>
  <c r="BN117" i="59"/>
  <c r="O129" i="59"/>
  <c r="O119" i="59"/>
  <c r="AB119" i="59"/>
  <c r="AC96" i="59"/>
  <c r="AW96" i="59"/>
  <c r="BS110" i="59"/>
  <c r="P117" i="59"/>
  <c r="M119" i="59"/>
  <c r="M129" i="59"/>
  <c r="AC119" i="59"/>
  <c r="BI119" i="59"/>
  <c r="AD96" i="59"/>
  <c r="F130" i="59"/>
  <c r="N129" i="59"/>
  <c r="N119" i="59"/>
  <c r="AD119" i="59"/>
  <c r="BJ119" i="59"/>
  <c r="M96" i="59"/>
  <c r="AE96" i="59"/>
  <c r="AG117" i="59"/>
  <c r="AE119" i="59"/>
  <c r="BE96" i="59"/>
  <c r="AH117" i="59"/>
  <c r="AD139" i="59"/>
  <c r="AE140" i="59" s="1"/>
  <c r="AE121" i="59" s="1"/>
  <c r="AE122" i="59" s="1"/>
  <c r="Z139" i="59"/>
  <c r="AA140" i="59" s="1"/>
  <c r="AA121" i="59" s="1"/>
  <c r="AA122" i="59" s="1"/>
  <c r="Q129" i="59"/>
  <c r="Q119" i="59"/>
  <c r="BF113" i="59"/>
  <c r="R119" i="59"/>
  <c r="AS116" i="59"/>
  <c r="G142" i="59"/>
  <c r="AF135" i="59"/>
  <c r="X139" i="59"/>
  <c r="Y140" i="59" s="1"/>
  <c r="Y121" i="59" s="1"/>
  <c r="Y122" i="59" s="1"/>
  <c r="BS113" i="59"/>
  <c r="AF116" i="59"/>
  <c r="BT257" i="69" l="1"/>
  <c r="BT7" i="69"/>
  <c r="DG257" i="69"/>
  <c r="DH257" i="69" s="1"/>
  <c r="DG7" i="69"/>
  <c r="DH255" i="69"/>
  <c r="DK256" i="69" s="1"/>
  <c r="H137" i="59"/>
  <c r="H124" i="59" s="1"/>
  <c r="H125" i="59" s="1"/>
  <c r="I139" i="59"/>
  <c r="I141" i="59" s="1"/>
  <c r="BH119" i="59"/>
  <c r="I137" i="59"/>
  <c r="I124" i="59" s="1"/>
  <c r="I125" i="59" s="1"/>
  <c r="AB102" i="59"/>
  <c r="L106" i="59"/>
  <c r="BX29" i="59"/>
  <c r="AK102" i="59"/>
  <c r="BV108" i="59"/>
  <c r="BW108" i="59" s="1"/>
  <c r="T102" i="59"/>
  <c r="E93" i="59"/>
  <c r="BV93" i="59" s="1"/>
  <c r="L102" i="59"/>
  <c r="AQ104" i="59"/>
  <c r="AQ106" i="59" s="1"/>
  <c r="BB102" i="59"/>
  <c r="AX102" i="59"/>
  <c r="BH102" i="59"/>
  <c r="BX115" i="59"/>
  <c r="BX63" i="59"/>
  <c r="BU30" i="59"/>
  <c r="BW30" i="59" s="1"/>
  <c r="AZ102" i="59"/>
  <c r="R102" i="59"/>
  <c r="AR102" i="59"/>
  <c r="BU52" i="59"/>
  <c r="BW52" i="59" s="1"/>
  <c r="BX48" i="59"/>
  <c r="BV16" i="59"/>
  <c r="BW16" i="59" s="1"/>
  <c r="BH106" i="59"/>
  <c r="I102" i="59"/>
  <c r="AB6" i="59"/>
  <c r="BU93" i="59"/>
  <c r="BV115" i="59"/>
  <c r="BW115" i="59" s="1"/>
  <c r="E116" i="59"/>
  <c r="BV116" i="59" s="1"/>
  <c r="BW116" i="59" s="1"/>
  <c r="BX51" i="59"/>
  <c r="BJ106" i="59"/>
  <c r="BW48" i="59"/>
  <c r="AZ104" i="59"/>
  <c r="BX84" i="59"/>
  <c r="E18" i="59"/>
  <c r="BV18" i="59" s="1"/>
  <c r="BW18" i="59" s="1"/>
  <c r="BU46" i="59"/>
  <c r="BW46" i="59" s="1"/>
  <c r="BU37" i="59"/>
  <c r="AB106" i="59"/>
  <c r="P102" i="59"/>
  <c r="BX17" i="59"/>
  <c r="E113" i="59"/>
  <c r="BV113" i="59" s="1"/>
  <c r="BX45" i="59"/>
  <c r="BU113" i="59"/>
  <c r="BU116" i="59"/>
  <c r="BU128" i="59"/>
  <c r="BJ102" i="59"/>
  <c r="BU18" i="59"/>
  <c r="BW57" i="59"/>
  <c r="E32" i="59"/>
  <c r="BU79" i="59"/>
  <c r="G130" i="59"/>
  <c r="G8" i="59" s="1"/>
  <c r="BV78" i="59"/>
  <c r="BW78" i="59" s="1"/>
  <c r="E79" i="59"/>
  <c r="BV79" i="59" s="1"/>
  <c r="BF70" i="59"/>
  <c r="S117" i="59"/>
  <c r="BX66" i="59"/>
  <c r="BX60" i="59"/>
  <c r="BX39" i="59"/>
  <c r="N101" i="59"/>
  <c r="AS96" i="59"/>
  <c r="BU49" i="59"/>
  <c r="BW49" i="59" s="1"/>
  <c r="BU91" i="59"/>
  <c r="BU89" i="59"/>
  <c r="S95" i="59"/>
  <c r="BU95" i="59" s="1"/>
  <c r="BF117" i="59"/>
  <c r="H130" i="59"/>
  <c r="H8" i="59" s="1"/>
  <c r="H11" i="59" s="1"/>
  <c r="BU55" i="59"/>
  <c r="BW55" i="59" s="1"/>
  <c r="BU75" i="59"/>
  <c r="BX78" i="59"/>
  <c r="BX54" i="59"/>
  <c r="BU94" i="59"/>
  <c r="BU67" i="59"/>
  <c r="BW67" i="59" s="1"/>
  <c r="BU43" i="59"/>
  <c r="BU40" i="59"/>
  <c r="BW40" i="59" s="1"/>
  <c r="BU27" i="59"/>
  <c r="BW27" i="59" s="1"/>
  <c r="E127" i="59"/>
  <c r="BX127" i="59"/>
  <c r="BW66" i="59"/>
  <c r="BU85" i="59"/>
  <c r="BU58" i="59"/>
  <c r="BW58" i="59" s="1"/>
  <c r="BU61" i="59"/>
  <c r="BW61" i="59" s="1"/>
  <c r="BU90" i="59"/>
  <c r="BX42" i="59"/>
  <c r="BW38" i="59"/>
  <c r="BU68" i="59"/>
  <c r="BU24" i="59"/>
  <c r="BW24" i="59" s="1"/>
  <c r="AF33" i="59"/>
  <c r="BX23" i="59"/>
  <c r="BW22" i="59"/>
  <c r="K119" i="59"/>
  <c r="K129" i="59"/>
  <c r="X102" i="59"/>
  <c r="X104" i="59"/>
  <c r="V102" i="59"/>
  <c r="V104" i="59"/>
  <c r="X119" i="59"/>
  <c r="BE104" i="59"/>
  <c r="BE102" i="59"/>
  <c r="S96" i="59"/>
  <c r="BT102" i="59"/>
  <c r="BT104" i="59"/>
  <c r="BV32" i="59"/>
  <c r="E74" i="59"/>
  <c r="E75" i="59" s="1"/>
  <c r="BV75" i="59" s="1"/>
  <c r="BW75" i="59" s="1"/>
  <c r="BX74" i="59"/>
  <c r="AS101" i="59"/>
  <c r="AG105" i="59"/>
  <c r="AG106" i="59" s="1"/>
  <c r="BW93" i="59"/>
  <c r="I106" i="59"/>
  <c r="I4" i="59"/>
  <c r="AS33" i="59"/>
  <c r="P119" i="59"/>
  <c r="P129" i="59"/>
  <c r="BU110" i="59"/>
  <c r="BW110" i="59" s="1"/>
  <c r="BP119" i="59"/>
  <c r="AA119" i="59"/>
  <c r="J137" i="59"/>
  <c r="J124" i="59" s="1"/>
  <c r="J125" i="59" s="1"/>
  <c r="K136" i="59"/>
  <c r="AF70" i="59"/>
  <c r="BS96" i="59"/>
  <c r="O104" i="59"/>
  <c r="O102" i="59"/>
  <c r="AR4" i="59"/>
  <c r="AR106" i="59"/>
  <c r="AS117" i="59"/>
  <c r="AG119" i="59"/>
  <c r="E43" i="59"/>
  <c r="BV43" i="59" s="1"/>
  <c r="BV42" i="59"/>
  <c r="BW42" i="59" s="1"/>
  <c r="BV72" i="59"/>
  <c r="BW72" i="59" s="1"/>
  <c r="E90" i="59"/>
  <c r="F8" i="59"/>
  <c r="AO104" i="59"/>
  <c r="AO102" i="59"/>
  <c r="BW79" i="59"/>
  <c r="AD104" i="59"/>
  <c r="AD102" i="59"/>
  <c r="AM119" i="59"/>
  <c r="J139" i="59"/>
  <c r="J141" i="59" s="1"/>
  <c r="I140" i="59"/>
  <c r="I121" i="59" s="1"/>
  <c r="AK106" i="59"/>
  <c r="AK4" i="59"/>
  <c r="BS33" i="59"/>
  <c r="BB119" i="59"/>
  <c r="H122" i="59"/>
  <c r="BU32" i="59"/>
  <c r="F101" i="59"/>
  <c r="V119" i="59"/>
  <c r="U119" i="59"/>
  <c r="BK104" i="59"/>
  <c r="BK102" i="59"/>
  <c r="M104" i="59"/>
  <c r="M102" i="59"/>
  <c r="BK119" i="59"/>
  <c r="BX26" i="59"/>
  <c r="O7" i="59"/>
  <c r="AG140" i="59"/>
  <c r="AG121" i="59" s="1"/>
  <c r="AG139" i="59"/>
  <c r="BC102" i="59"/>
  <c r="BC104" i="59"/>
  <c r="AA102" i="59"/>
  <c r="AA104" i="59"/>
  <c r="AZ106" i="59"/>
  <c r="AZ4" i="59"/>
  <c r="AK119" i="59"/>
  <c r="E68" i="59"/>
  <c r="BV35" i="59"/>
  <c r="BW35" i="59" s="1"/>
  <c r="E37" i="59"/>
  <c r="BV37" i="59" s="1"/>
  <c r="BW37" i="59" s="1"/>
  <c r="R106" i="59"/>
  <c r="R4" i="59"/>
  <c r="BO102" i="59"/>
  <c r="J104" i="59"/>
  <c r="J102" i="59"/>
  <c r="BF96" i="59"/>
  <c r="BF118" i="59"/>
  <c r="AZ119" i="59"/>
  <c r="BQ106" i="59"/>
  <c r="BQ4" i="59"/>
  <c r="AF96" i="59"/>
  <c r="AM102" i="59"/>
  <c r="AM104" i="59"/>
  <c r="G7" i="59"/>
  <c r="BN104" i="59"/>
  <c r="BN102" i="59"/>
  <c r="BR119" i="59"/>
  <c r="BV31" i="59"/>
  <c r="E33" i="59"/>
  <c r="BV33" i="59" s="1"/>
  <c r="BL104" i="59"/>
  <c r="BL102" i="59"/>
  <c r="BP106" i="59"/>
  <c r="BP4" i="59"/>
  <c r="AU104" i="59"/>
  <c r="AU102" i="59"/>
  <c r="H129" i="59"/>
  <c r="H119" i="59"/>
  <c r="BF101" i="59"/>
  <c r="AT105" i="59"/>
  <c r="E69" i="59"/>
  <c r="BV69" i="59" s="1"/>
  <c r="BW20" i="59"/>
  <c r="BX20" i="59"/>
  <c r="W102" i="59"/>
  <c r="W104" i="59"/>
  <c r="AJ102" i="59"/>
  <c r="AJ104" i="59"/>
  <c r="BS101" i="59"/>
  <c r="E91" i="59"/>
  <c r="BV91" i="59" s="1"/>
  <c r="BV73" i="59"/>
  <c r="BW73" i="59" s="1"/>
  <c r="AW104" i="59"/>
  <c r="AW102" i="59"/>
  <c r="AI106" i="59"/>
  <c r="AX106" i="59"/>
  <c r="AX4" i="59"/>
  <c r="AG102" i="59"/>
  <c r="F119" i="59"/>
  <c r="F129" i="59"/>
  <c r="N4" i="59"/>
  <c r="S69" i="59"/>
  <c r="BU69" i="59" s="1"/>
  <c r="BX69" i="59" s="1"/>
  <c r="G101" i="59"/>
  <c r="G102" i="59" s="1"/>
  <c r="BD119" i="59"/>
  <c r="Y104" i="59"/>
  <c r="Y102" i="59"/>
  <c r="AE104" i="59"/>
  <c r="AE102" i="59"/>
  <c r="AC104" i="59"/>
  <c r="AC102" i="59"/>
  <c r="S100" i="59"/>
  <c r="G104" i="59"/>
  <c r="T4" i="59"/>
  <c r="AF117" i="59"/>
  <c r="T119" i="59"/>
  <c r="BS105" i="59"/>
  <c r="BG5" i="59"/>
  <c r="AG4" i="59"/>
  <c r="BA119" i="59"/>
  <c r="AV104" i="59"/>
  <c r="AV102" i="59"/>
  <c r="K106" i="59"/>
  <c r="K4" i="59"/>
  <c r="BC119" i="59"/>
  <c r="BU92" i="59"/>
  <c r="AH119" i="59"/>
  <c r="AP104" i="59"/>
  <c r="AP102" i="59"/>
  <c r="BA102" i="59"/>
  <c r="BA104" i="59"/>
  <c r="BU64" i="59"/>
  <c r="BW64" i="59" s="1"/>
  <c r="AF100" i="59"/>
  <c r="BS100" i="59"/>
  <c r="BG102" i="59"/>
  <c r="BG104" i="59"/>
  <c r="BD102" i="59"/>
  <c r="BD104" i="59"/>
  <c r="W119" i="59"/>
  <c r="AH104" i="59"/>
  <c r="AH102" i="59"/>
  <c r="AS100" i="59"/>
  <c r="BS70" i="59"/>
  <c r="F100" i="59"/>
  <c r="BU31" i="59"/>
  <c r="F33" i="59"/>
  <c r="BX88" i="59"/>
  <c r="E88" i="59"/>
  <c r="BT119" i="59"/>
  <c r="G70" i="59"/>
  <c r="S70" i="59" s="1"/>
  <c r="BQ119" i="59"/>
  <c r="AL119" i="59"/>
  <c r="BN119" i="59"/>
  <c r="AI119" i="59"/>
  <c r="BR102" i="59"/>
  <c r="BR104" i="59"/>
  <c r="BO106" i="59"/>
  <c r="BO4" i="59"/>
  <c r="Q104" i="59"/>
  <c r="Q102" i="59"/>
  <c r="BM104" i="59"/>
  <c r="BM102" i="59"/>
  <c r="BX36" i="59"/>
  <c r="P106" i="59"/>
  <c r="P4" i="59"/>
  <c r="AJ119" i="59"/>
  <c r="BI104" i="59"/>
  <c r="BI102" i="59"/>
  <c r="BU21" i="59"/>
  <c r="BW21" i="59" s="1"/>
  <c r="AL102" i="59"/>
  <c r="AL104" i="59"/>
  <c r="J7" i="59"/>
  <c r="S33" i="59"/>
  <c r="Q7" i="59"/>
  <c r="N7" i="59"/>
  <c r="AY119" i="59"/>
  <c r="BV120" i="59"/>
  <c r="BW120" i="59" s="1"/>
  <c r="H102" i="59"/>
  <c r="H104" i="59"/>
  <c r="AY102" i="59"/>
  <c r="AY104" i="59"/>
  <c r="BV81" i="59"/>
  <c r="BW81" i="59" s="1"/>
  <c r="E85" i="59"/>
  <c r="BV85" i="59" s="1"/>
  <c r="E92" i="59"/>
  <c r="BV92" i="59" s="1"/>
  <c r="AI102" i="59"/>
  <c r="AT104" i="59"/>
  <c r="AT102" i="59"/>
  <c r="BF100" i="59"/>
  <c r="AS70" i="59"/>
  <c r="I7" i="59"/>
  <c r="BW62" i="59"/>
  <c r="BS118" i="59"/>
  <c r="M7" i="59"/>
  <c r="L119" i="59"/>
  <c r="L129" i="59"/>
  <c r="AT119" i="59"/>
  <c r="AX119" i="59"/>
  <c r="BV83" i="59"/>
  <c r="BW83" i="59" s="1"/>
  <c r="E94" i="59"/>
  <c r="BV94" i="59" s="1"/>
  <c r="BO119" i="59"/>
  <c r="Z104" i="59"/>
  <c r="Z102" i="59"/>
  <c r="BF33" i="59"/>
  <c r="BB106" i="59"/>
  <c r="BB4" i="59"/>
  <c r="U102" i="59"/>
  <c r="U104" i="59"/>
  <c r="BS117" i="59"/>
  <c r="BG119" i="59"/>
  <c r="AN102" i="59"/>
  <c r="AN104" i="59"/>
  <c r="AN119" i="59"/>
  <c r="AF101" i="59"/>
  <c r="T105" i="59"/>
  <c r="T106" i="59" s="1"/>
  <c r="DG9" i="69" l="1"/>
  <c r="DH9" i="69" s="1"/>
  <c r="DG10" i="69"/>
  <c r="DH7" i="69"/>
  <c r="DK8" i="69" s="1"/>
  <c r="BT9" i="69"/>
  <c r="BT10" i="69"/>
  <c r="BW91" i="59"/>
  <c r="AQ4" i="59"/>
  <c r="BW113" i="59"/>
  <c r="BW94" i="59"/>
  <c r="BW43" i="59"/>
  <c r="BX95" i="59"/>
  <c r="BU96" i="59"/>
  <c r="BX32" i="59"/>
  <c r="G131" i="59"/>
  <c r="BW85" i="59"/>
  <c r="N105" i="59"/>
  <c r="N102" i="59"/>
  <c r="S102" i="59" s="1"/>
  <c r="BU70" i="59"/>
  <c r="BU118" i="59"/>
  <c r="E118" i="59" s="1"/>
  <c r="BS119" i="59"/>
  <c r="S119" i="59"/>
  <c r="BU117" i="59"/>
  <c r="E117" i="59" s="1"/>
  <c r="BV117" i="59" s="1"/>
  <c r="BW117" i="59" s="1"/>
  <c r="BV127" i="59"/>
  <c r="BW127" i="59" s="1"/>
  <c r="E128" i="59"/>
  <c r="BV128" i="59" s="1"/>
  <c r="BW128" i="59" s="1"/>
  <c r="AF102" i="59"/>
  <c r="BW92" i="59"/>
  <c r="AH140" i="59"/>
  <c r="AH121" i="59" s="1"/>
  <c r="AH139" i="59"/>
  <c r="AG122" i="59"/>
  <c r="AL106" i="59"/>
  <c r="AL4" i="59"/>
  <c r="I6" i="59"/>
  <c r="I10" i="59"/>
  <c r="AH106" i="59"/>
  <c r="AH4" i="59"/>
  <c r="G9" i="59"/>
  <c r="J106" i="59"/>
  <c r="J4" i="59"/>
  <c r="BC106" i="59"/>
  <c r="BC4" i="59"/>
  <c r="AW106" i="59"/>
  <c r="AW4" i="59"/>
  <c r="AU106" i="59"/>
  <c r="AU4" i="59"/>
  <c r="H106" i="59"/>
  <c r="H4" i="59"/>
  <c r="N10" i="59"/>
  <c r="AJ106" i="59"/>
  <c r="AJ4" i="59"/>
  <c r="BQ6" i="59"/>
  <c r="V106" i="59"/>
  <c r="V4" i="59"/>
  <c r="BF119" i="59"/>
  <c r="BE106" i="59"/>
  <c r="BE4" i="59"/>
  <c r="BV88" i="59"/>
  <c r="BW88" i="59" s="1"/>
  <c r="E89" i="59"/>
  <c r="BV89" i="59" s="1"/>
  <c r="BW89" i="59" s="1"/>
  <c r="AV106" i="59"/>
  <c r="AV4" i="59"/>
  <c r="S104" i="59"/>
  <c r="G4" i="59"/>
  <c r="BL106" i="59"/>
  <c r="BL4" i="59"/>
  <c r="E70" i="59"/>
  <c r="BV70" i="59" s="1"/>
  <c r="BV68" i="59"/>
  <c r="BW68" i="59" s="1"/>
  <c r="BV90" i="59"/>
  <c r="BW90" i="59" s="1"/>
  <c r="K137" i="59"/>
  <c r="K124" i="59" s="1"/>
  <c r="L136" i="59"/>
  <c r="AS105" i="59"/>
  <c r="AG5" i="59"/>
  <c r="U106" i="59"/>
  <c r="U4" i="59"/>
  <c r="F105" i="59"/>
  <c r="BB6" i="59"/>
  <c r="AF104" i="59"/>
  <c r="F131" i="59"/>
  <c r="F7" i="59"/>
  <c r="X106" i="59"/>
  <c r="X4" i="59"/>
  <c r="R10" i="59"/>
  <c r="R6" i="59"/>
  <c r="AF105" i="59"/>
  <c r="T5" i="59"/>
  <c r="T6" i="59" s="1"/>
  <c r="BR106" i="59"/>
  <c r="BR4" i="59"/>
  <c r="BU33" i="59"/>
  <c r="BW33" i="59" s="1"/>
  <c r="BA106" i="59"/>
  <c r="BA4" i="59"/>
  <c r="W106" i="59"/>
  <c r="W4" i="59"/>
  <c r="BW31" i="59"/>
  <c r="AK6" i="59"/>
  <c r="P7" i="59"/>
  <c r="G105" i="59"/>
  <c r="S101" i="59"/>
  <c r="BU101" i="59" s="1"/>
  <c r="BI106" i="59"/>
  <c r="BI4" i="59"/>
  <c r="E100" i="59"/>
  <c r="AZ6" i="59"/>
  <c r="M106" i="59"/>
  <c r="M4" i="59"/>
  <c r="K7" i="59"/>
  <c r="K10" i="59" s="1"/>
  <c r="BM106" i="59"/>
  <c r="BM4" i="59"/>
  <c r="L7" i="59"/>
  <c r="AM4" i="59"/>
  <c r="AM106" i="59"/>
  <c r="BO6" i="59"/>
  <c r="O106" i="59"/>
  <c r="O4" i="59"/>
  <c r="F102" i="59"/>
  <c r="BU100" i="59"/>
  <c r="F104" i="59"/>
  <c r="AS104" i="59"/>
  <c r="AC106" i="59"/>
  <c r="AC4" i="59"/>
  <c r="AS102" i="59"/>
  <c r="I122" i="59"/>
  <c r="I130" i="59"/>
  <c r="E95" i="59"/>
  <c r="BV95" i="59" s="1"/>
  <c r="BW95" i="59" s="1"/>
  <c r="BV74" i="59"/>
  <c r="BW74" i="59" s="1"/>
  <c r="AD106" i="59"/>
  <c r="AD4" i="59"/>
  <c r="AY106" i="59"/>
  <c r="AY4" i="59"/>
  <c r="BP6" i="59"/>
  <c r="AQ6" i="59"/>
  <c r="K139" i="59"/>
  <c r="K141" i="59" s="1"/>
  <c r="J140" i="59"/>
  <c r="J121" i="59" s="1"/>
  <c r="BW32" i="59"/>
  <c r="Y106" i="59"/>
  <c r="Y4" i="59"/>
  <c r="BD106" i="59"/>
  <c r="BD4" i="59"/>
  <c r="K6" i="59"/>
  <c r="Z106" i="59"/>
  <c r="Z4" i="59"/>
  <c r="BF102" i="59"/>
  <c r="AP106" i="59"/>
  <c r="AP4" i="59"/>
  <c r="BW69" i="59"/>
  <c r="AA106" i="59"/>
  <c r="AA4" i="59"/>
  <c r="BK106" i="59"/>
  <c r="BK4" i="59"/>
  <c r="AF119" i="59"/>
  <c r="S129" i="59"/>
  <c r="H131" i="59"/>
  <c r="H7" i="59"/>
  <c r="H9" i="59" s="1"/>
  <c r="AR6" i="59"/>
  <c r="Q106" i="59"/>
  <c r="Q4" i="59"/>
  <c r="BG106" i="59"/>
  <c r="BS104" i="59"/>
  <c r="BG4" i="59"/>
  <c r="AO106" i="59"/>
  <c r="AO4" i="59"/>
  <c r="BS102" i="59"/>
  <c r="AN106" i="59"/>
  <c r="AN4" i="59"/>
  <c r="P6" i="59"/>
  <c r="AT106" i="59"/>
  <c r="BF104" i="59"/>
  <c r="AT4" i="59"/>
  <c r="BS5" i="59"/>
  <c r="AE106" i="59"/>
  <c r="AE4" i="59"/>
  <c r="AX6" i="59"/>
  <c r="BF105" i="59"/>
  <c r="AT5" i="59"/>
  <c r="BN106" i="59"/>
  <c r="BN4" i="59"/>
  <c r="AS119" i="59"/>
  <c r="BT106" i="59"/>
  <c r="BT4" i="59"/>
  <c r="DG12" i="69" l="1"/>
  <c r="DH10" i="69"/>
  <c r="DK11" i="69" s="1"/>
  <c r="BT12" i="69"/>
  <c r="BW70" i="59"/>
  <c r="BU119" i="59"/>
  <c r="E101" i="59"/>
  <c r="E119" i="59"/>
  <c r="BV119" i="59" s="1"/>
  <c r="BX118" i="59"/>
  <c r="E96" i="59"/>
  <c r="BV96" i="59" s="1"/>
  <c r="BW96" i="59" s="1"/>
  <c r="N5" i="59"/>
  <c r="N6" i="59" s="1"/>
  <c r="N106" i="59"/>
  <c r="AF106" i="59"/>
  <c r="AS106" i="59"/>
  <c r="AL6" i="59"/>
  <c r="L137" i="59"/>
  <c r="L124" i="59" s="1"/>
  <c r="L125" i="59" s="1"/>
  <c r="M136" i="59"/>
  <c r="S105" i="59"/>
  <c r="BU105" i="59" s="1"/>
  <c r="G5" i="59"/>
  <c r="G6" i="59" s="1"/>
  <c r="H6" i="59"/>
  <c r="H10" i="59"/>
  <c r="H12" i="59" s="1"/>
  <c r="BU104" i="59"/>
  <c r="F106" i="59"/>
  <c r="F4" i="59"/>
  <c r="AT6" i="59"/>
  <c r="BF4" i="59"/>
  <c r="W6" i="59"/>
  <c r="X6" i="59"/>
  <c r="BU102" i="59"/>
  <c r="BC6" i="59"/>
  <c r="AI140" i="59"/>
  <c r="AI121" i="59" s="1"/>
  <c r="AI139" i="59"/>
  <c r="AC6" i="59"/>
  <c r="K125" i="59"/>
  <c r="BT6" i="59"/>
  <c r="BF106" i="59"/>
  <c r="V6" i="59"/>
  <c r="AH122" i="59"/>
  <c r="AY6" i="59"/>
  <c r="O10" i="59"/>
  <c r="O6" i="59"/>
  <c r="E102" i="59"/>
  <c r="BV102" i="59" s="1"/>
  <c r="E104" i="59"/>
  <c r="BV100" i="59"/>
  <c r="BW100" i="59" s="1"/>
  <c r="BA6" i="59"/>
  <c r="J6" i="59"/>
  <c r="J10" i="59"/>
  <c r="BS106" i="59"/>
  <c r="Z6" i="59"/>
  <c r="P10" i="59"/>
  <c r="BL6" i="59"/>
  <c r="AS5" i="59"/>
  <c r="AP6" i="59"/>
  <c r="BE6" i="59"/>
  <c r="BN6" i="59"/>
  <c r="AN6" i="59"/>
  <c r="AF4" i="59"/>
  <c r="AD6" i="59"/>
  <c r="AG6" i="59"/>
  <c r="S7" i="59"/>
  <c r="AE6" i="59"/>
  <c r="E105" i="59"/>
  <c r="BV101" i="59"/>
  <c r="BW101" i="59" s="1"/>
  <c r="AS4" i="59"/>
  <c r="BR6" i="59"/>
  <c r="BX101" i="59"/>
  <c r="S4" i="59"/>
  <c r="G10" i="59"/>
  <c r="AJ6" i="59"/>
  <c r="BM6" i="59"/>
  <c r="J122" i="59"/>
  <c r="J130" i="59"/>
  <c r="Q10" i="59"/>
  <c r="Q6" i="59"/>
  <c r="AW6" i="59"/>
  <c r="BF5" i="59"/>
  <c r="BK6" i="59"/>
  <c r="BD6" i="59"/>
  <c r="BI6" i="59"/>
  <c r="F5" i="59"/>
  <c r="G106" i="59"/>
  <c r="AH6" i="59"/>
  <c r="BW119" i="59"/>
  <c r="L139" i="59"/>
  <c r="L141" i="59" s="1"/>
  <c r="K140" i="59"/>
  <c r="K121" i="59" s="1"/>
  <c r="M6" i="59"/>
  <c r="M10" i="59"/>
  <c r="AM6" i="59"/>
  <c r="U6" i="59"/>
  <c r="BS4" i="59"/>
  <c r="BG6" i="59"/>
  <c r="AU6" i="59"/>
  <c r="AO6" i="59"/>
  <c r="AA6" i="59"/>
  <c r="Y6" i="59"/>
  <c r="I8" i="59"/>
  <c r="I131" i="59"/>
  <c r="L10" i="59"/>
  <c r="AF5" i="59"/>
  <c r="AV6" i="59"/>
  <c r="BV118" i="59"/>
  <c r="BW118" i="59" s="1"/>
  <c r="BT13" i="69" l="1"/>
  <c r="DH12" i="69"/>
  <c r="DG13" i="69"/>
  <c r="S106" i="59"/>
  <c r="BS6" i="59"/>
  <c r="AS6" i="59"/>
  <c r="S6" i="59"/>
  <c r="AF6" i="59"/>
  <c r="BU106" i="59"/>
  <c r="BW102" i="59"/>
  <c r="BX105" i="59"/>
  <c r="J8" i="59"/>
  <c r="J131" i="59"/>
  <c r="BU4" i="59"/>
  <c r="F10" i="59"/>
  <c r="M137" i="59"/>
  <c r="M124" i="59" s="1"/>
  <c r="M125" i="59" s="1"/>
  <c r="N136" i="59"/>
  <c r="F11" i="59"/>
  <c r="AI122" i="59"/>
  <c r="K122" i="59"/>
  <c r="K130" i="59"/>
  <c r="AJ140" i="59"/>
  <c r="AJ121" i="59" s="1"/>
  <c r="AJ139" i="59"/>
  <c r="I11" i="59"/>
  <c r="I12" i="59" s="1"/>
  <c r="I9" i="59"/>
  <c r="L140" i="59"/>
  <c r="L121" i="59" s="1"/>
  <c r="M139" i="59"/>
  <c r="M141" i="59" s="1"/>
  <c r="S10" i="59"/>
  <c r="S5" i="59"/>
  <c r="BU5" i="59" s="1"/>
  <c r="G11" i="59"/>
  <c r="G12" i="59" s="1"/>
  <c r="BV105" i="59"/>
  <c r="BW105" i="59" s="1"/>
  <c r="E5" i="59"/>
  <c r="BV104" i="59"/>
  <c r="BW104" i="59" s="1"/>
  <c r="E106" i="59"/>
  <c r="BV106" i="59" s="1"/>
  <c r="BW106" i="59" s="1"/>
  <c r="E4" i="59"/>
  <c r="BF6" i="59"/>
  <c r="BU259" i="69" l="1"/>
  <c r="BU260" i="69" s="1"/>
  <c r="BU246" i="69" s="1"/>
  <c r="BX5" i="59"/>
  <c r="G13" i="59"/>
  <c r="BU6" i="59"/>
  <c r="AK139" i="59"/>
  <c r="AK140" i="59"/>
  <c r="AK121" i="59" s="1"/>
  <c r="J11" i="59"/>
  <c r="J12" i="59" s="1"/>
  <c r="J9" i="59"/>
  <c r="N137" i="59"/>
  <c r="N124" i="59" s="1"/>
  <c r="N125" i="59" s="1"/>
  <c r="O136" i="59"/>
  <c r="M140" i="59"/>
  <c r="M121" i="59" s="1"/>
  <c r="N139" i="59"/>
  <c r="N141" i="59" s="1"/>
  <c r="L122" i="59"/>
  <c r="L130" i="59"/>
  <c r="AJ122" i="59"/>
  <c r="BV5" i="59"/>
  <c r="BW5" i="59" s="1"/>
  <c r="K8" i="59"/>
  <c r="K131" i="59"/>
  <c r="BV4" i="59"/>
  <c r="BW4" i="59" s="1"/>
  <c r="E6" i="59"/>
  <c r="BV6" i="59" s="1"/>
  <c r="BU248" i="69" l="1"/>
  <c r="BU255" i="69"/>
  <c r="BW6" i="59"/>
  <c r="M122" i="59"/>
  <c r="M130" i="59"/>
  <c r="N140" i="59"/>
  <c r="N121" i="59" s="1"/>
  <c r="O139" i="59"/>
  <c r="K11" i="59"/>
  <c r="K9" i="59"/>
  <c r="AL139" i="59"/>
  <c r="AL140" i="59"/>
  <c r="AL121" i="59" s="1"/>
  <c r="L8" i="59"/>
  <c r="L131" i="59"/>
  <c r="H133" i="59"/>
  <c r="H134" i="59" s="1"/>
  <c r="H142" i="59" s="1"/>
  <c r="H13" i="59"/>
  <c r="O137" i="59"/>
  <c r="O124" i="59" s="1"/>
  <c r="O125" i="59" s="1"/>
  <c r="P136" i="59"/>
  <c r="AK122" i="59"/>
  <c r="BU257" i="69" l="1"/>
  <c r="BU7" i="69"/>
  <c r="AM140" i="59"/>
  <c r="AM121" i="59" s="1"/>
  <c r="AM139" i="59"/>
  <c r="M8" i="59"/>
  <c r="M131" i="59"/>
  <c r="AL122" i="59"/>
  <c r="P140" i="59"/>
  <c r="P121" i="59" s="1"/>
  <c r="O140" i="59"/>
  <c r="O121" i="59" s="1"/>
  <c r="P139" i="59"/>
  <c r="O141" i="59"/>
  <c r="I133" i="59"/>
  <c r="I134" i="59" s="1"/>
  <c r="I142" i="59" s="1"/>
  <c r="I13" i="59"/>
  <c r="L11" i="59"/>
  <c r="L12" i="59" s="1"/>
  <c r="L9" i="59"/>
  <c r="K12" i="59"/>
  <c r="N122" i="59"/>
  <c r="N130" i="59"/>
  <c r="P137" i="59"/>
  <c r="P124" i="59" s="1"/>
  <c r="P125" i="59" s="1"/>
  <c r="Q136" i="59"/>
  <c r="BU9" i="69" l="1"/>
  <c r="BU10" i="69"/>
  <c r="P122" i="59"/>
  <c r="P130" i="59"/>
  <c r="O122" i="59"/>
  <c r="O130" i="59"/>
  <c r="M11" i="59"/>
  <c r="M12" i="59" s="1"/>
  <c r="M9" i="59"/>
  <c r="Q140" i="59"/>
  <c r="Q121" i="59" s="1"/>
  <c r="Q139" i="59"/>
  <c r="P141" i="59"/>
  <c r="AN140" i="59"/>
  <c r="AN121" i="59" s="1"/>
  <c r="AN139" i="59"/>
  <c r="AM122" i="59"/>
  <c r="J133" i="59"/>
  <c r="J134" i="59" s="1"/>
  <c r="J142" i="59" s="1"/>
  <c r="J13" i="59"/>
  <c r="R136" i="59"/>
  <c r="Q137" i="59"/>
  <c r="Q124" i="59" s="1"/>
  <c r="Q125" i="59" s="1"/>
  <c r="N8" i="59"/>
  <c r="N131" i="59"/>
  <c r="BU12" i="69" l="1"/>
  <c r="S136" i="59"/>
  <c r="R137" i="59"/>
  <c r="R124" i="59" s="1"/>
  <c r="R140" i="59"/>
  <c r="R121" i="59" s="1"/>
  <c r="R139" i="59"/>
  <c r="Q122" i="59"/>
  <c r="Q130" i="59"/>
  <c r="K133" i="59"/>
  <c r="K134" i="59" s="1"/>
  <c r="K142" i="59" s="1"/>
  <c r="K13" i="59"/>
  <c r="AO140" i="59"/>
  <c r="AO121" i="59" s="1"/>
  <c r="AO139" i="59"/>
  <c r="N11" i="59"/>
  <c r="N9" i="59"/>
  <c r="AN122" i="59"/>
  <c r="O8" i="59"/>
  <c r="O131" i="59"/>
  <c r="P8" i="59"/>
  <c r="P131" i="59"/>
  <c r="Q141" i="59"/>
  <c r="BU13" i="69" l="1"/>
  <c r="N12" i="59"/>
  <c r="AO122" i="59"/>
  <c r="Q8" i="59"/>
  <c r="Q131" i="59"/>
  <c r="R125" i="59"/>
  <c r="S125" i="59" s="1"/>
  <c r="S124" i="59"/>
  <c r="AP139" i="59"/>
  <c r="AP140" i="59"/>
  <c r="AP121" i="59" s="1"/>
  <c r="L133" i="59"/>
  <c r="L134" i="59" s="1"/>
  <c r="L142" i="59" s="1"/>
  <c r="L13" i="59"/>
  <c r="S140" i="59"/>
  <c r="S139" i="59"/>
  <c r="P11" i="59"/>
  <c r="P12" i="59" s="1"/>
  <c r="P9" i="59"/>
  <c r="T136" i="59"/>
  <c r="R122" i="59"/>
  <c r="S122" i="59" s="1"/>
  <c r="R130" i="59"/>
  <c r="S121" i="59"/>
  <c r="O11" i="59"/>
  <c r="O12" i="59" s="1"/>
  <c r="O9" i="59"/>
  <c r="R141" i="59"/>
  <c r="BV259" i="69" l="1"/>
  <c r="BV260" i="69" s="1"/>
  <c r="BV246" i="69" s="1"/>
  <c r="T140" i="59"/>
  <c r="T121" i="59" s="1"/>
  <c r="T139" i="59"/>
  <c r="U140" i="59" s="1"/>
  <c r="U121" i="59" s="1"/>
  <c r="R131" i="59"/>
  <c r="S131" i="59" s="1"/>
  <c r="R8" i="59"/>
  <c r="S130" i="59"/>
  <c r="M133" i="59"/>
  <c r="M134" i="59" s="1"/>
  <c r="M142" i="59" s="1"/>
  <c r="M13" i="59"/>
  <c r="AQ139" i="59"/>
  <c r="AQ140" i="59"/>
  <c r="AQ121" i="59" s="1"/>
  <c r="AP122" i="59"/>
  <c r="Q11" i="59"/>
  <c r="Q12" i="59" s="1"/>
  <c r="Q9" i="59"/>
  <c r="T141" i="59"/>
  <c r="U136" i="59"/>
  <c r="T137" i="59"/>
  <c r="T124" i="59" s="1"/>
  <c r="S141" i="59"/>
  <c r="BV248" i="69" l="1"/>
  <c r="BV255" i="69"/>
  <c r="BW272" i="69"/>
  <c r="AQ122" i="59"/>
  <c r="N133" i="59"/>
  <c r="N134" i="59" s="1"/>
  <c r="N142" i="59" s="1"/>
  <c r="N13" i="59"/>
  <c r="R11" i="59"/>
  <c r="R9" i="59"/>
  <c r="S9" i="59" s="1"/>
  <c r="S8" i="59"/>
  <c r="AR140" i="59"/>
  <c r="AR121" i="59" s="1"/>
  <c r="AR139" i="59"/>
  <c r="U122" i="59"/>
  <c r="U137" i="59"/>
  <c r="U124" i="59" s="1"/>
  <c r="V136" i="59"/>
  <c r="U141" i="59"/>
  <c r="AF121" i="59"/>
  <c r="T122" i="59"/>
  <c r="T130" i="59"/>
  <c r="BV257" i="69" l="1"/>
  <c r="BV7" i="69"/>
  <c r="U130" i="59"/>
  <c r="U8" i="59" s="1"/>
  <c r="U11" i="59" s="1"/>
  <c r="AR122" i="59"/>
  <c r="AS122" i="59" s="1"/>
  <c r="AS121" i="59"/>
  <c r="T8" i="59"/>
  <c r="AS140" i="59"/>
  <c r="AS139" i="59"/>
  <c r="AF122" i="59"/>
  <c r="V137" i="59"/>
  <c r="V124" i="59" s="1"/>
  <c r="V130" i="59" s="1"/>
  <c r="V8" i="59" s="1"/>
  <c r="V11" i="59" s="1"/>
  <c r="W136" i="59"/>
  <c r="V141" i="59"/>
  <c r="O133" i="59"/>
  <c r="O134" i="59" s="1"/>
  <c r="O142" i="59" s="1"/>
  <c r="O13" i="59"/>
  <c r="R12" i="59"/>
  <c r="S12" i="59" s="1"/>
  <c r="S11" i="59"/>
  <c r="BV9" i="69" l="1"/>
  <c r="BV10" i="69"/>
  <c r="P133" i="59"/>
  <c r="P134" i="59" s="1"/>
  <c r="P142" i="59" s="1"/>
  <c r="P13" i="59"/>
  <c r="X136" i="59"/>
  <c r="W137" i="59"/>
  <c r="W124" i="59" s="1"/>
  <c r="W130" i="59" s="1"/>
  <c r="W8" i="59" s="1"/>
  <c r="W11" i="59" s="1"/>
  <c r="W141" i="59"/>
  <c r="T11" i="59"/>
  <c r="AT140" i="59"/>
  <c r="AT121" i="59" s="1"/>
  <c r="AT139" i="59"/>
  <c r="BV12" i="69" l="1"/>
  <c r="AU139" i="59"/>
  <c r="AU140" i="59"/>
  <c r="AU121" i="59" s="1"/>
  <c r="AT122" i="59"/>
  <c r="X141" i="59"/>
  <c r="Y136" i="59"/>
  <c r="X137" i="59"/>
  <c r="X124" i="59" s="1"/>
  <c r="X130" i="59" s="1"/>
  <c r="Q13" i="59"/>
  <c r="Q133" i="59"/>
  <c r="Q134" i="59" s="1"/>
  <c r="Q142" i="59" s="1"/>
  <c r="BV13" i="69" l="1"/>
  <c r="X8" i="59"/>
  <c r="AU122" i="59"/>
  <c r="R133" i="59"/>
  <c r="R134" i="59" s="1"/>
  <c r="R142" i="59" s="1"/>
  <c r="R13" i="59"/>
  <c r="Y141" i="59"/>
  <c r="Z136" i="59"/>
  <c r="Y137" i="59"/>
  <c r="Y124" i="59" s="1"/>
  <c r="Y130" i="59" s="1"/>
  <c r="Y8" i="59" s="1"/>
  <c r="Y11" i="59" s="1"/>
  <c r="AV139" i="59"/>
  <c r="AV140" i="59"/>
  <c r="AV121" i="59" s="1"/>
  <c r="BW259" i="69" l="1"/>
  <c r="BW260" i="69" s="1"/>
  <c r="BW246" i="69" s="1"/>
  <c r="AV122" i="59"/>
  <c r="AW140" i="59"/>
  <c r="AW121" i="59" s="1"/>
  <c r="AW139" i="59"/>
  <c r="AA136" i="59"/>
  <c r="Z141" i="59"/>
  <c r="Z137" i="59"/>
  <c r="Z124" i="59" s="1"/>
  <c r="Z130" i="59" s="1"/>
  <c r="Z8" i="59" s="1"/>
  <c r="Z11" i="59" s="1"/>
  <c r="S133" i="59"/>
  <c r="S134" i="59" s="1"/>
  <c r="S142" i="59" s="1"/>
  <c r="S13" i="59"/>
  <c r="X11" i="59"/>
  <c r="BW248" i="69" l="1"/>
  <c r="BW255" i="69"/>
  <c r="T133" i="59"/>
  <c r="T134" i="59" s="1"/>
  <c r="AX140" i="59"/>
  <c r="AX121" i="59" s="1"/>
  <c r="AX139" i="59"/>
  <c r="AB136" i="59"/>
  <c r="AA141" i="59"/>
  <c r="AA137" i="59"/>
  <c r="AA124" i="59" s="1"/>
  <c r="AA130" i="59" s="1"/>
  <c r="AA8" i="59" s="1"/>
  <c r="AW122" i="59"/>
  <c r="BW257" i="69" l="1"/>
  <c r="BW7" i="69"/>
  <c r="AA11" i="59"/>
  <c r="AC136" i="59"/>
  <c r="AB141" i="59"/>
  <c r="AB137" i="59"/>
  <c r="AB124" i="59" s="1"/>
  <c r="AB130" i="59" s="1"/>
  <c r="AB8" i="59" s="1"/>
  <c r="AB11" i="59" s="1"/>
  <c r="AY140" i="59"/>
  <c r="AY121" i="59" s="1"/>
  <c r="AY139" i="59"/>
  <c r="AX122" i="59"/>
  <c r="T123" i="59"/>
  <c r="T142" i="59"/>
  <c r="BW9" i="69" l="1"/>
  <c r="BW10" i="69"/>
  <c r="T125" i="59"/>
  <c r="T129" i="59"/>
  <c r="AY122" i="59"/>
  <c r="AZ140" i="59"/>
  <c r="AZ121" i="59" s="1"/>
  <c r="AZ139" i="59"/>
  <c r="AC141" i="59"/>
  <c r="AC137" i="59"/>
  <c r="AC124" i="59" s="1"/>
  <c r="AC130" i="59" s="1"/>
  <c r="AC8" i="59" s="1"/>
  <c r="AC11" i="59" s="1"/>
  <c r="AD136" i="59"/>
  <c r="BW12" i="69" l="1"/>
  <c r="BA139" i="59"/>
  <c r="BA140" i="59"/>
  <c r="BA121" i="59" s="1"/>
  <c r="AZ122" i="59"/>
  <c r="AD137" i="59"/>
  <c r="AD124" i="59" s="1"/>
  <c r="AD130" i="59" s="1"/>
  <c r="AD8" i="59" s="1"/>
  <c r="AD11" i="59" s="1"/>
  <c r="AE136" i="59"/>
  <c r="AD141" i="59"/>
  <c r="T131" i="59"/>
  <c r="T7" i="59"/>
  <c r="BW13" i="69" l="1"/>
  <c r="T9" i="59"/>
  <c r="T10" i="59"/>
  <c r="AE137" i="59"/>
  <c r="AE124" i="59" s="1"/>
  <c r="AF136" i="59"/>
  <c r="AE141" i="59"/>
  <c r="BA122" i="59"/>
  <c r="BB139" i="59"/>
  <c r="BB140" i="59"/>
  <c r="BB121" i="59" s="1"/>
  <c r="BX259" i="69" l="1"/>
  <c r="BX260" i="69" s="1"/>
  <c r="BX246" i="69" s="1"/>
  <c r="BB122" i="59"/>
  <c r="BC139" i="59"/>
  <c r="BC140" i="59"/>
  <c r="BC121" i="59" s="1"/>
  <c r="AG136" i="59"/>
  <c r="AF141" i="59"/>
  <c r="AE130" i="59"/>
  <c r="AF124" i="59"/>
  <c r="T12" i="59"/>
  <c r="BX248" i="69" l="1"/>
  <c r="BX255" i="69"/>
  <c r="AH136" i="59"/>
  <c r="AG137" i="59"/>
  <c r="AG124" i="59" s="1"/>
  <c r="AG141" i="59"/>
  <c r="BC122" i="59"/>
  <c r="T13" i="59"/>
  <c r="BD140" i="59"/>
  <c r="BD121" i="59" s="1"/>
  <c r="BD139" i="59"/>
  <c r="AE8" i="59"/>
  <c r="AF130" i="59"/>
  <c r="BX257" i="69" l="1"/>
  <c r="BX7" i="69"/>
  <c r="AE11" i="59"/>
  <c r="AF11" i="59" s="1"/>
  <c r="AF8" i="59"/>
  <c r="BD122" i="59"/>
  <c r="U133" i="59"/>
  <c r="U134" i="59" s="1"/>
  <c r="AG130" i="59"/>
  <c r="BE140" i="59"/>
  <c r="BE121" i="59" s="1"/>
  <c r="BE139" i="59"/>
  <c r="BF139" i="59" s="1"/>
  <c r="AH137" i="59"/>
  <c r="AH124" i="59" s="1"/>
  <c r="AH130" i="59" s="1"/>
  <c r="AH8" i="59" s="1"/>
  <c r="AH11" i="59" s="1"/>
  <c r="AH141" i="59"/>
  <c r="AI136" i="59"/>
  <c r="BX9" i="69" l="1"/>
  <c r="BX10" i="69"/>
  <c r="AG8" i="59"/>
  <c r="BG139" i="59"/>
  <c r="BG140" i="59"/>
  <c r="BG121" i="59" s="1"/>
  <c r="U142" i="59"/>
  <c r="U123" i="59"/>
  <c r="AI141" i="59"/>
  <c r="AJ136" i="59"/>
  <c r="AI137" i="59"/>
  <c r="AI124" i="59" s="1"/>
  <c r="AI130" i="59" s="1"/>
  <c r="AI8" i="59" s="1"/>
  <c r="AI11" i="59" s="1"/>
  <c r="BE122" i="59"/>
  <c r="BF122" i="59" s="1"/>
  <c r="BF121" i="59"/>
  <c r="BX12" i="69" l="1"/>
  <c r="U125" i="59"/>
  <c r="U129" i="59"/>
  <c r="AJ141" i="59"/>
  <c r="AJ137" i="59"/>
  <c r="AJ124" i="59" s="1"/>
  <c r="AJ130" i="59" s="1"/>
  <c r="AJ8" i="59" s="1"/>
  <c r="AJ11" i="59" s="1"/>
  <c r="AK136" i="59"/>
  <c r="BG122" i="59"/>
  <c r="BH139" i="59"/>
  <c r="BH140" i="59"/>
  <c r="BH121" i="59" s="1"/>
  <c r="AG11" i="59"/>
  <c r="BX13" i="69" l="1"/>
  <c r="BH122" i="59"/>
  <c r="BI139" i="59"/>
  <c r="BI140" i="59"/>
  <c r="BI121" i="59" s="1"/>
  <c r="AL136" i="59"/>
  <c r="AK137" i="59"/>
  <c r="AK124" i="59" s="1"/>
  <c r="AK141" i="59"/>
  <c r="U131" i="59"/>
  <c r="U7" i="59"/>
  <c r="BY259" i="69" l="1"/>
  <c r="BY260" i="69" s="1"/>
  <c r="BY246" i="69" s="1"/>
  <c r="U9" i="59"/>
  <c r="U10" i="59"/>
  <c r="AK130" i="59"/>
  <c r="AL137" i="59"/>
  <c r="AL124" i="59" s="1"/>
  <c r="AL130" i="59" s="1"/>
  <c r="AL8" i="59" s="1"/>
  <c r="AL11" i="59" s="1"/>
  <c r="AM136" i="59"/>
  <c r="AL141" i="59"/>
  <c r="BI122" i="59"/>
  <c r="BJ139" i="59"/>
  <c r="BJ140" i="59"/>
  <c r="BJ121" i="59" s="1"/>
  <c r="BY248" i="69" l="1"/>
  <c r="BY255" i="69"/>
  <c r="BZ272" i="69"/>
  <c r="AM137" i="59"/>
  <c r="AM124" i="59" s="1"/>
  <c r="AM130" i="59" s="1"/>
  <c r="AM8" i="59" s="1"/>
  <c r="AM11" i="59" s="1"/>
  <c r="AN136" i="59"/>
  <c r="AM141" i="59"/>
  <c r="AK8" i="59"/>
  <c r="U12" i="59"/>
  <c r="BJ122" i="59"/>
  <c r="BK140" i="59"/>
  <c r="BK121" i="59" s="1"/>
  <c r="BK139" i="59"/>
  <c r="BY257" i="69" l="1"/>
  <c r="BY7" i="69"/>
  <c r="BL140" i="59"/>
  <c r="BL121" i="59" s="1"/>
  <c r="BL139" i="59"/>
  <c r="BK122" i="59"/>
  <c r="U13" i="59"/>
  <c r="AK11" i="59"/>
  <c r="AN141" i="59"/>
  <c r="AN137" i="59"/>
  <c r="AN124" i="59" s="1"/>
  <c r="AN130" i="59" s="1"/>
  <c r="AO136" i="59"/>
  <c r="BY9" i="69" l="1"/>
  <c r="BY10" i="69"/>
  <c r="BY12" i="69" s="1"/>
  <c r="BY13" i="69" s="1"/>
  <c r="AO141" i="59"/>
  <c r="AO137" i="59"/>
  <c r="AO124" i="59" s="1"/>
  <c r="AO130" i="59" s="1"/>
  <c r="AO8" i="59" s="1"/>
  <c r="AO11" i="59" s="1"/>
  <c r="AP136" i="59"/>
  <c r="V133" i="59"/>
  <c r="V134" i="59" s="1"/>
  <c r="BM140" i="59"/>
  <c r="BM121" i="59" s="1"/>
  <c r="BM139" i="59"/>
  <c r="BL122" i="59"/>
  <c r="AN8" i="59"/>
  <c r="BZ259" i="69" l="1"/>
  <c r="BZ260" i="69" s="1"/>
  <c r="BZ246" i="69" s="1"/>
  <c r="AN11" i="59"/>
  <c r="BN140" i="59"/>
  <c r="BN121" i="59" s="1"/>
  <c r="BN139" i="59"/>
  <c r="BM122" i="59"/>
  <c r="V142" i="59"/>
  <c r="V123" i="59"/>
  <c r="AP137" i="59"/>
  <c r="AP124" i="59" s="1"/>
  <c r="AP130" i="59" s="1"/>
  <c r="AP8" i="59" s="1"/>
  <c r="AP11" i="59" s="1"/>
  <c r="AQ136" i="59"/>
  <c r="AP141" i="59"/>
  <c r="BZ248" i="69" l="1"/>
  <c r="BZ255" i="69"/>
  <c r="AQ137" i="59"/>
  <c r="AQ124" i="59" s="1"/>
  <c r="AQ130" i="59" s="1"/>
  <c r="AQ8" i="59" s="1"/>
  <c r="AQ11" i="59" s="1"/>
  <c r="AR136" i="59"/>
  <c r="AQ141" i="59"/>
  <c r="V125" i="59"/>
  <c r="V129" i="59"/>
  <c r="BO140" i="59"/>
  <c r="BO121" i="59" s="1"/>
  <c r="BO139" i="59"/>
  <c r="BN122" i="59"/>
  <c r="BZ257" i="69" l="1"/>
  <c r="BZ7" i="69"/>
  <c r="BP140" i="59"/>
  <c r="BP121" i="59" s="1"/>
  <c r="BP139" i="59"/>
  <c r="BO122" i="59"/>
  <c r="V131" i="59"/>
  <c r="V7" i="59"/>
  <c r="AR137" i="59"/>
  <c r="AR124" i="59" s="1"/>
  <c r="AR141" i="59"/>
  <c r="AS136" i="59"/>
  <c r="BZ9" i="69" l="1"/>
  <c r="BZ10" i="69"/>
  <c r="BZ12" i="69" s="1"/>
  <c r="BZ13" i="69" s="1"/>
  <c r="AR130" i="59"/>
  <c r="AS124" i="59"/>
  <c r="V9" i="59"/>
  <c r="V10" i="59"/>
  <c r="BQ140" i="59"/>
  <c r="BQ121" i="59" s="1"/>
  <c r="BQ139" i="59"/>
  <c r="AT136" i="59"/>
  <c r="AS141" i="59"/>
  <c r="BP122" i="59"/>
  <c r="CA259" i="69" l="1"/>
  <c r="CA260" i="69" s="1"/>
  <c r="CA246" i="69" s="1"/>
  <c r="BQ122" i="59"/>
  <c r="AU136" i="59"/>
  <c r="AT141" i="59"/>
  <c r="AT137" i="59"/>
  <c r="AT124" i="59" s="1"/>
  <c r="V12" i="59"/>
  <c r="BR139" i="59"/>
  <c r="BS139" i="59" s="1"/>
  <c r="BR140" i="59"/>
  <c r="BR121" i="59" s="1"/>
  <c r="AR8" i="59"/>
  <c r="AS130" i="59"/>
  <c r="CA248" i="69" l="1"/>
  <c r="CA255" i="69"/>
  <c r="BR122" i="59"/>
  <c r="BS122" i="59" s="1"/>
  <c r="BS121" i="59"/>
  <c r="V13" i="59"/>
  <c r="AR11" i="59"/>
  <c r="AS11" i="59" s="1"/>
  <c r="AS8" i="59"/>
  <c r="AT130" i="59"/>
  <c r="AV136" i="59"/>
  <c r="AU141" i="59"/>
  <c r="AU137" i="59"/>
  <c r="AU124" i="59" s="1"/>
  <c r="AU130" i="59" s="1"/>
  <c r="AU8" i="59" s="1"/>
  <c r="AU11" i="59" s="1"/>
  <c r="BT140" i="59"/>
  <c r="BT121" i="59" s="1"/>
  <c r="BT139" i="59"/>
  <c r="CA257" i="69" l="1"/>
  <c r="CA7" i="69"/>
  <c r="W133" i="59"/>
  <c r="W134" i="59" s="1"/>
  <c r="BT122" i="59"/>
  <c r="AT8" i="59"/>
  <c r="BU122" i="59"/>
  <c r="AW136" i="59"/>
  <c r="AV137" i="59"/>
  <c r="AV124" i="59" s="1"/>
  <c r="AV130" i="59" s="1"/>
  <c r="AV8" i="59" s="1"/>
  <c r="AV11" i="59" s="1"/>
  <c r="AV141" i="59"/>
  <c r="BU121" i="59"/>
  <c r="CA9" i="69" l="1"/>
  <c r="CA10" i="69"/>
  <c r="CA12" i="69" s="1"/>
  <c r="CA13" i="69" s="1"/>
  <c r="AT11" i="59"/>
  <c r="AX136" i="59"/>
  <c r="AW137" i="59"/>
  <c r="AW124" i="59" s="1"/>
  <c r="AW141" i="59"/>
  <c r="W123" i="59"/>
  <c r="W142" i="59"/>
  <c r="E121" i="59"/>
  <c r="BX121" i="59"/>
  <c r="CB259" i="69" l="1"/>
  <c r="CB260" i="69" s="1"/>
  <c r="CB246" i="69" s="1"/>
  <c r="AW130" i="59"/>
  <c r="BV121" i="59"/>
  <c r="BW121" i="59" s="1"/>
  <c r="E122" i="59"/>
  <c r="BV122" i="59" s="1"/>
  <c r="BW122" i="59" s="1"/>
  <c r="W125" i="59"/>
  <c r="W129" i="59"/>
  <c r="AX137" i="59"/>
  <c r="AX124" i="59" s="1"/>
  <c r="AX130" i="59" s="1"/>
  <c r="AX8" i="59" s="1"/>
  <c r="AX11" i="59" s="1"/>
  <c r="AX141" i="59"/>
  <c r="AY136" i="59"/>
  <c r="CB248" i="69" l="1"/>
  <c r="CB255" i="69"/>
  <c r="CC272" i="69"/>
  <c r="W131" i="59"/>
  <c r="W7" i="59"/>
  <c r="AY137" i="59"/>
  <c r="AY124" i="59" s="1"/>
  <c r="AY130" i="59" s="1"/>
  <c r="AY8" i="59" s="1"/>
  <c r="AY11" i="59" s="1"/>
  <c r="AY141" i="59"/>
  <c r="AZ136" i="59"/>
  <c r="AW8" i="59"/>
  <c r="CB257" i="69" l="1"/>
  <c r="CB7" i="69"/>
  <c r="AZ141" i="59"/>
  <c r="BA136" i="59"/>
  <c r="AZ137" i="59"/>
  <c r="AZ124" i="59" s="1"/>
  <c r="AZ130" i="59" s="1"/>
  <c r="AW11" i="59"/>
  <c r="W9" i="59"/>
  <c r="W10" i="59"/>
  <c r="CB9" i="69" l="1"/>
  <c r="CB10" i="69"/>
  <c r="CB12" i="69" s="1"/>
  <c r="CB13" i="69" s="1"/>
  <c r="W12" i="59"/>
  <c r="AZ8" i="59"/>
  <c r="BB136" i="59"/>
  <c r="BA141" i="59"/>
  <c r="BA137" i="59"/>
  <c r="BA124" i="59" s="1"/>
  <c r="BA130" i="59" s="1"/>
  <c r="BA8" i="59" s="1"/>
  <c r="BA11" i="59" s="1"/>
  <c r="CC259" i="69" l="1"/>
  <c r="CC260" i="69" s="1"/>
  <c r="CC246" i="69" s="1"/>
  <c r="AZ11" i="59"/>
  <c r="BC136" i="59"/>
  <c r="BB141" i="59"/>
  <c r="BB137" i="59"/>
  <c r="BB124" i="59" s="1"/>
  <c r="BB130" i="59" s="1"/>
  <c r="BB8" i="59" s="1"/>
  <c r="BB11" i="59" s="1"/>
  <c r="W13" i="59"/>
  <c r="CC248" i="69" l="1"/>
  <c r="CC255" i="69"/>
  <c r="X133" i="59"/>
  <c r="X134" i="59" s="1"/>
  <c r="BC137" i="59"/>
  <c r="BC124" i="59" s="1"/>
  <c r="BC130" i="59" s="1"/>
  <c r="BC8" i="59" s="1"/>
  <c r="BC11" i="59" s="1"/>
  <c r="BD136" i="59"/>
  <c r="BC141" i="59"/>
  <c r="CC7" i="69" l="1"/>
  <c r="CC257" i="69"/>
  <c r="BD141" i="59"/>
  <c r="BD137" i="59"/>
  <c r="BD124" i="59" s="1"/>
  <c r="BD130" i="59" s="1"/>
  <c r="BD8" i="59" s="1"/>
  <c r="BD11" i="59" s="1"/>
  <c r="BE136" i="59"/>
  <c r="X123" i="59"/>
  <c r="X142" i="59"/>
  <c r="CC9" i="69" l="1"/>
  <c r="CC10" i="69"/>
  <c r="CC12" i="69" s="1"/>
  <c r="CC13" i="69" s="1"/>
  <c r="X125" i="59"/>
  <c r="X129" i="59"/>
  <c r="BE141" i="59"/>
  <c r="BF136" i="59"/>
  <c r="BE137" i="59"/>
  <c r="BE124" i="59" s="1"/>
  <c r="CD259" i="69" l="1"/>
  <c r="CD260" i="69" s="1"/>
  <c r="CD246" i="69" s="1"/>
  <c r="BE130" i="59"/>
  <c r="BF124" i="59"/>
  <c r="BF141" i="59"/>
  <c r="BG136" i="59"/>
  <c r="X131" i="59"/>
  <c r="X7" i="59"/>
  <c r="CD248" i="69" l="1"/>
  <c r="CD255" i="69"/>
  <c r="X9" i="59"/>
  <c r="X10" i="59"/>
  <c r="BG141" i="59"/>
  <c r="BG137" i="59"/>
  <c r="BG124" i="59" s="1"/>
  <c r="BH136" i="59"/>
  <c r="BE8" i="59"/>
  <c r="BF130" i="59"/>
  <c r="CD7" i="69" l="1"/>
  <c r="CD257" i="69"/>
  <c r="BE11" i="59"/>
  <c r="BF11" i="59" s="1"/>
  <c r="BF8" i="59"/>
  <c r="BH137" i="59"/>
  <c r="BH124" i="59" s="1"/>
  <c r="BH130" i="59" s="1"/>
  <c r="BH8" i="59" s="1"/>
  <c r="BH11" i="59" s="1"/>
  <c r="BH141" i="59"/>
  <c r="BI136" i="59"/>
  <c r="BG130" i="59"/>
  <c r="X12" i="59"/>
  <c r="CD9" i="69" l="1"/>
  <c r="CD10" i="69"/>
  <c r="CD12" i="69" s="1"/>
  <c r="CD13" i="69" s="1"/>
  <c r="BG8" i="59"/>
  <c r="BI141" i="59"/>
  <c r="BI137" i="59"/>
  <c r="BI124" i="59" s="1"/>
  <c r="BJ136" i="59"/>
  <c r="X13" i="59"/>
  <c r="CE259" i="69" l="1"/>
  <c r="CE260" i="69" s="1"/>
  <c r="CE246" i="69" s="1"/>
  <c r="BK136" i="59"/>
  <c r="BJ137" i="59"/>
  <c r="BJ124" i="59" s="1"/>
  <c r="BJ130" i="59" s="1"/>
  <c r="BJ8" i="59" s="1"/>
  <c r="BJ11" i="59" s="1"/>
  <c r="BJ141" i="59"/>
  <c r="BI130" i="59"/>
  <c r="Y133" i="59"/>
  <c r="Y134" i="59" s="1"/>
  <c r="BG11" i="59"/>
  <c r="CE248" i="69" l="1"/>
  <c r="CF248" i="69" s="1"/>
  <c r="CE255" i="69"/>
  <c r="CF273" i="69"/>
  <c r="CF246" i="69"/>
  <c r="CF272" i="69"/>
  <c r="BI8" i="59"/>
  <c r="Y123" i="59"/>
  <c r="Y142" i="59"/>
  <c r="BL136" i="59"/>
  <c r="BK137" i="59"/>
  <c r="BK124" i="59" s="1"/>
  <c r="BK141" i="59"/>
  <c r="CE7" i="69" l="1"/>
  <c r="CE257" i="69"/>
  <c r="CF257" i="69" s="1"/>
  <c r="CF255" i="69"/>
  <c r="BM136" i="59"/>
  <c r="BL137" i="59"/>
  <c r="BL124" i="59" s="1"/>
  <c r="BL130" i="59" s="1"/>
  <c r="BL8" i="59" s="1"/>
  <c r="BL11" i="59" s="1"/>
  <c r="BL141" i="59"/>
  <c r="BK130" i="59"/>
  <c r="Y125" i="59"/>
  <c r="Y129" i="59"/>
  <c r="BI11" i="59"/>
  <c r="CE9" i="69" l="1"/>
  <c r="CF9" i="69" s="1"/>
  <c r="CE10" i="69"/>
  <c r="CF7" i="69"/>
  <c r="Y131" i="59"/>
  <c r="Y7" i="59"/>
  <c r="BK8" i="59"/>
  <c r="BN136" i="59"/>
  <c r="BM141" i="59"/>
  <c r="BM137" i="59"/>
  <c r="BM124" i="59" s="1"/>
  <c r="CE12" i="69" l="1"/>
  <c r="CF10" i="69"/>
  <c r="BM130" i="59"/>
  <c r="BK11" i="59"/>
  <c r="BN141" i="59"/>
  <c r="BN137" i="59"/>
  <c r="BN124" i="59" s="1"/>
  <c r="BN130" i="59" s="1"/>
  <c r="BN8" i="59" s="1"/>
  <c r="BN11" i="59" s="1"/>
  <c r="BO136" i="59"/>
  <c r="Y9" i="59"/>
  <c r="Y10" i="59"/>
  <c r="Y12" i="59" s="1"/>
  <c r="Y13" i="59" s="1"/>
  <c r="CF12" i="69" l="1"/>
  <c r="CE13" i="69"/>
  <c r="Z133" i="59"/>
  <c r="Z134" i="59" s="1"/>
  <c r="BO141" i="59"/>
  <c r="BO137" i="59"/>
  <c r="BO124" i="59" s="1"/>
  <c r="BO130" i="59" s="1"/>
  <c r="BO8" i="59" s="1"/>
  <c r="BO11" i="59" s="1"/>
  <c r="BP136" i="59"/>
  <c r="BM8" i="59"/>
  <c r="CF259" i="69" l="1"/>
  <c r="CF13" i="69"/>
  <c r="BM11" i="59"/>
  <c r="BP141" i="59"/>
  <c r="BP137" i="59"/>
  <c r="BP124" i="59" s="1"/>
  <c r="BP130" i="59" s="1"/>
  <c r="BP8" i="59" s="1"/>
  <c r="BP11" i="59" s="1"/>
  <c r="BQ136" i="59"/>
  <c r="Z123" i="59"/>
  <c r="Z142" i="59"/>
  <c r="CG259" i="69" l="1"/>
  <c r="CG260" i="69" s="1"/>
  <c r="CG246" i="69" s="1"/>
  <c r="Z125" i="59"/>
  <c r="Z129" i="59"/>
  <c r="BR136" i="59"/>
  <c r="BQ137" i="59"/>
  <c r="BQ124" i="59" s="1"/>
  <c r="BQ130" i="59" s="1"/>
  <c r="BQ8" i="59" s="1"/>
  <c r="BQ11" i="59" s="1"/>
  <c r="BQ141" i="59"/>
  <c r="CG248" i="69" l="1"/>
  <c r="CG255" i="69"/>
  <c r="BS136" i="59"/>
  <c r="BR137" i="59"/>
  <c r="BR124" i="59" s="1"/>
  <c r="BR141" i="59"/>
  <c r="Z131" i="59"/>
  <c r="Z7" i="59"/>
  <c r="CG257" i="69" l="1"/>
  <c r="CG7" i="69"/>
  <c r="Z9" i="59"/>
  <c r="Z10" i="59"/>
  <c r="Z12" i="59" s="1"/>
  <c r="Z13" i="59" s="1"/>
  <c r="BR130" i="59"/>
  <c r="BS124" i="59"/>
  <c r="BT136" i="59"/>
  <c r="BS141" i="59"/>
  <c r="CG9" i="69" l="1"/>
  <c r="CG10" i="69"/>
  <c r="BT141" i="59"/>
  <c r="BT137" i="59"/>
  <c r="BT124" i="59" s="1"/>
  <c r="BT130" i="59" s="1"/>
  <c r="BT8" i="59" s="1"/>
  <c r="BT11" i="59" s="1"/>
  <c r="AA133" i="59"/>
  <c r="AA134" i="59" s="1"/>
  <c r="BU124" i="59"/>
  <c r="BR8" i="59"/>
  <c r="BS130" i="59"/>
  <c r="BU130" i="59" s="1"/>
  <c r="CG12" i="69" l="1"/>
  <c r="BR11" i="59"/>
  <c r="BS11" i="59" s="1"/>
  <c r="BU11" i="59" s="1"/>
  <c r="BS8" i="59"/>
  <c r="BU8" i="59" s="1"/>
  <c r="AA123" i="59"/>
  <c r="AA142" i="59"/>
  <c r="E124" i="59"/>
  <c r="CG13" i="69" l="1"/>
  <c r="BV124" i="59"/>
  <c r="BW124" i="59" s="1"/>
  <c r="E130" i="59"/>
  <c r="AA125" i="59"/>
  <c r="AA129" i="59"/>
  <c r="CH259" i="69" l="1"/>
  <c r="CH260" i="69" s="1"/>
  <c r="CH246" i="69" s="1"/>
  <c r="AA131" i="59"/>
  <c r="AA7" i="59"/>
  <c r="BV130" i="59"/>
  <c r="BW130" i="59" s="1"/>
  <c r="E8" i="59"/>
  <c r="CH248" i="69" l="1"/>
  <c r="CH255" i="69"/>
  <c r="BV8" i="59"/>
  <c r="BW8" i="59" s="1"/>
  <c r="E11" i="59"/>
  <c r="BV11" i="59" s="1"/>
  <c r="BW11" i="59" s="1"/>
  <c r="AA9" i="59"/>
  <c r="AA10" i="59"/>
  <c r="AA12" i="59" s="1"/>
  <c r="AA13" i="59" s="1"/>
  <c r="CH257" i="69" l="1"/>
  <c r="CH7" i="69"/>
  <c r="AB133" i="59"/>
  <c r="AB134" i="59" s="1"/>
  <c r="CH9" i="69" l="1"/>
  <c r="CH10" i="69"/>
  <c r="AB123" i="59"/>
  <c r="AB142" i="59"/>
  <c r="CH12" i="69" l="1"/>
  <c r="AB125" i="59"/>
  <c r="AB129" i="59"/>
  <c r="CH13" i="69" l="1"/>
  <c r="AB131" i="59"/>
  <c r="AB7" i="59"/>
  <c r="CI259" i="69" l="1"/>
  <c r="CI260" i="69" s="1"/>
  <c r="CI246" i="69" s="1"/>
  <c r="AB10" i="59"/>
  <c r="AB12" i="59" s="1"/>
  <c r="AB13" i="59" s="1"/>
  <c r="AB9" i="59"/>
  <c r="CI248" i="69" l="1"/>
  <c r="CI255" i="69"/>
  <c r="CJ272" i="69"/>
  <c r="AC133" i="59"/>
  <c r="AC134" i="59" s="1"/>
  <c r="CI257" i="69" l="1"/>
  <c r="CI7" i="69"/>
  <c r="AC123" i="59"/>
  <c r="AC142" i="59"/>
  <c r="CI9" i="69" l="1"/>
  <c r="CI10" i="69"/>
  <c r="AC125" i="59"/>
  <c r="AC129" i="59"/>
  <c r="CI12" i="69" l="1"/>
  <c r="AC131" i="59"/>
  <c r="AC7" i="59"/>
  <c r="CI13" i="69" l="1"/>
  <c r="AC9" i="59"/>
  <c r="AC10" i="59"/>
  <c r="AC12" i="59" s="1"/>
  <c r="AC13" i="59" s="1"/>
  <c r="CJ259" i="69" l="1"/>
  <c r="CJ260" i="69" s="1"/>
  <c r="CJ246" i="69" s="1"/>
  <c r="AD133" i="59"/>
  <c r="AD134" i="59" s="1"/>
  <c r="CJ248" i="69" l="1"/>
  <c r="CJ255" i="69"/>
  <c r="AD123" i="59"/>
  <c r="AD142" i="59"/>
  <c r="CJ257" i="69" l="1"/>
  <c r="CJ7" i="69"/>
  <c r="AD125" i="59"/>
  <c r="AD129" i="59"/>
  <c r="CJ9" i="69" l="1"/>
  <c r="CJ10" i="69"/>
  <c r="AD131" i="59"/>
  <c r="AD7" i="59"/>
  <c r="CJ12" i="69" l="1"/>
  <c r="AD9" i="59"/>
  <c r="AD10" i="59"/>
  <c r="AD12" i="59" s="1"/>
  <c r="AD13" i="59" s="1"/>
  <c r="CJ13" i="69" l="1"/>
  <c r="AE133" i="59"/>
  <c r="AE134" i="59" s="1"/>
  <c r="CK259" i="69" l="1"/>
  <c r="CK260" i="69" s="1"/>
  <c r="CK246" i="69" s="1"/>
  <c r="AE142" i="59"/>
  <c r="AE123" i="59"/>
  <c r="CK248" i="69" l="1"/>
  <c r="CK255" i="69"/>
  <c r="AE125" i="59"/>
  <c r="AF125" i="59" s="1"/>
  <c r="AE129" i="59"/>
  <c r="AF123" i="59"/>
  <c r="CK257" i="69" l="1"/>
  <c r="CK7" i="69"/>
  <c r="AE131" i="59"/>
  <c r="AF131" i="59" s="1"/>
  <c r="AE7" i="59"/>
  <c r="AF129" i="59"/>
  <c r="CK9" i="69" l="1"/>
  <c r="CK10" i="69"/>
  <c r="AE9" i="59"/>
  <c r="AF9" i="59" s="1"/>
  <c r="AE10" i="59"/>
  <c r="AF7" i="59"/>
  <c r="CK12" i="69" l="1"/>
  <c r="AE12" i="59"/>
  <c r="AF10" i="59"/>
  <c r="CK13" i="69" l="1"/>
  <c r="AF12" i="59"/>
  <c r="AE13" i="59"/>
  <c r="CL259" i="69" l="1"/>
  <c r="CL260" i="69" s="1"/>
  <c r="CL246" i="69" s="1"/>
  <c r="AF133" i="59"/>
  <c r="AF134" i="59" s="1"/>
  <c r="AF142" i="59" s="1"/>
  <c r="AF13" i="59"/>
  <c r="CL248" i="69" l="1"/>
  <c r="CL255" i="69"/>
  <c r="CM272" i="69"/>
  <c r="AG133" i="59"/>
  <c r="AG134" i="59" s="1"/>
  <c r="CL257" i="69" l="1"/>
  <c r="CL7" i="69"/>
  <c r="AG142" i="59"/>
  <c r="AG123" i="59"/>
  <c r="CL9" i="69" l="1"/>
  <c r="CL10" i="69"/>
  <c r="CL12" i="69" s="1"/>
  <c r="CL13" i="69" s="1"/>
  <c r="AG125" i="59"/>
  <c r="AG129" i="59"/>
  <c r="CM259" i="69" l="1"/>
  <c r="CM260" i="69" s="1"/>
  <c r="CM246" i="69" s="1"/>
  <c r="AG131" i="59"/>
  <c r="AG7" i="59"/>
  <c r="CM248" i="69" l="1"/>
  <c r="CM255" i="69"/>
  <c r="AG9" i="59"/>
  <c r="AG10" i="59"/>
  <c r="CM257" i="69" l="1"/>
  <c r="CM7" i="69"/>
  <c r="AG12" i="59"/>
  <c r="CM9" i="69" l="1"/>
  <c r="CM10" i="69"/>
  <c r="CM12" i="69" s="1"/>
  <c r="CM13" i="69" s="1"/>
  <c r="AG13" i="59"/>
  <c r="CN259" i="69" l="1"/>
  <c r="CN260" i="69" s="1"/>
  <c r="CN246" i="69" s="1"/>
  <c r="AH133" i="59"/>
  <c r="AH134" i="59" s="1"/>
  <c r="CN248" i="69" l="1"/>
  <c r="CN255" i="69"/>
  <c r="AH142" i="59"/>
  <c r="AH123" i="59"/>
  <c r="CN257" i="69" l="1"/>
  <c r="CN7" i="69"/>
  <c r="AH125" i="59"/>
  <c r="AH129" i="59"/>
  <c r="CN9" i="69" l="1"/>
  <c r="CN10" i="69"/>
  <c r="CN12" i="69" s="1"/>
  <c r="CN13" i="69" s="1"/>
  <c r="AH131" i="59"/>
  <c r="AH7" i="59"/>
  <c r="CO259" i="69" l="1"/>
  <c r="CO260" i="69" s="1"/>
  <c r="CO246" i="69" s="1"/>
  <c r="AH9" i="59"/>
  <c r="AH10" i="59"/>
  <c r="CO248" i="69" l="1"/>
  <c r="CO255" i="69"/>
  <c r="CP272" i="69"/>
  <c r="AH12" i="59"/>
  <c r="CO257" i="69" l="1"/>
  <c r="CO7" i="69"/>
  <c r="AH13" i="59"/>
  <c r="CO9" i="69" l="1"/>
  <c r="CO10" i="69"/>
  <c r="CO12" i="69" s="1"/>
  <c r="CO13" i="69" s="1"/>
  <c r="AI133" i="59"/>
  <c r="AI134" i="59" s="1"/>
  <c r="CP259" i="69" l="1"/>
  <c r="CP260" i="69" s="1"/>
  <c r="CP246" i="69" s="1"/>
  <c r="AI142" i="59"/>
  <c r="AI123" i="59"/>
  <c r="CP248" i="69" l="1"/>
  <c r="CP255" i="69"/>
  <c r="AI125" i="59"/>
  <c r="AI129" i="59"/>
  <c r="CP257" i="69" l="1"/>
  <c r="CP7" i="69"/>
  <c r="AI131" i="59"/>
  <c r="AI7" i="59"/>
  <c r="CP9" i="69" l="1"/>
  <c r="CP10" i="69"/>
  <c r="CP12" i="69" s="1"/>
  <c r="CP13" i="69" s="1"/>
  <c r="AI9" i="59"/>
  <c r="AI10" i="59"/>
  <c r="CQ259" i="69" l="1"/>
  <c r="CQ260" i="69" s="1"/>
  <c r="CQ246" i="69" s="1"/>
  <c r="AI12" i="59"/>
  <c r="CQ248" i="69" l="1"/>
  <c r="CQ255" i="69"/>
  <c r="AI13" i="59"/>
  <c r="CQ257" i="69" l="1"/>
  <c r="CQ7" i="69"/>
  <c r="AJ133" i="59"/>
  <c r="AJ134" i="59" s="1"/>
  <c r="CQ9" i="69" l="1"/>
  <c r="CQ10" i="69"/>
  <c r="CQ12" i="69" s="1"/>
  <c r="CQ13" i="69" s="1"/>
  <c r="AJ142" i="59"/>
  <c r="AJ123" i="59"/>
  <c r="CR259" i="69" l="1"/>
  <c r="CR260" i="69" s="1"/>
  <c r="CR246" i="69" s="1"/>
  <c r="AJ125" i="59"/>
  <c r="AJ129" i="59"/>
  <c r="CR248" i="69" l="1"/>
  <c r="CS248" i="69" s="1"/>
  <c r="CR255" i="69"/>
  <c r="CS273" i="69"/>
  <c r="CS274" i="69" s="1"/>
  <c r="CS246" i="69"/>
  <c r="CS272" i="69"/>
  <c r="CU272" i="69" s="1"/>
  <c r="AJ131" i="59"/>
  <c r="AJ7" i="59"/>
  <c r="CR257" i="69" l="1"/>
  <c r="CS257" i="69" s="1"/>
  <c r="CR7" i="69"/>
  <c r="CS255" i="69"/>
  <c r="AJ9" i="59"/>
  <c r="AJ10" i="59"/>
  <c r="CR9" i="69" l="1"/>
  <c r="CS9" i="69" s="1"/>
  <c r="CR10" i="69"/>
  <c r="CS7" i="69"/>
  <c r="AJ12" i="59"/>
  <c r="CR12" i="69" l="1"/>
  <c r="CS10" i="69"/>
  <c r="AJ13" i="59"/>
  <c r="CS12" i="69" l="1"/>
  <c r="CR13" i="69"/>
  <c r="AK133" i="59"/>
  <c r="AK134" i="59" s="1"/>
  <c r="CS259" i="69" l="1"/>
  <c r="CS13" i="69"/>
  <c r="AK142" i="59"/>
  <c r="AK123" i="59"/>
  <c r="CT259" i="69" l="1"/>
  <c r="CT260" i="69" s="1"/>
  <c r="CT246" i="69" s="1"/>
  <c r="AK125" i="59"/>
  <c r="AK129" i="59"/>
  <c r="CT248" i="69" l="1"/>
  <c r="CT255" i="69"/>
  <c r="AK131" i="59"/>
  <c r="AK7" i="59"/>
  <c r="CT257" i="69" l="1"/>
  <c r="CT7" i="69"/>
  <c r="AK9" i="59"/>
  <c r="AK10" i="59"/>
  <c r="CT9" i="69" l="1"/>
  <c r="CT10" i="69"/>
  <c r="AK12" i="59"/>
  <c r="CT12" i="69" l="1"/>
  <c r="AK13" i="59"/>
  <c r="CT13" i="69" l="1"/>
  <c r="AL133" i="59"/>
  <c r="AL134" i="59" s="1"/>
  <c r="CU259" i="69" l="1"/>
  <c r="CU260" i="69" s="1"/>
  <c r="CU246" i="69" s="1"/>
  <c r="AL142" i="59"/>
  <c r="AL123" i="59"/>
  <c r="CU248" i="69" l="1"/>
  <c r="CU255" i="69"/>
  <c r="AL125" i="59"/>
  <c r="AL129" i="59"/>
  <c r="CU257" i="69" l="1"/>
  <c r="CU7" i="69"/>
  <c r="AL131" i="59"/>
  <c r="AL7" i="59"/>
  <c r="CU9" i="69" l="1"/>
  <c r="CU10" i="69"/>
  <c r="AL9" i="59"/>
  <c r="AL10" i="59"/>
  <c r="AL12" i="59" s="1"/>
  <c r="AL13" i="59" s="1"/>
  <c r="CU12" i="69" l="1"/>
  <c r="AM133" i="59"/>
  <c r="AM134" i="59" s="1"/>
  <c r="CU13" i="69" l="1"/>
  <c r="AM123" i="59"/>
  <c r="AM142" i="59"/>
  <c r="CV259" i="69" l="1"/>
  <c r="CV260" i="69" s="1"/>
  <c r="CV246" i="69" s="1"/>
  <c r="AM125" i="59"/>
  <c r="AM129" i="59"/>
  <c r="CV248" i="69" l="1"/>
  <c r="CV255" i="69"/>
  <c r="CW272" i="69"/>
  <c r="AM131" i="59"/>
  <c r="AM7" i="59"/>
  <c r="CV257" i="69" l="1"/>
  <c r="CV7" i="69"/>
  <c r="AM9" i="59"/>
  <c r="AM10" i="59"/>
  <c r="AM12" i="59" s="1"/>
  <c r="AM13" i="59" s="1"/>
  <c r="CV9" i="69" l="1"/>
  <c r="CV10" i="69"/>
  <c r="AN133" i="59"/>
  <c r="AN134" i="59" s="1"/>
  <c r="CV12" i="69" l="1"/>
  <c r="AN123" i="59"/>
  <c r="AN142" i="59"/>
  <c r="CV13" i="69" l="1"/>
  <c r="AN125" i="59"/>
  <c r="AN129" i="59"/>
  <c r="CW259" i="69" l="1"/>
  <c r="CW260" i="69" s="1"/>
  <c r="CW246" i="69" s="1"/>
  <c r="AN131" i="59"/>
  <c r="AN7" i="59"/>
  <c r="CW248" i="69" l="1"/>
  <c r="CW255" i="69"/>
  <c r="AN9" i="59"/>
  <c r="AN10" i="59"/>
  <c r="AN12" i="59" s="1"/>
  <c r="AN13" i="59" s="1"/>
  <c r="CW257" i="69" l="1"/>
  <c r="CW7" i="69"/>
  <c r="AO133" i="59"/>
  <c r="AO134" i="59" s="1"/>
  <c r="CW9" i="69" l="1"/>
  <c r="CW10" i="69"/>
  <c r="AO123" i="59"/>
  <c r="AO142" i="59"/>
  <c r="CW12" i="69" l="1"/>
  <c r="AO125" i="59"/>
  <c r="AO129" i="59"/>
  <c r="CW13" i="69" l="1"/>
  <c r="AO131" i="59"/>
  <c r="AO7" i="59"/>
  <c r="CX259" i="69" l="1"/>
  <c r="CX260" i="69" s="1"/>
  <c r="CX246" i="69" s="1"/>
  <c r="AO9" i="59"/>
  <c r="AO10" i="59"/>
  <c r="AO12" i="59" s="1"/>
  <c r="AO13" i="59" s="1"/>
  <c r="CX248" i="69" l="1"/>
  <c r="CX255" i="69"/>
  <c r="AP133" i="59"/>
  <c r="AP134" i="59" s="1"/>
  <c r="CX257" i="69" l="1"/>
  <c r="CX7" i="69"/>
  <c r="AP142" i="59"/>
  <c r="AP123" i="59"/>
  <c r="CX9" i="69" l="1"/>
  <c r="CX10" i="69"/>
  <c r="AP125" i="59"/>
  <c r="AP129" i="59"/>
  <c r="CX12" i="69" l="1"/>
  <c r="AP131" i="59"/>
  <c r="AP7" i="59"/>
  <c r="CX13" i="69" l="1"/>
  <c r="AP9" i="59"/>
  <c r="AP10" i="59"/>
  <c r="AP12" i="59" s="1"/>
  <c r="AP13" i="59" s="1"/>
  <c r="CY259" i="69" l="1"/>
  <c r="CY260" i="69" s="1"/>
  <c r="CY246" i="69" s="1"/>
  <c r="AQ133" i="59"/>
  <c r="AQ134" i="59" s="1"/>
  <c r="CY248" i="69" l="1"/>
  <c r="CY255" i="69"/>
  <c r="CZ272" i="69"/>
  <c r="AQ142" i="59"/>
  <c r="AQ123" i="59"/>
  <c r="CY257" i="69" l="1"/>
  <c r="CY7" i="69"/>
  <c r="AQ125" i="59"/>
  <c r="AQ129" i="59"/>
  <c r="CY9" i="69" l="1"/>
  <c r="CY10" i="69"/>
  <c r="CY12" i="69" s="1"/>
  <c r="CY13" i="69" s="1"/>
  <c r="AQ131" i="59"/>
  <c r="AQ7" i="59"/>
  <c r="CZ259" i="69" l="1"/>
  <c r="CZ260" i="69" s="1"/>
  <c r="CZ246" i="69" s="1"/>
  <c r="AQ9" i="59"/>
  <c r="AQ10" i="59"/>
  <c r="AQ12" i="59" s="1"/>
  <c r="AQ13" i="59" s="1"/>
  <c r="CZ248" i="69" l="1"/>
  <c r="CZ255" i="69"/>
  <c r="AR133" i="59"/>
  <c r="AR134" i="59" s="1"/>
  <c r="CZ257" i="69" l="1"/>
  <c r="CZ7" i="69"/>
  <c r="AR142" i="59"/>
  <c r="AR123" i="59"/>
  <c r="CZ9" i="69" l="1"/>
  <c r="CZ10" i="69"/>
  <c r="CZ12" i="69" s="1"/>
  <c r="CZ13" i="69" s="1"/>
  <c r="AR125" i="59"/>
  <c r="AS125" i="59" s="1"/>
  <c r="AR129" i="59"/>
  <c r="AS123" i="59"/>
  <c r="DA259" i="69" l="1"/>
  <c r="DA260" i="69" s="1"/>
  <c r="DA246" i="69" s="1"/>
  <c r="AR131" i="59"/>
  <c r="AS131" i="59" s="1"/>
  <c r="AR7" i="59"/>
  <c r="AS129" i="59"/>
  <c r="DA248" i="69" l="1"/>
  <c r="DA255" i="69"/>
  <c r="AR9" i="59"/>
  <c r="AS9" i="59" s="1"/>
  <c r="AR10" i="59"/>
  <c r="AS7" i="59"/>
  <c r="DA257" i="69" l="1"/>
  <c r="DA7" i="69"/>
  <c r="AR12" i="59"/>
  <c r="AS10" i="59"/>
  <c r="DA9" i="69" l="1"/>
  <c r="DA10" i="69"/>
  <c r="DA12" i="69" s="1"/>
  <c r="DA13" i="69" s="1"/>
  <c r="AS12" i="59"/>
  <c r="AR13" i="59"/>
  <c r="DB259" i="69" l="1"/>
  <c r="DB260" i="69" s="1"/>
  <c r="DB246" i="69" s="1"/>
  <c r="AS133" i="59"/>
  <c r="AS134" i="59" s="1"/>
  <c r="AS142" i="59" s="1"/>
  <c r="AS13" i="59"/>
  <c r="DB248" i="69" l="1"/>
  <c r="DB255" i="69"/>
  <c r="DC272" i="69"/>
  <c r="AT133" i="59"/>
  <c r="AT134" i="59" s="1"/>
  <c r="DB257" i="69" l="1"/>
  <c r="DB7" i="69"/>
  <c r="AT123" i="59"/>
  <c r="AT142" i="59"/>
  <c r="DB9" i="69" l="1"/>
  <c r="DB10" i="69"/>
  <c r="DB12" i="69" s="1"/>
  <c r="DB13" i="69" s="1"/>
  <c r="AT125" i="59"/>
  <c r="AT129" i="59"/>
  <c r="DC259" i="69" l="1"/>
  <c r="DC260" i="69" s="1"/>
  <c r="DC246" i="69" s="1"/>
  <c r="AT131" i="59"/>
  <c r="AT7" i="59"/>
  <c r="DC248" i="69" l="1"/>
  <c r="DC255" i="69"/>
  <c r="AT9" i="59"/>
  <c r="AT10" i="59"/>
  <c r="DC257" i="69" l="1"/>
  <c r="DC7" i="69"/>
  <c r="AT12" i="59"/>
  <c r="DC9" i="69" l="1"/>
  <c r="DC10" i="69"/>
  <c r="DC12" i="69" s="1"/>
  <c r="DC13" i="69" s="1"/>
  <c r="AT13" i="59"/>
  <c r="DD259" i="69" l="1"/>
  <c r="DD260" i="69" s="1"/>
  <c r="DD246" i="69" s="1"/>
  <c r="AU133" i="59"/>
  <c r="AU134" i="59" s="1"/>
  <c r="DD248" i="69" l="1"/>
  <c r="DD255" i="69"/>
  <c r="AU142" i="59"/>
  <c r="AU123" i="59"/>
  <c r="DD257" i="69" l="1"/>
  <c r="DD7" i="69"/>
  <c r="AU125" i="59"/>
  <c r="AU129" i="59"/>
  <c r="DD9" i="69" l="1"/>
  <c r="DD10" i="69"/>
  <c r="DD12" i="69" s="1"/>
  <c r="DD13" i="69" s="1"/>
  <c r="AU131" i="59"/>
  <c r="AU7" i="59"/>
  <c r="DE259" i="69" l="1"/>
  <c r="DE260" i="69" s="1"/>
  <c r="DE246" i="69" s="1"/>
  <c r="AU9" i="59"/>
  <c r="AU10" i="59"/>
  <c r="DE248" i="69" l="1"/>
  <c r="DF248" i="69" s="1"/>
  <c r="DE255" i="69"/>
  <c r="DF246" i="69"/>
  <c r="E246" i="69" s="1"/>
  <c r="DF272" i="69"/>
  <c r="AU12" i="59"/>
  <c r="DE257" i="69" l="1"/>
  <c r="DF257" i="69" s="1"/>
  <c r="DE7" i="69"/>
  <c r="DF255" i="69"/>
  <c r="E248" i="69"/>
  <c r="DI248" i="69" s="1"/>
  <c r="DJ248" i="69" s="1"/>
  <c r="DI246" i="69"/>
  <c r="DJ246" i="69" s="1"/>
  <c r="E255" i="69"/>
  <c r="AU13" i="59"/>
  <c r="DE9" i="69" l="1"/>
  <c r="DF9" i="69" s="1"/>
  <c r="DE10" i="69"/>
  <c r="DF7" i="69"/>
  <c r="E257" i="69"/>
  <c r="DI257" i="69" s="1"/>
  <c r="DJ257" i="69" s="1"/>
  <c r="DI255" i="69"/>
  <c r="DJ255" i="69" s="1"/>
  <c r="E7" i="69"/>
  <c r="AV133" i="59"/>
  <c r="AV134" i="59" s="1"/>
  <c r="DE12" i="69" l="1"/>
  <c r="DF10" i="69"/>
  <c r="E9" i="69"/>
  <c r="DI9" i="69" s="1"/>
  <c r="DJ9" i="69" s="1"/>
  <c r="DI7" i="69"/>
  <c r="DJ7" i="69" s="1"/>
  <c r="E10" i="69"/>
  <c r="AV142" i="59"/>
  <c r="AV123" i="59"/>
  <c r="DI10" i="69" l="1"/>
  <c r="DJ10" i="69" s="1"/>
  <c r="E12" i="69"/>
  <c r="DI12" i="69" s="1"/>
  <c r="DJ12" i="69" s="1"/>
  <c r="DF12" i="69"/>
  <c r="DE13" i="69"/>
  <c r="AV125" i="59"/>
  <c r="AV129" i="59"/>
  <c r="DF259" i="69" l="1"/>
  <c r="DF13" i="69"/>
  <c r="AV131" i="59"/>
  <c r="AV7" i="59"/>
  <c r="AV9" i="59" l="1"/>
  <c r="AV10" i="59"/>
  <c r="AV12" i="59" l="1"/>
  <c r="AV13" i="59" l="1"/>
  <c r="AW133" i="59" l="1"/>
  <c r="AW134" i="59" s="1"/>
  <c r="AW142" i="59" l="1"/>
  <c r="AW123" i="59"/>
  <c r="AW125" i="59" l="1"/>
  <c r="AW129" i="59"/>
  <c r="AW131" i="59" l="1"/>
  <c r="AW7" i="59"/>
  <c r="AW9" i="59" l="1"/>
  <c r="AW10" i="59"/>
  <c r="AW12" i="59" l="1"/>
  <c r="AW13" i="59" l="1"/>
  <c r="AX133" i="59" l="1"/>
  <c r="AX134" i="59" s="1"/>
  <c r="AX142" i="59" l="1"/>
  <c r="AX123" i="59"/>
  <c r="AX125" i="59" l="1"/>
  <c r="AX129" i="59"/>
  <c r="AX131" i="59" l="1"/>
  <c r="AX7" i="59"/>
  <c r="AX9" i="59" l="1"/>
  <c r="AX10" i="59"/>
  <c r="DG154" i="56"/>
  <c r="BR154" i="56"/>
  <c r="BQ154" i="56"/>
  <c r="BP154" i="56"/>
  <c r="BO154" i="56"/>
  <c r="BN154" i="56"/>
  <c r="BM154" i="56"/>
  <c r="BL154" i="56"/>
  <c r="BK154" i="56"/>
  <c r="BJ154" i="56"/>
  <c r="BI154" i="56"/>
  <c r="BH154" i="56"/>
  <c r="BG154" i="56"/>
  <c r="BE154" i="56"/>
  <c r="BD154" i="56"/>
  <c r="BC154" i="56"/>
  <c r="BB154" i="56"/>
  <c r="BA154" i="56"/>
  <c r="AZ154" i="56"/>
  <c r="AY154" i="56"/>
  <c r="AX154" i="56"/>
  <c r="AW154" i="56"/>
  <c r="AV154" i="56"/>
  <c r="AU154" i="56"/>
  <c r="AT154" i="56"/>
  <c r="AR154" i="56"/>
  <c r="AQ154" i="56"/>
  <c r="AP154" i="56"/>
  <c r="AO154" i="56"/>
  <c r="AN154" i="56"/>
  <c r="AM154" i="56"/>
  <c r="AL154" i="56"/>
  <c r="AK154" i="56"/>
  <c r="AJ154" i="56"/>
  <c r="AI154" i="56"/>
  <c r="AH154" i="56"/>
  <c r="AG154" i="56"/>
  <c r="AE154" i="56"/>
  <c r="AD154" i="56"/>
  <c r="AC154" i="56"/>
  <c r="AB154" i="56"/>
  <c r="AA154" i="56"/>
  <c r="Z154" i="56"/>
  <c r="Y154" i="56"/>
  <c r="X154" i="56"/>
  <c r="W154" i="56"/>
  <c r="V154" i="56"/>
  <c r="U154" i="56"/>
  <c r="T154" i="56"/>
  <c r="R154" i="56"/>
  <c r="Q154" i="56"/>
  <c r="P154" i="56"/>
  <c r="O154" i="56"/>
  <c r="N154" i="56"/>
  <c r="M154" i="56"/>
  <c r="L154" i="56"/>
  <c r="K154" i="56"/>
  <c r="J154" i="56"/>
  <c r="I154" i="56"/>
  <c r="H154" i="56"/>
  <c r="G154" i="56"/>
  <c r="F154" i="56"/>
  <c r="DI154" i="56"/>
  <c r="DI153" i="56"/>
  <c r="BS153" i="56"/>
  <c r="BF153" i="56"/>
  <c r="AS153" i="56"/>
  <c r="AF153" i="56"/>
  <c r="S153" i="56"/>
  <c r="DI152" i="56"/>
  <c r="BS152" i="56"/>
  <c r="BF152" i="56"/>
  <c r="AS152" i="56"/>
  <c r="AF152" i="56"/>
  <c r="S152" i="56"/>
  <c r="AF154" i="56" l="1"/>
  <c r="AX12" i="59"/>
  <c r="BS154" i="56"/>
  <c r="BF154" i="56"/>
  <c r="DH153" i="56"/>
  <c r="DJ153" i="56" s="1"/>
  <c r="AS154" i="56"/>
  <c r="DH152" i="56"/>
  <c r="S154" i="56"/>
  <c r="DH154" i="56" l="1"/>
  <c r="DJ154" i="56" s="1"/>
  <c r="DK153" i="56"/>
  <c r="AX13" i="59"/>
  <c r="DJ152" i="56"/>
  <c r="AY133" i="59" l="1"/>
  <c r="AY134" i="59" s="1"/>
  <c r="DG151" i="56"/>
  <c r="BR151" i="56"/>
  <c r="BQ151" i="56"/>
  <c r="BP151" i="56"/>
  <c r="BO151" i="56"/>
  <c r="BN151" i="56"/>
  <c r="BM151" i="56"/>
  <c r="BL151" i="56"/>
  <c r="BK151" i="56"/>
  <c r="BJ151" i="56"/>
  <c r="BI151" i="56"/>
  <c r="BH151" i="56"/>
  <c r="BG151" i="56"/>
  <c r="BE151" i="56"/>
  <c r="BD151" i="56"/>
  <c r="BC151" i="56"/>
  <c r="BB151" i="56"/>
  <c r="BA151" i="56"/>
  <c r="AZ151" i="56"/>
  <c r="AY151" i="56"/>
  <c r="AX151" i="56"/>
  <c r="AW151" i="56"/>
  <c r="AV151" i="56"/>
  <c r="AU151" i="56"/>
  <c r="AT151" i="56"/>
  <c r="AR151" i="56"/>
  <c r="AQ151" i="56"/>
  <c r="AP151" i="56"/>
  <c r="AO151" i="56"/>
  <c r="AN151" i="56"/>
  <c r="AM151" i="56"/>
  <c r="AL151" i="56"/>
  <c r="AK151" i="56"/>
  <c r="AJ151" i="56"/>
  <c r="AI151" i="56"/>
  <c r="AH151" i="56"/>
  <c r="AG151" i="56"/>
  <c r="AE151" i="56"/>
  <c r="AD151" i="56"/>
  <c r="AC151" i="56"/>
  <c r="AB151" i="56"/>
  <c r="AA151" i="56"/>
  <c r="Z151" i="56"/>
  <c r="Y151" i="56"/>
  <c r="X151" i="56"/>
  <c r="W151" i="56"/>
  <c r="V151" i="56"/>
  <c r="U151" i="56"/>
  <c r="T151" i="56"/>
  <c r="R151" i="56"/>
  <c r="Q151" i="56"/>
  <c r="P151" i="56"/>
  <c r="O151" i="56"/>
  <c r="N151" i="56"/>
  <c r="M151" i="56"/>
  <c r="L151" i="56"/>
  <c r="K151" i="56"/>
  <c r="J151" i="56"/>
  <c r="I151" i="56"/>
  <c r="H151" i="56"/>
  <c r="G151" i="56"/>
  <c r="F151" i="56"/>
  <c r="E151" i="56"/>
  <c r="DI151" i="56" s="1"/>
  <c r="DI150" i="56"/>
  <c r="BS150" i="56"/>
  <c r="BF150" i="56"/>
  <c r="AS150" i="56"/>
  <c r="AF150" i="56"/>
  <c r="S150" i="56"/>
  <c r="DI149" i="56"/>
  <c r="BS149" i="56"/>
  <c r="BF149" i="56"/>
  <c r="AS149" i="56"/>
  <c r="AF149" i="56"/>
  <c r="S149" i="56"/>
  <c r="J18" i="56"/>
  <c r="J21" i="56"/>
  <c r="J24" i="56"/>
  <c r="DH150" i="56" l="1"/>
  <c r="DJ150" i="56" s="1"/>
  <c r="BS151" i="56"/>
  <c r="AY123" i="59"/>
  <c r="AY142" i="59"/>
  <c r="BF151" i="56"/>
  <c r="DH149" i="56"/>
  <c r="DJ149" i="56" s="1"/>
  <c r="AS151" i="56"/>
  <c r="AF151" i="56"/>
  <c r="S151" i="56"/>
  <c r="J105" i="56"/>
  <c r="DH151" i="56" l="1"/>
  <c r="DJ151" i="56" s="1"/>
  <c r="DK150" i="56"/>
  <c r="AY125" i="59"/>
  <c r="AY129" i="59"/>
  <c r="AY131" i="59" l="1"/>
  <c r="AY7" i="59"/>
  <c r="AY9" i="59" l="1"/>
  <c r="AY10" i="59"/>
  <c r="AY12" i="59" s="1"/>
  <c r="AY13" i="59" s="1"/>
  <c r="H121" i="56"/>
  <c r="AZ133" i="59" l="1"/>
  <c r="AZ134" i="59" s="1"/>
  <c r="G108" i="56"/>
  <c r="G180" i="56" s="1"/>
  <c r="AZ123" i="59" l="1"/>
  <c r="AZ142" i="59"/>
  <c r="BA6" i="53"/>
  <c r="BB6" i="53"/>
  <c r="BC6" i="53"/>
  <c r="BD6" i="53"/>
  <c r="BE6" i="53"/>
  <c r="BF6" i="53"/>
  <c r="BG6" i="53"/>
  <c r="BH6" i="53"/>
  <c r="BI6" i="53"/>
  <c r="BJ6" i="53"/>
  <c r="BA7" i="53"/>
  <c r="BB7" i="53"/>
  <c r="BC7" i="53"/>
  <c r="BD7" i="53"/>
  <c r="BE7" i="53"/>
  <c r="BF7" i="53"/>
  <c r="BG7" i="53"/>
  <c r="BH7" i="53"/>
  <c r="BI7" i="53"/>
  <c r="BJ7" i="53"/>
  <c r="BA8" i="53"/>
  <c r="BB8" i="53"/>
  <c r="BC8" i="53"/>
  <c r="BD8" i="53"/>
  <c r="BE8" i="53"/>
  <c r="BF8" i="53"/>
  <c r="BG8" i="53"/>
  <c r="BH8" i="53"/>
  <c r="BI8" i="53"/>
  <c r="BJ8" i="53"/>
  <c r="AZ7" i="53"/>
  <c r="AZ8" i="53"/>
  <c r="AZ6" i="53"/>
  <c r="AZ125" i="59" l="1"/>
  <c r="AZ129" i="59"/>
  <c r="BN28" i="57"/>
  <c r="BM28" i="57"/>
  <c r="BL28" i="57"/>
  <c r="BK28" i="57"/>
  <c r="BJ28" i="57"/>
  <c r="BI28" i="57"/>
  <c r="BH28" i="57"/>
  <c r="BG28" i="57"/>
  <c r="BF28" i="57"/>
  <c r="BE28" i="57"/>
  <c r="BD28" i="57"/>
  <c r="BC28" i="57"/>
  <c r="BB28" i="57"/>
  <c r="BA28" i="57"/>
  <c r="AZ28" i="57"/>
  <c r="AY28" i="57"/>
  <c r="AX28" i="57"/>
  <c r="AW28" i="57"/>
  <c r="AV28" i="57"/>
  <c r="AU28" i="57"/>
  <c r="AT28" i="57"/>
  <c r="AS28" i="57"/>
  <c r="AR28" i="57"/>
  <c r="AQ28" i="57"/>
  <c r="AP28" i="57"/>
  <c r="AO28" i="57"/>
  <c r="AN28" i="57"/>
  <c r="AM28" i="57"/>
  <c r="AL28" i="57"/>
  <c r="AK28" i="57"/>
  <c r="AJ28" i="57"/>
  <c r="AI28" i="57"/>
  <c r="AH28" i="57"/>
  <c r="AG28" i="57"/>
  <c r="AF28" i="57"/>
  <c r="AE28" i="57"/>
  <c r="AD28" i="57"/>
  <c r="AC28" i="57"/>
  <c r="AB28" i="57"/>
  <c r="AA28" i="57"/>
  <c r="Z28" i="57"/>
  <c r="Y28" i="57"/>
  <c r="X28" i="57"/>
  <c r="W28" i="57"/>
  <c r="V28" i="57"/>
  <c r="U28" i="57"/>
  <c r="T28" i="57"/>
  <c r="S28" i="57"/>
  <c r="R28" i="57"/>
  <c r="Q28" i="57"/>
  <c r="P28" i="57"/>
  <c r="O28" i="57"/>
  <c r="N28" i="57"/>
  <c r="M28" i="57"/>
  <c r="L28" i="57"/>
  <c r="K28" i="57"/>
  <c r="J28" i="57"/>
  <c r="I28" i="57"/>
  <c r="H28" i="57"/>
  <c r="G28" i="57"/>
  <c r="F28" i="57"/>
  <c r="E28" i="57"/>
  <c r="D28" i="57"/>
  <c r="BN26" i="57"/>
  <c r="BM26" i="57"/>
  <c r="BL26" i="57"/>
  <c r="BK26" i="57"/>
  <c r="BJ26" i="57"/>
  <c r="BI26" i="57"/>
  <c r="BH26" i="57"/>
  <c r="BG26" i="57"/>
  <c r="BF26" i="57"/>
  <c r="BE26" i="57"/>
  <c r="BD26" i="57"/>
  <c r="BC26" i="57"/>
  <c r="BB26" i="57"/>
  <c r="BA26" i="57"/>
  <c r="AZ26" i="57"/>
  <c r="AY26" i="57"/>
  <c r="AX26" i="57"/>
  <c r="AW26" i="57"/>
  <c r="AV26" i="57"/>
  <c r="AU26" i="57"/>
  <c r="AT26" i="57"/>
  <c r="AS26" i="57"/>
  <c r="AR26" i="57"/>
  <c r="AQ26" i="57"/>
  <c r="AP26" i="57"/>
  <c r="AO26" i="57"/>
  <c r="AN26" i="57"/>
  <c r="AM26" i="57"/>
  <c r="AL26" i="57"/>
  <c r="AK26" i="57"/>
  <c r="AJ26" i="57"/>
  <c r="AI26" i="57"/>
  <c r="AH26" i="57"/>
  <c r="AG26" i="57"/>
  <c r="AF26" i="57"/>
  <c r="AE26" i="57"/>
  <c r="AD26" i="57"/>
  <c r="AC26" i="57"/>
  <c r="AB26" i="57"/>
  <c r="AA26" i="57"/>
  <c r="Z26" i="57"/>
  <c r="Y26" i="57"/>
  <c r="X26" i="57"/>
  <c r="W26" i="57"/>
  <c r="V26" i="57"/>
  <c r="U26" i="57"/>
  <c r="T26" i="57"/>
  <c r="S26" i="57"/>
  <c r="R26" i="57"/>
  <c r="Q26" i="57"/>
  <c r="P26" i="57"/>
  <c r="O26" i="57"/>
  <c r="N26" i="57"/>
  <c r="M26" i="57"/>
  <c r="L26" i="57"/>
  <c r="K26" i="57"/>
  <c r="J26" i="57"/>
  <c r="I26" i="57"/>
  <c r="H26" i="57"/>
  <c r="G26" i="57"/>
  <c r="F26" i="57"/>
  <c r="E26" i="57"/>
  <c r="D26" i="57"/>
  <c r="BN24" i="57"/>
  <c r="BM24" i="57"/>
  <c r="BL24" i="57"/>
  <c r="BK24" i="57"/>
  <c r="BJ24" i="57"/>
  <c r="BI24" i="57"/>
  <c r="BH24" i="57"/>
  <c r="BG24" i="57"/>
  <c r="BF24" i="57"/>
  <c r="BE24" i="57"/>
  <c r="BD24" i="57"/>
  <c r="BC24" i="57"/>
  <c r="BB24" i="57"/>
  <c r="BA24" i="57"/>
  <c r="AZ24" i="57"/>
  <c r="AY24" i="57"/>
  <c r="AX24" i="57"/>
  <c r="AW24" i="57"/>
  <c r="AV24" i="57"/>
  <c r="AU24" i="57"/>
  <c r="AT24" i="57"/>
  <c r="AS24" i="57"/>
  <c r="AR24" i="57"/>
  <c r="AQ24" i="57"/>
  <c r="AP24" i="57"/>
  <c r="AO24" i="57"/>
  <c r="AN24" i="57"/>
  <c r="AM24" i="57"/>
  <c r="AL24" i="57"/>
  <c r="AK24" i="57"/>
  <c r="AJ24" i="57"/>
  <c r="AI24" i="57"/>
  <c r="AH24" i="57"/>
  <c r="AG24" i="57"/>
  <c r="AF24" i="57"/>
  <c r="AE24" i="57"/>
  <c r="AD24" i="57"/>
  <c r="AC24" i="57"/>
  <c r="AB24" i="57"/>
  <c r="AA24" i="57"/>
  <c r="Z24" i="57"/>
  <c r="Y24" i="57"/>
  <c r="X24" i="57"/>
  <c r="W24" i="57"/>
  <c r="V24" i="57"/>
  <c r="U24" i="57"/>
  <c r="T24" i="57"/>
  <c r="S24" i="57"/>
  <c r="R24" i="57"/>
  <c r="Q24" i="57"/>
  <c r="P24" i="57"/>
  <c r="O24" i="57"/>
  <c r="N24" i="57"/>
  <c r="M24" i="57"/>
  <c r="L24" i="57"/>
  <c r="K24" i="57"/>
  <c r="J24" i="57"/>
  <c r="I24" i="57"/>
  <c r="H24" i="57"/>
  <c r="G24" i="57"/>
  <c r="F24" i="57"/>
  <c r="E24" i="57"/>
  <c r="D24" i="57"/>
  <c r="BN22" i="57"/>
  <c r="BM22" i="57"/>
  <c r="BL22" i="57"/>
  <c r="BK22" i="57"/>
  <c r="BJ22" i="57"/>
  <c r="BI22" i="57"/>
  <c r="BH22" i="57"/>
  <c r="BG22" i="57"/>
  <c r="BF22" i="57"/>
  <c r="BE22" i="57"/>
  <c r="BD22" i="57"/>
  <c r="BC22" i="57"/>
  <c r="BB22" i="57"/>
  <c r="BA22" i="57"/>
  <c r="AZ22" i="57"/>
  <c r="AY22" i="57"/>
  <c r="AX22" i="57"/>
  <c r="AW22" i="57"/>
  <c r="AV22" i="57"/>
  <c r="AU22" i="57"/>
  <c r="AT22" i="57"/>
  <c r="AS22" i="57"/>
  <c r="AR22" i="57"/>
  <c r="AQ22" i="57"/>
  <c r="AP22" i="57"/>
  <c r="AO22" i="57"/>
  <c r="AN22" i="57"/>
  <c r="AM22" i="57"/>
  <c r="AL22" i="57"/>
  <c r="AK22" i="57"/>
  <c r="AJ22" i="57"/>
  <c r="AI22" i="57"/>
  <c r="AH22" i="57"/>
  <c r="AG22" i="57"/>
  <c r="AF22" i="57"/>
  <c r="AE22" i="57"/>
  <c r="AD22" i="57"/>
  <c r="AC22" i="57"/>
  <c r="AB22" i="57"/>
  <c r="AA22" i="57"/>
  <c r="Z22" i="57"/>
  <c r="Y22" i="57"/>
  <c r="X22" i="57"/>
  <c r="W22" i="57"/>
  <c r="V22" i="57"/>
  <c r="U22" i="57"/>
  <c r="T22" i="57"/>
  <c r="S22" i="57"/>
  <c r="G22" i="57"/>
  <c r="F22" i="57"/>
  <c r="E22" i="57"/>
  <c r="D22" i="57"/>
  <c r="BN20" i="57"/>
  <c r="BM20" i="57"/>
  <c r="BL20" i="57"/>
  <c r="BK20" i="57"/>
  <c r="BJ20" i="57"/>
  <c r="BI20" i="57"/>
  <c r="BH20" i="57"/>
  <c r="BG20" i="57"/>
  <c r="BF20" i="57"/>
  <c r="BE20" i="57"/>
  <c r="BD20" i="57"/>
  <c r="BC20" i="57"/>
  <c r="BB20" i="57"/>
  <c r="BA20" i="57"/>
  <c r="AZ20" i="57"/>
  <c r="AY20" i="57"/>
  <c r="AX20" i="57"/>
  <c r="AW20" i="57"/>
  <c r="AV20" i="57"/>
  <c r="AU20" i="57"/>
  <c r="AT20" i="57"/>
  <c r="AS20" i="57"/>
  <c r="AR20" i="57"/>
  <c r="AQ20" i="57"/>
  <c r="G20" i="57"/>
  <c r="F20" i="57"/>
  <c r="E20" i="57"/>
  <c r="D20" i="57"/>
  <c r="BN18" i="57"/>
  <c r="BM18" i="57"/>
  <c r="BL18" i="57"/>
  <c r="BK18" i="57"/>
  <c r="BJ18" i="57"/>
  <c r="BI18" i="57"/>
  <c r="BH18" i="57"/>
  <c r="BG18" i="57"/>
  <c r="BF18" i="57"/>
  <c r="BE18" i="57"/>
  <c r="BD18" i="57"/>
  <c r="BC18" i="57"/>
  <c r="BB18" i="57"/>
  <c r="BA18" i="57"/>
  <c r="AZ18" i="57"/>
  <c r="AY18" i="57"/>
  <c r="AX18" i="57"/>
  <c r="AW18" i="57"/>
  <c r="AV18" i="57"/>
  <c r="AU18" i="57"/>
  <c r="AT18" i="57"/>
  <c r="AS18" i="57"/>
  <c r="AR18" i="57"/>
  <c r="AQ18" i="57"/>
  <c r="AP18" i="57"/>
  <c r="AO18" i="57"/>
  <c r="AN18" i="57"/>
  <c r="AM18" i="57"/>
  <c r="AL18" i="57"/>
  <c r="AK18" i="57"/>
  <c r="AJ18" i="57"/>
  <c r="AI18" i="57"/>
  <c r="AH18" i="57"/>
  <c r="AG18" i="57"/>
  <c r="AF18" i="57"/>
  <c r="AE18" i="57"/>
  <c r="AD18" i="57"/>
  <c r="AC18" i="57"/>
  <c r="AB18" i="57"/>
  <c r="AA18" i="57"/>
  <c r="Z18" i="57"/>
  <c r="Y18" i="57"/>
  <c r="X18" i="57"/>
  <c r="W18" i="57"/>
  <c r="V18" i="57"/>
  <c r="U18" i="57"/>
  <c r="T18" i="57"/>
  <c r="S18" i="57"/>
  <c r="R18" i="57"/>
  <c r="Q18" i="57"/>
  <c r="P18" i="57"/>
  <c r="O18" i="57"/>
  <c r="N18" i="57"/>
  <c r="M18" i="57"/>
  <c r="L18" i="57"/>
  <c r="K18" i="57"/>
  <c r="J18" i="57"/>
  <c r="I18" i="57"/>
  <c r="H18" i="57"/>
  <c r="G18" i="57"/>
  <c r="F18" i="57"/>
  <c r="E18" i="57"/>
  <c r="D18" i="57"/>
  <c r="BN16" i="57"/>
  <c r="BM16" i="57"/>
  <c r="BL16" i="57"/>
  <c r="BK16" i="57"/>
  <c r="BJ16" i="57"/>
  <c r="BI16" i="57"/>
  <c r="BH16" i="57"/>
  <c r="BG16" i="57"/>
  <c r="BF16" i="57"/>
  <c r="BE16" i="57"/>
  <c r="BD16" i="57"/>
  <c r="BC16" i="57"/>
  <c r="BB16" i="57"/>
  <c r="BA16" i="57"/>
  <c r="AZ16" i="57"/>
  <c r="AY16" i="57"/>
  <c r="AX16" i="57"/>
  <c r="AW16" i="57"/>
  <c r="AV16" i="57"/>
  <c r="AU16" i="57"/>
  <c r="AT16" i="57"/>
  <c r="AS16" i="57"/>
  <c r="AR16" i="57"/>
  <c r="AQ16" i="57"/>
  <c r="AP16" i="57"/>
  <c r="AO16" i="57"/>
  <c r="AN16" i="57"/>
  <c r="AM16" i="57"/>
  <c r="AL16" i="57"/>
  <c r="AK16" i="57"/>
  <c r="AJ16" i="57"/>
  <c r="AI16" i="57"/>
  <c r="AH16" i="57"/>
  <c r="AG16" i="57"/>
  <c r="AF16" i="57"/>
  <c r="AE16" i="57"/>
  <c r="AD16" i="57"/>
  <c r="AC16" i="57"/>
  <c r="AB16" i="57"/>
  <c r="AA16" i="57"/>
  <c r="Z16" i="57"/>
  <c r="Y16" i="57"/>
  <c r="X16" i="57"/>
  <c r="W16" i="57"/>
  <c r="V16" i="57"/>
  <c r="U16" i="57"/>
  <c r="T16" i="57"/>
  <c r="S16" i="57"/>
  <c r="R16" i="57"/>
  <c r="Q16" i="57"/>
  <c r="P16" i="57"/>
  <c r="O16" i="57"/>
  <c r="N16" i="57"/>
  <c r="M16" i="57"/>
  <c r="L16" i="57"/>
  <c r="K16" i="57"/>
  <c r="J16" i="57"/>
  <c r="I16" i="57"/>
  <c r="H16" i="57"/>
  <c r="G16" i="57"/>
  <c r="F16" i="57"/>
  <c r="E16" i="57"/>
  <c r="D16" i="57"/>
  <c r="F14" i="57"/>
  <c r="E14" i="57"/>
  <c r="D14" i="57"/>
  <c r="F12" i="57"/>
  <c r="E12" i="57"/>
  <c r="D12" i="57"/>
  <c r="BN10" i="57"/>
  <c r="BM10" i="57"/>
  <c r="BL10" i="57"/>
  <c r="BK10" i="57"/>
  <c r="BJ10" i="57"/>
  <c r="BI10" i="57"/>
  <c r="BH10" i="57"/>
  <c r="BG10" i="57"/>
  <c r="BF10" i="57"/>
  <c r="BE10" i="57"/>
  <c r="BD10" i="57"/>
  <c r="BC10" i="57"/>
  <c r="BB10" i="57"/>
  <c r="BA10" i="57"/>
  <c r="AZ10" i="57"/>
  <c r="AY10" i="57"/>
  <c r="AX10" i="57"/>
  <c r="AW10" i="57"/>
  <c r="AV10" i="57"/>
  <c r="AU10" i="57"/>
  <c r="AT10" i="57"/>
  <c r="AS10" i="57"/>
  <c r="AR10" i="57"/>
  <c r="AQ10" i="57"/>
  <c r="AP10" i="57"/>
  <c r="AO10" i="57"/>
  <c r="AN10" i="57"/>
  <c r="AM10" i="57"/>
  <c r="AL10" i="57"/>
  <c r="AK10" i="57"/>
  <c r="AJ10" i="57"/>
  <c r="AI10" i="57"/>
  <c r="AH10" i="57"/>
  <c r="AG10" i="57"/>
  <c r="AF10" i="57"/>
  <c r="AE10" i="57"/>
  <c r="AD10" i="57"/>
  <c r="AC10" i="57"/>
  <c r="AB10" i="57"/>
  <c r="AA10" i="57"/>
  <c r="Z10" i="57"/>
  <c r="Y10" i="57"/>
  <c r="X10" i="57"/>
  <c r="W10" i="57"/>
  <c r="V10" i="57"/>
  <c r="U10" i="57"/>
  <c r="T10" i="57"/>
  <c r="S10" i="57"/>
  <c r="R10" i="57"/>
  <c r="Q10" i="57"/>
  <c r="P10" i="57"/>
  <c r="O10" i="57"/>
  <c r="N10" i="57"/>
  <c r="M10" i="57"/>
  <c r="L10" i="57"/>
  <c r="K10" i="57"/>
  <c r="J10" i="57"/>
  <c r="I10" i="57"/>
  <c r="H10" i="57"/>
  <c r="G10" i="57"/>
  <c r="F10" i="57"/>
  <c r="E10" i="57"/>
  <c r="D10" i="57"/>
  <c r="BN8" i="57"/>
  <c r="BM8" i="57"/>
  <c r="BL8" i="57"/>
  <c r="BK8" i="57"/>
  <c r="BJ8" i="57"/>
  <c r="BI8" i="57"/>
  <c r="BH8" i="57"/>
  <c r="BG8" i="57"/>
  <c r="BF8" i="57"/>
  <c r="BE8" i="57"/>
  <c r="BD8" i="57"/>
  <c r="BC8" i="57"/>
  <c r="BB8" i="57"/>
  <c r="BA8" i="57"/>
  <c r="AZ8" i="57"/>
  <c r="AY8" i="57"/>
  <c r="AX8" i="57"/>
  <c r="AW8" i="57"/>
  <c r="AV8" i="57"/>
  <c r="AU8" i="57"/>
  <c r="AT8" i="57"/>
  <c r="AS8" i="57"/>
  <c r="AR8" i="57"/>
  <c r="AQ8" i="57"/>
  <c r="AP8" i="57"/>
  <c r="AO8" i="57"/>
  <c r="AN8" i="57"/>
  <c r="AM8" i="57"/>
  <c r="AL8" i="57"/>
  <c r="AK8" i="57"/>
  <c r="AJ8" i="57"/>
  <c r="AI8" i="57"/>
  <c r="AH8" i="57"/>
  <c r="AG8" i="57"/>
  <c r="AF8" i="57"/>
  <c r="AE8" i="57"/>
  <c r="AD8" i="57"/>
  <c r="AC8" i="57"/>
  <c r="AB8" i="57"/>
  <c r="AA8" i="57"/>
  <c r="Z8" i="57"/>
  <c r="Y8" i="57"/>
  <c r="X8" i="57"/>
  <c r="W8" i="57"/>
  <c r="V8" i="57"/>
  <c r="U8" i="57"/>
  <c r="T8" i="57"/>
  <c r="S8" i="57"/>
  <c r="R8" i="57"/>
  <c r="Q8" i="57"/>
  <c r="P8" i="57"/>
  <c r="O8" i="57"/>
  <c r="N8" i="57"/>
  <c r="M8" i="57"/>
  <c r="L8" i="57"/>
  <c r="K8" i="57"/>
  <c r="J8" i="57"/>
  <c r="I8" i="57"/>
  <c r="H8" i="57"/>
  <c r="G8" i="57"/>
  <c r="F8" i="57"/>
  <c r="E8" i="57"/>
  <c r="D8" i="57"/>
  <c r="BN6" i="57"/>
  <c r="BM6" i="57"/>
  <c r="BL6" i="57"/>
  <c r="BK6" i="57"/>
  <c r="BJ6" i="57"/>
  <c r="BI6" i="57"/>
  <c r="BH6" i="57"/>
  <c r="BG6" i="57"/>
  <c r="BF6" i="57"/>
  <c r="BE6" i="57"/>
  <c r="BD6" i="57"/>
  <c r="BC6" i="57"/>
  <c r="BB6" i="57"/>
  <c r="BA6" i="57"/>
  <c r="AZ6" i="57"/>
  <c r="AY6" i="57"/>
  <c r="AX6" i="57"/>
  <c r="AW6" i="57"/>
  <c r="AV6" i="57"/>
  <c r="AU6" i="57"/>
  <c r="AT6" i="57"/>
  <c r="AS6" i="57"/>
  <c r="AR6" i="57"/>
  <c r="AQ6" i="57"/>
  <c r="AP6" i="57"/>
  <c r="AO6" i="57"/>
  <c r="AN6" i="57"/>
  <c r="AM6" i="57"/>
  <c r="AL6" i="57"/>
  <c r="AK6" i="57"/>
  <c r="AJ6" i="57"/>
  <c r="AI6" i="57"/>
  <c r="AH6" i="57"/>
  <c r="AG6" i="57"/>
  <c r="AF6" i="57"/>
  <c r="AE6" i="57"/>
  <c r="AD6" i="57"/>
  <c r="AC6" i="57"/>
  <c r="AB6" i="57"/>
  <c r="AA6" i="57"/>
  <c r="Z6" i="57"/>
  <c r="Y6" i="57"/>
  <c r="X6" i="57"/>
  <c r="W6" i="57"/>
  <c r="V6" i="57"/>
  <c r="U6" i="57"/>
  <c r="T6" i="57"/>
  <c r="S6" i="57"/>
  <c r="R6" i="57"/>
  <c r="Q6" i="57"/>
  <c r="P6" i="57"/>
  <c r="O6" i="57"/>
  <c r="N6" i="57"/>
  <c r="M6" i="57"/>
  <c r="L6" i="57"/>
  <c r="K6" i="57"/>
  <c r="J6" i="57"/>
  <c r="I6" i="57"/>
  <c r="H6" i="57"/>
  <c r="BN4" i="57"/>
  <c r="BM4" i="57"/>
  <c r="BL4" i="57"/>
  <c r="BK4" i="57"/>
  <c r="BJ4" i="57"/>
  <c r="BI4" i="57"/>
  <c r="BH4" i="57"/>
  <c r="BG4" i="57"/>
  <c r="BF4" i="57"/>
  <c r="BE4" i="57"/>
  <c r="BD4" i="57"/>
  <c r="BC4" i="57"/>
  <c r="BB4" i="57"/>
  <c r="BA4" i="57"/>
  <c r="AZ4" i="57"/>
  <c r="AY4" i="57"/>
  <c r="AX4" i="57"/>
  <c r="AW4" i="57"/>
  <c r="AV4" i="57"/>
  <c r="AU4" i="57"/>
  <c r="AT4" i="57"/>
  <c r="AS4" i="57"/>
  <c r="AR4" i="57"/>
  <c r="AQ4" i="57"/>
  <c r="AP4" i="57"/>
  <c r="AO4" i="57"/>
  <c r="AN4" i="57"/>
  <c r="AM4" i="57"/>
  <c r="AL4" i="57"/>
  <c r="AK4" i="57"/>
  <c r="AJ4" i="57"/>
  <c r="AI4" i="57"/>
  <c r="AH4" i="57"/>
  <c r="AG4" i="57"/>
  <c r="AF4" i="57"/>
  <c r="AE4" i="57"/>
  <c r="AD4" i="57"/>
  <c r="AC4" i="57"/>
  <c r="AB4" i="57"/>
  <c r="AA4" i="57"/>
  <c r="Z4" i="57"/>
  <c r="Y4" i="57"/>
  <c r="X4" i="57"/>
  <c r="W4" i="57"/>
  <c r="V4" i="57"/>
  <c r="U4" i="57"/>
  <c r="T4" i="57"/>
  <c r="S4" i="57"/>
  <c r="R4" i="57"/>
  <c r="Q4" i="57"/>
  <c r="P4" i="57"/>
  <c r="O4" i="57"/>
  <c r="N4" i="57"/>
  <c r="M4" i="57"/>
  <c r="L4" i="57"/>
  <c r="K4" i="57"/>
  <c r="J4" i="57"/>
  <c r="I4" i="57"/>
  <c r="H4" i="57"/>
  <c r="G4" i="57"/>
  <c r="F4" i="57"/>
  <c r="E4" i="57"/>
  <c r="AZ131" i="59" l="1"/>
  <c r="AZ7" i="59"/>
  <c r="C14" i="57"/>
  <c r="C22" i="57"/>
  <c r="C16" i="57"/>
  <c r="C24" i="57"/>
  <c r="C10" i="57"/>
  <c r="C26" i="57"/>
  <c r="C12" i="57"/>
  <c r="C28" i="57"/>
  <c r="C8" i="57"/>
  <c r="C6" i="57" s="1"/>
  <c r="C20" i="57"/>
  <c r="C18" i="57" s="1"/>
  <c r="BR198" i="56"/>
  <c r="BQ198" i="56"/>
  <c r="BP198" i="56"/>
  <c r="BO198" i="56"/>
  <c r="BN198" i="56"/>
  <c r="BM198" i="56"/>
  <c r="BL198" i="56"/>
  <c r="BK198" i="56"/>
  <c r="BJ198" i="56"/>
  <c r="BI198" i="56"/>
  <c r="BH198" i="56"/>
  <c r="BG198" i="56"/>
  <c r="BE198" i="56"/>
  <c r="BD198" i="56"/>
  <c r="BC198" i="56"/>
  <c r="BB198" i="56"/>
  <c r="BA198" i="56"/>
  <c r="AZ198" i="56"/>
  <c r="AY198" i="56"/>
  <c r="AX198" i="56"/>
  <c r="AW198" i="56"/>
  <c r="AV198" i="56"/>
  <c r="AU198" i="56"/>
  <c r="AT198" i="56"/>
  <c r="AR198" i="56"/>
  <c r="AQ198" i="56"/>
  <c r="AP198" i="56"/>
  <c r="AO198" i="56"/>
  <c r="AN198" i="56"/>
  <c r="AM198" i="56"/>
  <c r="AL198" i="56"/>
  <c r="AK198" i="56"/>
  <c r="AJ198" i="56"/>
  <c r="AI198" i="56"/>
  <c r="AH198" i="56"/>
  <c r="AG198" i="56"/>
  <c r="AE198" i="56"/>
  <c r="AD198" i="56"/>
  <c r="AC198" i="56"/>
  <c r="AB198" i="56"/>
  <c r="AA198" i="56"/>
  <c r="Z198" i="56"/>
  <c r="Y198" i="56"/>
  <c r="X198" i="56"/>
  <c r="W198" i="56"/>
  <c r="V198" i="56"/>
  <c r="U198" i="56"/>
  <c r="T198" i="56"/>
  <c r="BR190" i="56"/>
  <c r="BQ190" i="56"/>
  <c r="BP190" i="56"/>
  <c r="BO190" i="56"/>
  <c r="BN190" i="56"/>
  <c r="BM190" i="56"/>
  <c r="BL190" i="56"/>
  <c r="BK190" i="56"/>
  <c r="BJ190" i="56"/>
  <c r="BI190" i="56"/>
  <c r="BH190" i="56"/>
  <c r="BG190" i="56"/>
  <c r="BE190" i="56"/>
  <c r="BD190" i="56"/>
  <c r="BC190" i="56"/>
  <c r="BB190" i="56"/>
  <c r="BA190" i="56"/>
  <c r="AZ190" i="56"/>
  <c r="AY190" i="56"/>
  <c r="AX190" i="56"/>
  <c r="AW190" i="56"/>
  <c r="AV190" i="56"/>
  <c r="AU190" i="56"/>
  <c r="AT190" i="56"/>
  <c r="AR190" i="56"/>
  <c r="AQ190" i="56"/>
  <c r="AP190" i="56"/>
  <c r="AO190" i="56"/>
  <c r="AN190" i="56"/>
  <c r="AM190" i="56"/>
  <c r="AL190" i="56"/>
  <c r="AK190" i="56"/>
  <c r="AJ190" i="56"/>
  <c r="AI190" i="56"/>
  <c r="AH190" i="56"/>
  <c r="AG190" i="56"/>
  <c r="V190" i="56"/>
  <c r="U190" i="56"/>
  <c r="T190" i="56"/>
  <c r="DG186" i="56"/>
  <c r="BR186" i="56"/>
  <c r="BQ186" i="56"/>
  <c r="BP186" i="56"/>
  <c r="BO186" i="56"/>
  <c r="BN186" i="56"/>
  <c r="BM186" i="56"/>
  <c r="BL186" i="56"/>
  <c r="BK186" i="56"/>
  <c r="BJ186" i="56"/>
  <c r="BI186" i="56"/>
  <c r="BH186" i="56"/>
  <c r="BG186" i="56"/>
  <c r="BE186" i="56"/>
  <c r="BD186" i="56"/>
  <c r="BC186" i="56"/>
  <c r="BB186" i="56"/>
  <c r="BA186" i="56"/>
  <c r="AZ186" i="56"/>
  <c r="AY186" i="56"/>
  <c r="AX186" i="56"/>
  <c r="AW186" i="56"/>
  <c r="AV186" i="56"/>
  <c r="AU186" i="56"/>
  <c r="AT186" i="56"/>
  <c r="AR186" i="56"/>
  <c r="AQ186" i="56"/>
  <c r="AP186" i="56"/>
  <c r="AO186" i="56"/>
  <c r="AN186" i="56"/>
  <c r="AM186" i="56"/>
  <c r="AL186" i="56"/>
  <c r="AK186" i="56"/>
  <c r="AJ186" i="56"/>
  <c r="AI186" i="56"/>
  <c r="AH186" i="56"/>
  <c r="AG186" i="56"/>
  <c r="H186" i="56"/>
  <c r="I186" i="56"/>
  <c r="J186" i="56"/>
  <c r="K186" i="56"/>
  <c r="L186" i="56"/>
  <c r="M186" i="56"/>
  <c r="N186" i="56"/>
  <c r="O186" i="56"/>
  <c r="P186" i="56"/>
  <c r="Q186" i="56"/>
  <c r="R186" i="56"/>
  <c r="G186" i="56"/>
  <c r="F186" i="56"/>
  <c r="AG210" i="56" l="1"/>
  <c r="AZ9" i="59"/>
  <c r="AZ10" i="59"/>
  <c r="AZ12" i="59" s="1"/>
  <c r="AZ13" i="59" s="1"/>
  <c r="DG255" i="56"/>
  <c r="DG252" i="56"/>
  <c r="DG242" i="56"/>
  <c r="DG230" i="56"/>
  <c r="DG227" i="56"/>
  <c r="DG224" i="56"/>
  <c r="DG209" i="56"/>
  <c r="DG208" i="56"/>
  <c r="DG232" i="56" s="1"/>
  <c r="DG207" i="56"/>
  <c r="DG198" i="56"/>
  <c r="DG190" i="56"/>
  <c r="DG148" i="56"/>
  <c r="DG145" i="56"/>
  <c r="DG142" i="56"/>
  <c r="DG139" i="56"/>
  <c r="DG121" i="56"/>
  <c r="DG118" i="56"/>
  <c r="DG115" i="56"/>
  <c r="DG112" i="56"/>
  <c r="DG109" i="56"/>
  <c r="DG24" i="56"/>
  <c r="DG21" i="56"/>
  <c r="DG18" i="56"/>
  <c r="E113" i="56"/>
  <c r="E114" i="56" s="1"/>
  <c r="DG210" i="56" l="1"/>
  <c r="DG105" i="56"/>
  <c r="BA133" i="59"/>
  <c r="BA134" i="59" s="1"/>
  <c r="DG231" i="56"/>
  <c r="DG233" i="56" s="1"/>
  <c r="DG214" i="56"/>
  <c r="E115" i="56"/>
  <c r="BA123" i="59" l="1"/>
  <c r="BA142" i="59"/>
  <c r="DG218" i="56"/>
  <c r="BA125" i="59" l="1"/>
  <c r="BA129" i="59"/>
  <c r="DG4" i="56"/>
  <c r="BA131" i="59" l="1"/>
  <c r="BA7" i="59"/>
  <c r="BA9" i="59" l="1"/>
  <c r="BA10" i="59"/>
  <c r="BA12" i="59" s="1"/>
  <c r="BA13" i="59" s="1"/>
  <c r="S193" i="56"/>
  <c r="AF196" i="56"/>
  <c r="AF197" i="56"/>
  <c r="AF193" i="56"/>
  <c r="BS193" i="56"/>
  <c r="BB133" i="59" l="1"/>
  <c r="BB134" i="59" s="1"/>
  <c r="H208" i="56"/>
  <c r="I208" i="56"/>
  <c r="J208" i="56"/>
  <c r="K208" i="56"/>
  <c r="L208" i="56"/>
  <c r="M208" i="56"/>
  <c r="N208" i="56"/>
  <c r="O208" i="56"/>
  <c r="P208" i="56"/>
  <c r="Q208" i="56"/>
  <c r="R208" i="56"/>
  <c r="G208" i="56"/>
  <c r="F208" i="56"/>
  <c r="BB142" i="59" l="1"/>
  <c r="BB123" i="59"/>
  <c r="AZ12" i="53"/>
  <c r="BA12" i="53"/>
  <c r="BB12" i="53"/>
  <c r="BC12" i="53"/>
  <c r="BD12" i="53"/>
  <c r="BE12" i="53"/>
  <c r="BF12" i="53"/>
  <c r="BG12" i="53"/>
  <c r="BH12" i="53"/>
  <c r="BI12" i="53"/>
  <c r="BJ12" i="53"/>
  <c r="AZ13" i="53"/>
  <c r="BA13" i="53"/>
  <c r="BB13" i="53"/>
  <c r="BC13" i="53"/>
  <c r="BD13" i="53"/>
  <c r="BE13" i="53"/>
  <c r="BF13" i="53"/>
  <c r="BG13" i="53"/>
  <c r="BH13" i="53"/>
  <c r="BI13" i="53"/>
  <c r="BJ13" i="53"/>
  <c r="AZ14" i="53"/>
  <c r="BA14" i="53"/>
  <c r="BB14" i="53"/>
  <c r="BC14" i="53"/>
  <c r="BD14" i="53"/>
  <c r="BE14" i="53"/>
  <c r="BF14" i="53"/>
  <c r="BG14" i="53"/>
  <c r="BH14" i="53"/>
  <c r="BI14" i="53"/>
  <c r="BJ14" i="53"/>
  <c r="AY14" i="53"/>
  <c r="AY13" i="53"/>
  <c r="AY12" i="53"/>
  <c r="AY8" i="53"/>
  <c r="AY7" i="53"/>
  <c r="AY6" i="53"/>
  <c r="DH221" i="56"/>
  <c r="BR255" i="56"/>
  <c r="BQ255" i="56"/>
  <c r="BP255" i="56"/>
  <c r="BO255" i="56"/>
  <c r="BN255" i="56"/>
  <c r="BM255" i="56"/>
  <c r="BL255" i="56"/>
  <c r="BK255" i="56"/>
  <c r="BJ255" i="56"/>
  <c r="BI255" i="56"/>
  <c r="BH255" i="56"/>
  <c r="BG255" i="56"/>
  <c r="BR252" i="56"/>
  <c r="BQ252" i="56"/>
  <c r="BP252" i="56"/>
  <c r="BO252" i="56"/>
  <c r="BN252" i="56"/>
  <c r="BM252" i="56"/>
  <c r="BL252" i="56"/>
  <c r="BK252" i="56"/>
  <c r="BJ252" i="56"/>
  <c r="BI252" i="56"/>
  <c r="BH252" i="56"/>
  <c r="BG252" i="56"/>
  <c r="BR242" i="56"/>
  <c r="BQ242" i="56"/>
  <c r="BP242" i="56"/>
  <c r="BO242" i="56"/>
  <c r="BN242" i="56"/>
  <c r="BM242" i="56"/>
  <c r="BL242" i="56"/>
  <c r="BK242" i="56"/>
  <c r="BJ242" i="56"/>
  <c r="BI242" i="56"/>
  <c r="BH242" i="56"/>
  <c r="BG242" i="56"/>
  <c r="BS241" i="56"/>
  <c r="BS240" i="56"/>
  <c r="BS234" i="56"/>
  <c r="BR230" i="56"/>
  <c r="BQ230" i="56"/>
  <c r="BP230" i="56"/>
  <c r="BO230" i="56"/>
  <c r="BN230" i="56"/>
  <c r="BM230" i="56"/>
  <c r="BL230" i="56"/>
  <c r="BK230" i="56"/>
  <c r="BJ230" i="56"/>
  <c r="BI230" i="56"/>
  <c r="BH230" i="56"/>
  <c r="BG230" i="56"/>
  <c r="BS229" i="56"/>
  <c r="BS228" i="56"/>
  <c r="BS252" i="56" s="1"/>
  <c r="BR227" i="56"/>
  <c r="BQ227" i="56"/>
  <c r="BP227" i="56"/>
  <c r="BO227" i="56"/>
  <c r="BN227" i="56"/>
  <c r="BM227" i="56"/>
  <c r="BL227" i="56"/>
  <c r="BK227" i="56"/>
  <c r="BJ227" i="56"/>
  <c r="BI227" i="56"/>
  <c r="BH227" i="56"/>
  <c r="BG227" i="56"/>
  <c r="BS226" i="56"/>
  <c r="BS225" i="56"/>
  <c r="BR224" i="56"/>
  <c r="BQ224" i="56"/>
  <c r="BP224" i="56"/>
  <c r="BO224" i="56"/>
  <c r="BN224" i="56"/>
  <c r="BM224" i="56"/>
  <c r="BL224" i="56"/>
  <c r="BK224" i="56"/>
  <c r="BJ224" i="56"/>
  <c r="BI224" i="56"/>
  <c r="BH224" i="56"/>
  <c r="BG224" i="56"/>
  <c r="BS223" i="56"/>
  <c r="BS222" i="56"/>
  <c r="BR232" i="56"/>
  <c r="BQ232" i="56"/>
  <c r="BP232" i="56"/>
  <c r="BO232" i="56"/>
  <c r="BN232" i="56"/>
  <c r="BL232" i="56"/>
  <c r="BK232" i="56"/>
  <c r="BJ232" i="56"/>
  <c r="BI232" i="56"/>
  <c r="BH232" i="56"/>
  <c r="BL210" i="56"/>
  <c r="BK210" i="56"/>
  <c r="BJ210" i="56"/>
  <c r="BI210" i="56"/>
  <c r="BH210" i="56"/>
  <c r="BS198" i="56"/>
  <c r="BS197" i="56"/>
  <c r="BS196" i="56"/>
  <c r="BS195" i="56"/>
  <c r="BS191" i="56"/>
  <c r="BS190" i="56"/>
  <c r="BS189" i="56"/>
  <c r="BS188" i="56"/>
  <c r="BS187" i="56"/>
  <c r="BS186" i="56"/>
  <c r="BS185" i="56"/>
  <c r="BS184" i="56"/>
  <c r="BS183" i="56"/>
  <c r="BR181" i="56"/>
  <c r="BQ181" i="56"/>
  <c r="BP181" i="56"/>
  <c r="BO181" i="56"/>
  <c r="BN181" i="56"/>
  <c r="BM181" i="56"/>
  <c r="BL181" i="56"/>
  <c r="BJ181" i="56"/>
  <c r="BI181" i="56"/>
  <c r="BH181" i="56"/>
  <c r="BG181" i="56"/>
  <c r="BR148" i="56"/>
  <c r="BQ148" i="56"/>
  <c r="BP148" i="56"/>
  <c r="BO148" i="56"/>
  <c r="BN148" i="56"/>
  <c r="BM148" i="56"/>
  <c r="BL148" i="56"/>
  <c r="BK148" i="56"/>
  <c r="BJ148" i="56"/>
  <c r="BI148" i="56"/>
  <c r="BH148" i="56"/>
  <c r="BG148" i="56"/>
  <c r="BS147" i="56"/>
  <c r="BS146" i="56"/>
  <c r="BR145" i="56"/>
  <c r="BQ145" i="56"/>
  <c r="BP145" i="56"/>
  <c r="BO145" i="56"/>
  <c r="BN145" i="56"/>
  <c r="BM145" i="56"/>
  <c r="BL145" i="56"/>
  <c r="BK145" i="56"/>
  <c r="BJ145" i="56"/>
  <c r="BI145" i="56"/>
  <c r="BH145" i="56"/>
  <c r="BG145" i="56"/>
  <c r="BS144" i="56"/>
  <c r="BS143" i="56"/>
  <c r="BR142" i="56"/>
  <c r="BQ142" i="56"/>
  <c r="BP142" i="56"/>
  <c r="BO142" i="56"/>
  <c r="BN142" i="56"/>
  <c r="BM142" i="56"/>
  <c r="BL142" i="56"/>
  <c r="BK142" i="56"/>
  <c r="BJ142" i="56"/>
  <c r="BI142" i="56"/>
  <c r="BH142" i="56"/>
  <c r="BG142" i="56"/>
  <c r="BS141" i="56"/>
  <c r="BS140" i="56"/>
  <c r="BR139" i="56"/>
  <c r="BQ139" i="56"/>
  <c r="BP139" i="56"/>
  <c r="BO139" i="56"/>
  <c r="BN139" i="56"/>
  <c r="BM139" i="56"/>
  <c r="BL139" i="56"/>
  <c r="BK139" i="56"/>
  <c r="BJ139" i="56"/>
  <c r="BI139" i="56"/>
  <c r="BH139" i="56"/>
  <c r="BG139" i="56"/>
  <c r="BS138" i="56"/>
  <c r="BS137" i="56"/>
  <c r="BR121" i="56"/>
  <c r="BQ121" i="56"/>
  <c r="BP121" i="56"/>
  <c r="BO121" i="56"/>
  <c r="BN121" i="56"/>
  <c r="BM121" i="56"/>
  <c r="BL121" i="56"/>
  <c r="BK121" i="56"/>
  <c r="BJ121" i="56"/>
  <c r="BI121" i="56"/>
  <c r="BH121" i="56"/>
  <c r="BG121" i="56"/>
  <c r="BS120" i="56"/>
  <c r="BS119" i="56"/>
  <c r="BR118" i="56"/>
  <c r="BQ118" i="56"/>
  <c r="BP118" i="56"/>
  <c r="BO118" i="56"/>
  <c r="BN118" i="56"/>
  <c r="BM118" i="56"/>
  <c r="BL118" i="56"/>
  <c r="BK118" i="56"/>
  <c r="BJ118" i="56"/>
  <c r="BI118" i="56"/>
  <c r="BH118" i="56"/>
  <c r="BG118" i="56"/>
  <c r="BS117" i="56"/>
  <c r="BS116" i="56"/>
  <c r="BR115" i="56"/>
  <c r="BQ115" i="56"/>
  <c r="BP115" i="56"/>
  <c r="BO115" i="56"/>
  <c r="BN115" i="56"/>
  <c r="BM115" i="56"/>
  <c r="BL115" i="56"/>
  <c r="BK115" i="56"/>
  <c r="BJ115" i="56"/>
  <c r="BI115" i="56"/>
  <c r="BH115" i="56"/>
  <c r="BG115" i="56"/>
  <c r="BS114" i="56"/>
  <c r="BS113" i="56"/>
  <c r="BR112" i="56"/>
  <c r="BQ112" i="56"/>
  <c r="BP112" i="56"/>
  <c r="BO112" i="56"/>
  <c r="BN112" i="56"/>
  <c r="BM112" i="56"/>
  <c r="BL112" i="56"/>
  <c r="BK112" i="56"/>
  <c r="BJ112" i="56"/>
  <c r="BI112" i="56"/>
  <c r="BH112" i="56"/>
  <c r="BG112" i="56"/>
  <c r="BS111" i="56"/>
  <c r="BS110" i="56"/>
  <c r="BR109" i="56"/>
  <c r="BQ109" i="56"/>
  <c r="BP109" i="56"/>
  <c r="BO109" i="56"/>
  <c r="BN109" i="56"/>
  <c r="BM109" i="56"/>
  <c r="BL109" i="56"/>
  <c r="BK109" i="56"/>
  <c r="BJ109" i="56"/>
  <c r="BI109" i="56"/>
  <c r="BH109" i="56"/>
  <c r="BG109" i="56"/>
  <c r="BS108" i="56"/>
  <c r="BS107" i="56"/>
  <c r="BR24" i="56"/>
  <c r="BQ24" i="56"/>
  <c r="BP24" i="56"/>
  <c r="BO24" i="56"/>
  <c r="BN24" i="56"/>
  <c r="BM24" i="56"/>
  <c r="BL24" i="56"/>
  <c r="BK24" i="56"/>
  <c r="BJ24" i="56"/>
  <c r="BI24" i="56"/>
  <c r="BH24" i="56"/>
  <c r="BG24" i="56"/>
  <c r="BS23" i="56"/>
  <c r="BS22" i="56"/>
  <c r="BR21" i="56"/>
  <c r="BQ21" i="56"/>
  <c r="BP21" i="56"/>
  <c r="BO21" i="56"/>
  <c r="BN21" i="56"/>
  <c r="BM21" i="56"/>
  <c r="BL21" i="56"/>
  <c r="BK21" i="56"/>
  <c r="BJ21" i="56"/>
  <c r="BI21" i="56"/>
  <c r="BH21" i="56"/>
  <c r="BG21" i="56"/>
  <c r="BS20" i="56"/>
  <c r="BS19" i="56"/>
  <c r="BR18" i="56"/>
  <c r="BQ18" i="56"/>
  <c r="BP18" i="56"/>
  <c r="BO18" i="56"/>
  <c r="BN18" i="56"/>
  <c r="BM18" i="56"/>
  <c r="BL18" i="56"/>
  <c r="BK18" i="56"/>
  <c r="BJ18" i="56"/>
  <c r="BI18" i="56"/>
  <c r="BH18" i="56"/>
  <c r="BG18" i="56"/>
  <c r="BS17" i="56"/>
  <c r="BS16" i="56"/>
  <c r="BO215" i="56" l="1"/>
  <c r="BO219" i="56" s="1"/>
  <c r="BO5" i="56" s="1"/>
  <c r="BG11" i="53" s="1"/>
  <c r="BR210" i="56"/>
  <c r="BN210" i="56"/>
  <c r="BO210" i="56"/>
  <c r="BH214" i="56"/>
  <c r="BH218" i="56" s="1"/>
  <c r="BP210" i="56"/>
  <c r="BQ210" i="56"/>
  <c r="BG210" i="56"/>
  <c r="BB125" i="59"/>
  <c r="BB129" i="59"/>
  <c r="BN214" i="56"/>
  <c r="BN218" i="56" s="1"/>
  <c r="BN215" i="56"/>
  <c r="BN219" i="56" s="1"/>
  <c r="BN5" i="56" s="1"/>
  <c r="BF11" i="53" s="1"/>
  <c r="BP214" i="56"/>
  <c r="BP218" i="56" s="1"/>
  <c r="BQ214" i="56"/>
  <c r="BQ218" i="56" s="1"/>
  <c r="BQ215" i="56"/>
  <c r="BQ219" i="56" s="1"/>
  <c r="BQ5" i="56" s="1"/>
  <c r="BI11" i="53" s="1"/>
  <c r="BS139" i="56"/>
  <c r="BS224" i="56"/>
  <c r="BI214" i="56"/>
  <c r="BI218" i="56" s="1"/>
  <c r="BI215" i="56"/>
  <c r="BI219" i="56" s="1"/>
  <c r="BI5" i="56" s="1"/>
  <c r="BA11" i="53" s="1"/>
  <c r="BS109" i="56"/>
  <c r="BS121" i="56"/>
  <c r="BS142" i="56"/>
  <c r="BL231" i="56"/>
  <c r="BL233" i="56" s="1"/>
  <c r="BS227" i="56"/>
  <c r="BJ214" i="56"/>
  <c r="BM231" i="56"/>
  <c r="BJ231" i="56"/>
  <c r="BJ233" i="56" s="1"/>
  <c r="BS18" i="56"/>
  <c r="BS112" i="56"/>
  <c r="BS145" i="56"/>
  <c r="BN231" i="56"/>
  <c r="BN233" i="56" s="1"/>
  <c r="BL215" i="56"/>
  <c r="BL219" i="56" s="1"/>
  <c r="BL5" i="56" s="1"/>
  <c r="BD11" i="53" s="1"/>
  <c r="BO231" i="56"/>
  <c r="BO233" i="56" s="1"/>
  <c r="BM214" i="56"/>
  <c r="BM218" i="56" s="1"/>
  <c r="BS115" i="56"/>
  <c r="BS148" i="56"/>
  <c r="BP231" i="56"/>
  <c r="BP233" i="56" s="1"/>
  <c r="BQ231" i="56"/>
  <c r="BQ233" i="56" s="1"/>
  <c r="BI231" i="56"/>
  <c r="BI233" i="56" s="1"/>
  <c r="BG231" i="56"/>
  <c r="BS209" i="56"/>
  <c r="BS242" i="56"/>
  <c r="BS21" i="56"/>
  <c r="BH231" i="56"/>
  <c r="BH233" i="56" s="1"/>
  <c r="BR214" i="56"/>
  <c r="BR218" i="56" s="1"/>
  <c r="BR231" i="56"/>
  <c r="BR233" i="56" s="1"/>
  <c r="BK181" i="56"/>
  <c r="BS181" i="56" s="1"/>
  <c r="BO214" i="56"/>
  <c r="BL214" i="56"/>
  <c r="BL218" i="56" s="1"/>
  <c r="BH215" i="56"/>
  <c r="BH219" i="56" s="1"/>
  <c r="BH5" i="56" s="1"/>
  <c r="AZ11" i="53" s="1"/>
  <c r="BP215" i="56"/>
  <c r="BP219" i="56" s="1"/>
  <c r="BP5" i="56" s="1"/>
  <c r="BH11" i="53" s="1"/>
  <c r="BS118" i="56"/>
  <c r="BS230" i="56"/>
  <c r="BK214" i="56"/>
  <c r="BK218" i="56" s="1"/>
  <c r="BS24" i="56"/>
  <c r="BO105" i="56"/>
  <c r="BJ215" i="56"/>
  <c r="BJ219" i="56" s="1"/>
  <c r="BJ5" i="56" s="1"/>
  <c r="BB11" i="53" s="1"/>
  <c r="BR215" i="56"/>
  <c r="BR219" i="56" s="1"/>
  <c r="BR5" i="56" s="1"/>
  <c r="BJ11" i="53" s="1"/>
  <c r="BK105" i="56"/>
  <c r="BN105" i="56"/>
  <c r="BG105" i="56"/>
  <c r="BG214" i="56"/>
  <c r="BG218" i="56" s="1"/>
  <c r="BS207" i="56"/>
  <c r="BK231" i="56"/>
  <c r="BH105" i="56"/>
  <c r="BP105" i="56"/>
  <c r="BK215" i="56"/>
  <c r="BK219" i="56" s="1"/>
  <c r="BK5" i="56" s="1"/>
  <c r="BC11" i="53" s="1"/>
  <c r="BI105" i="56"/>
  <c r="BQ105" i="56"/>
  <c r="BJ105" i="56"/>
  <c r="BR105" i="56"/>
  <c r="BG232" i="56"/>
  <c r="BL105" i="56"/>
  <c r="BM105" i="56"/>
  <c r="BO216" i="56" l="1"/>
  <c r="BJ216" i="56"/>
  <c r="BJ218" i="56"/>
  <c r="BJ4" i="56" s="1"/>
  <c r="BB131" i="59"/>
  <c r="BB7" i="59"/>
  <c r="BQ216" i="56"/>
  <c r="BP216" i="56"/>
  <c r="BL216" i="56"/>
  <c r="BN216" i="56"/>
  <c r="BO218" i="56"/>
  <c r="BO220" i="56" s="1"/>
  <c r="BI216" i="56"/>
  <c r="BS231" i="56"/>
  <c r="BH216" i="56"/>
  <c r="BR216" i="56"/>
  <c r="BS214" i="56"/>
  <c r="BK216" i="56"/>
  <c r="BS105" i="56"/>
  <c r="BK233" i="56"/>
  <c r="BK220" i="56"/>
  <c r="BK4" i="56"/>
  <c r="BC5" i="53" s="1"/>
  <c r="BG233" i="56"/>
  <c r="BG4" i="56"/>
  <c r="AY5" i="53" s="1"/>
  <c r="BL220" i="56"/>
  <c r="BL4" i="56"/>
  <c r="BD5" i="53" s="1"/>
  <c r="BN220" i="56"/>
  <c r="BN4" i="56"/>
  <c r="BF5" i="53" s="1"/>
  <c r="BH220" i="56"/>
  <c r="BH4" i="56"/>
  <c r="AZ5" i="53" s="1"/>
  <c r="BR220" i="56"/>
  <c r="BR4" i="56"/>
  <c r="BJ5" i="53" s="1"/>
  <c r="BQ220" i="56"/>
  <c r="BQ4" i="56"/>
  <c r="BI5" i="53" s="1"/>
  <c r="BP220" i="56"/>
  <c r="BP4" i="56"/>
  <c r="BM4" i="56"/>
  <c r="BI220" i="56"/>
  <c r="BI4" i="56"/>
  <c r="BA5" i="53" s="1"/>
  <c r="BH5" i="53" l="1"/>
  <c r="BH269" i="56"/>
  <c r="BH266" i="56"/>
  <c r="BB5" i="53"/>
  <c r="BH267" i="56"/>
  <c r="BJ220" i="56"/>
  <c r="BE5" i="53"/>
  <c r="BO4" i="56"/>
  <c r="BG5" i="53" s="1"/>
  <c r="BS218" i="56"/>
  <c r="BB9" i="59"/>
  <c r="BB10" i="59"/>
  <c r="BB12" i="59" s="1"/>
  <c r="BB13" i="59" s="1"/>
  <c r="BJ6" i="56"/>
  <c r="BQ6" i="56"/>
  <c r="BP6" i="56"/>
  <c r="BK6" i="56"/>
  <c r="BI6" i="56"/>
  <c r="BL6" i="56"/>
  <c r="BH6" i="56"/>
  <c r="BR6" i="56"/>
  <c r="BN6" i="56"/>
  <c r="BH268" i="56" l="1"/>
  <c r="BH270" i="56" s="1"/>
  <c r="BI266" i="56" s="1"/>
  <c r="BS4" i="56"/>
  <c r="BO6" i="56"/>
  <c r="BC133" i="59"/>
  <c r="BC134" i="59" s="1"/>
  <c r="BI269" i="56" l="1"/>
  <c r="BI268" i="56"/>
  <c r="BI267" i="56"/>
  <c r="BC123" i="59"/>
  <c r="BC142" i="59"/>
  <c r="AT232" i="56"/>
  <c r="AG232" i="56"/>
  <c r="T232" i="56"/>
  <c r="H232" i="56"/>
  <c r="I232" i="56"/>
  <c r="J232" i="56"/>
  <c r="K232" i="56"/>
  <c r="L232" i="56"/>
  <c r="M232" i="56"/>
  <c r="N232" i="56"/>
  <c r="O232" i="56"/>
  <c r="P232" i="56"/>
  <c r="R232" i="56"/>
  <c r="G232" i="56"/>
  <c r="F232" i="56"/>
  <c r="F247" i="56" s="1"/>
  <c r="R198" i="56"/>
  <c r="Q198" i="56"/>
  <c r="P198" i="56"/>
  <c r="O198" i="56"/>
  <c r="N198" i="56"/>
  <c r="M198" i="56"/>
  <c r="L198" i="56"/>
  <c r="K198" i="56"/>
  <c r="J198" i="56"/>
  <c r="I198" i="56"/>
  <c r="H198" i="56"/>
  <c r="G198" i="56"/>
  <c r="F198" i="56"/>
  <c r="R190" i="56"/>
  <c r="Q190" i="56"/>
  <c r="P190" i="56"/>
  <c r="O190" i="56"/>
  <c r="N190" i="56"/>
  <c r="M190" i="56"/>
  <c r="L190" i="56"/>
  <c r="K190" i="56"/>
  <c r="J190" i="56"/>
  <c r="I190" i="56"/>
  <c r="H190" i="56"/>
  <c r="G190" i="56"/>
  <c r="F190" i="56"/>
  <c r="BE232" i="56"/>
  <c r="BD232" i="56"/>
  <c r="BC232" i="56"/>
  <c r="BB232" i="56"/>
  <c r="BA232" i="56"/>
  <c r="AW232" i="56"/>
  <c r="AV232" i="56"/>
  <c r="AU232" i="56"/>
  <c r="AQ232" i="56"/>
  <c r="AP232" i="56"/>
  <c r="AO232" i="56"/>
  <c r="AN232" i="56"/>
  <c r="AM232" i="56"/>
  <c r="AL232" i="56"/>
  <c r="AK232" i="56"/>
  <c r="AJ232" i="56"/>
  <c r="AH232" i="56"/>
  <c r="BC125" i="59" l="1"/>
  <c r="BC129" i="59"/>
  <c r="S232" i="56"/>
  <c r="AS232" i="56"/>
  <c r="AF232" i="56"/>
  <c r="BF232" i="56"/>
  <c r="S208" i="56"/>
  <c r="AS208" i="56"/>
  <c r="BF208" i="56"/>
  <c r="AF208" i="56"/>
  <c r="BC131" i="59" l="1"/>
  <c r="BC7" i="59"/>
  <c r="S196" i="56"/>
  <c r="AS196" i="56"/>
  <c r="BF196" i="56"/>
  <c r="BF192" i="56"/>
  <c r="BF188" i="56"/>
  <c r="BF184" i="56"/>
  <c r="AF192" i="56"/>
  <c r="S192" i="56"/>
  <c r="AS188" i="56"/>
  <c r="AF188" i="56"/>
  <c r="S187" i="56"/>
  <c r="S188" i="56"/>
  <c r="S184" i="56"/>
  <c r="AF184" i="56"/>
  <c r="AS184" i="56"/>
  <c r="BM208" i="56" l="1"/>
  <c r="BM194" i="56"/>
  <c r="BS194" i="56" s="1"/>
  <c r="BS192" i="56"/>
  <c r="E192" i="56" s="1"/>
  <c r="E188" i="56"/>
  <c r="E196" i="56"/>
  <c r="E184" i="56"/>
  <c r="DH184" i="56"/>
  <c r="BC9" i="59"/>
  <c r="BC10" i="59"/>
  <c r="BC12" i="59" s="1"/>
  <c r="BC13" i="59" s="1"/>
  <c r="DH188" i="56"/>
  <c r="DH196" i="56"/>
  <c r="DH192" i="56" l="1"/>
  <c r="BM232" i="56"/>
  <c r="BM210" i="56"/>
  <c r="BS210" i="56" s="1"/>
  <c r="BS208" i="56"/>
  <c r="DH208" i="56" s="1"/>
  <c r="BM215" i="56"/>
  <c r="E208" i="56"/>
  <c r="DI208" i="56" s="1"/>
  <c r="DI192" i="56"/>
  <c r="BD133" i="59"/>
  <c r="BD134" i="59" s="1"/>
  <c r="DI196" i="56"/>
  <c r="DJ196" i="56" s="1"/>
  <c r="DI184" i="56"/>
  <c r="DJ184" i="56" s="1"/>
  <c r="DI188" i="56"/>
  <c r="DJ188" i="56" s="1"/>
  <c r="I255" i="56"/>
  <c r="J255" i="56"/>
  <c r="K255" i="56"/>
  <c r="L255" i="56"/>
  <c r="M255" i="56"/>
  <c r="N255" i="56"/>
  <c r="O255" i="56"/>
  <c r="P255" i="56"/>
  <c r="Q255" i="56"/>
  <c r="R255" i="56"/>
  <c r="T255" i="56"/>
  <c r="U255" i="56"/>
  <c r="U256" i="56" s="1"/>
  <c r="V257" i="56" s="1"/>
  <c r="V255" i="56"/>
  <c r="W255" i="56"/>
  <c r="W256" i="56" s="1"/>
  <c r="X257" i="56" s="1"/>
  <c r="X255" i="56"/>
  <c r="Y255" i="56"/>
  <c r="Y256" i="56" s="1"/>
  <c r="Z257" i="56" s="1"/>
  <c r="Z255" i="56"/>
  <c r="AA255" i="56"/>
  <c r="AA256" i="56" s="1"/>
  <c r="AB257" i="56" s="1"/>
  <c r="AB255" i="56"/>
  <c r="AC255" i="56"/>
  <c r="AC256" i="56" s="1"/>
  <c r="AD257" i="56" s="1"/>
  <c r="AD255" i="56"/>
  <c r="AE255" i="56"/>
  <c r="AE256" i="56" s="1"/>
  <c r="AF257" i="56" s="1"/>
  <c r="AG255" i="56"/>
  <c r="AH255" i="56"/>
  <c r="AI255" i="56"/>
  <c r="AJ255" i="56"/>
  <c r="AK255" i="56"/>
  <c r="AL255" i="56"/>
  <c r="AM255" i="56"/>
  <c r="AN255" i="56"/>
  <c r="AO255" i="56"/>
  <c r="AP255" i="56"/>
  <c r="AQ255" i="56"/>
  <c r="AR255" i="56"/>
  <c r="AT255" i="56"/>
  <c r="AV255" i="56"/>
  <c r="AW255" i="56"/>
  <c r="AX255" i="56"/>
  <c r="AY255" i="56"/>
  <c r="AZ255" i="56"/>
  <c r="BA255" i="56"/>
  <c r="BB255" i="56"/>
  <c r="BC255" i="56"/>
  <c r="BD255" i="56"/>
  <c r="BE255" i="56"/>
  <c r="H255" i="56"/>
  <c r="G255" i="56"/>
  <c r="G256" i="56" s="1"/>
  <c r="H252" i="56"/>
  <c r="I252" i="56"/>
  <c r="J252" i="56"/>
  <c r="K252" i="56"/>
  <c r="L252" i="56"/>
  <c r="M252" i="56"/>
  <c r="N252" i="56"/>
  <c r="O252" i="56"/>
  <c r="P252" i="56"/>
  <c r="Q252" i="56"/>
  <c r="R252" i="56"/>
  <c r="T252" i="56"/>
  <c r="U252" i="56"/>
  <c r="V252" i="56"/>
  <c r="W252" i="56"/>
  <c r="X252" i="56"/>
  <c r="Y252" i="56"/>
  <c r="Z252" i="56"/>
  <c r="AA252" i="56"/>
  <c r="AB252" i="56"/>
  <c r="AC252" i="56"/>
  <c r="AD252" i="56"/>
  <c r="AE252" i="56"/>
  <c r="AG252" i="56"/>
  <c r="AH252" i="56"/>
  <c r="AI252" i="56"/>
  <c r="AJ252" i="56"/>
  <c r="AK252" i="56"/>
  <c r="AL252" i="56"/>
  <c r="AM252" i="56"/>
  <c r="AN252" i="56"/>
  <c r="AO252" i="56"/>
  <c r="AP252" i="56"/>
  <c r="AQ252" i="56"/>
  <c r="AR252" i="56"/>
  <c r="AT252" i="56"/>
  <c r="AU252" i="56"/>
  <c r="AV252" i="56"/>
  <c r="AW252" i="56"/>
  <c r="AX252" i="56"/>
  <c r="AY252" i="56"/>
  <c r="AZ252" i="56"/>
  <c r="BA252" i="56"/>
  <c r="BB252" i="56"/>
  <c r="BC252" i="56"/>
  <c r="BD252" i="56"/>
  <c r="BE252" i="56"/>
  <c r="G252" i="56"/>
  <c r="G253" i="56" s="1"/>
  <c r="G254" i="56" s="1"/>
  <c r="G238" i="56" s="1"/>
  <c r="G250" i="56"/>
  <c r="G251" i="56" s="1"/>
  <c r="AX14" i="53"/>
  <c r="AW14" i="53"/>
  <c r="AV14" i="53"/>
  <c r="AU14" i="53"/>
  <c r="AT14" i="53"/>
  <c r="AS14" i="53"/>
  <c r="AR14" i="53"/>
  <c r="AQ14" i="53"/>
  <c r="AP14" i="53"/>
  <c r="AO14" i="53"/>
  <c r="AN14" i="53"/>
  <c r="AM14" i="53"/>
  <c r="AL14" i="53"/>
  <c r="AK14" i="53"/>
  <c r="AJ14" i="53"/>
  <c r="AI14" i="53"/>
  <c r="AH14" i="53"/>
  <c r="AG14" i="53"/>
  <c r="AF14" i="53"/>
  <c r="AE14" i="53"/>
  <c r="AD14" i="53"/>
  <c r="AC14" i="53"/>
  <c r="AB14" i="53"/>
  <c r="AA14" i="53"/>
  <c r="Z14" i="53"/>
  <c r="Y14" i="53"/>
  <c r="X14" i="53"/>
  <c r="W14" i="53"/>
  <c r="V14" i="53"/>
  <c r="U14" i="53"/>
  <c r="T14" i="53"/>
  <c r="S14" i="53"/>
  <c r="R14" i="53"/>
  <c r="Q14" i="53"/>
  <c r="P14" i="53"/>
  <c r="O14" i="53"/>
  <c r="D14" i="53"/>
  <c r="E14" i="53"/>
  <c r="F14" i="53"/>
  <c r="G14" i="53"/>
  <c r="H14" i="53"/>
  <c r="I14" i="53"/>
  <c r="J14" i="53"/>
  <c r="K14" i="53"/>
  <c r="L14" i="53"/>
  <c r="M14" i="53"/>
  <c r="N14" i="53"/>
  <c r="C14" i="53"/>
  <c r="AX13" i="53"/>
  <c r="AW13" i="53"/>
  <c r="AV13" i="53"/>
  <c r="AU13" i="53"/>
  <c r="AT13" i="53"/>
  <c r="AS13" i="53"/>
  <c r="AR13" i="53"/>
  <c r="AQ13" i="53"/>
  <c r="AP13" i="53"/>
  <c r="AO13" i="53"/>
  <c r="AN13" i="53"/>
  <c r="AM13" i="53"/>
  <c r="AL13" i="53"/>
  <c r="AK13" i="53"/>
  <c r="AJ13" i="53"/>
  <c r="AI13" i="53"/>
  <c r="AH13" i="53"/>
  <c r="AG13" i="53"/>
  <c r="AF13" i="53"/>
  <c r="AE13" i="53"/>
  <c r="AD13" i="53"/>
  <c r="AC13" i="53"/>
  <c r="AB13" i="53"/>
  <c r="AA13" i="53"/>
  <c r="Z13" i="53"/>
  <c r="Y13" i="53"/>
  <c r="X13" i="53"/>
  <c r="W13" i="53"/>
  <c r="V13" i="53"/>
  <c r="U13" i="53"/>
  <c r="T13" i="53"/>
  <c r="S13" i="53"/>
  <c r="R13" i="53"/>
  <c r="Q13" i="53"/>
  <c r="P13" i="53"/>
  <c r="O13" i="53"/>
  <c r="D13" i="53"/>
  <c r="E13" i="53"/>
  <c r="F13" i="53"/>
  <c r="G13" i="53"/>
  <c r="H13" i="53"/>
  <c r="I13" i="53"/>
  <c r="J13" i="53"/>
  <c r="K13" i="53"/>
  <c r="L13" i="53"/>
  <c r="M13" i="53"/>
  <c r="N13" i="53"/>
  <c r="C13" i="53"/>
  <c r="AX12" i="53"/>
  <c r="AW12" i="53"/>
  <c r="AV12" i="53"/>
  <c r="AU12" i="53"/>
  <c r="AS12" i="53"/>
  <c r="AP12" i="53"/>
  <c r="AO12" i="53"/>
  <c r="AN12" i="53"/>
  <c r="AM12" i="53"/>
  <c r="AL12" i="53"/>
  <c r="AK12" i="53"/>
  <c r="AJ12" i="53"/>
  <c r="AI12" i="53"/>
  <c r="AH12" i="53"/>
  <c r="AG12" i="53"/>
  <c r="AF12" i="53"/>
  <c r="AE12" i="53"/>
  <c r="AD12" i="53"/>
  <c r="AC12" i="53"/>
  <c r="AB12" i="53"/>
  <c r="AA12" i="53"/>
  <c r="Z12" i="53"/>
  <c r="Y12" i="53"/>
  <c r="X12" i="53"/>
  <c r="W12" i="53"/>
  <c r="V12" i="53"/>
  <c r="U12" i="53"/>
  <c r="T12" i="53"/>
  <c r="S12" i="53"/>
  <c r="R12" i="53"/>
  <c r="Q12" i="53"/>
  <c r="P12" i="53"/>
  <c r="O12" i="53"/>
  <c r="D12" i="53"/>
  <c r="E12" i="53"/>
  <c r="F12" i="53"/>
  <c r="G12" i="53"/>
  <c r="H12" i="53"/>
  <c r="I12" i="53"/>
  <c r="J12" i="53"/>
  <c r="K12" i="53"/>
  <c r="L12" i="53"/>
  <c r="M12" i="53"/>
  <c r="N12" i="53"/>
  <c r="C12" i="53"/>
  <c r="AX8" i="53"/>
  <c r="AW8" i="53"/>
  <c r="AV8" i="53"/>
  <c r="AU8" i="53"/>
  <c r="AT8" i="53"/>
  <c r="AS8" i="53"/>
  <c r="AR8" i="53"/>
  <c r="AQ8" i="53"/>
  <c r="AP8" i="53"/>
  <c r="AO8" i="53"/>
  <c r="AN8" i="53"/>
  <c r="AM8" i="53"/>
  <c r="AL8" i="53"/>
  <c r="AK8" i="53"/>
  <c r="AJ8" i="53"/>
  <c r="AI8" i="53"/>
  <c r="AH8" i="53"/>
  <c r="AG8" i="53"/>
  <c r="AF8" i="53"/>
  <c r="AE8" i="53"/>
  <c r="AD8" i="53"/>
  <c r="AC8" i="53"/>
  <c r="AB8" i="53"/>
  <c r="AA8" i="53"/>
  <c r="Z8" i="53"/>
  <c r="Y8" i="53"/>
  <c r="X8" i="53"/>
  <c r="W8" i="53"/>
  <c r="V8" i="53"/>
  <c r="U8" i="53"/>
  <c r="T8" i="53"/>
  <c r="S8" i="53"/>
  <c r="R8" i="53"/>
  <c r="Q8" i="53"/>
  <c r="O8" i="53"/>
  <c r="D8" i="53"/>
  <c r="E8" i="53"/>
  <c r="F8" i="53"/>
  <c r="G8" i="53"/>
  <c r="H8" i="53"/>
  <c r="I8" i="53"/>
  <c r="J8" i="53"/>
  <c r="K8" i="53"/>
  <c r="L8" i="53"/>
  <c r="M8" i="53"/>
  <c r="N8" i="53"/>
  <c r="C8" i="53"/>
  <c r="AX7" i="53"/>
  <c r="AW7" i="53"/>
  <c r="AV7" i="53"/>
  <c r="AU7" i="53"/>
  <c r="AT7" i="53"/>
  <c r="AS7" i="53"/>
  <c r="AR7" i="53"/>
  <c r="AQ7" i="53"/>
  <c r="AP7" i="53"/>
  <c r="AO7" i="53"/>
  <c r="AN7" i="53"/>
  <c r="AM7" i="53"/>
  <c r="AL7" i="53"/>
  <c r="AK7" i="53"/>
  <c r="AJ7" i="53"/>
  <c r="AI7" i="53"/>
  <c r="AH7" i="53"/>
  <c r="AG7" i="53"/>
  <c r="AF7" i="53"/>
  <c r="AE7" i="53"/>
  <c r="AD7" i="53"/>
  <c r="AC7" i="53"/>
  <c r="AB7" i="53"/>
  <c r="AA7" i="53"/>
  <c r="Z7" i="53"/>
  <c r="Y7" i="53"/>
  <c r="X7" i="53"/>
  <c r="W7" i="53"/>
  <c r="V7" i="53"/>
  <c r="U7" i="53"/>
  <c r="T7" i="53"/>
  <c r="S7" i="53"/>
  <c r="R7" i="53"/>
  <c r="Q7" i="53"/>
  <c r="O7" i="53"/>
  <c r="D7" i="53"/>
  <c r="E7" i="53"/>
  <c r="F7" i="53"/>
  <c r="G7" i="53"/>
  <c r="H7" i="53"/>
  <c r="I7" i="53"/>
  <c r="J7" i="53"/>
  <c r="K7" i="53"/>
  <c r="L7" i="53"/>
  <c r="M7" i="53"/>
  <c r="N7" i="53"/>
  <c r="C7" i="53"/>
  <c r="AX6" i="53"/>
  <c r="AW6" i="53"/>
  <c r="AV6" i="53"/>
  <c r="AU6" i="53"/>
  <c r="AT6" i="53"/>
  <c r="AS6" i="53"/>
  <c r="AR6" i="53"/>
  <c r="AQ6" i="53"/>
  <c r="AP6" i="53"/>
  <c r="AO6" i="53"/>
  <c r="AN6" i="53"/>
  <c r="AM6" i="53"/>
  <c r="AL6" i="53"/>
  <c r="AK6" i="53"/>
  <c r="AJ6" i="53"/>
  <c r="AI6" i="53"/>
  <c r="AH6" i="53"/>
  <c r="AG6" i="53"/>
  <c r="AF6" i="53"/>
  <c r="AE6" i="53"/>
  <c r="AD6" i="53"/>
  <c r="AC6" i="53"/>
  <c r="AB6" i="53"/>
  <c r="AA6" i="53"/>
  <c r="Z6" i="53"/>
  <c r="Y6" i="53"/>
  <c r="X6" i="53"/>
  <c r="W6" i="53"/>
  <c r="V6" i="53"/>
  <c r="U6" i="53"/>
  <c r="T6" i="53"/>
  <c r="S6" i="53"/>
  <c r="R6" i="53"/>
  <c r="Q6" i="53"/>
  <c r="O6" i="53"/>
  <c r="D6" i="53"/>
  <c r="E6" i="53"/>
  <c r="F6" i="53"/>
  <c r="G6" i="53"/>
  <c r="H6" i="53"/>
  <c r="I6" i="53"/>
  <c r="J6" i="53"/>
  <c r="K6" i="53"/>
  <c r="L6" i="53"/>
  <c r="M6" i="53"/>
  <c r="N6" i="53"/>
  <c r="C6" i="53"/>
  <c r="BF241" i="56"/>
  <c r="BF234" i="56"/>
  <c r="BF229" i="56"/>
  <c r="BF228" i="56"/>
  <c r="BF252" i="56" s="1"/>
  <c r="BF226" i="56"/>
  <c r="BF225" i="56"/>
  <c r="BF223" i="56"/>
  <c r="BF222" i="56"/>
  <c r="BF197" i="56"/>
  <c r="BF195" i="56"/>
  <c r="BF193" i="56"/>
  <c r="BF191" i="56"/>
  <c r="BF189" i="56"/>
  <c r="BF187" i="56"/>
  <c r="BF185" i="56"/>
  <c r="BF183" i="56"/>
  <c r="BF146" i="56"/>
  <c r="BF144" i="56"/>
  <c r="BF143" i="56"/>
  <c r="BF141" i="56"/>
  <c r="BF140" i="56"/>
  <c r="BF138" i="56"/>
  <c r="BF137" i="56"/>
  <c r="BF120" i="56"/>
  <c r="BF119" i="56"/>
  <c r="BF117" i="56"/>
  <c r="BF116" i="56"/>
  <c r="BF114" i="56"/>
  <c r="BF113" i="56"/>
  <c r="BF111" i="56"/>
  <c r="BF110" i="56"/>
  <c r="BF108" i="56"/>
  <c r="BF107" i="56"/>
  <c r="BF20" i="56"/>
  <c r="BF19" i="56"/>
  <c r="DM17" i="56"/>
  <c r="BF16" i="56"/>
  <c r="AS241" i="56"/>
  <c r="AS234" i="56"/>
  <c r="AS229" i="56"/>
  <c r="AS228" i="56"/>
  <c r="AS252" i="56" s="1"/>
  <c r="AS226" i="56"/>
  <c r="AS225" i="56"/>
  <c r="AS223" i="56"/>
  <c r="AS222" i="56"/>
  <c r="AS197" i="56"/>
  <c r="AS195" i="56"/>
  <c r="AS189" i="56"/>
  <c r="AS187" i="56"/>
  <c r="AS185" i="56"/>
  <c r="AS183" i="56"/>
  <c r="AS143" i="56"/>
  <c r="AS138" i="56"/>
  <c r="AS137" i="56"/>
  <c r="AS119" i="56"/>
  <c r="AS116" i="56"/>
  <c r="AS114" i="56"/>
  <c r="AS113" i="56"/>
  <c r="AS111" i="56"/>
  <c r="AS110" i="56"/>
  <c r="AS20" i="56"/>
  <c r="AS19" i="56"/>
  <c r="AF241" i="56"/>
  <c r="AF234" i="56"/>
  <c r="AF229" i="56"/>
  <c r="AF228" i="56"/>
  <c r="AF226" i="56"/>
  <c r="AF225" i="56"/>
  <c r="AF223" i="56"/>
  <c r="AF222" i="56"/>
  <c r="AF212" i="56"/>
  <c r="AS212" i="56" s="1"/>
  <c r="AF195" i="56"/>
  <c r="AF191" i="56"/>
  <c r="AF189" i="56"/>
  <c r="AF187" i="56"/>
  <c r="AF185" i="56"/>
  <c r="AF183" i="56"/>
  <c r="AF146" i="56"/>
  <c r="AF143" i="56"/>
  <c r="AF140" i="56"/>
  <c r="AF138" i="56"/>
  <c r="AF137" i="56"/>
  <c r="AF119" i="56"/>
  <c r="AF116" i="56"/>
  <c r="AF114" i="56"/>
  <c r="AF113" i="56"/>
  <c r="AF111" i="56"/>
  <c r="AF110" i="56"/>
  <c r="AF108" i="56"/>
  <c r="AF107" i="56"/>
  <c r="AF20" i="56"/>
  <c r="AF19" i="56"/>
  <c r="AF17" i="56"/>
  <c r="AF16" i="56"/>
  <c r="T18" i="56"/>
  <c r="U18" i="56"/>
  <c r="V18" i="56"/>
  <c r="W18" i="56"/>
  <c r="X18" i="56"/>
  <c r="Y18" i="56"/>
  <c r="Z18" i="56"/>
  <c r="AA18" i="56"/>
  <c r="AB18" i="56"/>
  <c r="AC18" i="56"/>
  <c r="AD18" i="56"/>
  <c r="AE18" i="56"/>
  <c r="T21" i="56"/>
  <c r="U21" i="56"/>
  <c r="V21" i="56"/>
  <c r="W21" i="56"/>
  <c r="X21" i="56"/>
  <c r="Y21" i="56"/>
  <c r="Z21" i="56"/>
  <c r="AA21" i="56"/>
  <c r="AB21" i="56"/>
  <c r="AC21" i="56"/>
  <c r="AD21" i="56"/>
  <c r="AE21" i="56"/>
  <c r="T24" i="56"/>
  <c r="U24" i="56"/>
  <c r="V24" i="56"/>
  <c r="W24" i="56"/>
  <c r="X24" i="56"/>
  <c r="Y24" i="56"/>
  <c r="Z24" i="56"/>
  <c r="AA24" i="56"/>
  <c r="AB24" i="56"/>
  <c r="AC24" i="56"/>
  <c r="AD24" i="56"/>
  <c r="AE24" i="56"/>
  <c r="T109" i="56"/>
  <c r="U109" i="56"/>
  <c r="V109" i="56"/>
  <c r="W109" i="56"/>
  <c r="X109" i="56"/>
  <c r="Y109" i="56"/>
  <c r="Z109" i="56"/>
  <c r="AA109" i="56"/>
  <c r="AB109" i="56"/>
  <c r="AC109" i="56"/>
  <c r="AD109" i="56"/>
  <c r="AE109" i="56"/>
  <c r="T112" i="56"/>
  <c r="U112" i="56"/>
  <c r="V112" i="56"/>
  <c r="W112" i="56"/>
  <c r="X112" i="56"/>
  <c r="Y112" i="56"/>
  <c r="Z112" i="56"/>
  <c r="AA112" i="56"/>
  <c r="AB112" i="56"/>
  <c r="AC112" i="56"/>
  <c r="AD112" i="56"/>
  <c r="AE112" i="56"/>
  <c r="T115" i="56"/>
  <c r="U115" i="56"/>
  <c r="V115" i="56"/>
  <c r="W115" i="56"/>
  <c r="X115" i="56"/>
  <c r="Y115" i="56"/>
  <c r="Z115" i="56"/>
  <c r="AA115" i="56"/>
  <c r="AB115" i="56"/>
  <c r="AC115" i="56"/>
  <c r="AD115" i="56"/>
  <c r="AE115" i="56"/>
  <c r="T121" i="56"/>
  <c r="U121" i="56"/>
  <c r="V121" i="56"/>
  <c r="W121" i="56"/>
  <c r="T139" i="56"/>
  <c r="U139" i="56"/>
  <c r="V139" i="56"/>
  <c r="W139" i="56"/>
  <c r="X139" i="56"/>
  <c r="Y139" i="56"/>
  <c r="Z139" i="56"/>
  <c r="AA139" i="56"/>
  <c r="AB139" i="56"/>
  <c r="AC139" i="56"/>
  <c r="AD139" i="56"/>
  <c r="AE139" i="56"/>
  <c r="T142" i="56"/>
  <c r="U142" i="56"/>
  <c r="V142" i="56"/>
  <c r="W142" i="56"/>
  <c r="T145" i="56"/>
  <c r="U145" i="56"/>
  <c r="V145" i="56"/>
  <c r="W145" i="56"/>
  <c r="T148" i="56"/>
  <c r="U148" i="56"/>
  <c r="V148" i="56"/>
  <c r="W148" i="56"/>
  <c r="X148" i="56"/>
  <c r="Y148" i="56"/>
  <c r="T207" i="56"/>
  <c r="U207" i="56"/>
  <c r="V207" i="56"/>
  <c r="W207" i="56"/>
  <c r="X207" i="56"/>
  <c r="Y207" i="56"/>
  <c r="Z207" i="56"/>
  <c r="AA207" i="56"/>
  <c r="AB207" i="56"/>
  <c r="AC207" i="56"/>
  <c r="AD207" i="56"/>
  <c r="AE207" i="56"/>
  <c r="T209" i="56"/>
  <c r="U209" i="56"/>
  <c r="V209" i="56"/>
  <c r="W209" i="56"/>
  <c r="X209" i="56"/>
  <c r="Y209" i="56"/>
  <c r="Z209" i="56"/>
  <c r="AA209" i="56"/>
  <c r="AB209" i="56"/>
  <c r="AC209" i="56"/>
  <c r="AD209" i="56"/>
  <c r="AE209" i="56"/>
  <c r="T224" i="56"/>
  <c r="U224" i="56"/>
  <c r="V224" i="56"/>
  <c r="W224" i="56"/>
  <c r="X224" i="56"/>
  <c r="Y224" i="56"/>
  <c r="Z224" i="56"/>
  <c r="AA224" i="56"/>
  <c r="AB224" i="56"/>
  <c r="AC224" i="56"/>
  <c r="AD224" i="56"/>
  <c r="AE224" i="56"/>
  <c r="T227" i="56"/>
  <c r="U227" i="56"/>
  <c r="V227" i="56"/>
  <c r="W227" i="56"/>
  <c r="X227" i="56"/>
  <c r="Y227" i="56"/>
  <c r="Z227" i="56"/>
  <c r="AA227" i="56"/>
  <c r="AB227" i="56"/>
  <c r="AC227" i="56"/>
  <c r="AD227" i="56"/>
  <c r="AE227" i="56"/>
  <c r="T230" i="56"/>
  <c r="U230" i="56"/>
  <c r="V230" i="56"/>
  <c r="W230" i="56"/>
  <c r="X230" i="56"/>
  <c r="Y230" i="56"/>
  <c r="Z230" i="56"/>
  <c r="AA230" i="56"/>
  <c r="AB230" i="56"/>
  <c r="AC230" i="56"/>
  <c r="AD230" i="56"/>
  <c r="AE230" i="56"/>
  <c r="S223" i="56"/>
  <c r="S225" i="56"/>
  <c r="S226" i="56"/>
  <c r="S228" i="56"/>
  <c r="S229" i="56"/>
  <c r="S234" i="56"/>
  <c r="S241" i="56"/>
  <c r="S222" i="56"/>
  <c r="S212" i="56"/>
  <c r="S185" i="56"/>
  <c r="S189" i="56"/>
  <c r="S191" i="56"/>
  <c r="S195" i="56"/>
  <c r="S197" i="56"/>
  <c r="S183" i="56"/>
  <c r="S108" i="56"/>
  <c r="S110" i="56"/>
  <c r="S111" i="56"/>
  <c r="S113" i="56"/>
  <c r="S114" i="56"/>
  <c r="S116" i="56"/>
  <c r="S117" i="56"/>
  <c r="S119" i="56"/>
  <c r="S120" i="56"/>
  <c r="S137" i="56"/>
  <c r="S138" i="56"/>
  <c r="S140" i="56"/>
  <c r="S141" i="56"/>
  <c r="S143" i="56"/>
  <c r="S144" i="56"/>
  <c r="S146" i="56"/>
  <c r="S147" i="56"/>
  <c r="S107" i="56"/>
  <c r="S17" i="56"/>
  <c r="S19" i="56"/>
  <c r="S20" i="56"/>
  <c r="F20" i="56" s="1"/>
  <c r="S22" i="56"/>
  <c r="S23" i="56"/>
  <c r="DM23" i="56" s="1"/>
  <c r="S16" i="56"/>
  <c r="F8" i="56"/>
  <c r="F242" i="56"/>
  <c r="G242" i="56"/>
  <c r="F239" i="56"/>
  <c r="F236" i="56"/>
  <c r="BE230" i="56"/>
  <c r="BD230" i="56"/>
  <c r="BC230" i="56"/>
  <c r="BB230" i="56"/>
  <c r="BA230" i="56"/>
  <c r="AZ230" i="56"/>
  <c r="AY230" i="56"/>
  <c r="AX230" i="56"/>
  <c r="AW230" i="56"/>
  <c r="AV230" i="56"/>
  <c r="AU230" i="56"/>
  <c r="AT230" i="56"/>
  <c r="AR230" i="56"/>
  <c r="AQ230" i="56"/>
  <c r="AP230" i="56"/>
  <c r="AO230" i="56"/>
  <c r="AN230" i="56"/>
  <c r="AM230" i="56"/>
  <c r="AL230" i="56"/>
  <c r="AK230" i="56"/>
  <c r="AJ230" i="56"/>
  <c r="AI230" i="56"/>
  <c r="AH230" i="56"/>
  <c r="AG230" i="56"/>
  <c r="R230" i="56"/>
  <c r="Q230" i="56"/>
  <c r="P230" i="56"/>
  <c r="O230" i="56"/>
  <c r="N230" i="56"/>
  <c r="M230" i="56"/>
  <c r="L230" i="56"/>
  <c r="K230" i="56"/>
  <c r="J230" i="56"/>
  <c r="I230" i="56"/>
  <c r="H230" i="56"/>
  <c r="G230" i="56"/>
  <c r="F230" i="56"/>
  <c r="BE227" i="56"/>
  <c r="BD227" i="56"/>
  <c r="BC227" i="56"/>
  <c r="BB227" i="56"/>
  <c r="BA227" i="56"/>
  <c r="AZ227" i="56"/>
  <c r="AY227" i="56"/>
  <c r="AX227" i="56"/>
  <c r="AW227" i="56"/>
  <c r="AV227" i="56"/>
  <c r="AU227" i="56"/>
  <c r="AT227" i="56"/>
  <c r="AR227" i="56"/>
  <c r="AQ227" i="56"/>
  <c r="AP227" i="56"/>
  <c r="AO227" i="56"/>
  <c r="AN227" i="56"/>
  <c r="AM227" i="56"/>
  <c r="AL227" i="56"/>
  <c r="AK227" i="56"/>
  <c r="AJ227" i="56"/>
  <c r="AI227" i="56"/>
  <c r="AH227" i="56"/>
  <c r="AG227" i="56"/>
  <c r="R227" i="56"/>
  <c r="Q227" i="56"/>
  <c r="P227" i="56"/>
  <c r="O227" i="56"/>
  <c r="N227" i="56"/>
  <c r="M227" i="56"/>
  <c r="L227" i="56"/>
  <c r="K227" i="56"/>
  <c r="J227" i="56"/>
  <c r="I227" i="56"/>
  <c r="H227" i="56"/>
  <c r="G227" i="56"/>
  <c r="F227" i="56"/>
  <c r="BE224" i="56"/>
  <c r="BD224" i="56"/>
  <c r="BC224" i="56"/>
  <c r="BB224" i="56"/>
  <c r="BA224" i="56"/>
  <c r="AZ224" i="56"/>
  <c r="AY224" i="56"/>
  <c r="AX224" i="56"/>
  <c r="AW224" i="56"/>
  <c r="AV224" i="56"/>
  <c r="AU224" i="56"/>
  <c r="AT224" i="56"/>
  <c r="AR224" i="56"/>
  <c r="AQ224" i="56"/>
  <c r="AP224" i="56"/>
  <c r="AO224" i="56"/>
  <c r="AN224" i="56"/>
  <c r="AM224" i="56"/>
  <c r="AL224" i="56"/>
  <c r="AK224" i="56"/>
  <c r="AJ224" i="56"/>
  <c r="AI224" i="56"/>
  <c r="AH224" i="56"/>
  <c r="AG224" i="56"/>
  <c r="R224" i="56"/>
  <c r="Q224" i="56"/>
  <c r="P224" i="56"/>
  <c r="O224" i="56"/>
  <c r="N224" i="56"/>
  <c r="M224" i="56"/>
  <c r="L224" i="56"/>
  <c r="K224" i="56"/>
  <c r="J224" i="56"/>
  <c r="I224" i="56"/>
  <c r="H224" i="56"/>
  <c r="G224" i="56"/>
  <c r="F224" i="56"/>
  <c r="R209" i="56"/>
  <c r="Q209" i="56"/>
  <c r="P209" i="56"/>
  <c r="O209" i="56"/>
  <c r="N209" i="56"/>
  <c r="M209" i="56"/>
  <c r="L209" i="56"/>
  <c r="K209" i="56"/>
  <c r="J209" i="56"/>
  <c r="I209" i="56"/>
  <c r="H209" i="56"/>
  <c r="G209" i="56"/>
  <c r="F209" i="56"/>
  <c r="BB210" i="56"/>
  <c r="R207" i="56"/>
  <c r="Q207" i="56"/>
  <c r="P207" i="56"/>
  <c r="O207" i="56"/>
  <c r="N207" i="56"/>
  <c r="M207" i="56"/>
  <c r="L207" i="56"/>
  <c r="K207" i="56"/>
  <c r="J207" i="56"/>
  <c r="I207" i="56"/>
  <c r="H207" i="56"/>
  <c r="G207" i="56"/>
  <c r="F207" i="56"/>
  <c r="R148" i="56"/>
  <c r="Q148" i="56"/>
  <c r="P148" i="56"/>
  <c r="O148" i="56"/>
  <c r="N148" i="56"/>
  <c r="M148" i="56"/>
  <c r="L148" i="56"/>
  <c r="K148" i="56"/>
  <c r="J148" i="56"/>
  <c r="I148" i="56"/>
  <c r="H148" i="56"/>
  <c r="G148" i="56"/>
  <c r="F148" i="56"/>
  <c r="BE145" i="56"/>
  <c r="BD145" i="56"/>
  <c r="BC145" i="56"/>
  <c r="BB145" i="56"/>
  <c r="BA145" i="56"/>
  <c r="AZ145" i="56"/>
  <c r="AY145" i="56"/>
  <c r="AX145" i="56"/>
  <c r="AW145" i="56"/>
  <c r="AV145" i="56"/>
  <c r="AU145" i="56"/>
  <c r="AT145" i="56"/>
  <c r="R145" i="56"/>
  <c r="Q145" i="56"/>
  <c r="P145" i="56"/>
  <c r="O145" i="56"/>
  <c r="N145" i="56"/>
  <c r="M145" i="56"/>
  <c r="L145" i="56"/>
  <c r="K145" i="56"/>
  <c r="J145" i="56"/>
  <c r="I145" i="56"/>
  <c r="H145" i="56"/>
  <c r="G145" i="56"/>
  <c r="F145" i="56"/>
  <c r="BE142" i="56"/>
  <c r="BD142" i="56"/>
  <c r="BC142" i="56"/>
  <c r="BB142" i="56"/>
  <c r="BA142" i="56"/>
  <c r="AZ142" i="56"/>
  <c r="AY142" i="56"/>
  <c r="AX142" i="56"/>
  <c r="AW142" i="56"/>
  <c r="AV142" i="56"/>
  <c r="AU142" i="56"/>
  <c r="AT142" i="56"/>
  <c r="R142" i="56"/>
  <c r="Q142" i="56"/>
  <c r="P142" i="56"/>
  <c r="O142" i="56"/>
  <c r="N142" i="56"/>
  <c r="M142" i="56"/>
  <c r="L142" i="56"/>
  <c r="K142" i="56"/>
  <c r="J142" i="56"/>
  <c r="I142" i="56"/>
  <c r="H142" i="56"/>
  <c r="G142" i="56"/>
  <c r="F142" i="56"/>
  <c r="BE139" i="56"/>
  <c r="BD139" i="56"/>
  <c r="BC139" i="56"/>
  <c r="BB139" i="56"/>
  <c r="BA139" i="56"/>
  <c r="AZ139" i="56"/>
  <c r="AY139" i="56"/>
  <c r="AX139" i="56"/>
  <c r="AW139" i="56"/>
  <c r="AV139" i="56"/>
  <c r="AU139" i="56"/>
  <c r="AT139" i="56"/>
  <c r="AR139" i="56"/>
  <c r="AQ139" i="56"/>
  <c r="AP139" i="56"/>
  <c r="AO139" i="56"/>
  <c r="AN139" i="56"/>
  <c r="AM139" i="56"/>
  <c r="AL139" i="56"/>
  <c r="AK139" i="56"/>
  <c r="AJ139" i="56"/>
  <c r="AI139" i="56"/>
  <c r="AH139" i="56"/>
  <c r="AG139" i="56"/>
  <c r="R139" i="56"/>
  <c r="Q139" i="56"/>
  <c r="P139" i="56"/>
  <c r="O139" i="56"/>
  <c r="N139" i="56"/>
  <c r="M139" i="56"/>
  <c r="L139" i="56"/>
  <c r="K139" i="56"/>
  <c r="J139" i="56"/>
  <c r="I139" i="56"/>
  <c r="H139" i="56"/>
  <c r="G139" i="56"/>
  <c r="F139" i="56"/>
  <c r="BE121" i="56"/>
  <c r="BD121" i="56"/>
  <c r="BC121" i="56"/>
  <c r="BB121" i="56"/>
  <c r="BA121" i="56"/>
  <c r="AZ121" i="56"/>
  <c r="AY121" i="56"/>
  <c r="AX121" i="56"/>
  <c r="AW121" i="56"/>
  <c r="AV121" i="56"/>
  <c r="AU121" i="56"/>
  <c r="AT121" i="56"/>
  <c r="R121" i="56"/>
  <c r="Q121" i="56"/>
  <c r="P121" i="56"/>
  <c r="O121" i="56"/>
  <c r="N121" i="56"/>
  <c r="M121" i="56"/>
  <c r="L121" i="56"/>
  <c r="K121" i="56"/>
  <c r="J121" i="56"/>
  <c r="I121" i="56"/>
  <c r="G121" i="56"/>
  <c r="F121" i="56"/>
  <c r="BE118" i="56"/>
  <c r="BD118" i="56"/>
  <c r="BC118" i="56"/>
  <c r="BB118" i="56"/>
  <c r="BA118" i="56"/>
  <c r="AZ118" i="56"/>
  <c r="AY118" i="56"/>
  <c r="AX118" i="56"/>
  <c r="AW118" i="56"/>
  <c r="AV118" i="56"/>
  <c r="AU118" i="56"/>
  <c r="AT118" i="56"/>
  <c r="R118" i="56"/>
  <c r="Q118" i="56"/>
  <c r="P118" i="56"/>
  <c r="O118" i="56"/>
  <c r="N118" i="56"/>
  <c r="M118" i="56"/>
  <c r="L118" i="56"/>
  <c r="K118" i="56"/>
  <c r="J118" i="56"/>
  <c r="I118" i="56"/>
  <c r="H118" i="56"/>
  <c r="G118" i="56"/>
  <c r="F118" i="56"/>
  <c r="BE115" i="56"/>
  <c r="BD115" i="56"/>
  <c r="BC115" i="56"/>
  <c r="BB115" i="56"/>
  <c r="BA115" i="56"/>
  <c r="AZ115" i="56"/>
  <c r="AY115" i="56"/>
  <c r="AX115" i="56"/>
  <c r="AW115" i="56"/>
  <c r="AV115" i="56"/>
  <c r="AU115" i="56"/>
  <c r="AT115" i="56"/>
  <c r="AR115" i="56"/>
  <c r="AQ115" i="56"/>
  <c r="AP115" i="56"/>
  <c r="AO115" i="56"/>
  <c r="AN115" i="56"/>
  <c r="AM115" i="56"/>
  <c r="AL115" i="56"/>
  <c r="AK115" i="56"/>
  <c r="AJ115" i="56"/>
  <c r="AI115" i="56"/>
  <c r="AH115" i="56"/>
  <c r="AG115" i="56"/>
  <c r="R115" i="56"/>
  <c r="Q115" i="56"/>
  <c r="P115" i="56"/>
  <c r="O115" i="56"/>
  <c r="N115" i="56"/>
  <c r="M115" i="56"/>
  <c r="L115" i="56"/>
  <c r="K115" i="56"/>
  <c r="J115" i="56"/>
  <c r="I115" i="56"/>
  <c r="H115" i="56"/>
  <c r="G115" i="56"/>
  <c r="F115" i="56"/>
  <c r="DI115" i="56"/>
  <c r="DI114" i="56"/>
  <c r="DI113" i="56"/>
  <c r="BE112" i="56"/>
  <c r="BD112" i="56"/>
  <c r="BC112" i="56"/>
  <c r="BB112" i="56"/>
  <c r="BA112" i="56"/>
  <c r="AZ112" i="56"/>
  <c r="AY112" i="56"/>
  <c r="AX112" i="56"/>
  <c r="AW112" i="56"/>
  <c r="AV112" i="56"/>
  <c r="AU112" i="56"/>
  <c r="AT112" i="56"/>
  <c r="AR112" i="56"/>
  <c r="AQ112" i="56"/>
  <c r="AP112" i="56"/>
  <c r="AO112" i="56"/>
  <c r="AN112" i="56"/>
  <c r="AM112" i="56"/>
  <c r="AL112" i="56"/>
  <c r="AK112" i="56"/>
  <c r="AJ112" i="56"/>
  <c r="AI112" i="56"/>
  <c r="AH112" i="56"/>
  <c r="AG112" i="56"/>
  <c r="R112" i="56"/>
  <c r="Q112" i="56"/>
  <c r="P112" i="56"/>
  <c r="O112" i="56"/>
  <c r="N112" i="56"/>
  <c r="M112" i="56"/>
  <c r="L112" i="56"/>
  <c r="K112" i="56"/>
  <c r="J112" i="56"/>
  <c r="I112" i="56"/>
  <c r="H112" i="56"/>
  <c r="G112" i="56"/>
  <c r="F112" i="56"/>
  <c r="BE109" i="56"/>
  <c r="BD109" i="56"/>
  <c r="BC109" i="56"/>
  <c r="BB109" i="56"/>
  <c r="BA109" i="56"/>
  <c r="AZ109" i="56"/>
  <c r="AY109" i="56"/>
  <c r="AX109" i="56"/>
  <c r="AW109" i="56"/>
  <c r="AV109" i="56"/>
  <c r="AU109" i="56"/>
  <c r="AT109" i="56"/>
  <c r="AR109" i="56"/>
  <c r="AQ109" i="56"/>
  <c r="AP109" i="56"/>
  <c r="AO109" i="56"/>
  <c r="AN109" i="56"/>
  <c r="AM109" i="56"/>
  <c r="AL109" i="56"/>
  <c r="AK109" i="56"/>
  <c r="AJ109" i="56"/>
  <c r="AI109" i="56"/>
  <c r="AH109" i="56"/>
  <c r="AG109" i="56"/>
  <c r="R109" i="56"/>
  <c r="Q109" i="56"/>
  <c r="P109" i="56"/>
  <c r="O109" i="56"/>
  <c r="N109" i="56"/>
  <c r="M109" i="56"/>
  <c r="L109" i="56"/>
  <c r="K109" i="56"/>
  <c r="J109" i="56"/>
  <c r="I109" i="56"/>
  <c r="H109" i="56"/>
  <c r="G109" i="56"/>
  <c r="F109" i="56"/>
  <c r="BE24" i="56"/>
  <c r="BD24" i="56"/>
  <c r="BC24" i="56"/>
  <c r="BB24" i="56"/>
  <c r="BA24" i="56"/>
  <c r="AZ24" i="56"/>
  <c r="AY24" i="56"/>
  <c r="AX24" i="56"/>
  <c r="AW24" i="56"/>
  <c r="AV24" i="56"/>
  <c r="AU24" i="56"/>
  <c r="AT24" i="56"/>
  <c r="AR24" i="56"/>
  <c r="AQ24" i="56"/>
  <c r="AP24" i="56"/>
  <c r="AO24" i="56"/>
  <c r="AN24" i="56"/>
  <c r="AM24" i="56"/>
  <c r="AL24" i="56"/>
  <c r="AK24" i="56"/>
  <c r="AJ24" i="56"/>
  <c r="AI24" i="56"/>
  <c r="AH24" i="56"/>
  <c r="AG24" i="56"/>
  <c r="R24" i="56"/>
  <c r="P24" i="56"/>
  <c r="O24" i="56"/>
  <c r="N24" i="56"/>
  <c r="M24" i="56"/>
  <c r="L24" i="56"/>
  <c r="K24" i="56"/>
  <c r="I24" i="56"/>
  <c r="H24" i="56"/>
  <c r="G24" i="56"/>
  <c r="F24" i="56"/>
  <c r="BE21" i="56"/>
  <c r="BD21" i="56"/>
  <c r="BC21" i="56"/>
  <c r="BB21" i="56"/>
  <c r="BA21" i="56"/>
  <c r="AZ21" i="56"/>
  <c r="AY21" i="56"/>
  <c r="AX21" i="56"/>
  <c r="AW21" i="56"/>
  <c r="AV21" i="56"/>
  <c r="AU21" i="56"/>
  <c r="AT21" i="56"/>
  <c r="AR21" i="56"/>
  <c r="AQ21" i="56"/>
  <c r="AP21" i="56"/>
  <c r="AO21" i="56"/>
  <c r="AN21" i="56"/>
  <c r="AM21" i="56"/>
  <c r="AL21" i="56"/>
  <c r="AK21" i="56"/>
  <c r="AJ21" i="56"/>
  <c r="AI21" i="56"/>
  <c r="AH21" i="56"/>
  <c r="AG21" i="56"/>
  <c r="R21" i="56"/>
  <c r="Q21" i="56"/>
  <c r="P21" i="56"/>
  <c r="O21" i="56"/>
  <c r="N21" i="56"/>
  <c r="M21" i="56"/>
  <c r="L21" i="56"/>
  <c r="K21" i="56"/>
  <c r="I21" i="56"/>
  <c r="H21" i="56"/>
  <c r="G21" i="56"/>
  <c r="DI20" i="56"/>
  <c r="BE18" i="56"/>
  <c r="BD18" i="56"/>
  <c r="BC18" i="56"/>
  <c r="BB18" i="56"/>
  <c r="BA18" i="56"/>
  <c r="AZ18" i="56"/>
  <c r="AY18" i="56"/>
  <c r="AX18" i="56"/>
  <c r="AW18" i="56"/>
  <c r="AV18" i="56"/>
  <c r="AU18" i="56"/>
  <c r="AT18" i="56"/>
  <c r="AR18" i="56"/>
  <c r="AQ18" i="56"/>
  <c r="AP18" i="56"/>
  <c r="AO18" i="56"/>
  <c r="AN18" i="56"/>
  <c r="AM18" i="56"/>
  <c r="AL18" i="56"/>
  <c r="AK18" i="56"/>
  <c r="AJ18" i="56"/>
  <c r="AI18" i="56"/>
  <c r="AH18" i="56"/>
  <c r="AG18" i="56"/>
  <c r="R18" i="56"/>
  <c r="Q18" i="56"/>
  <c r="P18" i="56"/>
  <c r="O18" i="56"/>
  <c r="N18" i="56"/>
  <c r="M18" i="56"/>
  <c r="L18" i="56"/>
  <c r="K18" i="56"/>
  <c r="I18" i="56"/>
  <c r="H18" i="56"/>
  <c r="G18" i="56"/>
  <c r="F18" i="56"/>
  <c r="DJ192" i="56" l="1"/>
  <c r="DJ208" i="56"/>
  <c r="E22" i="56"/>
  <c r="DM22" i="56"/>
  <c r="DN23" i="56" s="1"/>
  <c r="DM16" i="56"/>
  <c r="DN17" i="56" s="1"/>
  <c r="E187" i="56"/>
  <c r="BM219" i="56"/>
  <c r="BM216" i="56"/>
  <c r="BM233" i="56"/>
  <c r="BS233" i="56" s="1"/>
  <c r="BS232" i="56"/>
  <c r="G257" i="56"/>
  <c r="G235" i="56" s="1"/>
  <c r="E185" i="56"/>
  <c r="E107" i="56"/>
  <c r="E108" i="56"/>
  <c r="E189" i="56"/>
  <c r="E111" i="56"/>
  <c r="DI111" i="56" s="1"/>
  <c r="E23" i="56"/>
  <c r="DI23" i="56" s="1"/>
  <c r="E137" i="56"/>
  <c r="E140" i="56"/>
  <c r="DH193" i="56"/>
  <c r="E193" i="56"/>
  <c r="E195" i="56"/>
  <c r="DI195" i="56" s="1"/>
  <c r="E223" i="56"/>
  <c r="E225" i="56"/>
  <c r="E226" i="56"/>
  <c r="AF252" i="56"/>
  <c r="E228" i="56"/>
  <c r="E138" i="56"/>
  <c r="DI138" i="56" s="1"/>
  <c r="E143" i="56"/>
  <c r="E241" i="56"/>
  <c r="E191" i="56"/>
  <c r="DI191" i="56" s="1"/>
  <c r="E222" i="56"/>
  <c r="E16" i="56"/>
  <c r="E146" i="56"/>
  <c r="E197" i="56"/>
  <c r="E110" i="56"/>
  <c r="E116" i="56"/>
  <c r="E119" i="56"/>
  <c r="E229" i="56"/>
  <c r="E17" i="56"/>
  <c r="E183" i="56"/>
  <c r="DI22" i="56"/>
  <c r="O210" i="56"/>
  <c r="BF212" i="56"/>
  <c r="J210" i="56"/>
  <c r="L210" i="56"/>
  <c r="AJ210" i="56"/>
  <c r="AZ210" i="56"/>
  <c r="U210" i="56"/>
  <c r="BA210" i="56"/>
  <c r="T210" i="56"/>
  <c r="N210" i="56"/>
  <c r="F210" i="56"/>
  <c r="AK210" i="56"/>
  <c r="BE210" i="56"/>
  <c r="K210" i="56"/>
  <c r="M210" i="56"/>
  <c r="AI210" i="56"/>
  <c r="G210" i="56"/>
  <c r="AW210" i="56"/>
  <c r="AX210" i="56"/>
  <c r="R210" i="56"/>
  <c r="AK148" i="56"/>
  <c r="AJ148" i="56"/>
  <c r="AI148" i="56"/>
  <c r="AH148" i="56"/>
  <c r="AR148" i="56"/>
  <c r="AP148" i="56"/>
  <c r="AE148" i="56"/>
  <c r="AD148" i="56"/>
  <c r="AC148" i="56"/>
  <c r="AB148" i="56"/>
  <c r="AD145" i="56"/>
  <c r="AC145" i="56"/>
  <c r="AE145" i="56"/>
  <c r="AA145" i="56"/>
  <c r="Z145" i="56"/>
  <c r="Y145" i="56"/>
  <c r="AE142" i="56"/>
  <c r="AD142" i="56"/>
  <c r="AC142" i="56"/>
  <c r="AB142" i="56"/>
  <c r="AA142" i="56"/>
  <c r="Z142" i="56"/>
  <c r="AA121" i="56"/>
  <c r="AD121" i="56"/>
  <c r="AC121" i="56"/>
  <c r="AB121" i="56"/>
  <c r="AE121" i="56"/>
  <c r="AA148" i="56"/>
  <c r="AQ145" i="56"/>
  <c r="AP145" i="56"/>
  <c r="AO145" i="56"/>
  <c r="AH145" i="56"/>
  <c r="AN145" i="56"/>
  <c r="AL145" i="56"/>
  <c r="AK145" i="56"/>
  <c r="AI145" i="56"/>
  <c r="AM145" i="56"/>
  <c r="AJ145" i="56"/>
  <c r="AR145" i="56"/>
  <c r="AB145" i="56"/>
  <c r="AK142" i="56"/>
  <c r="AJ142" i="56"/>
  <c r="AI142" i="56"/>
  <c r="AH142" i="56"/>
  <c r="AR142" i="56"/>
  <c r="AQ142" i="56"/>
  <c r="AP142" i="56"/>
  <c r="AO142" i="56"/>
  <c r="AM142" i="56"/>
  <c r="AL142" i="56"/>
  <c r="AN142" i="56"/>
  <c r="Y142" i="56"/>
  <c r="AR121" i="56"/>
  <c r="AO121" i="56"/>
  <c r="AM121" i="56"/>
  <c r="AK121" i="56"/>
  <c r="AJ121" i="56"/>
  <c r="AH121" i="56"/>
  <c r="AQ121" i="56"/>
  <c r="AP121" i="56"/>
  <c r="AN121" i="56"/>
  <c r="AL121" i="56"/>
  <c r="AI121" i="56"/>
  <c r="Z121" i="56"/>
  <c r="Y121" i="56"/>
  <c r="W210" i="56"/>
  <c r="AU210" i="56"/>
  <c r="BC210" i="56"/>
  <c r="AL210" i="56"/>
  <c r="AV210" i="56"/>
  <c r="BD210" i="56"/>
  <c r="Y210" i="56"/>
  <c r="H210" i="56"/>
  <c r="P210" i="56"/>
  <c r="AM210" i="56"/>
  <c r="X210" i="56"/>
  <c r="I210" i="56"/>
  <c r="Q210" i="56"/>
  <c r="AY210" i="56"/>
  <c r="V210" i="56"/>
  <c r="BS212" i="56"/>
  <c r="BG215" i="56"/>
  <c r="AR210" i="56"/>
  <c r="AN210" i="56"/>
  <c r="AO210" i="56"/>
  <c r="AP210" i="56"/>
  <c r="AQ210" i="56"/>
  <c r="Z210" i="56"/>
  <c r="AE210" i="56"/>
  <c r="AD210" i="56"/>
  <c r="AC210" i="56"/>
  <c r="AB210" i="56"/>
  <c r="AA210" i="56"/>
  <c r="Q231" i="56"/>
  <c r="Q233" i="56" s="1"/>
  <c r="DH140" i="56"/>
  <c r="DH234" i="56"/>
  <c r="T105" i="56"/>
  <c r="BD123" i="59"/>
  <c r="BD142" i="59"/>
  <c r="DH241" i="56"/>
  <c r="DH229" i="56"/>
  <c r="DH114" i="56"/>
  <c r="DH225" i="56"/>
  <c r="DH197" i="56"/>
  <c r="M215" i="56"/>
  <c r="M219" i="56" s="1"/>
  <c r="M5" i="56" s="1"/>
  <c r="AG231" i="56"/>
  <c r="AG233" i="56" s="1"/>
  <c r="AJ231" i="56"/>
  <c r="AJ233" i="56" s="1"/>
  <c r="AX231" i="56"/>
  <c r="AX233" i="56" s="1"/>
  <c r="U231" i="56"/>
  <c r="P9" i="53" s="1"/>
  <c r="DH16" i="56"/>
  <c r="AK231" i="56"/>
  <c r="AK233" i="56" s="1"/>
  <c r="AY231" i="56"/>
  <c r="AY233" i="56" s="1"/>
  <c r="DH22" i="56"/>
  <c r="DH137" i="56"/>
  <c r="DH223" i="56"/>
  <c r="AF209" i="56"/>
  <c r="T231" i="56"/>
  <c r="O9" i="53" s="1"/>
  <c r="AL231" i="56"/>
  <c r="AL233" i="56" s="1"/>
  <c r="AZ231" i="56"/>
  <c r="AZ233" i="56" s="1"/>
  <c r="DH191" i="56"/>
  <c r="AE231" i="56"/>
  <c r="AE233" i="56" s="1"/>
  <c r="AW231" i="56"/>
  <c r="AW233" i="56" s="1"/>
  <c r="AM231" i="56"/>
  <c r="AM233" i="56" s="1"/>
  <c r="BA231" i="56"/>
  <c r="BA233" i="56" s="1"/>
  <c r="AD231" i="56"/>
  <c r="AD233" i="56" s="1"/>
  <c r="M231" i="56"/>
  <c r="M233" i="56" s="1"/>
  <c r="AN231" i="56"/>
  <c r="AN233" i="56" s="1"/>
  <c r="BB231" i="56"/>
  <c r="BB233" i="56" s="1"/>
  <c r="AC231" i="56"/>
  <c r="AC233" i="56" s="1"/>
  <c r="S252" i="56"/>
  <c r="DH228" i="56"/>
  <c r="N231" i="56"/>
  <c r="N233" i="56" s="1"/>
  <c r="AO231" i="56"/>
  <c r="AO233" i="56" s="1"/>
  <c r="BC231" i="56"/>
  <c r="BC233" i="56" s="1"/>
  <c r="DH116" i="56"/>
  <c r="AB231" i="56"/>
  <c r="AB233" i="56" s="1"/>
  <c r="AV231" i="56"/>
  <c r="AV233" i="56" s="1"/>
  <c r="DH183" i="56"/>
  <c r="O231" i="56"/>
  <c r="O233" i="56" s="1"/>
  <c r="AP231" i="56"/>
  <c r="AP233" i="56" s="1"/>
  <c r="BD231" i="56"/>
  <c r="BD233" i="56" s="1"/>
  <c r="DH222" i="56"/>
  <c r="AA233" i="56"/>
  <c r="G231" i="56"/>
  <c r="C9" i="53" s="1"/>
  <c r="W233" i="56"/>
  <c r="AI231" i="56"/>
  <c r="AI233" i="56" s="1"/>
  <c r="V233" i="56"/>
  <c r="AQ231" i="56"/>
  <c r="AQ233" i="56" s="1"/>
  <c r="BE231" i="56"/>
  <c r="BE233" i="56" s="1"/>
  <c r="Z233" i="56"/>
  <c r="DH226" i="56"/>
  <c r="AR233" i="56"/>
  <c r="Y231" i="56"/>
  <c r="Y233" i="56" s="1"/>
  <c r="F231" i="56"/>
  <c r="F233" i="56" s="1"/>
  <c r="AU231" i="56"/>
  <c r="AU233" i="56" s="1"/>
  <c r="X233" i="56"/>
  <c r="DH138" i="56"/>
  <c r="DH20" i="56"/>
  <c r="DH195" i="56"/>
  <c r="L215" i="56"/>
  <c r="L219" i="56" s="1"/>
  <c r="L5" i="56" s="1"/>
  <c r="H11" i="53" s="1"/>
  <c r="DH119" i="56"/>
  <c r="DH189" i="56"/>
  <c r="DH185" i="56"/>
  <c r="DH107" i="56"/>
  <c r="DH187" i="56"/>
  <c r="AS186" i="56"/>
  <c r="DH146" i="56"/>
  <c r="DH113" i="56"/>
  <c r="DH23" i="56"/>
  <c r="DH111" i="56"/>
  <c r="DH143" i="56"/>
  <c r="DH110" i="56"/>
  <c r="DH108" i="56"/>
  <c r="U105" i="56"/>
  <c r="DH17" i="56"/>
  <c r="N215" i="56"/>
  <c r="N219" i="56" s="1"/>
  <c r="N5" i="56" s="1"/>
  <c r="G215" i="56"/>
  <c r="G219" i="56" s="1"/>
  <c r="G5" i="56" s="1"/>
  <c r="O215" i="56"/>
  <c r="O219" i="56" s="1"/>
  <c r="O5" i="56" s="1"/>
  <c r="J215" i="56"/>
  <c r="J219" i="56" s="1"/>
  <c r="J5" i="56" s="1"/>
  <c r="R215" i="56"/>
  <c r="R219" i="56" s="1"/>
  <c r="R5" i="56" s="1"/>
  <c r="K215" i="56"/>
  <c r="K219" i="56" s="1"/>
  <c r="K5" i="56" s="1"/>
  <c r="H215" i="56"/>
  <c r="H219" i="56" s="1"/>
  <c r="H5" i="56" s="1"/>
  <c r="P215" i="56"/>
  <c r="P219" i="56" s="1"/>
  <c r="P5" i="56" s="1"/>
  <c r="H231" i="56"/>
  <c r="P231" i="56"/>
  <c r="P233" i="56" s="1"/>
  <c r="I215" i="56"/>
  <c r="I219" i="56" s="1"/>
  <c r="I5" i="56" s="1"/>
  <c r="Q215" i="56"/>
  <c r="Q219" i="56" s="1"/>
  <c r="Q5" i="56" s="1"/>
  <c r="M11" i="53" s="1"/>
  <c r="I231" i="56"/>
  <c r="J231" i="56"/>
  <c r="J233" i="56" s="1"/>
  <c r="R231" i="56"/>
  <c r="R233" i="56" s="1"/>
  <c r="L231" i="56"/>
  <c r="L233" i="56" s="1"/>
  <c r="K231" i="56"/>
  <c r="K233" i="56" s="1"/>
  <c r="Z256" i="56"/>
  <c r="Z235" i="56"/>
  <c r="AS112" i="56"/>
  <c r="BF118" i="56"/>
  <c r="AA105" i="56"/>
  <c r="AB256" i="56"/>
  <c r="AC257" i="56" s="1"/>
  <c r="AS109" i="56"/>
  <c r="AS139" i="56"/>
  <c r="Z105" i="56"/>
  <c r="AD105" i="56"/>
  <c r="AF103" i="56"/>
  <c r="AF230" i="56"/>
  <c r="AF224" i="56"/>
  <c r="U214" i="56"/>
  <c r="AF24" i="56"/>
  <c r="BF24" i="56"/>
  <c r="AS115" i="56"/>
  <c r="AS190" i="56"/>
  <c r="AS194" i="56"/>
  <c r="BF194" i="56"/>
  <c r="BF227" i="56"/>
  <c r="V214" i="56"/>
  <c r="V218" i="56" s="1"/>
  <c r="V4" i="56" s="1"/>
  <c r="AB105" i="56"/>
  <c r="AF21" i="56"/>
  <c r="AF190" i="56"/>
  <c r="H256" i="56"/>
  <c r="H257" i="56" s="1"/>
  <c r="AS21" i="56"/>
  <c r="BF115" i="56"/>
  <c r="BF139" i="56"/>
  <c r="AF139" i="56"/>
  <c r="G258" i="56"/>
  <c r="AA214" i="56"/>
  <c r="AF115" i="56"/>
  <c r="BF190" i="56"/>
  <c r="W214" i="56"/>
  <c r="H253" i="56"/>
  <c r="I253" i="56" s="1"/>
  <c r="BF18" i="56"/>
  <c r="AF112" i="56"/>
  <c r="T214" i="56"/>
  <c r="AF198" i="56"/>
  <c r="V256" i="56"/>
  <c r="W257" i="56" s="1"/>
  <c r="AB214" i="56"/>
  <c r="AF18" i="56"/>
  <c r="V105" i="56"/>
  <c r="AC214" i="56"/>
  <c r="BF21" i="56"/>
  <c r="BF224" i="56"/>
  <c r="AS227" i="56"/>
  <c r="AS230" i="56"/>
  <c r="AF227" i="56"/>
  <c r="AS24" i="56"/>
  <c r="BF112" i="56"/>
  <c r="BF121" i="56"/>
  <c r="BF142" i="56"/>
  <c r="BF145" i="56"/>
  <c r="AS224" i="56"/>
  <c r="BF230" i="56"/>
  <c r="AF109" i="56"/>
  <c r="AD256" i="56"/>
  <c r="AE257" i="56" s="1"/>
  <c r="AS18" i="56"/>
  <c r="BF198" i="56"/>
  <c r="AF194" i="56"/>
  <c r="AE105" i="56"/>
  <c r="AE214" i="56"/>
  <c r="AF186" i="56"/>
  <c r="AC105" i="56"/>
  <c r="Y105" i="56"/>
  <c r="X256" i="56"/>
  <c r="Y257" i="56" s="1"/>
  <c r="BF109" i="56"/>
  <c r="AF207" i="56"/>
  <c r="AF104" i="56"/>
  <c r="AS209" i="56"/>
  <c r="AD214" i="56"/>
  <c r="X105" i="56"/>
  <c r="W105" i="56"/>
  <c r="BF209" i="56"/>
  <c r="Y214" i="56"/>
  <c r="X214" i="56"/>
  <c r="Z214" i="56"/>
  <c r="N181" i="56"/>
  <c r="AT105" i="56"/>
  <c r="BB214" i="56"/>
  <c r="S179" i="56"/>
  <c r="G181" i="56"/>
  <c r="S21" i="56"/>
  <c r="S104" i="56"/>
  <c r="S109" i="56"/>
  <c r="S112" i="56"/>
  <c r="S115" i="56"/>
  <c r="S121" i="56"/>
  <c r="S139" i="56"/>
  <c r="S142" i="56"/>
  <c r="S145" i="56"/>
  <c r="S148" i="56"/>
  <c r="S198" i="56"/>
  <c r="S209" i="56"/>
  <c r="S118" i="56"/>
  <c r="S190" i="56"/>
  <c r="S194" i="56"/>
  <c r="S224" i="56"/>
  <c r="S18" i="56"/>
  <c r="S24" i="56"/>
  <c r="S180" i="56"/>
  <c r="S227" i="56"/>
  <c r="S230" i="56"/>
  <c r="S186" i="56"/>
  <c r="S103" i="56"/>
  <c r="P105" i="56"/>
  <c r="S207" i="56"/>
  <c r="I181" i="56"/>
  <c r="AZ105" i="56"/>
  <c r="AH105" i="56"/>
  <c r="AU214" i="56"/>
  <c r="AV214" i="56"/>
  <c r="AN105" i="56"/>
  <c r="AW105" i="56"/>
  <c r="H181" i="56"/>
  <c r="AY214" i="56"/>
  <c r="N214" i="56"/>
  <c r="BE214" i="56"/>
  <c r="Q214" i="56"/>
  <c r="AI105" i="56"/>
  <c r="AZ214" i="56"/>
  <c r="L181" i="56"/>
  <c r="K214" i="56"/>
  <c r="M181" i="56"/>
  <c r="AK214" i="56"/>
  <c r="BA214" i="56"/>
  <c r="BA218" i="56" s="1"/>
  <c r="BA4" i="56" s="1"/>
  <c r="AU105" i="56"/>
  <c r="Q181" i="56"/>
  <c r="K181" i="56"/>
  <c r="R181" i="56"/>
  <c r="BC214" i="56"/>
  <c r="BA105" i="56"/>
  <c r="H214" i="56"/>
  <c r="AW214" i="56"/>
  <c r="AK105" i="56"/>
  <c r="BB105" i="56"/>
  <c r="F181" i="56"/>
  <c r="K105" i="56"/>
  <c r="BD105" i="56"/>
  <c r="BD214" i="56"/>
  <c r="BD218" i="56" s="1"/>
  <c r="BD4" i="56" s="1"/>
  <c r="I214" i="56"/>
  <c r="I218" i="56" s="1"/>
  <c r="I4" i="56" s="1"/>
  <c r="I105" i="56"/>
  <c r="AX214" i="56"/>
  <c r="AX218" i="56" s="1"/>
  <c r="AX4" i="56" s="1"/>
  <c r="AX105" i="56"/>
  <c r="AV105" i="56"/>
  <c r="AQ214" i="56"/>
  <c r="AJ214" i="56"/>
  <c r="AJ105" i="56"/>
  <c r="AR105" i="56"/>
  <c r="AR214" i="56"/>
  <c r="G105" i="56"/>
  <c r="G214" i="56"/>
  <c r="G218" i="56" s="1"/>
  <c r="AL214" i="56"/>
  <c r="AL105" i="56"/>
  <c r="Q105" i="56"/>
  <c r="M214" i="56"/>
  <c r="M218" i="56" s="1"/>
  <c r="M4" i="56" s="1"/>
  <c r="M105" i="56"/>
  <c r="O214" i="56"/>
  <c r="O218" i="56" s="1"/>
  <c r="O4" i="56" s="1"/>
  <c r="O105" i="56"/>
  <c r="AM214" i="56"/>
  <c r="AM105" i="56"/>
  <c r="R214" i="56"/>
  <c r="R218" i="56" s="1"/>
  <c r="R4" i="56" s="1"/>
  <c r="R105" i="56"/>
  <c r="L214" i="56"/>
  <c r="L218" i="56" s="1"/>
  <c r="L4" i="56" s="1"/>
  <c r="L105" i="56"/>
  <c r="AG214" i="56"/>
  <c r="AG105" i="56"/>
  <c r="P181" i="56"/>
  <c r="AP214" i="56"/>
  <c r="AP105" i="56"/>
  <c r="BC105" i="56"/>
  <c r="J181" i="56"/>
  <c r="AN214" i="56"/>
  <c r="J214" i="56"/>
  <c r="J218" i="56" s="1"/>
  <c r="J4" i="56" s="1"/>
  <c r="P214" i="56"/>
  <c r="P218" i="56" s="1"/>
  <c r="P4" i="56" s="1"/>
  <c r="AI214" i="56"/>
  <c r="AO214" i="56"/>
  <c r="H105" i="56"/>
  <c r="N105" i="56"/>
  <c r="AY105" i="56"/>
  <c r="BE105" i="56"/>
  <c r="O181" i="56"/>
  <c r="E103" i="56" l="1"/>
  <c r="E104" i="56"/>
  <c r="DJ191" i="56"/>
  <c r="DI187" i="56"/>
  <c r="E232" i="56"/>
  <c r="DI232" i="56" s="1"/>
  <c r="DH232" i="56"/>
  <c r="BM5" i="56"/>
  <c r="BM220" i="56"/>
  <c r="C15" i="53"/>
  <c r="G247" i="56"/>
  <c r="G8" i="56" s="1"/>
  <c r="G236" i="56"/>
  <c r="AA257" i="56"/>
  <c r="AA235" i="56" s="1"/>
  <c r="AA236" i="56" s="1"/>
  <c r="E24" i="56"/>
  <c r="DI24" i="56" s="1"/>
  <c r="G246" i="56"/>
  <c r="DI197" i="56"/>
  <c r="DJ197" i="56" s="1"/>
  <c r="DI16" i="56"/>
  <c r="DJ16" i="56" s="1"/>
  <c r="E179" i="56"/>
  <c r="DI183" i="56"/>
  <c r="E194" i="56"/>
  <c r="DI194" i="56" s="1"/>
  <c r="DI225" i="56"/>
  <c r="DJ225" i="56" s="1"/>
  <c r="E112" i="56"/>
  <c r="DI112" i="56" s="1"/>
  <c r="DI110" i="56"/>
  <c r="DJ110" i="56" s="1"/>
  <c r="DI146" i="56"/>
  <c r="DJ146" i="56" s="1"/>
  <c r="DI223" i="56"/>
  <c r="DJ223" i="56" s="1"/>
  <c r="DJ195" i="56"/>
  <c r="DI119" i="56"/>
  <c r="DJ119" i="56" s="1"/>
  <c r="DI116" i="56"/>
  <c r="DJ116" i="56" s="1"/>
  <c r="DI140" i="56"/>
  <c r="DJ140" i="56" s="1"/>
  <c r="E139" i="56"/>
  <c r="DI139" i="56" s="1"/>
  <c r="DI137" i="56"/>
  <c r="DJ137" i="56" s="1"/>
  <c r="DI143" i="56"/>
  <c r="DJ143" i="56" s="1"/>
  <c r="G233" i="56"/>
  <c r="DG215" i="56"/>
  <c r="DG219" i="56" s="1"/>
  <c r="DI107" i="56"/>
  <c r="DJ107" i="56" s="1"/>
  <c r="AL148" i="56"/>
  <c r="AM148" i="56"/>
  <c r="AN148" i="56"/>
  <c r="AO148" i="56"/>
  <c r="AQ148" i="56"/>
  <c r="AU148" i="56"/>
  <c r="BF147" i="56"/>
  <c r="AT148" i="56"/>
  <c r="AV148" i="56"/>
  <c r="AW148" i="56"/>
  <c r="AX148" i="56"/>
  <c r="AY148" i="56"/>
  <c r="AZ148" i="56"/>
  <c r="BA148" i="56"/>
  <c r="BB148" i="56"/>
  <c r="BE148" i="56"/>
  <c r="BC148" i="56"/>
  <c r="BD148" i="56"/>
  <c r="AG148" i="56"/>
  <c r="Z148" i="56"/>
  <c r="AF148" i="56" s="1"/>
  <c r="AF147" i="56"/>
  <c r="AS144" i="56"/>
  <c r="AG145" i="56"/>
  <c r="AS145" i="56" s="1"/>
  <c r="AF144" i="56"/>
  <c r="X145" i="56"/>
  <c r="AF145" i="56" s="1"/>
  <c r="AG142" i="56"/>
  <c r="AS142" i="56" s="1"/>
  <c r="X142" i="56"/>
  <c r="AF142" i="56" s="1"/>
  <c r="AF141" i="56"/>
  <c r="E141" i="56" s="1"/>
  <c r="DI141" i="56" s="1"/>
  <c r="AS120" i="56"/>
  <c r="AG121" i="56"/>
  <c r="AS121" i="56" s="1"/>
  <c r="AF120" i="56"/>
  <c r="X121" i="56"/>
  <c r="AF121" i="56" s="1"/>
  <c r="AS117" i="56"/>
  <c r="AG118" i="56"/>
  <c r="AH118" i="56"/>
  <c r="AJ118" i="56"/>
  <c r="AL118" i="56"/>
  <c r="AO118" i="56"/>
  <c r="AI118" i="56"/>
  <c r="AP118" i="56"/>
  <c r="AK118" i="56"/>
  <c r="AN118" i="56"/>
  <c r="AR118" i="56"/>
  <c r="AM118" i="56"/>
  <c r="AQ118" i="56"/>
  <c r="U118" i="56"/>
  <c r="V118" i="56"/>
  <c r="AE118" i="56"/>
  <c r="X118" i="56"/>
  <c r="Z118" i="56"/>
  <c r="AA118" i="56"/>
  <c r="AD118" i="56"/>
  <c r="AF117" i="56"/>
  <c r="T118" i="56"/>
  <c r="W118" i="56"/>
  <c r="Y118" i="56"/>
  <c r="AC118" i="56"/>
  <c r="AB118" i="56"/>
  <c r="T233" i="56"/>
  <c r="T246" i="56"/>
  <c r="BG219" i="56"/>
  <c r="BG216" i="56"/>
  <c r="BS216" i="56" s="1"/>
  <c r="BS215" i="56"/>
  <c r="E198" i="56"/>
  <c r="DI198" i="56" s="1"/>
  <c r="BD125" i="59"/>
  <c r="BD129" i="59"/>
  <c r="E207" i="56"/>
  <c r="DI222" i="56"/>
  <c r="DJ222" i="56" s="1"/>
  <c r="E224" i="56"/>
  <c r="DI224" i="56" s="1"/>
  <c r="E227" i="56"/>
  <c r="DI227" i="56" s="1"/>
  <c r="DI226" i="56"/>
  <c r="DJ226" i="56" s="1"/>
  <c r="DH115" i="56"/>
  <c r="DI193" i="56"/>
  <c r="DJ193" i="56" s="1"/>
  <c r="AF231" i="56"/>
  <c r="DH230" i="56"/>
  <c r="F246" i="56"/>
  <c r="F7" i="56" s="1"/>
  <c r="DH224" i="56"/>
  <c r="DH112" i="56"/>
  <c r="DH194" i="56"/>
  <c r="DH227" i="56"/>
  <c r="U233" i="56"/>
  <c r="DI108" i="56"/>
  <c r="DJ108" i="56" s="1"/>
  <c r="DH139" i="56"/>
  <c r="Z236" i="56"/>
  <c r="DH109" i="56"/>
  <c r="DH18" i="56"/>
  <c r="DH209" i="56"/>
  <c r="E109" i="56"/>
  <c r="DI109" i="56" s="1"/>
  <c r="DH179" i="56"/>
  <c r="DH24" i="56"/>
  <c r="H28" i="53"/>
  <c r="H26" i="53"/>
  <c r="M28" i="53"/>
  <c r="M26" i="53"/>
  <c r="F215" i="56"/>
  <c r="F219" i="56" s="1"/>
  <c r="E18" i="56"/>
  <c r="DI18" i="56" s="1"/>
  <c r="DI17" i="56"/>
  <c r="DJ17" i="56" s="1"/>
  <c r="DH104" i="56"/>
  <c r="DH190" i="56"/>
  <c r="DI185" i="56"/>
  <c r="E186" i="56"/>
  <c r="DI186" i="56" s="1"/>
  <c r="AZ218" i="56"/>
  <c r="AZ4" i="56" s="1"/>
  <c r="AR218" i="56"/>
  <c r="AR4" i="56" s="1"/>
  <c r="AK218" i="56"/>
  <c r="AK4" i="56" s="1"/>
  <c r="AE218" i="56"/>
  <c r="AE4" i="56" s="1"/>
  <c r="Z5" i="53" s="1"/>
  <c r="Z21" i="53" s="1"/>
  <c r="AB218" i="56"/>
  <c r="AB4" i="56" s="1"/>
  <c r="W5" i="53" s="1"/>
  <c r="W21" i="53" s="1"/>
  <c r="D9" i="53"/>
  <c r="D22" i="53" s="1"/>
  <c r="H246" i="56"/>
  <c r="H233" i="56"/>
  <c r="S231" i="56"/>
  <c r="AI218" i="56"/>
  <c r="AI4" i="56" s="1"/>
  <c r="AG218" i="56"/>
  <c r="W218" i="56"/>
  <c r="W4" i="56" s="1"/>
  <c r="R5" i="53" s="1"/>
  <c r="R21" i="53" s="1"/>
  <c r="U218" i="56"/>
  <c r="U4" i="56" s="1"/>
  <c r="AM218" i="56"/>
  <c r="AM4" i="56" s="1"/>
  <c r="AJ218" i="56"/>
  <c r="AJ4" i="56" s="1"/>
  <c r="AW218" i="56"/>
  <c r="AW4" i="56" s="1"/>
  <c r="AP5" i="53" s="1"/>
  <c r="AP21" i="53" s="1"/>
  <c r="K218" i="56"/>
  <c r="K4" i="56" s="1"/>
  <c r="G5" i="53" s="1"/>
  <c r="G21" i="53" s="1"/>
  <c r="Q218" i="56"/>
  <c r="Q4" i="56" s="1"/>
  <c r="M5" i="53" s="1"/>
  <c r="M21" i="53" s="1"/>
  <c r="AV218" i="56"/>
  <c r="AV4" i="56" s="1"/>
  <c r="AO5" i="53" s="1"/>
  <c r="AO21" i="53" s="1"/>
  <c r="BB218" i="56"/>
  <c r="BB4" i="56" s="1"/>
  <c r="I246" i="56"/>
  <c r="E9" i="53"/>
  <c r="E22" i="53" s="1"/>
  <c r="I233" i="56"/>
  <c r="AP218" i="56"/>
  <c r="AP4" i="56" s="1"/>
  <c r="H218" i="56"/>
  <c r="H4" i="56" s="1"/>
  <c r="D5" i="53" s="1"/>
  <c r="D21" i="53" s="1"/>
  <c r="BE218" i="56"/>
  <c r="BE4" i="56" s="1"/>
  <c r="AU218" i="56"/>
  <c r="AU4" i="56" s="1"/>
  <c r="AN5" i="53" s="1"/>
  <c r="AN21" i="53" s="1"/>
  <c r="T218" i="56"/>
  <c r="AY218" i="56"/>
  <c r="AY4" i="56" s="1"/>
  <c r="AR5" i="53" s="1"/>
  <c r="AR21" i="53" s="1"/>
  <c r="AL218" i="56"/>
  <c r="AL4" i="56" s="1"/>
  <c r="AQ218" i="56"/>
  <c r="AQ4" i="56" s="1"/>
  <c r="X218" i="56"/>
  <c r="X4" i="56" s="1"/>
  <c r="S5" i="53" s="1"/>
  <c r="S21" i="53" s="1"/>
  <c r="AC218" i="56"/>
  <c r="AC4" i="56" s="1"/>
  <c r="X5" i="53" s="1"/>
  <c r="X21" i="53" s="1"/>
  <c r="AO218" i="56"/>
  <c r="AO4" i="56" s="1"/>
  <c r="G4" i="56"/>
  <c r="C5" i="53" s="1"/>
  <c r="BC218" i="56"/>
  <c r="BC4" i="56" s="1"/>
  <c r="AV5" i="53" s="1"/>
  <c r="AV21" i="53" s="1"/>
  <c r="AA218" i="56"/>
  <c r="AA4" i="56" s="1"/>
  <c r="V5" i="53" s="1"/>
  <c r="V21" i="53" s="1"/>
  <c r="AN218" i="56"/>
  <c r="AN4" i="56" s="1"/>
  <c r="N218" i="56"/>
  <c r="N4" i="56" s="1"/>
  <c r="J5" i="53" s="1"/>
  <c r="J21" i="53" s="1"/>
  <c r="Z218" i="56"/>
  <c r="Z4" i="56" s="1"/>
  <c r="U5" i="53" s="1"/>
  <c r="U21" i="53" s="1"/>
  <c r="Y218" i="56"/>
  <c r="Y4" i="56" s="1"/>
  <c r="AD218" i="56"/>
  <c r="AD4" i="56" s="1"/>
  <c r="AB235" i="56"/>
  <c r="AC235" i="56"/>
  <c r="V235" i="56"/>
  <c r="Q15" i="53" s="1"/>
  <c r="W235" i="56"/>
  <c r="AD235" i="56"/>
  <c r="AE235" i="56"/>
  <c r="X235" i="56"/>
  <c r="Y235" i="56"/>
  <c r="H254" i="56"/>
  <c r="H238" i="56" s="1"/>
  <c r="H258" i="56"/>
  <c r="Q5" i="53"/>
  <c r="Q21" i="53" s="1"/>
  <c r="I256" i="56"/>
  <c r="H235" i="56"/>
  <c r="AF105" i="56"/>
  <c r="I254" i="56"/>
  <c r="J253" i="56"/>
  <c r="AF210" i="56"/>
  <c r="AS105" i="56"/>
  <c r="BF105" i="56"/>
  <c r="AF214" i="56"/>
  <c r="L11" i="53"/>
  <c r="E11" i="53"/>
  <c r="N11" i="53"/>
  <c r="K11" i="53"/>
  <c r="J11" i="53"/>
  <c r="G11" i="53"/>
  <c r="F11" i="53"/>
  <c r="I11" i="53"/>
  <c r="D11" i="53"/>
  <c r="K216" i="56"/>
  <c r="S181" i="56"/>
  <c r="S210" i="56"/>
  <c r="C11" i="53"/>
  <c r="S215" i="56"/>
  <c r="S214" i="56"/>
  <c r="S105" i="56"/>
  <c r="DJ114" i="56"/>
  <c r="N216" i="56"/>
  <c r="Q216" i="56"/>
  <c r="DJ138" i="56"/>
  <c r="DJ20" i="56"/>
  <c r="AT5" i="53"/>
  <c r="AT21" i="53" s="1"/>
  <c r="DJ113" i="56"/>
  <c r="L216" i="56"/>
  <c r="L220" i="56" s="1"/>
  <c r="H5" i="53"/>
  <c r="H21" i="53" s="1"/>
  <c r="J216" i="56"/>
  <c r="J220" i="56" s="1"/>
  <c r="F5" i="53"/>
  <c r="F21" i="53" s="1"/>
  <c r="P216" i="56"/>
  <c r="P220" i="56" s="1"/>
  <c r="L5" i="53"/>
  <c r="L21" i="53" s="1"/>
  <c r="O216" i="56"/>
  <c r="O220" i="56" s="1"/>
  <c r="K5" i="53"/>
  <c r="K21" i="53" s="1"/>
  <c r="AQ5" i="53"/>
  <c r="AQ21" i="53" s="1"/>
  <c r="M216" i="56"/>
  <c r="M220" i="56" s="1"/>
  <c r="I5" i="53"/>
  <c r="I21" i="53" s="1"/>
  <c r="DJ22" i="56"/>
  <c r="H216" i="56"/>
  <c r="R216" i="56"/>
  <c r="R220" i="56" s="1"/>
  <c r="N5" i="53"/>
  <c r="N21" i="53" s="1"/>
  <c r="G239" i="56"/>
  <c r="G216" i="56"/>
  <c r="I216" i="56"/>
  <c r="I220" i="56" s="1"/>
  <c r="E5" i="53"/>
  <c r="E21" i="53" s="1"/>
  <c r="DJ232" i="56" l="1"/>
  <c r="BE11" i="53"/>
  <c r="BM6" i="56"/>
  <c r="I258" i="56"/>
  <c r="I257" i="56"/>
  <c r="I235" i="56" s="1"/>
  <c r="AE5" i="53"/>
  <c r="AE21" i="53" s="1"/>
  <c r="AG5" i="53"/>
  <c r="AG21" i="53" s="1"/>
  <c r="AC5" i="53"/>
  <c r="AC21" i="53" s="1"/>
  <c r="AH5" i="53"/>
  <c r="AH21" i="53" s="1"/>
  <c r="AL5" i="53"/>
  <c r="AL21" i="53" s="1"/>
  <c r="AK5" i="53"/>
  <c r="AK21" i="53" s="1"/>
  <c r="AJ5" i="53"/>
  <c r="AJ21" i="53" s="1"/>
  <c r="AI5" i="53"/>
  <c r="AI21" i="53" s="1"/>
  <c r="AS5" i="53"/>
  <c r="AS21" i="53" s="1"/>
  <c r="E142" i="56"/>
  <c r="DI142" i="56" s="1"/>
  <c r="E120" i="56"/>
  <c r="DI120" i="56" s="1"/>
  <c r="E117" i="56"/>
  <c r="E147" i="56"/>
  <c r="DI147" i="56" s="1"/>
  <c r="E144" i="56"/>
  <c r="DG216" i="56"/>
  <c r="DH212" i="56"/>
  <c r="E212" i="56" s="1"/>
  <c r="DI212" i="56" s="1"/>
  <c r="DJ212" i="56" s="1"/>
  <c r="DH120" i="56"/>
  <c r="DH141" i="56"/>
  <c r="DK141" i="56" s="1"/>
  <c r="AS148" i="56"/>
  <c r="DH142" i="56"/>
  <c r="DH121" i="56"/>
  <c r="DH147" i="56"/>
  <c r="DH145" i="56"/>
  <c r="DH144" i="56"/>
  <c r="DH117" i="56"/>
  <c r="BA215" i="56"/>
  <c r="BA181" i="56"/>
  <c r="BD181" i="56"/>
  <c r="BD215" i="56"/>
  <c r="AW215" i="56"/>
  <c r="AW181" i="56"/>
  <c r="BC215" i="56"/>
  <c r="BC181" i="56"/>
  <c r="AV181" i="56"/>
  <c r="AV215" i="56"/>
  <c r="BF148" i="56"/>
  <c r="BE215" i="56"/>
  <c r="BE181" i="56"/>
  <c r="BF180" i="56"/>
  <c r="AT215" i="56"/>
  <c r="AT181" i="56"/>
  <c r="BB215" i="56"/>
  <c r="BB181" i="56"/>
  <c r="AZ215" i="56"/>
  <c r="AZ181" i="56"/>
  <c r="AY181" i="56"/>
  <c r="AY215" i="56"/>
  <c r="AX215" i="56"/>
  <c r="AX181" i="56"/>
  <c r="AU215" i="56"/>
  <c r="AU181" i="56"/>
  <c r="AP181" i="56"/>
  <c r="AP215" i="56"/>
  <c r="AO181" i="56"/>
  <c r="AO215" i="56"/>
  <c r="AI215" i="56"/>
  <c r="AI181" i="56"/>
  <c r="AQ181" i="56"/>
  <c r="AQ215" i="56"/>
  <c r="AL215" i="56"/>
  <c r="AL181" i="56"/>
  <c r="AM215" i="56"/>
  <c r="AM181" i="56"/>
  <c r="AJ181" i="56"/>
  <c r="AJ215" i="56"/>
  <c r="AK215" i="56"/>
  <c r="AK181" i="56"/>
  <c r="AR181" i="56"/>
  <c r="AR215" i="56"/>
  <c r="AS118" i="56"/>
  <c r="AH181" i="56"/>
  <c r="AH215" i="56"/>
  <c r="AH219" i="56" s="1"/>
  <c r="AH5" i="56" s="1"/>
  <c r="AB11" i="53" s="1"/>
  <c r="AN215" i="56"/>
  <c r="AN181" i="56"/>
  <c r="AS180" i="56"/>
  <c r="AG215" i="56"/>
  <c r="AG181" i="56"/>
  <c r="AA181" i="56"/>
  <c r="AA215" i="56"/>
  <c r="Z181" i="56"/>
  <c r="Z215" i="56"/>
  <c r="AB181" i="56"/>
  <c r="AB215" i="56"/>
  <c r="X181" i="56"/>
  <c r="X215" i="56"/>
  <c r="AC215" i="56"/>
  <c r="AC181" i="56"/>
  <c r="AD181" i="56"/>
  <c r="AD215" i="56"/>
  <c r="AE215" i="56"/>
  <c r="AE181" i="56"/>
  <c r="Y215" i="56"/>
  <c r="Y181" i="56"/>
  <c r="V181" i="56"/>
  <c r="V215" i="56"/>
  <c r="W215" i="56"/>
  <c r="W181" i="56"/>
  <c r="AF180" i="56"/>
  <c r="T181" i="56"/>
  <c r="T215" i="56"/>
  <c r="AF118" i="56"/>
  <c r="U181" i="56"/>
  <c r="U215" i="56"/>
  <c r="P5" i="53"/>
  <c r="P21" i="53" s="1"/>
  <c r="AD236" i="56"/>
  <c r="AF233" i="56"/>
  <c r="V236" i="56"/>
  <c r="DG5" i="56"/>
  <c r="DG6" i="56" s="1"/>
  <c r="DG220" i="56"/>
  <c r="BS219" i="56"/>
  <c r="BG5" i="56"/>
  <c r="BG220" i="56"/>
  <c r="BS220" i="56" s="1"/>
  <c r="DI207" i="56"/>
  <c r="BD131" i="59"/>
  <c r="BD7" i="59"/>
  <c r="F248" i="56"/>
  <c r="DJ194" i="56"/>
  <c r="H236" i="56"/>
  <c r="H247" i="56"/>
  <c r="D15" i="53"/>
  <c r="D29" i="53" s="1"/>
  <c r="Y236" i="56"/>
  <c r="X236" i="56"/>
  <c r="AE236" i="56"/>
  <c r="K220" i="56"/>
  <c r="W236" i="56"/>
  <c r="AC236" i="56"/>
  <c r="AB236" i="56"/>
  <c r="DI179" i="56"/>
  <c r="I28" i="53"/>
  <c r="I26" i="53"/>
  <c r="F26" i="53"/>
  <c r="F28" i="53"/>
  <c r="G26" i="53"/>
  <c r="G28" i="53"/>
  <c r="J28" i="53"/>
  <c r="J26" i="53"/>
  <c r="K26" i="53"/>
  <c r="K28" i="53"/>
  <c r="N26" i="53"/>
  <c r="N28" i="53"/>
  <c r="L26" i="53"/>
  <c r="L28" i="53"/>
  <c r="E23" i="53"/>
  <c r="E34" i="53" s="1"/>
  <c r="D26" i="53"/>
  <c r="D28" i="53"/>
  <c r="E26" i="53"/>
  <c r="E28" i="53"/>
  <c r="D23" i="53"/>
  <c r="D34" i="53" s="1"/>
  <c r="DI104" i="56"/>
  <c r="DJ104" i="56" s="1"/>
  <c r="K6" i="56"/>
  <c r="H6" i="56"/>
  <c r="H220" i="56"/>
  <c r="N220" i="56"/>
  <c r="N6" i="56"/>
  <c r="AU5" i="53"/>
  <c r="AU21" i="53" s="1"/>
  <c r="S218" i="56"/>
  <c r="S233" i="56"/>
  <c r="Q6" i="56"/>
  <c r="F5" i="56"/>
  <c r="F11" i="56" s="1"/>
  <c r="AF5" i="53"/>
  <c r="AF21" i="53" s="1"/>
  <c r="Q220" i="56"/>
  <c r="AX5" i="53"/>
  <c r="AX21" i="53" s="1"/>
  <c r="Y5" i="53"/>
  <c r="Y21" i="53" s="1"/>
  <c r="T4" i="56"/>
  <c r="AF218" i="56"/>
  <c r="AD5" i="53"/>
  <c r="AD21" i="53" s="1"/>
  <c r="T5" i="53"/>
  <c r="T21" i="53" s="1"/>
  <c r="AG4" i="56"/>
  <c r="S219" i="56"/>
  <c r="G220" i="56"/>
  <c r="J256" i="56"/>
  <c r="K253" i="56"/>
  <c r="J254" i="56"/>
  <c r="I238" i="56"/>
  <c r="I242" i="56"/>
  <c r="H242" i="56"/>
  <c r="AW5" i="53"/>
  <c r="AW21" i="53" s="1"/>
  <c r="AT210" i="56"/>
  <c r="DJ24" i="56"/>
  <c r="DJ227" i="56"/>
  <c r="DJ112" i="56"/>
  <c r="DJ224" i="56"/>
  <c r="S216" i="56"/>
  <c r="S4" i="56"/>
  <c r="DJ139" i="56"/>
  <c r="G11" i="56"/>
  <c r="S5" i="56"/>
  <c r="DK189" i="56"/>
  <c r="DK17" i="56"/>
  <c r="DK114" i="56"/>
  <c r="DJ18" i="56"/>
  <c r="DJ183" i="56"/>
  <c r="DJ109" i="56"/>
  <c r="DJ187" i="56"/>
  <c r="BF186" i="56"/>
  <c r="DH186" i="56" s="1"/>
  <c r="DJ115" i="56"/>
  <c r="DK229" i="56"/>
  <c r="M6" i="56"/>
  <c r="DK138" i="56"/>
  <c r="I6" i="56"/>
  <c r="AS198" i="56"/>
  <c r="DH198" i="56" s="1"/>
  <c r="DJ198" i="56" s="1"/>
  <c r="AH210" i="56"/>
  <c r="DK111" i="56"/>
  <c r="DJ111" i="56"/>
  <c r="DK23" i="56"/>
  <c r="DJ23" i="56"/>
  <c r="R6" i="56"/>
  <c r="DK193" i="56"/>
  <c r="J6" i="56"/>
  <c r="DJ185" i="56"/>
  <c r="L6" i="56"/>
  <c r="P6" i="56"/>
  <c r="G6" i="56"/>
  <c r="G248" i="56"/>
  <c r="G7" i="56"/>
  <c r="G9" i="56" s="1"/>
  <c r="O6" i="56"/>
  <c r="DI241" i="56"/>
  <c r="DJ241" i="56" s="1"/>
  <c r="DK108" i="56"/>
  <c r="J258" i="56" l="1"/>
  <c r="J257" i="56"/>
  <c r="AA5" i="53"/>
  <c r="AA21" i="53" s="1"/>
  <c r="DJ147" i="56"/>
  <c r="E148" i="56"/>
  <c r="DI148" i="56" s="1"/>
  <c r="DJ142" i="56"/>
  <c r="DJ120" i="56"/>
  <c r="E121" i="56"/>
  <c r="DI121" i="56" s="1"/>
  <c r="DJ121" i="56" s="1"/>
  <c r="E180" i="56"/>
  <c r="DI117" i="56"/>
  <c r="DJ117" i="56" s="1"/>
  <c r="DK120" i="56"/>
  <c r="E118" i="56"/>
  <c r="DI118" i="56" s="1"/>
  <c r="DJ141" i="56"/>
  <c r="DI144" i="56"/>
  <c r="DJ144" i="56" s="1"/>
  <c r="E145" i="56"/>
  <c r="DI145" i="56" s="1"/>
  <c r="DJ145" i="56" s="1"/>
  <c r="DH148" i="56"/>
  <c r="DK117" i="56"/>
  <c r="AB26" i="53"/>
  <c r="AB28" i="53"/>
  <c r="DK147" i="56"/>
  <c r="DK144" i="56"/>
  <c r="DH118" i="56"/>
  <c r="BE219" i="56"/>
  <c r="BE216" i="56"/>
  <c r="AX219" i="56"/>
  <c r="AX5" i="56" s="1"/>
  <c r="AX216" i="56"/>
  <c r="AY219" i="56"/>
  <c r="AY216" i="56"/>
  <c r="BC219" i="56"/>
  <c r="BC216" i="56"/>
  <c r="AV219" i="56"/>
  <c r="AV216" i="56"/>
  <c r="AZ219" i="56"/>
  <c r="AZ216" i="56"/>
  <c r="AW219" i="56"/>
  <c r="AW216" i="56"/>
  <c r="BD219" i="56"/>
  <c r="BD5" i="56" s="1"/>
  <c r="BD216" i="56"/>
  <c r="BB219" i="56"/>
  <c r="BB216" i="56"/>
  <c r="AU219" i="56"/>
  <c r="AU216" i="56"/>
  <c r="BF181" i="56"/>
  <c r="AT219" i="56"/>
  <c r="AT5" i="56" s="1"/>
  <c r="BF215" i="56"/>
  <c r="BA219" i="56"/>
  <c r="BA5" i="56" s="1"/>
  <c r="BA216" i="56"/>
  <c r="AQ219" i="56"/>
  <c r="AQ216" i="56"/>
  <c r="AL219" i="56"/>
  <c r="AL216" i="56"/>
  <c r="AN219" i="56"/>
  <c r="AN216" i="56"/>
  <c r="AJ219" i="56"/>
  <c r="AJ216" i="56"/>
  <c r="AI219" i="56"/>
  <c r="AI216" i="56"/>
  <c r="AR219" i="56"/>
  <c r="AR216" i="56"/>
  <c r="AO219" i="56"/>
  <c r="AO216" i="56"/>
  <c r="AM219" i="56"/>
  <c r="AM216" i="56"/>
  <c r="AG219" i="56"/>
  <c r="AG216" i="56"/>
  <c r="AS215" i="56"/>
  <c r="AS181" i="56"/>
  <c r="AP219" i="56"/>
  <c r="AP216" i="56"/>
  <c r="DH180" i="56"/>
  <c r="AK219" i="56"/>
  <c r="AK216" i="56"/>
  <c r="AD219" i="56"/>
  <c r="AD216" i="56"/>
  <c r="AC219" i="56"/>
  <c r="AC216" i="56"/>
  <c r="T219" i="56"/>
  <c r="AF215" i="56"/>
  <c r="T216" i="56"/>
  <c r="AF181" i="56"/>
  <c r="U219" i="56"/>
  <c r="U216" i="56"/>
  <c r="AB219" i="56"/>
  <c r="AB216" i="56"/>
  <c r="W219" i="56"/>
  <c r="W216" i="56"/>
  <c r="X219" i="56"/>
  <c r="X216" i="56"/>
  <c r="V219" i="56"/>
  <c r="V5" i="56" s="1"/>
  <c r="V216" i="56"/>
  <c r="Z219" i="56"/>
  <c r="Z216" i="56"/>
  <c r="AA219" i="56"/>
  <c r="AA216" i="56"/>
  <c r="AE219" i="56"/>
  <c r="AE216" i="56"/>
  <c r="Y219" i="56"/>
  <c r="Y216" i="56"/>
  <c r="AY11" i="53"/>
  <c r="BS5" i="56"/>
  <c r="BG6" i="56"/>
  <c r="BD9" i="59"/>
  <c r="BD10" i="59"/>
  <c r="BD12" i="59" s="1"/>
  <c r="BD13" i="59" s="1"/>
  <c r="I236" i="56"/>
  <c r="I247" i="56"/>
  <c r="I8" i="56" s="1"/>
  <c r="I11" i="56" s="1"/>
  <c r="E15" i="53"/>
  <c r="E29" i="53" s="1"/>
  <c r="E30" i="53" s="1"/>
  <c r="D30" i="53"/>
  <c r="S220" i="56"/>
  <c r="BF207" i="56"/>
  <c r="AT231" i="56"/>
  <c r="AS207" i="56"/>
  <c r="AH231" i="56"/>
  <c r="O5" i="53"/>
  <c r="O21" i="53" s="1"/>
  <c r="AF4" i="56"/>
  <c r="AT214" i="56"/>
  <c r="AT216" i="56" s="1"/>
  <c r="E190" i="56"/>
  <c r="DI190" i="56" s="1"/>
  <c r="DJ190" i="56" s="1"/>
  <c r="E209" i="56"/>
  <c r="E210" i="56" s="1"/>
  <c r="DI189" i="56"/>
  <c r="DJ189" i="56" s="1"/>
  <c r="J235" i="56"/>
  <c r="K256" i="56"/>
  <c r="K257" i="56" s="1"/>
  <c r="L253" i="56"/>
  <c r="K254" i="56"/>
  <c r="J238" i="56"/>
  <c r="H8" i="56"/>
  <c r="DI228" i="56"/>
  <c r="DJ228" i="56" s="1"/>
  <c r="BF210" i="56"/>
  <c r="S6" i="56"/>
  <c r="DJ179" i="56"/>
  <c r="DJ186" i="56"/>
  <c r="G10" i="56"/>
  <c r="G12" i="56" s="1"/>
  <c r="G13" i="56" s="1"/>
  <c r="C19" i="53" s="1"/>
  <c r="DK185" i="56"/>
  <c r="AS210" i="56"/>
  <c r="AH214" i="56"/>
  <c r="DJ148" i="56" l="1"/>
  <c r="DJ118" i="56"/>
  <c r="BS6" i="56"/>
  <c r="E215" i="56"/>
  <c r="E181" i="56"/>
  <c r="DI181" i="56" s="1"/>
  <c r="DI180" i="56"/>
  <c r="DJ180" i="56" s="1"/>
  <c r="AX220" i="56"/>
  <c r="BA220" i="56"/>
  <c r="BD220" i="56"/>
  <c r="DH215" i="56"/>
  <c r="AZ5" i="56"/>
  <c r="AZ220" i="56"/>
  <c r="BC5" i="56"/>
  <c r="BC220" i="56"/>
  <c r="AM11" i="53"/>
  <c r="AY5" i="56"/>
  <c r="AY220" i="56"/>
  <c r="AW11" i="53"/>
  <c r="BD6" i="56"/>
  <c r="AT11" i="53"/>
  <c r="BA6" i="56"/>
  <c r="AQ11" i="53"/>
  <c r="AX6" i="56"/>
  <c r="AW5" i="56"/>
  <c r="AW220" i="56"/>
  <c r="AV5" i="56"/>
  <c r="AV220" i="56"/>
  <c r="AU5" i="56"/>
  <c r="AU220" i="56"/>
  <c r="BB5" i="56"/>
  <c r="BB220" i="56"/>
  <c r="BE5" i="56"/>
  <c r="BE220" i="56"/>
  <c r="AO5" i="56"/>
  <c r="AO220" i="56"/>
  <c r="AI5" i="56"/>
  <c r="AI220" i="56"/>
  <c r="AJ5" i="56"/>
  <c r="AJ220" i="56"/>
  <c r="AR5" i="56"/>
  <c r="AR220" i="56"/>
  <c r="AP5" i="56"/>
  <c r="AP220" i="56"/>
  <c r="AN5" i="56"/>
  <c r="AN220" i="56"/>
  <c r="AM5" i="56"/>
  <c r="AM220" i="56"/>
  <c r="AK5" i="56"/>
  <c r="AK220" i="56"/>
  <c r="DK180" i="56"/>
  <c r="AL5" i="56"/>
  <c r="AL220" i="56"/>
  <c r="DH181" i="56"/>
  <c r="AG5" i="56"/>
  <c r="AG220" i="56"/>
  <c r="AQ5" i="56"/>
  <c r="AQ220" i="56"/>
  <c r="U5" i="56"/>
  <c r="U220" i="56"/>
  <c r="AE5" i="56"/>
  <c r="AE220" i="56"/>
  <c r="AF216" i="56"/>
  <c r="T5" i="56"/>
  <c r="AF219" i="56"/>
  <c r="T220" i="56"/>
  <c r="X5" i="56"/>
  <c r="X220" i="56"/>
  <c r="AB5" i="56"/>
  <c r="AB220" i="56"/>
  <c r="Y5" i="56"/>
  <c r="Y220" i="56"/>
  <c r="Z5" i="56"/>
  <c r="Z220" i="56"/>
  <c r="AC5" i="56"/>
  <c r="AC220" i="56"/>
  <c r="W5" i="56"/>
  <c r="W220" i="56"/>
  <c r="AA5" i="56"/>
  <c r="AA220" i="56"/>
  <c r="V220" i="56"/>
  <c r="Q11" i="53"/>
  <c r="V6" i="56"/>
  <c r="AD5" i="56"/>
  <c r="AD220" i="56"/>
  <c r="BE133" i="59"/>
  <c r="BE134" i="59" s="1"/>
  <c r="J236" i="56"/>
  <c r="J247" i="56"/>
  <c r="F15" i="53"/>
  <c r="F29" i="53" s="1"/>
  <c r="F30" i="53" s="1"/>
  <c r="DH207" i="56"/>
  <c r="DJ207" i="56" s="1"/>
  <c r="DH210" i="56"/>
  <c r="DI210" i="56"/>
  <c r="DI209" i="56"/>
  <c r="DJ209" i="56" s="1"/>
  <c r="AH233" i="56"/>
  <c r="AS233" i="56" s="1"/>
  <c r="AS231" i="56"/>
  <c r="AS214" i="56"/>
  <c r="AH218" i="56"/>
  <c r="AT233" i="56"/>
  <c r="BF233" i="56" s="1"/>
  <c r="BF231" i="56"/>
  <c r="BF214" i="56"/>
  <c r="AT218" i="56"/>
  <c r="BF216" i="56"/>
  <c r="L256" i="56"/>
  <c r="K235" i="56"/>
  <c r="K258" i="56"/>
  <c r="H11" i="56"/>
  <c r="J242" i="56"/>
  <c r="K242" i="56"/>
  <c r="K238" i="56"/>
  <c r="M253" i="56"/>
  <c r="L254" i="56"/>
  <c r="DI229" i="56"/>
  <c r="DJ229" i="56" s="1"/>
  <c r="E230" i="56"/>
  <c r="DI230" i="56" s="1"/>
  <c r="DJ230" i="56" s="1"/>
  <c r="H250" i="56"/>
  <c r="H251" i="56" s="1"/>
  <c r="DK197" i="56"/>
  <c r="AH216" i="56"/>
  <c r="AW28" i="53" l="1"/>
  <c r="AW26" i="53"/>
  <c r="AQ26" i="53"/>
  <c r="AQ28" i="53"/>
  <c r="AT28" i="53"/>
  <c r="AT26" i="53"/>
  <c r="L258" i="56"/>
  <c r="L257" i="56"/>
  <c r="L235" i="56" s="1"/>
  <c r="DJ181" i="56"/>
  <c r="E231" i="56"/>
  <c r="E214" i="56"/>
  <c r="AM26" i="53"/>
  <c r="AM28" i="53"/>
  <c r="AS5" i="56"/>
  <c r="AP11" i="53"/>
  <c r="AW6" i="56"/>
  <c r="BF5" i="56"/>
  <c r="AR11" i="53"/>
  <c r="AY6" i="56"/>
  <c r="AN11" i="53"/>
  <c r="AU6" i="56"/>
  <c r="AV11" i="53"/>
  <c r="BC6" i="56"/>
  <c r="AX11" i="53"/>
  <c r="BE6" i="56"/>
  <c r="AU11" i="53"/>
  <c r="BB6" i="56"/>
  <c r="AO11" i="53"/>
  <c r="AV6" i="56"/>
  <c r="AS11" i="53"/>
  <c r="AZ6" i="56"/>
  <c r="AL11" i="53"/>
  <c r="AR6" i="56"/>
  <c r="AG11" i="53"/>
  <c r="AM6" i="56"/>
  <c r="AA11" i="53"/>
  <c r="AG6" i="56"/>
  <c r="AD11" i="53"/>
  <c r="AJ6" i="56"/>
  <c r="AE11" i="53"/>
  <c r="AK6" i="56"/>
  <c r="AJ11" i="53"/>
  <c r="AP6" i="56"/>
  <c r="AC11" i="53"/>
  <c r="AI6" i="56"/>
  <c r="AK11" i="53"/>
  <c r="AQ6" i="56"/>
  <c r="AH11" i="53"/>
  <c r="AN6" i="56"/>
  <c r="AF11" i="53"/>
  <c r="AL6" i="56"/>
  <c r="AI11" i="53"/>
  <c r="AO6" i="56"/>
  <c r="U11" i="53"/>
  <c r="Z6" i="56"/>
  <c r="T11" i="53"/>
  <c r="Y6" i="56"/>
  <c r="Y11" i="53"/>
  <c r="AD6" i="56"/>
  <c r="Q28" i="53"/>
  <c r="Q26" i="53"/>
  <c r="AF220" i="56"/>
  <c r="AF5" i="56"/>
  <c r="O11" i="53"/>
  <c r="T6" i="56"/>
  <c r="S11" i="53"/>
  <c r="X6" i="56"/>
  <c r="W11" i="53"/>
  <c r="AB6" i="56"/>
  <c r="V11" i="53"/>
  <c r="AA6" i="56"/>
  <c r="R11" i="53"/>
  <c r="W6" i="56"/>
  <c r="Z11" i="53"/>
  <c r="AE6" i="56"/>
  <c r="X11" i="53"/>
  <c r="AC6" i="56"/>
  <c r="P11" i="53"/>
  <c r="U6" i="56"/>
  <c r="BE123" i="59"/>
  <c r="BE142" i="59"/>
  <c r="DH231" i="56"/>
  <c r="DJ210" i="56"/>
  <c r="K236" i="56"/>
  <c r="G15" i="53"/>
  <c r="G29" i="53" s="1"/>
  <c r="G30" i="53" s="1"/>
  <c r="K247" i="56"/>
  <c r="K8" i="56" s="1"/>
  <c r="K11" i="56" s="1"/>
  <c r="DH233" i="56"/>
  <c r="AT4" i="56"/>
  <c r="BF218" i="56"/>
  <c r="AH4" i="56"/>
  <c r="AS218" i="56"/>
  <c r="AS216" i="56"/>
  <c r="DI215" i="56"/>
  <c r="DJ215" i="56" s="1"/>
  <c r="BF219" i="56"/>
  <c r="AT220" i="56"/>
  <c r="BF220" i="56" s="1"/>
  <c r="M256" i="56"/>
  <c r="L238" i="56"/>
  <c r="L242" i="56"/>
  <c r="J8" i="56"/>
  <c r="N253" i="56"/>
  <c r="M254" i="56"/>
  <c r="DK209" i="56"/>
  <c r="AX28" i="53" l="1"/>
  <c r="AX26" i="53"/>
  <c r="AR26" i="53"/>
  <c r="AR28" i="53"/>
  <c r="AS28" i="53"/>
  <c r="AS26" i="53"/>
  <c r="AU26" i="53"/>
  <c r="AU28" i="53"/>
  <c r="AV28" i="53"/>
  <c r="AV26" i="53"/>
  <c r="M258" i="56"/>
  <c r="M257" i="56"/>
  <c r="M235" i="56" s="1"/>
  <c r="AP28" i="53"/>
  <c r="AP26" i="53"/>
  <c r="AN28" i="53"/>
  <c r="AN26" i="53"/>
  <c r="AO28" i="53"/>
  <c r="AO26" i="53"/>
  <c r="DI231" i="56"/>
  <c r="DJ231" i="56" s="1"/>
  <c r="AB5" i="53"/>
  <c r="AB21" i="53" s="1"/>
  <c r="BI245" i="56"/>
  <c r="E218" i="56"/>
  <c r="AL26" i="53"/>
  <c r="AL28" i="53"/>
  <c r="AK28" i="53"/>
  <c r="AK26" i="53"/>
  <c r="AJ28" i="53"/>
  <c r="AJ26" i="53"/>
  <c r="AI28" i="53"/>
  <c r="AI26" i="53"/>
  <c r="AH28" i="53"/>
  <c r="AH26" i="53"/>
  <c r="AG28" i="53"/>
  <c r="AG26" i="53"/>
  <c r="AF28" i="53"/>
  <c r="AF26" i="53"/>
  <c r="AE28" i="53"/>
  <c r="AE26" i="53"/>
  <c r="AD26" i="53"/>
  <c r="AD28" i="53"/>
  <c r="AC28" i="53"/>
  <c r="AC26" i="53"/>
  <c r="AA28" i="53"/>
  <c r="AA26" i="53"/>
  <c r="Z28" i="53"/>
  <c r="Z26" i="53"/>
  <c r="Y28" i="53"/>
  <c r="Y26" i="53"/>
  <c r="DH5" i="56"/>
  <c r="W28" i="53"/>
  <c r="W26" i="53"/>
  <c r="S28" i="53"/>
  <c r="S26" i="53"/>
  <c r="P28" i="53"/>
  <c r="P26" i="53"/>
  <c r="X28" i="53"/>
  <c r="X26" i="53"/>
  <c r="AF6" i="56"/>
  <c r="R26" i="53"/>
  <c r="R28" i="53"/>
  <c r="T26" i="53"/>
  <c r="T28" i="53"/>
  <c r="O28" i="53"/>
  <c r="O26" i="53"/>
  <c r="V28" i="53"/>
  <c r="V26" i="53"/>
  <c r="U26" i="53"/>
  <c r="U28" i="53"/>
  <c r="E233" i="56"/>
  <c r="DI233" i="56" s="1"/>
  <c r="DJ233" i="56" s="1"/>
  <c r="BE125" i="59"/>
  <c r="BF125" i="59" s="1"/>
  <c r="BE129" i="59"/>
  <c r="BF123" i="59"/>
  <c r="L236" i="56"/>
  <c r="L247" i="56"/>
  <c r="H15" i="53"/>
  <c r="H29" i="53" s="1"/>
  <c r="H30" i="53" s="1"/>
  <c r="AS4" i="56"/>
  <c r="AH6" i="56"/>
  <c r="AS6" i="56" s="1"/>
  <c r="DK232" i="56"/>
  <c r="AM5" i="53"/>
  <c r="AM21" i="53" s="1"/>
  <c r="AT6" i="56"/>
  <c r="BF4" i="56"/>
  <c r="AH220" i="56"/>
  <c r="AS220" i="56" s="1"/>
  <c r="AS219" i="56"/>
  <c r="N256" i="56"/>
  <c r="M242" i="56"/>
  <c r="M238" i="56"/>
  <c r="O253" i="56"/>
  <c r="N254" i="56"/>
  <c r="J11" i="56"/>
  <c r="H248" i="56"/>
  <c r="H239" i="56"/>
  <c r="N258" i="56" l="1"/>
  <c r="N257" i="56"/>
  <c r="BF6" i="56"/>
  <c r="DH219" i="56"/>
  <c r="E219" i="56"/>
  <c r="E5" i="56" s="1"/>
  <c r="DI5" i="56" s="1"/>
  <c r="DJ5" i="56" s="1"/>
  <c r="BE131" i="59"/>
  <c r="BF131" i="59" s="1"/>
  <c r="BE7" i="59"/>
  <c r="BF129" i="59"/>
  <c r="M236" i="56"/>
  <c r="M247" i="56"/>
  <c r="M8" i="56" s="1"/>
  <c r="M11" i="56" s="1"/>
  <c r="I15" i="53"/>
  <c r="I29" i="53" s="1"/>
  <c r="I30" i="53" s="1"/>
  <c r="N235" i="56"/>
  <c r="O256" i="56"/>
  <c r="L8" i="56"/>
  <c r="H7" i="56"/>
  <c r="H9" i="56" s="1"/>
  <c r="N238" i="56"/>
  <c r="P253" i="56"/>
  <c r="O254" i="56"/>
  <c r="O257" i="56" l="1"/>
  <c r="O235" i="56" s="1"/>
  <c r="P257" i="56"/>
  <c r="DI219" i="56"/>
  <c r="DJ219" i="56" s="1"/>
  <c r="BE9" i="59"/>
  <c r="BF9" i="59" s="1"/>
  <c r="BE10" i="59"/>
  <c r="BF7" i="59"/>
  <c r="O258" i="56"/>
  <c r="N236" i="56"/>
  <c r="N247" i="56"/>
  <c r="N8" i="56" s="1"/>
  <c r="N11" i="56" s="1"/>
  <c r="J15" i="53"/>
  <c r="J29" i="53" s="1"/>
  <c r="J30" i="53" s="1"/>
  <c r="H10" i="56"/>
  <c r="H12" i="56" s="1"/>
  <c r="P256" i="56"/>
  <c r="Q257" i="56" s="1"/>
  <c r="O238" i="56"/>
  <c r="O242" i="56"/>
  <c r="Q253" i="56"/>
  <c r="P254" i="56"/>
  <c r="N242" i="56"/>
  <c r="L11" i="56"/>
  <c r="BE12" i="59" l="1"/>
  <c r="BF10" i="59"/>
  <c r="O236" i="56"/>
  <c r="O247" i="56"/>
  <c r="K15" i="53"/>
  <c r="K29" i="53" s="1"/>
  <c r="K30" i="53" s="1"/>
  <c r="K35" i="53" s="1"/>
  <c r="P258" i="56"/>
  <c r="P235" i="56"/>
  <c r="Q256" i="56"/>
  <c r="R257" i="56" s="1"/>
  <c r="P238" i="56"/>
  <c r="P242" i="56"/>
  <c r="R253" i="56"/>
  <c r="Q254" i="56"/>
  <c r="H13" i="56"/>
  <c r="BF12" i="59" l="1"/>
  <c r="BE13" i="59"/>
  <c r="P247" i="56"/>
  <c r="P8" i="56" s="1"/>
  <c r="P11" i="56" s="1"/>
  <c r="L15" i="53"/>
  <c r="L29" i="53" s="1"/>
  <c r="L30" i="53" s="1"/>
  <c r="I250" i="56"/>
  <c r="I251" i="56" s="1"/>
  <c r="D19" i="53"/>
  <c r="Q235" i="56"/>
  <c r="R256" i="56"/>
  <c r="S257" i="56" s="1"/>
  <c r="P236" i="56"/>
  <c r="Q258" i="56"/>
  <c r="Q238" i="56"/>
  <c r="Q242" i="56"/>
  <c r="S253" i="56"/>
  <c r="R254" i="56"/>
  <c r="O8" i="56"/>
  <c r="BF133" i="59" l="1"/>
  <c r="BF13" i="59"/>
  <c r="Q236" i="56"/>
  <c r="Q247" i="56"/>
  <c r="Q8" i="56" s="1"/>
  <c r="Q11" i="56" s="1"/>
  <c r="M15" i="53"/>
  <c r="M29" i="53" s="1"/>
  <c r="M30" i="53" s="1"/>
  <c r="R258" i="56"/>
  <c r="S256" i="56"/>
  <c r="T257" i="56" s="1"/>
  <c r="R235" i="56"/>
  <c r="R238" i="56"/>
  <c r="T253" i="56"/>
  <c r="O11" i="56"/>
  <c r="I239" i="56"/>
  <c r="I248" i="56"/>
  <c r="BG133" i="59" l="1"/>
  <c r="BG134" i="59" s="1"/>
  <c r="R247" i="56"/>
  <c r="N15" i="53"/>
  <c r="N29" i="53" s="1"/>
  <c r="N30" i="53" s="1"/>
  <c r="S258" i="56"/>
  <c r="R236" i="56"/>
  <c r="S236" i="56" s="1"/>
  <c r="S235" i="56"/>
  <c r="T256" i="56"/>
  <c r="U257" i="56" s="1"/>
  <c r="U253" i="56"/>
  <c r="T254" i="56"/>
  <c r="S238" i="56"/>
  <c r="R242" i="56"/>
  <c r="S242" i="56" s="1"/>
  <c r="S240" i="56"/>
  <c r="I7" i="56"/>
  <c r="I9" i="56" s="1"/>
  <c r="BG123" i="59" l="1"/>
  <c r="BG142" i="59"/>
  <c r="T235" i="56"/>
  <c r="U235" i="56"/>
  <c r="AF235" i="56" s="1"/>
  <c r="T258" i="56"/>
  <c r="T236" i="56"/>
  <c r="R8" i="56"/>
  <c r="S247" i="56"/>
  <c r="T238" i="56"/>
  <c r="V253" i="56"/>
  <c r="U254" i="56"/>
  <c r="U258" i="56"/>
  <c r="I10" i="56"/>
  <c r="I12" i="56" s="1"/>
  <c r="O15" i="53" l="1"/>
  <c r="O29" i="53" s="1"/>
  <c r="O30" i="53" s="1"/>
  <c r="T247" i="56"/>
  <c r="BG125" i="59"/>
  <c r="BG129" i="59"/>
  <c r="U236" i="56"/>
  <c r="AF236" i="56" s="1"/>
  <c r="T242" i="56"/>
  <c r="U238" i="56"/>
  <c r="U242" i="56"/>
  <c r="W253" i="56"/>
  <c r="V258" i="56"/>
  <c r="V254" i="56"/>
  <c r="R11" i="56"/>
  <c r="S11" i="56" s="1"/>
  <c r="S8" i="56"/>
  <c r="I13" i="56"/>
  <c r="P15" i="53" l="1"/>
  <c r="P29" i="53" s="1"/>
  <c r="P30" i="53" s="1"/>
  <c r="U247" i="56"/>
  <c r="U8" i="56" s="1"/>
  <c r="U11" i="56" s="1"/>
  <c r="BG131" i="59"/>
  <c r="BG7" i="59"/>
  <c r="J250" i="56"/>
  <c r="J251" i="56" s="1"/>
  <c r="E19" i="53"/>
  <c r="T8" i="56"/>
  <c r="X253" i="56"/>
  <c r="W258" i="56"/>
  <c r="W254" i="56"/>
  <c r="V242" i="56"/>
  <c r="V247" i="56"/>
  <c r="BG9" i="59" l="1"/>
  <c r="BG10" i="59"/>
  <c r="Q29" i="53"/>
  <c r="Q30" i="53" s="1"/>
  <c r="J246" i="56"/>
  <c r="J248" i="56" s="1"/>
  <c r="T11" i="56"/>
  <c r="Y253" i="56"/>
  <c r="X258" i="56"/>
  <c r="X254" i="56"/>
  <c r="W238" i="56"/>
  <c r="W242" i="56"/>
  <c r="W247" i="56" l="1"/>
  <c r="R15" i="53"/>
  <c r="R29" i="53" s="1"/>
  <c r="R30" i="53" s="1"/>
  <c r="BG12" i="59"/>
  <c r="J239" i="56"/>
  <c r="F9" i="53"/>
  <c r="F22" i="53" s="1"/>
  <c r="F23" i="53" s="1"/>
  <c r="F34" i="53" s="1"/>
  <c r="W8" i="56"/>
  <c r="W11" i="56" s="1"/>
  <c r="Z253" i="56"/>
  <c r="Y258" i="56"/>
  <c r="Y254" i="56"/>
  <c r="V8" i="56"/>
  <c r="X242" i="56"/>
  <c r="X238" i="56"/>
  <c r="J7" i="56"/>
  <c r="J9" i="56" s="1"/>
  <c r="X247" i="56" l="1"/>
  <c r="X8" i="56" s="1"/>
  <c r="X11" i="56" s="1"/>
  <c r="S15" i="53"/>
  <c r="S29" i="53" s="1"/>
  <c r="S30" i="53" s="1"/>
  <c r="BG13" i="59"/>
  <c r="V11" i="56"/>
  <c r="AA253" i="56"/>
  <c r="Z258" i="56"/>
  <c r="Z254" i="56"/>
  <c r="Y238" i="56"/>
  <c r="J10" i="56"/>
  <c r="J12" i="56" s="1"/>
  <c r="Y247" i="56" l="1"/>
  <c r="Y8" i="56" s="1"/>
  <c r="Y11" i="56" s="1"/>
  <c r="T15" i="53"/>
  <c r="T29" i="53" s="1"/>
  <c r="T30" i="53" s="1"/>
  <c r="BH133" i="59"/>
  <c r="BH134" i="59" s="1"/>
  <c r="Y242" i="56"/>
  <c r="Z242" i="56"/>
  <c r="AB253" i="56"/>
  <c r="AA254" i="56"/>
  <c r="AA258" i="56"/>
  <c r="J13" i="56"/>
  <c r="Z247" i="56" l="1"/>
  <c r="Z8" i="56" s="1"/>
  <c r="Z11" i="56" s="1"/>
  <c r="U15" i="53"/>
  <c r="U29" i="53" s="1"/>
  <c r="U30" i="53" s="1"/>
  <c r="BH123" i="59"/>
  <c r="BH142" i="59"/>
  <c r="K250" i="56"/>
  <c r="K251" i="56" s="1"/>
  <c r="F19" i="53"/>
  <c r="AA238" i="56"/>
  <c r="AA242" i="56"/>
  <c r="AC253" i="56"/>
  <c r="AB254" i="56"/>
  <c r="AB258" i="56"/>
  <c r="AA247" i="56" l="1"/>
  <c r="AA8" i="56" s="1"/>
  <c r="AA11" i="56" s="1"/>
  <c r="V15" i="53"/>
  <c r="V29" i="53" s="1"/>
  <c r="V30" i="53" s="1"/>
  <c r="BH125" i="59"/>
  <c r="BH129" i="59"/>
  <c r="K246" i="56"/>
  <c r="K7" i="56" s="1"/>
  <c r="AB242" i="56"/>
  <c r="AD253" i="56"/>
  <c r="AC254" i="56"/>
  <c r="AC258" i="56"/>
  <c r="K239" i="56"/>
  <c r="AB247" i="56" l="1"/>
  <c r="AB8" i="56" s="1"/>
  <c r="AB11" i="56" s="1"/>
  <c r="W15" i="53"/>
  <c r="W29" i="53" s="1"/>
  <c r="W30" i="53" s="1"/>
  <c r="BH131" i="59"/>
  <c r="BH7" i="59"/>
  <c r="G9" i="53"/>
  <c r="G22" i="53" s="1"/>
  <c r="G23" i="53" s="1"/>
  <c r="G34" i="53" s="1"/>
  <c r="AE253" i="56"/>
  <c r="AD258" i="56"/>
  <c r="AD254" i="56"/>
  <c r="AC242" i="56"/>
  <c r="K248" i="56"/>
  <c r="K9" i="56"/>
  <c r="K10" i="56"/>
  <c r="AC247" i="56" l="1"/>
  <c r="AC8" i="56" s="1"/>
  <c r="AC11" i="56" s="1"/>
  <c r="X15" i="53"/>
  <c r="X29" i="53" s="1"/>
  <c r="X30" i="53" s="1"/>
  <c r="BH9" i="59"/>
  <c r="BH10" i="59"/>
  <c r="AD242" i="56"/>
  <c r="AE258" i="56"/>
  <c r="AF253" i="56"/>
  <c r="AE254" i="56"/>
  <c r="K12" i="56"/>
  <c r="K13" i="56" s="1"/>
  <c r="AF254" i="56" l="1"/>
  <c r="AF255" i="56" s="1"/>
  <c r="AF256" i="56" s="1"/>
  <c r="AG257" i="56" s="1"/>
  <c r="AD247" i="56"/>
  <c r="AD8" i="56" s="1"/>
  <c r="AD11" i="56" s="1"/>
  <c r="Y15" i="53"/>
  <c r="Y29" i="53" s="1"/>
  <c r="Y30" i="53" s="1"/>
  <c r="BH12" i="59"/>
  <c r="AG253" i="56"/>
  <c r="AH253" i="56" s="1"/>
  <c r="AG235" i="56" l="1"/>
  <c r="AG256" i="56"/>
  <c r="AE247" i="56"/>
  <c r="Z15" i="53"/>
  <c r="Z29" i="53" s="1"/>
  <c r="Z30" i="53" s="1"/>
  <c r="AF258" i="56"/>
  <c r="BH13" i="59"/>
  <c r="L250" i="56"/>
  <c r="L251" i="56" s="1"/>
  <c r="G19" i="53"/>
  <c r="AG254" i="56"/>
  <c r="AE242" i="56"/>
  <c r="AF242" i="56" s="1"/>
  <c r="AF240" i="56"/>
  <c r="AF238" i="56"/>
  <c r="AI253" i="56"/>
  <c r="AH254" i="56"/>
  <c r="AG258" i="56" l="1"/>
  <c r="AH257" i="56"/>
  <c r="AG247" i="56"/>
  <c r="AH256" i="56"/>
  <c r="AI257" i="56" s="1"/>
  <c r="AH235" i="56"/>
  <c r="AA15" i="53"/>
  <c r="AA29" i="53" s="1"/>
  <c r="AA30" i="53" s="1"/>
  <c r="AG236" i="56"/>
  <c r="BI133" i="59"/>
  <c r="BI134" i="59" s="1"/>
  <c r="L246" i="56"/>
  <c r="L7" i="56" s="1"/>
  <c r="H9" i="53"/>
  <c r="H22" i="53" s="1"/>
  <c r="H23" i="53" s="1"/>
  <c r="H34" i="53" s="1"/>
  <c r="AG242" i="56"/>
  <c r="AH238" i="56"/>
  <c r="AH242" i="56"/>
  <c r="AJ253" i="56"/>
  <c r="AI254" i="56"/>
  <c r="AE8" i="56"/>
  <c r="AF247" i="56"/>
  <c r="L239" i="56"/>
  <c r="AH247" i="56" l="1"/>
  <c r="AH8" i="56" s="1"/>
  <c r="AH11" i="56" s="1"/>
  <c r="AB15" i="53"/>
  <c r="AB29" i="53" s="1"/>
  <c r="AB30" i="53" s="1"/>
  <c r="AH236" i="56"/>
  <c r="AI235" i="56"/>
  <c r="AI256" i="56"/>
  <c r="AJ257" i="56" s="1"/>
  <c r="AH258" i="56"/>
  <c r="BI123" i="59"/>
  <c r="BI142" i="59"/>
  <c r="AI242" i="56"/>
  <c r="AG8" i="56"/>
  <c r="AK253" i="56"/>
  <c r="AJ254" i="56"/>
  <c r="AE11" i="56"/>
  <c r="AF11" i="56" s="1"/>
  <c r="AF8" i="56"/>
  <c r="L248" i="56"/>
  <c r="L9" i="56"/>
  <c r="L10" i="56"/>
  <c r="AI247" i="56" l="1"/>
  <c r="AJ235" i="56"/>
  <c r="AJ256" i="56"/>
  <c r="AK257" i="56" s="1"/>
  <c r="AI258" i="56"/>
  <c r="AC15" i="53"/>
  <c r="AC29" i="53" s="1"/>
  <c r="AC30" i="53" s="1"/>
  <c r="AI236" i="56"/>
  <c r="BI125" i="59"/>
  <c r="BI129" i="59"/>
  <c r="AG11" i="56"/>
  <c r="AL253" i="56"/>
  <c r="AK254" i="56"/>
  <c r="L12" i="56"/>
  <c r="AJ247" i="56" l="1"/>
  <c r="AJ8" i="56" s="1"/>
  <c r="AJ11" i="56" s="1"/>
  <c r="AK235" i="56"/>
  <c r="AK256" i="56"/>
  <c r="AL257" i="56" s="1"/>
  <c r="AJ258" i="56"/>
  <c r="AD15" i="53"/>
  <c r="AD29" i="53" s="1"/>
  <c r="AD30" i="53" s="1"/>
  <c r="AJ236" i="56"/>
  <c r="BI131" i="59"/>
  <c r="BI7" i="59"/>
  <c r="AK238" i="56"/>
  <c r="AK242" i="56"/>
  <c r="AI8" i="56"/>
  <c r="AM253" i="56"/>
  <c r="AM254" i="56" s="1"/>
  <c r="AL254" i="56"/>
  <c r="AJ242" i="56"/>
  <c r="L13" i="56"/>
  <c r="AK247" i="56" l="1"/>
  <c r="AL235" i="56"/>
  <c r="AL256" i="56"/>
  <c r="AM257" i="56" s="1"/>
  <c r="AK258" i="56"/>
  <c r="AE15" i="53"/>
  <c r="AE29" i="53" s="1"/>
  <c r="AE30" i="53" s="1"/>
  <c r="AK236" i="56"/>
  <c r="BI9" i="59"/>
  <c r="BI10" i="59"/>
  <c r="M250" i="56"/>
  <c r="M251" i="56" s="1"/>
  <c r="H19" i="53"/>
  <c r="AI11" i="56"/>
  <c r="AN253" i="56"/>
  <c r="AN254" i="56" s="1"/>
  <c r="AL247" i="56" l="1"/>
  <c r="AL8" i="56" s="1"/>
  <c r="AL11" i="56" s="1"/>
  <c r="AM235" i="56"/>
  <c r="AM256" i="56"/>
  <c r="AN257" i="56" s="1"/>
  <c r="AL258" i="56"/>
  <c r="AF15" i="53"/>
  <c r="AF29" i="53" s="1"/>
  <c r="AF30" i="53" s="1"/>
  <c r="AL236" i="56"/>
  <c r="BI12" i="59"/>
  <c r="M246" i="56"/>
  <c r="M248" i="56" s="1"/>
  <c r="I9" i="53"/>
  <c r="I22" i="53" s="1"/>
  <c r="I23" i="53" s="1"/>
  <c r="I34" i="53" s="1"/>
  <c r="AL242" i="56"/>
  <c r="AK8" i="56"/>
  <c r="AO253" i="56"/>
  <c r="AO254" i="56" s="1"/>
  <c r="AM242" i="56"/>
  <c r="AM247" i="56" l="1"/>
  <c r="AM8" i="56" s="1"/>
  <c r="AM11" i="56" s="1"/>
  <c r="AN235" i="56"/>
  <c r="AN256" i="56"/>
  <c r="AO257" i="56" s="1"/>
  <c r="AM258" i="56"/>
  <c r="AG15" i="53"/>
  <c r="AG29" i="53" s="1"/>
  <c r="AG30" i="53" s="1"/>
  <c r="AM236" i="56"/>
  <c r="BI13" i="59"/>
  <c r="M239" i="56"/>
  <c r="AN242" i="56"/>
  <c r="AP253" i="56"/>
  <c r="AP254" i="56" s="1"/>
  <c r="AK11" i="56"/>
  <c r="M7" i="56"/>
  <c r="M9" i="56" s="1"/>
  <c r="AN247" i="56" l="1"/>
  <c r="AO235" i="56"/>
  <c r="AO256" i="56"/>
  <c r="AP257" i="56" s="1"/>
  <c r="AN258" i="56"/>
  <c r="AH15" i="53"/>
  <c r="AH29" i="53" s="1"/>
  <c r="AH30" i="53" s="1"/>
  <c r="AN236" i="56"/>
  <c r="BJ133" i="59"/>
  <c r="BJ134" i="59" s="1"/>
  <c r="M10" i="56"/>
  <c r="M12" i="56" s="1"/>
  <c r="M13" i="56" s="1"/>
  <c r="AO242" i="56"/>
  <c r="AQ253" i="56"/>
  <c r="AQ254" i="56" s="1"/>
  <c r="AO247" i="56" l="1"/>
  <c r="AO8" i="56" s="1"/>
  <c r="AO11" i="56" s="1"/>
  <c r="AP256" i="56"/>
  <c r="AQ257" i="56" s="1"/>
  <c r="AO258" i="56"/>
  <c r="AI15" i="53"/>
  <c r="AI29" i="53" s="1"/>
  <c r="AI30" i="53" s="1"/>
  <c r="AO236" i="56"/>
  <c r="BJ123" i="59"/>
  <c r="BJ142" i="59"/>
  <c r="N250" i="56"/>
  <c r="N251" i="56" s="1"/>
  <c r="I19" i="53"/>
  <c r="AR253" i="56"/>
  <c r="AR254" i="56" s="1"/>
  <c r="AN8" i="56"/>
  <c r="AP242" i="56"/>
  <c r="AP247" i="56" l="1"/>
  <c r="AP8" i="56" s="1"/>
  <c r="AP11" i="56" s="1"/>
  <c r="AQ235" i="56"/>
  <c r="AQ256" i="56"/>
  <c r="AR257" i="56" s="1"/>
  <c r="AP258" i="56"/>
  <c r="AJ15" i="53"/>
  <c r="AJ29" i="53" s="1"/>
  <c r="AJ30" i="53" s="1"/>
  <c r="AP236" i="56"/>
  <c r="BJ125" i="59"/>
  <c r="BJ129" i="59"/>
  <c r="N239" i="56"/>
  <c r="J9" i="53"/>
  <c r="J22" i="53" s="1"/>
  <c r="J23" i="53" s="1"/>
  <c r="J34" i="53" s="1"/>
  <c r="AN11" i="56"/>
  <c r="AQ242" i="56"/>
  <c r="AS253" i="56"/>
  <c r="AQ247" i="56" l="1"/>
  <c r="AQ8" i="56" s="1"/>
  <c r="AQ11" i="56" s="1"/>
  <c r="AR235" i="56"/>
  <c r="AR256" i="56"/>
  <c r="AS257" i="56" s="1"/>
  <c r="AQ258" i="56"/>
  <c r="AK15" i="53"/>
  <c r="AK29" i="53" s="1"/>
  <c r="AK30" i="53" s="1"/>
  <c r="AQ236" i="56"/>
  <c r="BJ131" i="59"/>
  <c r="BJ7" i="59"/>
  <c r="N246" i="56"/>
  <c r="N248" i="56" s="1"/>
  <c r="AT253" i="56"/>
  <c r="AT254" i="56" s="1"/>
  <c r="AR247" i="56" l="1"/>
  <c r="AS247" i="56" s="1"/>
  <c r="AS256" i="56"/>
  <c r="AT257" i="56" s="1"/>
  <c r="AR258" i="56"/>
  <c r="AL15" i="53"/>
  <c r="AL29" i="53" s="1"/>
  <c r="AL30" i="53" s="1"/>
  <c r="AR236" i="56"/>
  <c r="AS236" i="56" s="1"/>
  <c r="AS235" i="56"/>
  <c r="N7" i="56"/>
  <c r="N9" i="56" s="1"/>
  <c r="BJ9" i="59"/>
  <c r="BJ10" i="59"/>
  <c r="AU253" i="56"/>
  <c r="AR242" i="56"/>
  <c r="AS242" i="56" s="1"/>
  <c r="AS240" i="56"/>
  <c r="AS238" i="56"/>
  <c r="AV253" i="56" l="1"/>
  <c r="AV254" i="56" s="1"/>
  <c r="AU254" i="56"/>
  <c r="N10" i="56"/>
  <c r="N12" i="56" s="1"/>
  <c r="N13" i="56" s="1"/>
  <c r="J19" i="53" s="1"/>
  <c r="AT256" i="56"/>
  <c r="AU257" i="56" s="1"/>
  <c r="AS258" i="56"/>
  <c r="BJ12" i="59"/>
  <c r="AT242" i="56"/>
  <c r="AR8" i="56"/>
  <c r="AU242" i="56"/>
  <c r="AW253" i="56" l="1"/>
  <c r="AW254" i="56" s="1"/>
  <c r="AU256" i="56"/>
  <c r="AV257" i="56" s="1"/>
  <c r="AT258" i="56"/>
  <c r="AM15" i="53"/>
  <c r="AM29" i="53" s="1"/>
  <c r="AM30" i="53" s="1"/>
  <c r="AT236" i="56"/>
  <c r="AT247" i="56"/>
  <c r="AT8" i="56" s="1"/>
  <c r="O250" i="56"/>
  <c r="O251" i="56" s="1"/>
  <c r="BJ13" i="59"/>
  <c r="AV242" i="56"/>
  <c r="AR11" i="56"/>
  <c r="AS8" i="56"/>
  <c r="AX253" i="56" l="1"/>
  <c r="AX254" i="56" s="1"/>
  <c r="AS11" i="56"/>
  <c r="AV256" i="56"/>
  <c r="AW257" i="56" s="1"/>
  <c r="AU258" i="56"/>
  <c r="AN15" i="53"/>
  <c r="AN29" i="53" s="1"/>
  <c r="AN30" i="53" s="1"/>
  <c r="AU236" i="56"/>
  <c r="AU247" i="56"/>
  <c r="AU8" i="56" s="1"/>
  <c r="AU11" i="56" s="1"/>
  <c r="BK133" i="59"/>
  <c r="BK134" i="59" s="1"/>
  <c r="O246" i="56"/>
  <c r="K9" i="53"/>
  <c r="K22" i="53" s="1"/>
  <c r="K23" i="53" s="1"/>
  <c r="K34" i="53" s="1"/>
  <c r="AT11" i="56"/>
  <c r="AW242" i="56"/>
  <c r="AY253" i="56"/>
  <c r="AY254" i="56" s="1"/>
  <c r="O239" i="56"/>
  <c r="AO15" i="53" l="1"/>
  <c r="AO29" i="53" s="1"/>
  <c r="AO30" i="53" s="1"/>
  <c r="AV236" i="56"/>
  <c r="AW256" i="56"/>
  <c r="AV258" i="56"/>
  <c r="AV247" i="56"/>
  <c r="AV8" i="56" s="1"/>
  <c r="AV11" i="56" s="1"/>
  <c r="BK142" i="59"/>
  <c r="BK123" i="59"/>
  <c r="AX242" i="56"/>
  <c r="AQ15" i="53"/>
  <c r="AQ29" i="53" s="1"/>
  <c r="AQ30" i="53" s="1"/>
  <c r="AZ253" i="56"/>
  <c r="AZ254" i="56" s="1"/>
  <c r="O248" i="56"/>
  <c r="O7" i="56"/>
  <c r="AW258" i="56" l="1"/>
  <c r="BF258" i="56" s="1"/>
  <c r="AW236" i="56"/>
  <c r="BK125" i="59"/>
  <c r="BK129" i="59"/>
  <c r="AY242" i="56"/>
  <c r="AY238" i="56"/>
  <c r="AR15" i="53" s="1"/>
  <c r="BA253" i="56"/>
  <c r="BA254" i="56" s="1"/>
  <c r="O9" i="56"/>
  <c r="O10" i="56"/>
  <c r="O12" i="56" s="1"/>
  <c r="O13" i="56" s="1"/>
  <c r="K19" i="53" s="1"/>
  <c r="AR30" i="53" l="1"/>
  <c r="AR16" i="53"/>
  <c r="AX236" i="56"/>
  <c r="AX247" i="56"/>
  <c r="AX8" i="56" s="1"/>
  <c r="AX11" i="56" s="1"/>
  <c r="BK131" i="59"/>
  <c r="BK7" i="59"/>
  <c r="AZ238" i="56"/>
  <c r="AZ242" i="56"/>
  <c r="BB253" i="56"/>
  <c r="BB254" i="56" s="1"/>
  <c r="P250" i="56"/>
  <c r="AR31" i="53" l="1"/>
  <c r="AY236" i="56"/>
  <c r="AY247" i="56"/>
  <c r="AY8" i="56" s="1"/>
  <c r="P251" i="56"/>
  <c r="BK9" i="59"/>
  <c r="BK10" i="59"/>
  <c r="BC253" i="56"/>
  <c r="BC254" i="56" s="1"/>
  <c r="BA238" i="56"/>
  <c r="AT15" i="53" s="1"/>
  <c r="AT29" i="53" s="1"/>
  <c r="BA242" i="56"/>
  <c r="AZ236" i="56" l="1"/>
  <c r="BA247" i="56"/>
  <c r="BA8" i="56" s="1"/>
  <c r="BA11" i="56" s="1"/>
  <c r="BK12" i="59"/>
  <c r="P246" i="56"/>
  <c r="L9" i="53"/>
  <c r="L22" i="53" s="1"/>
  <c r="L23" i="53" s="1"/>
  <c r="L34" i="53" s="1"/>
  <c r="AY11" i="56"/>
  <c r="BB238" i="56"/>
  <c r="BB242" i="56"/>
  <c r="BD253" i="56"/>
  <c r="BD254" i="56" s="1"/>
  <c r="P239" i="56"/>
  <c r="AT30" i="53" l="1"/>
  <c r="BA236" i="56"/>
  <c r="BK13" i="59"/>
  <c r="BE253" i="56"/>
  <c r="BE254" i="56" s="1"/>
  <c r="BC242" i="56"/>
  <c r="BC238" i="56"/>
  <c r="P248" i="56"/>
  <c r="P7" i="56"/>
  <c r="AU15" i="53" l="1"/>
  <c r="AU29" i="53" s="1"/>
  <c r="AU30" i="53" s="1"/>
  <c r="BB236" i="56"/>
  <c r="BB247" i="56"/>
  <c r="BB8" i="56" s="1"/>
  <c r="BB11" i="56" s="1"/>
  <c r="BL133" i="59"/>
  <c r="BL134" i="59" s="1"/>
  <c r="BD242" i="56"/>
  <c r="BD238" i="56"/>
  <c r="BF253" i="56"/>
  <c r="P9" i="56"/>
  <c r="P10" i="56"/>
  <c r="P12" i="56" s="1"/>
  <c r="P13" i="56" s="1"/>
  <c r="L19" i="53" s="1"/>
  <c r="BC236" i="56" l="1"/>
  <c r="BL142" i="59"/>
  <c r="BL123" i="59"/>
  <c r="BG253" i="56"/>
  <c r="BG254" i="56" s="1"/>
  <c r="BE238" i="56"/>
  <c r="Q250" i="56"/>
  <c r="AW15" i="53" l="1"/>
  <c r="AW29" i="53" s="1"/>
  <c r="AW30" i="53" s="1"/>
  <c r="BD236" i="56"/>
  <c r="BD247" i="56"/>
  <c r="BD8" i="56" s="1"/>
  <c r="BD11" i="56" s="1"/>
  <c r="Q251" i="56"/>
  <c r="BL125" i="59"/>
  <c r="BL129" i="59"/>
  <c r="BG238" i="56"/>
  <c r="BH253" i="56"/>
  <c r="BH254" i="56" s="1"/>
  <c r="BF238" i="56"/>
  <c r="BE242" i="56"/>
  <c r="BF242" i="56" s="1"/>
  <c r="DH242" i="56" s="1"/>
  <c r="BF240" i="56"/>
  <c r="DH240" i="56" l="1"/>
  <c r="DK241" i="56" s="1"/>
  <c r="E240" i="56"/>
  <c r="AX15" i="53"/>
  <c r="AX29" i="53" s="1"/>
  <c r="AX30" i="53" s="1"/>
  <c r="BE236" i="56"/>
  <c r="BF236" i="56" s="1"/>
  <c r="BF235" i="56"/>
  <c r="BF256" i="56"/>
  <c r="BE247" i="56"/>
  <c r="BL131" i="59"/>
  <c r="BL7" i="59"/>
  <c r="BI253" i="56"/>
  <c r="BI254" i="56" s="1"/>
  <c r="BH238" i="56"/>
  <c r="Q246" i="56"/>
  <c r="M9" i="53"/>
  <c r="M22" i="53" s="1"/>
  <c r="M23" i="53" s="1"/>
  <c r="M34" i="53" s="1"/>
  <c r="Q239" i="56"/>
  <c r="BE8" i="56" l="1"/>
  <c r="BE11" i="56" s="1"/>
  <c r="BL9" i="59"/>
  <c r="BL10" i="59"/>
  <c r="BL12" i="59" s="1"/>
  <c r="BL13" i="59" s="1"/>
  <c r="BJ253" i="56"/>
  <c r="BJ254" i="56" s="1"/>
  <c r="BI238" i="56"/>
  <c r="DI240" i="56"/>
  <c r="DJ240" i="56" s="1"/>
  <c r="E242" i="56"/>
  <c r="DI242" i="56" s="1"/>
  <c r="DJ242" i="56" s="1"/>
  <c r="Q248" i="56"/>
  <c r="Q7" i="56"/>
  <c r="BG236" i="56" l="1"/>
  <c r="BM133" i="59"/>
  <c r="BM134" i="59" s="1"/>
  <c r="BK253" i="56"/>
  <c r="BK254" i="56" s="1"/>
  <c r="BJ238" i="56"/>
  <c r="Q9" i="56"/>
  <c r="Q10" i="56"/>
  <c r="Q12" i="56" s="1"/>
  <c r="Q13" i="56" s="1"/>
  <c r="M19" i="53" s="1"/>
  <c r="AZ15" i="53" l="1"/>
  <c r="AZ16" i="53" s="1"/>
  <c r="AZ35" i="53" s="1"/>
  <c r="BH236" i="56"/>
  <c r="BH247" i="56"/>
  <c r="BH8" i="56" s="1"/>
  <c r="BH11" i="56" s="1"/>
  <c r="BM142" i="59"/>
  <c r="BM123" i="59"/>
  <c r="BL253" i="56"/>
  <c r="BL254" i="56" s="1"/>
  <c r="BK238" i="56"/>
  <c r="R250" i="56"/>
  <c r="BA15" i="53" l="1"/>
  <c r="BA16" i="53" s="1"/>
  <c r="BA35" i="53" s="1"/>
  <c r="BI236" i="56"/>
  <c r="BI247" i="56"/>
  <c r="BI8" i="56" s="1"/>
  <c r="BI11" i="56" s="1"/>
  <c r="R251" i="56"/>
  <c r="BM125" i="59"/>
  <c r="BM129" i="59"/>
  <c r="BM253" i="56"/>
  <c r="BM254" i="56" s="1"/>
  <c r="BL238" i="56"/>
  <c r="BJ236" i="56" l="1"/>
  <c r="BM131" i="59"/>
  <c r="BM7" i="59"/>
  <c r="BM238" i="56"/>
  <c r="BN253" i="56"/>
  <c r="BN254" i="56" s="1"/>
  <c r="R246" i="56"/>
  <c r="S246" i="56" s="1"/>
  <c r="N9" i="53"/>
  <c r="N22" i="53" s="1"/>
  <c r="N23" i="53" s="1"/>
  <c r="N34" i="53" s="1"/>
  <c r="S237" i="56"/>
  <c r="R239" i="56"/>
  <c r="S239" i="56" s="1"/>
  <c r="BC15" i="53" l="1"/>
  <c r="BC16" i="53" s="1"/>
  <c r="BC35" i="53" s="1"/>
  <c r="BK236" i="56"/>
  <c r="BK247" i="56"/>
  <c r="BK8" i="56" s="1"/>
  <c r="BK11" i="56" s="1"/>
  <c r="BM9" i="59"/>
  <c r="BM10" i="59"/>
  <c r="BM12" i="59" s="1"/>
  <c r="BM13" i="59" s="1"/>
  <c r="BN238" i="56"/>
  <c r="BO253" i="56"/>
  <c r="BO254" i="56" s="1"/>
  <c r="R248" i="56"/>
  <c r="S248" i="56" s="1"/>
  <c r="R7" i="56"/>
  <c r="S7" i="56" s="1"/>
  <c r="BD15" i="53" l="1"/>
  <c r="BD16" i="53" s="1"/>
  <c r="BD35" i="53" s="1"/>
  <c r="BL236" i="56"/>
  <c r="BL247" i="56"/>
  <c r="BL8" i="56" s="1"/>
  <c r="BL11" i="56" s="1"/>
  <c r="BN133" i="59"/>
  <c r="BN134" i="59" s="1"/>
  <c r="BP253" i="56"/>
  <c r="BP254" i="56" s="1"/>
  <c r="BO238" i="56"/>
  <c r="R9" i="56"/>
  <c r="S9" i="56" s="1"/>
  <c r="R10" i="56"/>
  <c r="BE15" i="53" l="1"/>
  <c r="BE16" i="53" s="1"/>
  <c r="BE35" i="53" s="1"/>
  <c r="BM236" i="56"/>
  <c r="BM247" i="56"/>
  <c r="BM8" i="56" s="1"/>
  <c r="BM11" i="56" s="1"/>
  <c r="BN142" i="59"/>
  <c r="BN123" i="59"/>
  <c r="BP238" i="56"/>
  <c r="BQ253" i="56"/>
  <c r="BQ254" i="56" s="1"/>
  <c r="R12" i="56"/>
  <c r="S10" i="56"/>
  <c r="BF15" i="53" l="1"/>
  <c r="BF16" i="53" s="1"/>
  <c r="BF35" i="53" s="1"/>
  <c r="BN236" i="56"/>
  <c r="BN247" i="56"/>
  <c r="BN8" i="56" s="1"/>
  <c r="BN11" i="56" s="1"/>
  <c r="BN125" i="59"/>
  <c r="BN129" i="59"/>
  <c r="BR253" i="56"/>
  <c r="BR254" i="56" s="1"/>
  <c r="BQ238" i="56"/>
  <c r="R13" i="56"/>
  <c r="N19" i="53" s="1"/>
  <c r="S12" i="56"/>
  <c r="BG15" i="53" l="1"/>
  <c r="BO236" i="56"/>
  <c r="BO247" i="56"/>
  <c r="BO8" i="56" s="1"/>
  <c r="BO11" i="56" s="1"/>
  <c r="BN131" i="59"/>
  <c r="BN7" i="59"/>
  <c r="BS253" i="56"/>
  <c r="BT253" i="56" s="1"/>
  <c r="BR238" i="56"/>
  <c r="S13" i="56"/>
  <c r="T250" i="56" s="1"/>
  <c r="S250" i="56"/>
  <c r="BU253" i="56" l="1"/>
  <c r="BT254" i="56"/>
  <c r="BT238" i="56" s="1"/>
  <c r="BG16" i="53"/>
  <c r="BG35" i="53" s="1"/>
  <c r="BH15" i="53"/>
  <c r="BH16" i="53" s="1"/>
  <c r="BP236" i="56"/>
  <c r="BP247" i="56"/>
  <c r="BP8" i="56" s="1"/>
  <c r="BP11" i="56" s="1"/>
  <c r="S251" i="56"/>
  <c r="T251" i="56"/>
  <c r="BN9" i="59"/>
  <c r="BN10" i="59"/>
  <c r="BN12" i="59" s="1"/>
  <c r="BN13" i="59" s="1"/>
  <c r="BS238" i="56"/>
  <c r="DG253" i="56"/>
  <c r="BV253" i="56" l="1"/>
  <c r="BU254" i="56"/>
  <c r="BU238" i="56" s="1"/>
  <c r="BH35" i="53"/>
  <c r="BI15" i="53"/>
  <c r="BQ236" i="56"/>
  <c r="BQ247" i="56"/>
  <c r="BQ8" i="56" s="1"/>
  <c r="BQ11" i="56" s="1"/>
  <c r="O22" i="53"/>
  <c r="O23" i="53" s="1"/>
  <c r="BO133" i="59"/>
  <c r="BO134" i="59" s="1"/>
  <c r="DG254" i="56"/>
  <c r="DG238" i="56" s="1"/>
  <c r="DH238" i="56" s="1"/>
  <c r="T239" i="56"/>
  <c r="T248" i="56"/>
  <c r="BV254" i="56" l="1"/>
  <c r="BV238" i="56" s="1"/>
  <c r="BI16" i="53"/>
  <c r="BI35" i="53" s="1"/>
  <c r="BS256" i="56"/>
  <c r="BJ15" i="53"/>
  <c r="BR236" i="56"/>
  <c r="BS236" i="56" s="1"/>
  <c r="BS235" i="56"/>
  <c r="BR247" i="56"/>
  <c r="BO142" i="59"/>
  <c r="BO123" i="59"/>
  <c r="T7" i="56"/>
  <c r="T9" i="56" s="1"/>
  <c r="BT256" i="56" l="1"/>
  <c r="BX253" i="56"/>
  <c r="BW254" i="56"/>
  <c r="BW238" i="56" s="1"/>
  <c r="BR8" i="56"/>
  <c r="BJ16" i="53"/>
  <c r="DG235" i="56"/>
  <c r="DG256" i="56"/>
  <c r="DG258" i="56" s="1"/>
  <c r="BO125" i="59"/>
  <c r="BO129" i="59"/>
  <c r="T10" i="56"/>
  <c r="T12" i="56" s="1"/>
  <c r="BY253" i="56" l="1"/>
  <c r="BX254" i="56"/>
  <c r="BX238" i="56" s="1"/>
  <c r="BT236" i="56"/>
  <c r="BU256" i="56"/>
  <c r="BU257" i="56" s="1"/>
  <c r="BL15" i="53"/>
  <c r="BL16" i="53" s="1"/>
  <c r="BL35" i="53" s="1"/>
  <c r="BJ35" i="53"/>
  <c r="DG236" i="56"/>
  <c r="DH236" i="56" s="1"/>
  <c r="DG247" i="56"/>
  <c r="BR11" i="56"/>
  <c r="DH235" i="56"/>
  <c r="BO131" i="59"/>
  <c r="BO7" i="59"/>
  <c r="T13" i="56"/>
  <c r="BV258" i="56" l="1"/>
  <c r="BM15" i="53"/>
  <c r="BM16" i="53" s="1"/>
  <c r="BM35" i="53" s="1"/>
  <c r="BV256" i="56"/>
  <c r="BV257" i="56" s="1"/>
  <c r="BU236" i="56"/>
  <c r="BU247" i="56"/>
  <c r="BU8" i="56" s="1"/>
  <c r="BU11" i="56" s="1"/>
  <c r="BZ253" i="56"/>
  <c r="BY254" i="56"/>
  <c r="BY238" i="56" s="1"/>
  <c r="DG8" i="56"/>
  <c r="DG11" i="56" s="1"/>
  <c r="DK235" i="56"/>
  <c r="BO9" i="59"/>
  <c r="BO10" i="59"/>
  <c r="BO12" i="59" s="1"/>
  <c r="BO13" i="59" s="1"/>
  <c r="U250" i="56"/>
  <c r="O19" i="53"/>
  <c r="BW258" i="56" l="1"/>
  <c r="BW256" i="56"/>
  <c r="BW257" i="56" s="1"/>
  <c r="BZ254" i="56"/>
  <c r="BZ238" i="56" s="1"/>
  <c r="CA253" i="56"/>
  <c r="BV236" i="56"/>
  <c r="BV247" i="56"/>
  <c r="BV8" i="56" s="1"/>
  <c r="BV11" i="56" s="1"/>
  <c r="U251" i="56"/>
  <c r="BP133" i="59"/>
  <c r="BP134" i="59" s="1"/>
  <c r="BX258" i="56" l="1"/>
  <c r="CA254" i="56"/>
  <c r="CA238" i="56" s="1"/>
  <c r="CB253" i="56"/>
  <c r="BO15" i="53"/>
  <c r="BO16" i="53" s="1"/>
  <c r="BO35" i="53" s="1"/>
  <c r="BX256" i="56"/>
  <c r="BX257" i="56" s="1"/>
  <c r="BW236" i="56"/>
  <c r="BP142" i="59"/>
  <c r="BP123" i="59"/>
  <c r="BY258" i="56" l="1"/>
  <c r="BP15" i="53"/>
  <c r="BP16" i="53" s="1"/>
  <c r="BP35" i="53" s="1"/>
  <c r="BY256" i="56"/>
  <c r="BY257" i="56" s="1"/>
  <c r="BX236" i="56"/>
  <c r="BX247" i="56"/>
  <c r="CB254" i="56"/>
  <c r="CB238" i="56" s="1"/>
  <c r="CC253" i="56"/>
  <c r="P22" i="53"/>
  <c r="P23" i="53" s="1"/>
  <c r="U246" i="56"/>
  <c r="U7" i="56" s="1"/>
  <c r="U9" i="56" s="1"/>
  <c r="U239" i="56"/>
  <c r="BP125" i="59"/>
  <c r="BP129" i="59"/>
  <c r="CC254" i="56" l="1"/>
  <c r="CC238" i="56" s="1"/>
  <c r="CD253" i="56"/>
  <c r="BZ256" i="56"/>
  <c r="BX8" i="56"/>
  <c r="BY236" i="56"/>
  <c r="BY247" i="56"/>
  <c r="BY8" i="56" s="1"/>
  <c r="BY11" i="56" s="1"/>
  <c r="U10" i="56"/>
  <c r="U12" i="56" s="1"/>
  <c r="U248" i="56"/>
  <c r="BP131" i="59"/>
  <c r="BP7" i="59"/>
  <c r="CA258" i="56" l="1"/>
  <c r="CA234" i="56" s="1"/>
  <c r="CF234" i="56" s="1"/>
  <c r="E234" i="56" s="1"/>
  <c r="DI234" i="56" s="1"/>
  <c r="DJ234" i="56" s="1"/>
  <c r="BX11" i="56"/>
  <c r="CD254" i="56"/>
  <c r="CD238" i="56" s="1"/>
  <c r="CE253" i="56"/>
  <c r="BR15" i="53"/>
  <c r="BR16" i="53" s="1"/>
  <c r="BR35" i="53" s="1"/>
  <c r="CA256" i="56"/>
  <c r="BZ236" i="56"/>
  <c r="BP9" i="59"/>
  <c r="BP10" i="59"/>
  <c r="BP12" i="59" s="1"/>
  <c r="BP13" i="59" s="1"/>
  <c r="U13" i="56"/>
  <c r="CB258" i="56" l="1"/>
  <c r="BS15" i="53"/>
  <c r="BS16" i="53" s="1"/>
  <c r="BS35" i="53" s="1"/>
  <c r="CB256" i="56"/>
  <c r="CB257" i="56" s="1"/>
  <c r="CA236" i="56"/>
  <c r="CA247" i="56"/>
  <c r="CA8" i="56" s="1"/>
  <c r="CA11" i="56" s="1"/>
  <c r="CE254" i="56"/>
  <c r="CE238" i="56" s="1"/>
  <c r="CF238" i="56" s="1"/>
  <c r="CF253" i="56"/>
  <c r="CG253" i="56" s="1"/>
  <c r="BQ133" i="59"/>
  <c r="BQ134" i="59" s="1"/>
  <c r="V250" i="56"/>
  <c r="P19" i="53"/>
  <c r="CC258" i="56" l="1"/>
  <c r="CH253" i="56"/>
  <c r="CG254" i="56"/>
  <c r="CG238" i="56" s="1"/>
  <c r="CB236" i="56"/>
  <c r="CB247" i="56"/>
  <c r="CB8" i="56" s="1"/>
  <c r="CB11" i="56" s="1"/>
  <c r="CC256" i="56"/>
  <c r="CC257" i="56" s="1"/>
  <c r="BT15" i="53"/>
  <c r="BT16" i="53" s="1"/>
  <c r="BT35" i="53" s="1"/>
  <c r="V251" i="56"/>
  <c r="BQ142" i="59"/>
  <c r="BQ123" i="59"/>
  <c r="CD258" i="56" l="1"/>
  <c r="CI253" i="56"/>
  <c r="CH254" i="56"/>
  <c r="CH238" i="56" s="1"/>
  <c r="CC236" i="56"/>
  <c r="CC247" i="56"/>
  <c r="CC8" i="56" s="1"/>
  <c r="CD256" i="56"/>
  <c r="CD257" i="56" s="1"/>
  <c r="BU15" i="53"/>
  <c r="BU16" i="53" s="1"/>
  <c r="BU35" i="53" s="1"/>
  <c r="BQ125" i="59"/>
  <c r="BQ129" i="59"/>
  <c r="CE258" i="56" l="1"/>
  <c r="CF258" i="56" s="1"/>
  <c r="CJ253" i="56"/>
  <c r="CI254" i="56"/>
  <c r="CI238" i="56" s="1"/>
  <c r="CD247" i="56"/>
  <c r="CD8" i="56" s="1"/>
  <c r="CD11" i="56" s="1"/>
  <c r="CD236" i="56"/>
  <c r="CE256" i="56"/>
  <c r="CE257" i="56" s="1"/>
  <c r="BV15" i="53"/>
  <c r="BV16" i="53" s="1"/>
  <c r="BV35" i="53" s="1"/>
  <c r="CC11" i="56"/>
  <c r="Q22" i="53"/>
  <c r="Q23" i="53" s="1"/>
  <c r="V246" i="56"/>
  <c r="V7" i="56" s="1"/>
  <c r="V10" i="56" s="1"/>
  <c r="V239" i="56"/>
  <c r="BQ131" i="59"/>
  <c r="BQ7" i="59"/>
  <c r="CG257" i="56" l="1"/>
  <c r="CG258" i="56"/>
  <c r="CK253" i="56"/>
  <c r="CJ254" i="56"/>
  <c r="CJ238" i="56" s="1"/>
  <c r="CE236" i="56"/>
  <c r="CF236" i="56" s="1"/>
  <c r="CE247" i="56"/>
  <c r="CF256" i="56"/>
  <c r="V9" i="56"/>
  <c r="V248" i="56"/>
  <c r="BQ9" i="59"/>
  <c r="BQ10" i="59"/>
  <c r="BQ12" i="59" s="1"/>
  <c r="BQ13" i="59" s="1"/>
  <c r="V12" i="56"/>
  <c r="CH258" i="56" l="1"/>
  <c r="CG256" i="56"/>
  <c r="BW15" i="53"/>
  <c r="BW16" i="53" s="1"/>
  <c r="BW35" i="53" s="1"/>
  <c r="CL253" i="56"/>
  <c r="CK254" i="56"/>
  <c r="CK238" i="56" s="1"/>
  <c r="CE8" i="56"/>
  <c r="BR133" i="59"/>
  <c r="BR134" i="59" s="1"/>
  <c r="V13" i="56"/>
  <c r="CM253" i="56" l="1"/>
  <c r="CL254" i="56"/>
  <c r="CL238" i="56" s="1"/>
  <c r="CG236" i="56"/>
  <c r="CG247" i="56"/>
  <c r="CH256" i="56"/>
  <c r="CH257" i="56" s="1"/>
  <c r="BX15" i="53"/>
  <c r="BX16" i="53" s="1"/>
  <c r="BX35" i="53" s="1"/>
  <c r="CE11" i="56"/>
  <c r="BR123" i="59"/>
  <c r="BR142" i="59"/>
  <c r="W250" i="56"/>
  <c r="Q19" i="53"/>
  <c r="CI258" i="56" l="1"/>
  <c r="CH236" i="56"/>
  <c r="CH247" i="56"/>
  <c r="CH8" i="56" s="1"/>
  <c r="CH11" i="56" s="1"/>
  <c r="CI256" i="56"/>
  <c r="CI257" i="56" s="1"/>
  <c r="CG8" i="56"/>
  <c r="CM254" i="56"/>
  <c r="CM238" i="56" s="1"/>
  <c r="CN253" i="56"/>
  <c r="W251" i="56"/>
  <c r="BR125" i="59"/>
  <c r="BS125" i="59" s="1"/>
  <c r="BR129" i="59"/>
  <c r="BS123" i="59"/>
  <c r="CJ258" i="56" l="1"/>
  <c r="CN254" i="56"/>
  <c r="CN238" i="56" s="1"/>
  <c r="CO253" i="56"/>
  <c r="CG11" i="56"/>
  <c r="CJ256" i="56"/>
  <c r="CJ257" i="56" s="1"/>
  <c r="CI236" i="56"/>
  <c r="BR131" i="59"/>
  <c r="BS131" i="59" s="1"/>
  <c r="BR7" i="59"/>
  <c r="BS129" i="59"/>
  <c r="CK258" i="56" l="1"/>
  <c r="CJ236" i="56"/>
  <c r="CO254" i="56"/>
  <c r="CO238" i="56" s="1"/>
  <c r="CP253" i="56"/>
  <c r="CA15" i="53"/>
  <c r="CA16" i="53" s="1"/>
  <c r="CA35" i="53" s="1"/>
  <c r="CK256" i="56"/>
  <c r="CK257" i="56" s="1"/>
  <c r="W239" i="56"/>
  <c r="R9" i="53"/>
  <c r="R22" i="53" s="1"/>
  <c r="R23" i="53" s="1"/>
  <c r="W246" i="56"/>
  <c r="W7" i="56" s="1"/>
  <c r="W9" i="56" s="1"/>
  <c r="BR9" i="59"/>
  <c r="BS9" i="59" s="1"/>
  <c r="BR10" i="59"/>
  <c r="BS7" i="59"/>
  <c r="CL258" i="56" l="1"/>
  <c r="CB15" i="53"/>
  <c r="CB16" i="53" s="1"/>
  <c r="CB35" i="53" s="1"/>
  <c r="CL256" i="56"/>
  <c r="CL257" i="56" s="1"/>
  <c r="CP254" i="56"/>
  <c r="CP238" i="56" s="1"/>
  <c r="CQ253" i="56"/>
  <c r="CK236" i="56"/>
  <c r="CK247" i="56"/>
  <c r="CK8" i="56" s="1"/>
  <c r="CK11" i="56" s="1"/>
  <c r="W10" i="56"/>
  <c r="W12" i="56" s="1"/>
  <c r="W248" i="56"/>
  <c r="BR12" i="59"/>
  <c r="BS10" i="59"/>
  <c r="CM258" i="56" l="1"/>
  <c r="CM256" i="56"/>
  <c r="CM257" i="56" s="1"/>
  <c r="CQ254" i="56"/>
  <c r="CQ238" i="56" s="1"/>
  <c r="CR253" i="56"/>
  <c r="CL236" i="56"/>
  <c r="CL247" i="56"/>
  <c r="BS12" i="59"/>
  <c r="BR13" i="59"/>
  <c r="W13" i="56"/>
  <c r="CN258" i="56" l="1"/>
  <c r="CD15" i="53"/>
  <c r="CD16" i="53" s="1"/>
  <c r="CD35" i="53" s="1"/>
  <c r="CN256" i="56"/>
  <c r="CN257" i="56" s="1"/>
  <c r="CM236" i="56"/>
  <c r="CL8" i="56"/>
  <c r="CR254" i="56"/>
  <c r="CR238" i="56" s="1"/>
  <c r="CS238" i="56" s="1"/>
  <c r="CS253" i="56"/>
  <c r="CT253" i="56" s="1"/>
  <c r="BS133" i="59"/>
  <c r="BS13" i="59"/>
  <c r="X250" i="56"/>
  <c r="R19" i="53"/>
  <c r="CO258" i="56" l="1"/>
  <c r="CT254" i="56"/>
  <c r="CU253" i="56"/>
  <c r="CE15" i="53"/>
  <c r="CE16" i="53" s="1"/>
  <c r="CE35" i="53" s="1"/>
  <c r="CO256" i="56"/>
  <c r="CO257" i="56" s="1"/>
  <c r="CL11" i="56"/>
  <c r="CN236" i="56"/>
  <c r="CN247" i="56"/>
  <c r="X251" i="56"/>
  <c r="BT133" i="59"/>
  <c r="BT134" i="59" s="1"/>
  <c r="CP258" i="56" l="1"/>
  <c r="CV253" i="56"/>
  <c r="CU254" i="56"/>
  <c r="CN8" i="56"/>
  <c r="CO236" i="56"/>
  <c r="CO247" i="56"/>
  <c r="CO8" i="56" s="1"/>
  <c r="CO11" i="56" s="1"/>
  <c r="CP256" i="56"/>
  <c r="CP257" i="56" s="1"/>
  <c r="S9" i="53"/>
  <c r="BT142" i="59"/>
  <c r="BT123" i="59"/>
  <c r="CQ258" i="56" l="1"/>
  <c r="CW253" i="56"/>
  <c r="CV254" i="56"/>
  <c r="CP236" i="56"/>
  <c r="CQ256" i="56"/>
  <c r="CQ257" i="56" s="1"/>
  <c r="CG15" i="53"/>
  <c r="CG16" i="53" s="1"/>
  <c r="CG35" i="53" s="1"/>
  <c r="CN11" i="56"/>
  <c r="S22" i="53"/>
  <c r="S23" i="53" s="1"/>
  <c r="X246" i="56"/>
  <c r="X7" i="56" s="1"/>
  <c r="X9" i="56" s="1"/>
  <c r="X239" i="56"/>
  <c r="BT125" i="59"/>
  <c r="BU125" i="59" s="1"/>
  <c r="BT129" i="59"/>
  <c r="BU123" i="59"/>
  <c r="CR258" i="56" l="1"/>
  <c r="CX253" i="56"/>
  <c r="CW254" i="56"/>
  <c r="CQ236" i="56"/>
  <c r="CQ247" i="56"/>
  <c r="CQ8" i="56" s="1"/>
  <c r="CR256" i="56"/>
  <c r="CR257" i="56" s="1"/>
  <c r="CH15" i="53"/>
  <c r="CH16" i="53" s="1"/>
  <c r="CH35" i="53" s="1"/>
  <c r="X10" i="56"/>
  <c r="X12" i="56" s="1"/>
  <c r="X248" i="56"/>
  <c r="E123" i="59"/>
  <c r="BX124" i="59"/>
  <c r="BT131" i="59"/>
  <c r="BU131" i="59" s="1"/>
  <c r="BT7" i="59"/>
  <c r="BU129" i="59"/>
  <c r="BX130" i="59" s="1"/>
  <c r="CT258" i="56" l="1"/>
  <c r="CT257" i="56"/>
  <c r="CY253" i="56"/>
  <c r="CX254" i="56"/>
  <c r="CR236" i="56"/>
  <c r="CS236" i="56" s="1"/>
  <c r="CR247" i="56"/>
  <c r="CS256" i="56"/>
  <c r="CQ11" i="56"/>
  <c r="BT9" i="59"/>
  <c r="BU9" i="59" s="1"/>
  <c r="BT10" i="59"/>
  <c r="BU7" i="59"/>
  <c r="BX8" i="59" s="1"/>
  <c r="BV123" i="59"/>
  <c r="BW123" i="59" s="1"/>
  <c r="E125" i="59"/>
  <c r="BV125" i="59" s="1"/>
  <c r="BW125" i="59" s="1"/>
  <c r="E129" i="59"/>
  <c r="X13" i="56"/>
  <c r="S19" i="53" s="1"/>
  <c r="CU258" i="56" l="1"/>
  <c r="CS258" i="56"/>
  <c r="CT256" i="56"/>
  <c r="CZ253" i="56"/>
  <c r="CY254" i="56"/>
  <c r="CR8" i="56"/>
  <c r="BV129" i="59"/>
  <c r="BW129" i="59" s="1"/>
  <c r="E131" i="59"/>
  <c r="BV131" i="59" s="1"/>
  <c r="BW131" i="59" s="1"/>
  <c r="E7" i="59"/>
  <c r="BT12" i="59"/>
  <c r="BU10" i="59"/>
  <c r="BX11" i="59" s="1"/>
  <c r="Y250" i="56"/>
  <c r="Y251" i="56" s="1"/>
  <c r="CZ254" i="56" l="1"/>
  <c r="DA253" i="56"/>
  <c r="CT236" i="56"/>
  <c r="CT247" i="56"/>
  <c r="CU256" i="56"/>
  <c r="CU257" i="56" s="1"/>
  <c r="CR11" i="56"/>
  <c r="BU12" i="59"/>
  <c r="BT13" i="59"/>
  <c r="BV7" i="59"/>
  <c r="BW7" i="59" s="1"/>
  <c r="E9" i="59"/>
  <c r="BV9" i="59" s="1"/>
  <c r="BW9" i="59" s="1"/>
  <c r="E10" i="59"/>
  <c r="T9" i="53"/>
  <c r="CV258" i="56" l="1"/>
  <c r="CV256" i="56"/>
  <c r="CV257" i="56" s="1"/>
  <c r="CU236" i="56"/>
  <c r="CU247" i="56"/>
  <c r="CU8" i="56" s="1"/>
  <c r="CU11" i="56" s="1"/>
  <c r="CT8" i="56"/>
  <c r="DA254" i="56"/>
  <c r="DB253" i="56"/>
  <c r="T22" i="53"/>
  <c r="T23" i="53" s="1"/>
  <c r="Y246" i="56"/>
  <c r="Y7" i="56" s="1"/>
  <c r="Y10" i="56" s="1"/>
  <c r="Y12" i="56" s="1"/>
  <c r="Y13" i="56" s="1"/>
  <c r="T19" i="53" s="1"/>
  <c r="BV10" i="59"/>
  <c r="BW10" i="59" s="1"/>
  <c r="E12" i="59"/>
  <c r="BV12" i="59" s="1"/>
  <c r="BW12" i="59" s="1"/>
  <c r="Y239" i="56"/>
  <c r="CW258" i="56" l="1"/>
  <c r="CT11" i="56"/>
  <c r="DB254" i="56"/>
  <c r="DC253" i="56"/>
  <c r="CW256" i="56"/>
  <c r="CW257" i="56" s="1"/>
  <c r="CV236" i="56"/>
  <c r="CV247" i="56"/>
  <c r="Y9" i="56"/>
  <c r="Y248" i="56"/>
  <c r="Z250" i="56"/>
  <c r="Z251" i="56" s="1"/>
  <c r="CX258" i="56" l="1"/>
  <c r="CV8" i="56"/>
  <c r="CX256" i="56"/>
  <c r="CX257" i="56" s="1"/>
  <c r="CW236" i="56"/>
  <c r="DC254" i="56"/>
  <c r="DD253" i="56"/>
  <c r="U9" i="53"/>
  <c r="CY258" i="56" l="1"/>
  <c r="DE253" i="56"/>
  <c r="DD254" i="56"/>
  <c r="CY256" i="56"/>
  <c r="CY257" i="56" s="1"/>
  <c r="CX236" i="56"/>
  <c r="CX247" i="56"/>
  <c r="CX8" i="56" s="1"/>
  <c r="CX11" i="56" s="1"/>
  <c r="CV11" i="56"/>
  <c r="U22" i="53"/>
  <c r="U23" i="53" s="1"/>
  <c r="Z246" i="56"/>
  <c r="Z7" i="56" s="1"/>
  <c r="Z239" i="56"/>
  <c r="CZ258" i="56" l="1"/>
  <c r="CZ256" i="56"/>
  <c r="CZ257" i="56" s="1"/>
  <c r="CY236" i="56"/>
  <c r="CY247" i="56"/>
  <c r="CY8" i="56" s="1"/>
  <c r="DF253" i="56"/>
  <c r="DE254" i="56"/>
  <c r="DF238" i="56" s="1"/>
  <c r="E238" i="56" s="1"/>
  <c r="DI238" i="56" s="1"/>
  <c r="DJ238" i="56" s="1"/>
  <c r="Z10" i="56"/>
  <c r="Z12" i="56" s="1"/>
  <c r="Z13" i="56" s="1"/>
  <c r="U19" i="53" s="1"/>
  <c r="Z9" i="56"/>
  <c r="Z248" i="56"/>
  <c r="DA258" i="56" l="1"/>
  <c r="DA256" i="56"/>
  <c r="DA257" i="56" s="1"/>
  <c r="CY11" i="56"/>
  <c r="CZ236" i="56"/>
  <c r="AA250" i="56"/>
  <c r="AA251" i="56" s="1"/>
  <c r="V9" i="53"/>
  <c r="DB258" i="56" l="1"/>
  <c r="DA236" i="56"/>
  <c r="DA247" i="56"/>
  <c r="DA8" i="56" s="1"/>
  <c r="DA11" i="56" s="1"/>
  <c r="DB256" i="56"/>
  <c r="DB257" i="56" s="1"/>
  <c r="V22" i="53"/>
  <c r="V23" i="53" s="1"/>
  <c r="AA246" i="56"/>
  <c r="AA7" i="56" s="1"/>
  <c r="AA10" i="56" s="1"/>
  <c r="AA12" i="56" s="1"/>
  <c r="AA13" i="56" s="1"/>
  <c r="V19" i="53" s="1"/>
  <c r="AA239" i="56"/>
  <c r="DC258" i="56" l="1"/>
  <c r="DB236" i="56"/>
  <c r="DB247" i="56"/>
  <c r="DB8" i="56" s="1"/>
  <c r="DB11" i="56" s="1"/>
  <c r="DC256" i="56"/>
  <c r="DC257" i="56" s="1"/>
  <c r="AA9" i="56"/>
  <c r="AA248" i="56"/>
  <c r="AB250" i="56"/>
  <c r="AB251" i="56" s="1"/>
  <c r="DD258" i="56" l="1"/>
  <c r="DC236" i="56"/>
  <c r="DD256" i="56"/>
  <c r="DD257" i="56" s="1"/>
  <c r="W9" i="53"/>
  <c r="DE258" i="56" l="1"/>
  <c r="DD247" i="56"/>
  <c r="DD8" i="56" s="1"/>
  <c r="DD11" i="56" s="1"/>
  <c r="DD236" i="56"/>
  <c r="DE256" i="56"/>
  <c r="DE257" i="56" s="1"/>
  <c r="W22" i="53"/>
  <c r="W23" i="53" s="1"/>
  <c r="AB246" i="56"/>
  <c r="AB248" i="56" s="1"/>
  <c r="AB239" i="56"/>
  <c r="DF256" i="56" l="1"/>
  <c r="DF258" i="56" s="1"/>
  <c r="DE236" i="56"/>
  <c r="DF236" i="56" s="1"/>
  <c r="DE247" i="56"/>
  <c r="DF235" i="56"/>
  <c r="E235" i="56" s="1"/>
  <c r="AB7" i="56"/>
  <c r="AB10" i="56" s="1"/>
  <c r="AB12" i="56" s="1"/>
  <c r="AB13" i="56" s="1"/>
  <c r="DI235" i="56" l="1"/>
  <c r="DJ235" i="56" s="1"/>
  <c r="E247" i="56"/>
  <c r="E236" i="56"/>
  <c r="DI236" i="56" s="1"/>
  <c r="DJ236" i="56" s="1"/>
  <c r="DE8" i="56"/>
  <c r="AC250" i="56"/>
  <c r="W19" i="53"/>
  <c r="AB9" i="56"/>
  <c r="E8" i="56" l="1"/>
  <c r="DI247" i="56"/>
  <c r="DE11" i="56"/>
  <c r="AC251" i="56"/>
  <c r="DI8" i="56" l="1"/>
  <c r="E11" i="56"/>
  <c r="DI11" i="56" s="1"/>
  <c r="AC246" i="56"/>
  <c r="AC7" i="56" s="1"/>
  <c r="AC10" i="56" s="1"/>
  <c r="AC12" i="56" s="1"/>
  <c r="X9" i="53"/>
  <c r="X22" i="53" s="1"/>
  <c r="X23" i="53" s="1"/>
  <c r="AC239" i="56"/>
  <c r="AC13" i="56" l="1"/>
  <c r="X19" i="53" s="1"/>
  <c r="AC248" i="56"/>
  <c r="AC9" i="56"/>
  <c r="AD250" i="56" l="1"/>
  <c r="AD251" i="56" s="1"/>
  <c r="Y9" i="53" s="1"/>
  <c r="Y22" i="53" s="1"/>
  <c r="Y23" i="53" s="1"/>
  <c r="AD246" i="56"/>
  <c r="AD7" i="56" s="1"/>
  <c r="AD9" i="56" s="1"/>
  <c r="AD239" i="56"/>
  <c r="AD10" i="56" l="1"/>
  <c r="AD12" i="56" s="1"/>
  <c r="AD13" i="56" s="1"/>
  <c r="AD248" i="56"/>
  <c r="AE250" i="56" l="1"/>
  <c r="Y19" i="53"/>
  <c r="AE251" i="56" l="1"/>
  <c r="Z9" i="53" l="1"/>
  <c r="Z22" i="53" s="1"/>
  <c r="Z23" i="53" s="1"/>
  <c r="AE246" i="56" l="1"/>
  <c r="AF246" i="56" s="1"/>
  <c r="AF237" i="56"/>
  <c r="AE239" i="56"/>
  <c r="AF239" i="56" s="1"/>
  <c r="AE7" i="56" l="1"/>
  <c r="AE9" i="56" s="1"/>
  <c r="AF9" i="56" s="1"/>
  <c r="AE248" i="56"/>
  <c r="AF248" i="56" s="1"/>
  <c r="AF7" i="56" l="1"/>
  <c r="AE10" i="56"/>
  <c r="AE12" i="56" s="1"/>
  <c r="AF12" i="56" s="1"/>
  <c r="AF10" i="56" l="1"/>
  <c r="AE13" i="56"/>
  <c r="AF250" i="56" s="1"/>
  <c r="AF251" i="56" s="1"/>
  <c r="Z19" i="53" l="1"/>
  <c r="AF13" i="56"/>
  <c r="AG250" i="56" s="1"/>
  <c r="AG251" i="56" s="1"/>
  <c r="AA9" i="53" l="1"/>
  <c r="AA22" i="53" s="1"/>
  <c r="AA23" i="53" s="1"/>
  <c r="AG246" i="56"/>
  <c r="AG248" i="56" s="1"/>
  <c r="AG239" i="56"/>
  <c r="AG7" i="56" l="1"/>
  <c r="AG9" i="56" s="1"/>
  <c r="AG10" i="56" l="1"/>
  <c r="AG12" i="56" l="1"/>
  <c r="AG13" i="56" s="1"/>
  <c r="AA19" i="53" s="1"/>
  <c r="AH250" i="56" l="1"/>
  <c r="AH251" i="56" s="1"/>
  <c r="AB9" i="53"/>
  <c r="AB22" i="53" s="1"/>
  <c r="AB23" i="53" s="1"/>
  <c r="AH246" i="56"/>
  <c r="AH239" i="56"/>
  <c r="AH248" i="56" l="1"/>
  <c r="AH7" i="56"/>
  <c r="AH9" i="56" s="1"/>
  <c r="AH10" i="56" l="1"/>
  <c r="AH12" i="56" l="1"/>
  <c r="AH13" i="56" s="1"/>
  <c r="AB19" i="53" s="1"/>
  <c r="AI250" i="56" l="1"/>
  <c r="AI251" i="56" s="1"/>
  <c r="AC9" i="53" l="1"/>
  <c r="AC22" i="53" s="1"/>
  <c r="AC23" i="53" s="1"/>
  <c r="AI246" i="56"/>
  <c r="AI239" i="56"/>
  <c r="AI7" i="56" l="1"/>
  <c r="AI9" i="56" s="1"/>
  <c r="AI248" i="56"/>
  <c r="AI10" i="56" l="1"/>
  <c r="AI12" i="56" l="1"/>
  <c r="AI13" i="56" s="1"/>
  <c r="AC19" i="53" s="1"/>
  <c r="AJ250" i="56" l="1"/>
  <c r="AJ251" i="56" s="1"/>
  <c r="AD9" i="53" l="1"/>
  <c r="AD22" i="53" s="1"/>
  <c r="AD23" i="53" s="1"/>
  <c r="AJ246" i="56"/>
  <c r="AJ7" i="56" s="1"/>
  <c r="AJ239" i="56"/>
  <c r="AJ248" i="56" l="1"/>
  <c r="AJ10" i="56"/>
  <c r="AJ9" i="56"/>
  <c r="AJ12" i="56" l="1"/>
  <c r="AJ13" i="56" l="1"/>
  <c r="AD19" i="53" s="1"/>
  <c r="AK250" i="56" l="1"/>
  <c r="AK251" i="56" s="1"/>
  <c r="AE9" i="53" l="1"/>
  <c r="AE22" i="53" s="1"/>
  <c r="AE23" i="53" s="1"/>
  <c r="AK246" i="56"/>
  <c r="AK7" i="56" s="1"/>
  <c r="AK9" i="56" s="1"/>
  <c r="AK239" i="56"/>
  <c r="AK10" i="56" l="1"/>
  <c r="AK12" i="56" s="1"/>
  <c r="AK13" i="56" s="1"/>
  <c r="AE19" i="53" s="1"/>
  <c r="AK248" i="56"/>
  <c r="AL250" i="56" l="1"/>
  <c r="AL251" i="56" s="1"/>
  <c r="AF9" i="53" l="1"/>
  <c r="AF22" i="53" s="1"/>
  <c r="AF23" i="53" s="1"/>
  <c r="AL246" i="56"/>
  <c r="AL7" i="56" s="1"/>
  <c r="AL9" i="56" s="1"/>
  <c r="AL239" i="56"/>
  <c r="AL248" i="56" l="1"/>
  <c r="AL10" i="56"/>
  <c r="AL12" i="56" l="1"/>
  <c r="AL13" i="56"/>
  <c r="AM250" i="56" l="1"/>
  <c r="AF19" i="53"/>
  <c r="AM251" i="56" l="1"/>
  <c r="AG9" i="53" l="1"/>
  <c r="AG22" i="53" s="1"/>
  <c r="AG23" i="53" s="1"/>
  <c r="AM246" i="56"/>
  <c r="AM7" i="56" s="1"/>
  <c r="AM9" i="56" s="1"/>
  <c r="AM239" i="56"/>
  <c r="AM10" i="56" l="1"/>
  <c r="AM12" i="56" s="1"/>
  <c r="AM248" i="56"/>
  <c r="AM13" i="56" l="1"/>
  <c r="AG19" i="53" s="1"/>
  <c r="AN250" i="56" l="1"/>
  <c r="AN251" i="56" s="1"/>
  <c r="AH9" i="53" l="1"/>
  <c r="AH22" i="53" s="1"/>
  <c r="AH23" i="53" s="1"/>
  <c r="AN246" i="56"/>
  <c r="AN7" i="56" s="1"/>
  <c r="AN10" i="56" s="1"/>
  <c r="AN12" i="56" s="1"/>
  <c r="AN239" i="56"/>
  <c r="AN9" i="56" l="1"/>
  <c r="AN248" i="56"/>
  <c r="AN13" i="56"/>
  <c r="AH19" i="53" s="1"/>
  <c r="AO250" i="56" l="1"/>
  <c r="AO251" i="56" s="1"/>
  <c r="AI9" i="53" l="1"/>
  <c r="AI22" i="53" s="1"/>
  <c r="AI23" i="53" s="1"/>
  <c r="AO246" i="56"/>
  <c r="AO7" i="56" s="1"/>
  <c r="AO9" i="56" s="1"/>
  <c r="AO239" i="56"/>
  <c r="AO248" i="56" l="1"/>
  <c r="AO10" i="56"/>
  <c r="AO12" i="56" s="1"/>
  <c r="AO13" i="56" s="1"/>
  <c r="AP250" i="56" l="1"/>
  <c r="AI19" i="53"/>
  <c r="AP251" i="56" l="1"/>
  <c r="AJ9" i="53" l="1"/>
  <c r="AJ22" i="53" s="1"/>
  <c r="AJ23" i="53" s="1"/>
  <c r="AP246" i="56"/>
  <c r="AP7" i="56" s="1"/>
  <c r="AP10" i="56" s="1"/>
  <c r="AP12" i="56" s="1"/>
  <c r="AP13" i="56" s="1"/>
  <c r="AJ19" i="53" s="1"/>
  <c r="AP239" i="56"/>
  <c r="AP9" i="56" l="1"/>
  <c r="AQ250" i="56"/>
  <c r="AQ251" i="56" s="1"/>
  <c r="AP248" i="56"/>
  <c r="AK9" i="53" l="1"/>
  <c r="AK22" i="53" s="1"/>
  <c r="AK23" i="53" s="1"/>
  <c r="AQ246" i="56"/>
  <c r="AQ7" i="56" s="1"/>
  <c r="AQ9" i="56" s="1"/>
  <c r="AQ239" i="56"/>
  <c r="AQ248" i="56" l="1"/>
  <c r="AQ10" i="56"/>
  <c r="AQ12" i="56" s="1"/>
  <c r="AQ13" i="56" s="1"/>
  <c r="AK19" i="53" s="1"/>
  <c r="AR250" i="56" l="1"/>
  <c r="AR251" i="56" s="1"/>
  <c r="AL9" i="53" l="1"/>
  <c r="AL22" i="53" s="1"/>
  <c r="AL23" i="53" s="1"/>
  <c r="AR246" i="56"/>
  <c r="AS246" i="56" s="1"/>
  <c r="AR239" i="56"/>
  <c r="AS239" i="56" s="1"/>
  <c r="AS237" i="56"/>
  <c r="AR248" i="56" l="1"/>
  <c r="AS248" i="56" s="1"/>
  <c r="AR7" i="56"/>
  <c r="AS7" i="56" s="1"/>
  <c r="AR9" i="56" l="1"/>
  <c r="AS9" i="56" s="1"/>
  <c r="AR10" i="56"/>
  <c r="AS10" i="56" l="1"/>
  <c r="AR12" i="56"/>
  <c r="AS12" i="56" s="1"/>
  <c r="AR13" i="56" l="1"/>
  <c r="AS250" i="56" s="1"/>
  <c r="AS13" i="56" l="1"/>
  <c r="AT250" i="56" s="1"/>
  <c r="AT251" i="56" s="1"/>
  <c r="AL19" i="53"/>
  <c r="AS251" i="56"/>
  <c r="AT239" i="56" l="1"/>
  <c r="AM9" i="53"/>
  <c r="AM22" i="53" s="1"/>
  <c r="AM23" i="53" s="1"/>
  <c r="AT246" i="56"/>
  <c r="AT248" i="56" s="1"/>
  <c r="AT7" i="56" l="1"/>
  <c r="AT9" i="56" s="1"/>
  <c r="AT10" i="56" l="1"/>
  <c r="AT12" i="56" s="1"/>
  <c r="AT13" i="56" s="1"/>
  <c r="AM19" i="53" s="1"/>
  <c r="AU250" i="56" l="1"/>
  <c r="AU251" i="56" s="1"/>
  <c r="AN9" i="53" l="1"/>
  <c r="AN22" i="53" s="1"/>
  <c r="AN23" i="53" s="1"/>
  <c r="AU246" i="56"/>
  <c r="AU248" i="56" s="1"/>
  <c r="AU239" i="56"/>
  <c r="AU7" i="56" l="1"/>
  <c r="AU10" i="56" s="1"/>
  <c r="AU12" i="56" s="1"/>
  <c r="AU9" i="56" l="1"/>
  <c r="AU13" i="56"/>
  <c r="AN19" i="53" s="1"/>
  <c r="AV250" i="56" l="1"/>
  <c r="AV251" i="56" s="1"/>
  <c r="AW263" i="56" l="1"/>
  <c r="AW245" i="56" l="1"/>
  <c r="AP15" i="53"/>
  <c r="AP29" i="53" s="1"/>
  <c r="AP30" i="53" s="1"/>
  <c r="AW247" i="56"/>
  <c r="AW8" i="56" s="1"/>
  <c r="AW11" i="56" s="1"/>
  <c r="AO9" i="53"/>
  <c r="AO22" i="53" s="1"/>
  <c r="AO23" i="53" s="1"/>
  <c r="AV246" i="56"/>
  <c r="AV248" i="56" s="1"/>
  <c r="AV239" i="56"/>
  <c r="AV7" i="56" l="1"/>
  <c r="AV9" i="56" s="1"/>
  <c r="AV10" i="56" l="1"/>
  <c r="AV12" i="56" s="1"/>
  <c r="AV13" i="56" s="1"/>
  <c r="AO19" i="53" s="1"/>
  <c r="AW250" i="56" l="1"/>
  <c r="AW251" i="56" s="1"/>
  <c r="AW272" i="56" l="1"/>
  <c r="AP9" i="53" l="1"/>
  <c r="AP22" i="53" s="1"/>
  <c r="AP23" i="53" s="1"/>
  <c r="AW246" i="56"/>
  <c r="AW248" i="56" s="1"/>
  <c r="AW239" i="56"/>
  <c r="AW7" i="56" l="1"/>
  <c r="AW9" i="56" s="1"/>
  <c r="AW10" i="56" l="1"/>
  <c r="AW12" i="56" s="1"/>
  <c r="AW13" i="56" s="1"/>
  <c r="AX250" i="56" l="1"/>
  <c r="AP19" i="53"/>
  <c r="AX251" i="56" l="1"/>
  <c r="AX272" i="56" l="1"/>
  <c r="AQ9" i="53" l="1"/>
  <c r="AQ22" i="53" s="1"/>
  <c r="AQ23" i="53" s="1"/>
  <c r="AX246" i="56"/>
  <c r="AX248" i="56" s="1"/>
  <c r="AX239" i="56"/>
  <c r="AX7" i="56" l="1"/>
  <c r="AX9" i="56" s="1"/>
  <c r="AX10" i="56" l="1"/>
  <c r="AX12" i="56" l="1"/>
  <c r="AX13" i="56" s="1"/>
  <c r="AY250" i="56" s="1"/>
  <c r="AY251" i="56" s="1"/>
  <c r="AQ19" i="53" l="1"/>
  <c r="AY272" i="56"/>
  <c r="AZ263" i="56" l="1"/>
  <c r="AR9" i="53"/>
  <c r="AR22" i="53" s="1"/>
  <c r="AR23" i="53" s="1"/>
  <c r="AY246" i="56"/>
  <c r="AY248" i="56" s="1"/>
  <c r="AY239" i="56"/>
  <c r="AZ245" i="56" l="1"/>
  <c r="AS15" i="53"/>
  <c r="AS29" i="53" s="1"/>
  <c r="AS30" i="53" s="1"/>
  <c r="AZ247" i="56"/>
  <c r="AZ8" i="56" s="1"/>
  <c r="AY7" i="56"/>
  <c r="AY9" i="56" s="1"/>
  <c r="AZ11" i="56" l="1"/>
  <c r="AY10" i="56"/>
  <c r="AY12" i="56" l="1"/>
  <c r="AY13" i="56" s="1"/>
  <c r="AZ250" i="56" s="1"/>
  <c r="AZ251" i="56" s="1"/>
  <c r="AR19" i="53" l="1"/>
  <c r="AZ237" i="56"/>
  <c r="AZ272" i="56" s="1"/>
  <c r="AS9" i="53" l="1"/>
  <c r="AS22" i="53" s="1"/>
  <c r="AS23" i="53" s="1"/>
  <c r="AZ246" i="56"/>
  <c r="AZ248" i="56" s="1"/>
  <c r="AZ239" i="56"/>
  <c r="AZ7" i="56" l="1"/>
  <c r="AZ9" i="56" s="1"/>
  <c r="AZ10" i="56" l="1"/>
  <c r="AZ12" i="56" s="1"/>
  <c r="AZ13" i="56" s="1"/>
  <c r="BA250" i="56" s="1"/>
  <c r="AS19" i="53" l="1"/>
  <c r="BA251" i="56"/>
  <c r="BA237" i="56" l="1"/>
  <c r="BA272" i="56" s="1"/>
  <c r="AT9" i="53" l="1"/>
  <c r="AT22" i="53" s="1"/>
  <c r="AT23" i="53" s="1"/>
  <c r="BA246" i="56"/>
  <c r="BA248" i="56" s="1"/>
  <c r="BA239" i="56"/>
  <c r="BA7" i="56" l="1"/>
  <c r="BA9" i="56" s="1"/>
  <c r="BA10" i="56" l="1"/>
  <c r="BA12" i="56" s="1"/>
  <c r="BA13" i="56" s="1"/>
  <c r="BB250" i="56" s="1"/>
  <c r="AT19" i="53" l="1"/>
  <c r="BB251" i="56"/>
  <c r="BB237" i="56" l="1"/>
  <c r="BC263" i="56" l="1"/>
  <c r="BB272" i="56"/>
  <c r="BC245" i="56"/>
  <c r="BF245" i="56" s="1"/>
  <c r="BC247" i="56"/>
  <c r="AV15" i="53"/>
  <c r="AV29" i="53" s="1"/>
  <c r="AV30" i="53" s="1"/>
  <c r="BF244" i="56"/>
  <c r="AU9" i="53"/>
  <c r="AU22" i="53" s="1"/>
  <c r="AU23" i="53" s="1"/>
  <c r="BB246" i="56"/>
  <c r="BB248" i="56" s="1"/>
  <c r="BB239" i="56"/>
  <c r="BC8" i="56" l="1"/>
  <c r="BF247" i="56"/>
  <c r="BB7" i="56"/>
  <c r="BB9" i="56" s="1"/>
  <c r="BC11" i="56" l="1"/>
  <c r="BF11" i="56" s="1"/>
  <c r="BF8" i="56"/>
  <c r="BB10" i="56"/>
  <c r="BB12" i="56" l="1"/>
  <c r="BB13" i="56" s="1"/>
  <c r="BC250" i="56" s="1"/>
  <c r="BC251" i="56" s="1"/>
  <c r="AU19" i="53" l="1"/>
  <c r="BC237" i="56"/>
  <c r="BC272" i="56" s="1"/>
  <c r="AV9" i="53" l="1"/>
  <c r="AV22" i="53" s="1"/>
  <c r="AV23" i="53" s="1"/>
  <c r="BC239" i="56"/>
  <c r="BC246" i="56"/>
  <c r="BC248" i="56" s="1"/>
  <c r="BC7" i="56" l="1"/>
  <c r="BC9" i="56" s="1"/>
  <c r="BC10" i="56" l="1"/>
  <c r="BC12" i="56" s="1"/>
  <c r="BC13" i="56" s="1"/>
  <c r="BD250" i="56" s="1"/>
  <c r="BD251" i="56" s="1"/>
  <c r="AV19" i="53" l="1"/>
  <c r="BD237" i="56"/>
  <c r="BD272" i="56" s="1"/>
  <c r="AW9" i="53" l="1"/>
  <c r="AW22" i="53" s="1"/>
  <c r="AW23" i="53" s="1"/>
  <c r="BD239" i="56"/>
  <c r="BD246" i="56"/>
  <c r="BD248" i="56" s="1"/>
  <c r="BD7" i="56" l="1"/>
  <c r="BD9" i="56" s="1"/>
  <c r="BD10" i="56" l="1"/>
  <c r="BD12" i="56" s="1"/>
  <c r="BD13" i="56" s="1"/>
  <c r="AW19" i="53" s="1"/>
  <c r="BE250" i="56" l="1"/>
  <c r="BE251" i="56" s="1"/>
  <c r="BE237" i="56" l="1"/>
  <c r="BG263" i="56" l="1"/>
  <c r="BE272" i="56"/>
  <c r="BE239" i="56"/>
  <c r="BF239" i="56" s="1"/>
  <c r="BF237" i="56"/>
  <c r="BE246" i="56"/>
  <c r="BF246" i="56" s="1"/>
  <c r="AX9" i="53"/>
  <c r="AX22" i="53" s="1"/>
  <c r="AX23" i="53" s="1"/>
  <c r="BG245" i="56" l="1"/>
  <c r="AY15" i="53"/>
  <c r="BG247" i="56"/>
  <c r="BG8" i="56" s="1"/>
  <c r="BG11" i="56" s="1"/>
  <c r="BE7" i="56"/>
  <c r="BF7" i="56" s="1"/>
  <c r="BE248" i="56"/>
  <c r="BF248" i="56" s="1"/>
  <c r="AY16" i="53" l="1"/>
  <c r="AY35" i="53" s="1"/>
  <c r="AY29" i="53"/>
  <c r="AY30" i="53" s="1"/>
  <c r="BE10" i="56"/>
  <c r="BE12" i="56" s="1"/>
  <c r="BF12" i="56" s="1"/>
  <c r="BE9" i="56"/>
  <c r="BF9" i="56" s="1"/>
  <c r="BF10" i="56" l="1"/>
  <c r="BE13" i="56"/>
  <c r="BF250" i="56" s="1"/>
  <c r="BF251" i="56" s="1"/>
  <c r="AX19" i="53" l="1"/>
  <c r="BF13" i="56"/>
  <c r="BG250" i="56" s="1"/>
  <c r="BG251" i="56" s="1"/>
  <c r="BG237" i="56" s="1"/>
  <c r="BG272" i="56" s="1"/>
  <c r="AX16" i="53"/>
  <c r="AX35" i="53" s="1"/>
  <c r="AP16" i="53"/>
  <c r="AJ16" i="53"/>
  <c r="AJ35" i="53" s="1"/>
  <c r="AH16" i="53"/>
  <c r="AH35" i="53" s="1"/>
  <c r="AG16" i="53"/>
  <c r="AG35" i="53" s="1"/>
  <c r="AF16" i="53"/>
  <c r="AF35" i="53" s="1"/>
  <c r="AC16" i="53"/>
  <c r="AC35" i="53" s="1"/>
  <c r="J16" i="53"/>
  <c r="H16" i="53"/>
  <c r="AP35" i="53" l="1"/>
  <c r="AP31" i="53"/>
  <c r="AY9" i="53"/>
  <c r="BG246" i="56"/>
  <c r="H35" i="53"/>
  <c r="BG239" i="56"/>
  <c r="AA16" i="53"/>
  <c r="AA35" i="53" s="1"/>
  <c r="V16" i="53"/>
  <c r="V35" i="53" s="1"/>
  <c r="C16" i="53"/>
  <c r="C10" i="53"/>
  <c r="F16" i="53"/>
  <c r="W16" i="53"/>
  <c r="W35" i="53" s="1"/>
  <c r="AU16" i="53"/>
  <c r="G16" i="53"/>
  <c r="S16" i="53"/>
  <c r="S35" i="53" s="1"/>
  <c r="D16" i="53"/>
  <c r="K16" i="53"/>
  <c r="R16" i="53"/>
  <c r="R35" i="53" s="1"/>
  <c r="Y16" i="53"/>
  <c r="Y35" i="53" s="1"/>
  <c r="AN16" i="53"/>
  <c r="T16" i="53"/>
  <c r="T35" i="53" s="1"/>
  <c r="AI16" i="53"/>
  <c r="AI35" i="53" s="1"/>
  <c r="AW16" i="53"/>
  <c r="O16" i="53"/>
  <c r="AM16" i="53"/>
  <c r="E16" i="53"/>
  <c r="Z16" i="53"/>
  <c r="Z35" i="53" s="1"/>
  <c r="L16" i="53"/>
  <c r="AR35" i="53"/>
  <c r="N16" i="53"/>
  <c r="U16" i="53"/>
  <c r="U35" i="53" s="1"/>
  <c r="AQ16" i="53"/>
  <c r="M16" i="53"/>
  <c r="AB16" i="53"/>
  <c r="AB35" i="53" s="1"/>
  <c r="AL16" i="53"/>
  <c r="AL35" i="53" s="1"/>
  <c r="AS16" i="53"/>
  <c r="AD16" i="53"/>
  <c r="AD35" i="53" s="1"/>
  <c r="AK16" i="53"/>
  <c r="AK35" i="53" s="1"/>
  <c r="Q16" i="53"/>
  <c r="Q35" i="53" s="1"/>
  <c r="X16" i="53"/>
  <c r="X35" i="53" s="1"/>
  <c r="AT16" i="53"/>
  <c r="I16" i="53"/>
  <c r="P16" i="53"/>
  <c r="P35" i="53" s="1"/>
  <c r="AE16" i="53"/>
  <c r="AE35" i="53" s="1"/>
  <c r="AO16" i="53"/>
  <c r="AV16" i="53"/>
  <c r="AV31" i="53" s="1"/>
  <c r="AY10" i="53" l="1"/>
  <c r="AY34" i="53" s="1"/>
  <c r="AY22" i="53"/>
  <c r="AY23" i="53" s="1"/>
  <c r="AM35" i="53"/>
  <c r="AM31" i="53"/>
  <c r="AO35" i="53"/>
  <c r="AO31" i="53"/>
  <c r="AN35" i="53"/>
  <c r="AN31" i="53"/>
  <c r="AW35" i="53"/>
  <c r="AW31" i="53"/>
  <c r="AU35" i="53"/>
  <c r="AU31" i="53"/>
  <c r="AS35" i="53"/>
  <c r="AS31" i="53"/>
  <c r="AT35" i="53"/>
  <c r="AT31" i="53"/>
  <c r="AQ35" i="53"/>
  <c r="AQ31" i="53"/>
  <c r="AY17" i="53"/>
  <c r="AV35" i="53"/>
  <c r="J35" i="53"/>
  <c r="I35" i="53"/>
  <c r="BG248" i="56"/>
  <c r="BG7" i="56"/>
  <c r="C17" i="53"/>
  <c r="C18" i="53" s="1"/>
  <c r="C37" i="53" s="1"/>
  <c r="F35" i="53" l="1"/>
  <c r="G35" i="53"/>
  <c r="L35" i="53"/>
  <c r="N35" i="53"/>
  <c r="E35" i="53"/>
  <c r="M35" i="53"/>
  <c r="D35" i="53"/>
  <c r="BG9" i="56"/>
  <c r="BG10" i="56"/>
  <c r="E10" i="53"/>
  <c r="E17" i="53" s="1"/>
  <c r="BG12" i="56" l="1"/>
  <c r="D10" i="53"/>
  <c r="BG13" i="56" l="1"/>
  <c r="AY19" i="53" s="1"/>
  <c r="D17" i="53"/>
  <c r="BH250" i="56" l="1"/>
  <c r="BH251" i="56" s="1"/>
  <c r="D18" i="53"/>
  <c r="D37" i="53" s="1"/>
  <c r="BH237" i="56" l="1"/>
  <c r="BH272" i="56" s="1"/>
  <c r="E18" i="53"/>
  <c r="E37" i="53" s="1"/>
  <c r="F10" i="53"/>
  <c r="AZ9" i="53" l="1"/>
  <c r="AZ10" i="53" s="1"/>
  <c r="AZ34" i="53" s="1"/>
  <c r="BH246" i="56"/>
  <c r="BH239" i="56"/>
  <c r="F17" i="53"/>
  <c r="AZ17" i="53" l="1"/>
  <c r="BH248" i="56"/>
  <c r="BH7" i="56"/>
  <c r="F18" i="53"/>
  <c r="F37" i="53" s="1"/>
  <c r="BH9" i="56" l="1"/>
  <c r="BH10" i="56"/>
  <c r="G10" i="53"/>
  <c r="BH12" i="56" l="1"/>
  <c r="G17" i="53"/>
  <c r="BH13" i="56" l="1"/>
  <c r="AZ19" i="53" s="1"/>
  <c r="G18" i="53"/>
  <c r="G37" i="53" s="1"/>
  <c r="BI250" i="56" l="1"/>
  <c r="BI251" i="56" s="1"/>
  <c r="H10" i="53"/>
  <c r="H17" i="53" s="1"/>
  <c r="BI237" i="56" l="1"/>
  <c r="H18" i="53"/>
  <c r="H37" i="53" s="1"/>
  <c r="BJ263" i="56" l="1"/>
  <c r="BI272" i="56"/>
  <c r="BJ245" i="56"/>
  <c r="BS245" i="56" s="1"/>
  <c r="DH245" i="56" s="1"/>
  <c r="BS244" i="56"/>
  <c r="DH244" i="56" s="1"/>
  <c r="DK244" i="56" s="1"/>
  <c r="BB15" i="53"/>
  <c r="BB16" i="53" s="1"/>
  <c r="BB35" i="53" s="1"/>
  <c r="BJ247" i="56"/>
  <c r="BA9" i="53"/>
  <c r="BI246" i="56"/>
  <c r="BI239" i="56"/>
  <c r="I10" i="53"/>
  <c r="I17" i="53" s="1"/>
  <c r="I18" i="53" s="1"/>
  <c r="I37" i="53" s="1"/>
  <c r="BJ8" i="56" l="1"/>
  <c r="BS247" i="56"/>
  <c r="DH247" i="56" s="1"/>
  <c r="DJ247" i="56" s="1"/>
  <c r="BA10" i="53"/>
  <c r="BA34" i="53" s="1"/>
  <c r="BI7" i="56"/>
  <c r="BI248" i="56"/>
  <c r="J10" i="53"/>
  <c r="J17" i="53" s="1"/>
  <c r="J18" i="53" s="1"/>
  <c r="J37" i="53" s="1"/>
  <c r="BJ11" i="56" l="1"/>
  <c r="BS11" i="56" s="1"/>
  <c r="DH11" i="56" s="1"/>
  <c r="DJ11" i="56" s="1"/>
  <c r="BS8" i="56"/>
  <c r="DH8" i="56" s="1"/>
  <c r="DJ8" i="56" s="1"/>
  <c r="BA17" i="53"/>
  <c r="BI9" i="56"/>
  <c r="BI10" i="56"/>
  <c r="K10" i="53"/>
  <c r="K17" i="53" s="1"/>
  <c r="K18" i="53" s="1"/>
  <c r="K37" i="53" s="1"/>
  <c r="BI12" i="56" l="1"/>
  <c r="L10" i="53"/>
  <c r="L17" i="53" s="1"/>
  <c r="L18" i="53" s="1"/>
  <c r="L37" i="53" s="1"/>
  <c r="BI13" i="56" l="1"/>
  <c r="BA19" i="53" s="1"/>
  <c r="M10" i="53"/>
  <c r="M17" i="53" s="1"/>
  <c r="M18" i="53" s="1"/>
  <c r="M37" i="53" s="1"/>
  <c r="BJ250" i="56" l="1"/>
  <c r="BJ251" i="56" s="1"/>
  <c r="N10" i="53"/>
  <c r="BJ237" i="56" l="1"/>
  <c r="BJ272" i="56" s="1"/>
  <c r="N17" i="53"/>
  <c r="BB9" i="53" l="1"/>
  <c r="BJ246" i="56"/>
  <c r="BJ239" i="56"/>
  <c r="N18" i="53"/>
  <c r="N37" i="53" s="1"/>
  <c r="BB10" i="53" l="1"/>
  <c r="BB34" i="53" s="1"/>
  <c r="BJ248" i="56"/>
  <c r="BJ7" i="56"/>
  <c r="O10" i="53"/>
  <c r="P10" i="53"/>
  <c r="P34" i="53" s="1"/>
  <c r="BB17" i="53" l="1"/>
  <c r="BJ9" i="56"/>
  <c r="BJ10" i="56"/>
  <c r="P17" i="53"/>
  <c r="O17" i="53"/>
  <c r="O18" i="53" s="1"/>
  <c r="P18" i="53" l="1"/>
  <c r="P37" i="53" s="1"/>
  <c r="O37" i="53"/>
  <c r="BJ12" i="56"/>
  <c r="Q10" i="53"/>
  <c r="Q34" i="53" s="1"/>
  <c r="BJ13" i="56" l="1"/>
  <c r="BB19" i="53" s="1"/>
  <c r="Q17" i="53"/>
  <c r="Q18" i="53" s="1"/>
  <c r="Q37" i="53" s="1"/>
  <c r="BK250" i="56" l="1"/>
  <c r="BK251" i="56" s="1"/>
  <c r="BK237" i="56" l="1"/>
  <c r="BK272" i="56" s="1"/>
  <c r="R10" i="53"/>
  <c r="R34" i="53" s="1"/>
  <c r="BC9" i="53" l="1"/>
  <c r="BK246" i="56"/>
  <c r="BK239" i="56"/>
  <c r="R17" i="53"/>
  <c r="R18" i="53" s="1"/>
  <c r="R37" i="53" s="1"/>
  <c r="BC10" i="53" l="1"/>
  <c r="BK7" i="56"/>
  <c r="BK248" i="56"/>
  <c r="BC34" i="53" l="1"/>
  <c r="BC17" i="53"/>
  <c r="BK9" i="56"/>
  <c r="BK10" i="56"/>
  <c r="S10" i="53"/>
  <c r="S34" i="53" s="1"/>
  <c r="BK12" i="56" l="1"/>
  <c r="S17" i="53"/>
  <c r="S18" i="53" s="1"/>
  <c r="S37" i="53" s="1"/>
  <c r="BK13" i="56" l="1"/>
  <c r="BC19" i="53" s="1"/>
  <c r="BL250" i="56" l="1"/>
  <c r="BL251" i="56" s="1"/>
  <c r="T10" i="53"/>
  <c r="T34" i="53" s="1"/>
  <c r="BL237" i="56" l="1"/>
  <c r="T17" i="53"/>
  <c r="T18" i="53" s="1"/>
  <c r="T37" i="53" s="1"/>
  <c r="BM263" i="56" l="1"/>
  <c r="BL272" i="56"/>
  <c r="BD9" i="53"/>
  <c r="BD10" i="53" s="1"/>
  <c r="BD34" i="53" s="1"/>
  <c r="BL246" i="56"/>
  <c r="BL239" i="56"/>
  <c r="BD17" i="53" l="1"/>
  <c r="BL7" i="56"/>
  <c r="BL248" i="56"/>
  <c r="U10" i="53"/>
  <c r="U34" i="53" s="1"/>
  <c r="BL9" i="56" l="1"/>
  <c r="BL10" i="56"/>
  <c r="U17" i="53"/>
  <c r="V10" i="53"/>
  <c r="V34" i="53" s="1"/>
  <c r="BL12" i="56" l="1"/>
  <c r="BL13" i="56" s="1"/>
  <c r="BD19" i="53" s="1"/>
  <c r="U18" i="53"/>
  <c r="U37" i="53" s="1"/>
  <c r="V17" i="53"/>
  <c r="W10" i="53"/>
  <c r="W34" i="53" s="1"/>
  <c r="BM250" i="56" l="1"/>
  <c r="BM251" i="56" s="1"/>
  <c r="BM237" i="56" s="1"/>
  <c r="BM272" i="56" s="1"/>
  <c r="V18" i="53"/>
  <c r="V37" i="53" s="1"/>
  <c r="W17" i="53"/>
  <c r="X10" i="53"/>
  <c r="X34" i="53" s="1"/>
  <c r="BE9" i="53" l="1"/>
  <c r="BE10" i="53" s="1"/>
  <c r="BE34" i="53" s="1"/>
  <c r="BM246" i="56"/>
  <c r="BM239" i="56"/>
  <c r="W18" i="53"/>
  <c r="W37" i="53" s="1"/>
  <c r="X17" i="53"/>
  <c r="Y10" i="53"/>
  <c r="Y34" i="53" s="1"/>
  <c r="BE17" i="53" l="1"/>
  <c r="X18" i="53"/>
  <c r="X37" i="53" s="1"/>
  <c r="BM7" i="56"/>
  <c r="BM248" i="56"/>
  <c r="Y17" i="53"/>
  <c r="Z10" i="53"/>
  <c r="Z34" i="53" s="1"/>
  <c r="BM9" i="56" l="1"/>
  <c r="BM10" i="56"/>
  <c r="Y18" i="53"/>
  <c r="Y37" i="53" s="1"/>
  <c r="Z17" i="53"/>
  <c r="BM12" i="56" l="1"/>
  <c r="BM13" i="56" s="1"/>
  <c r="BE19" i="53" s="1"/>
  <c r="Z18" i="53"/>
  <c r="Z37" i="53" s="1"/>
  <c r="AB10" i="53"/>
  <c r="AB34" i="53" s="1"/>
  <c r="BN250" i="56" l="1"/>
  <c r="BN251" i="56" s="1"/>
  <c r="BN237" i="56" s="1"/>
  <c r="BN272" i="56" s="1"/>
  <c r="AB17" i="53"/>
  <c r="AA10" i="53"/>
  <c r="AA34" i="53" s="1"/>
  <c r="BF9" i="53" l="1"/>
  <c r="BF10" i="53" s="1"/>
  <c r="BF34" i="53" s="1"/>
  <c r="BN246" i="56"/>
  <c r="BN239" i="56"/>
  <c r="AA17" i="53"/>
  <c r="AA18" i="53" s="1"/>
  <c r="BF17" i="53" l="1"/>
  <c r="AB18" i="53"/>
  <c r="AB37" i="53" s="1"/>
  <c r="AA37" i="53"/>
  <c r="BN248" i="56"/>
  <c r="BN7" i="56"/>
  <c r="AC10" i="53"/>
  <c r="AC34" i="53" s="1"/>
  <c r="BN9" i="56" l="1"/>
  <c r="BN10" i="56"/>
  <c r="AC17" i="53"/>
  <c r="AC18" i="53" s="1"/>
  <c r="AC37" i="53" s="1"/>
  <c r="BN12" i="56" l="1"/>
  <c r="BN13" i="56" s="1"/>
  <c r="BF19" i="53" s="1"/>
  <c r="BO250" i="56" l="1"/>
  <c r="BO251" i="56" s="1"/>
  <c r="BO237" i="56" s="1"/>
  <c r="AD10" i="53"/>
  <c r="AD34" i="53" s="1"/>
  <c r="BP263" i="56" l="1"/>
  <c r="BO272" i="56"/>
  <c r="BG9" i="53"/>
  <c r="BG10" i="53" s="1"/>
  <c r="BG34" i="53" s="1"/>
  <c r="BO246" i="56"/>
  <c r="BO239" i="56"/>
  <c r="AD17" i="53"/>
  <c r="AD18" i="53" s="1"/>
  <c r="AD37" i="53" s="1"/>
  <c r="BG17" i="53" l="1"/>
  <c r="BO248" i="56"/>
  <c r="BO7" i="56"/>
  <c r="BO9" i="56" l="1"/>
  <c r="BO10" i="56"/>
  <c r="AE10" i="53"/>
  <c r="AE34" i="53" s="1"/>
  <c r="BO12" i="56" l="1"/>
  <c r="BO13" i="56" s="1"/>
  <c r="BG19" i="53" s="1"/>
  <c r="AE17" i="53"/>
  <c r="AE18" i="53" s="1"/>
  <c r="AE37" i="53" s="1"/>
  <c r="BP250" i="56" l="1"/>
  <c r="BP251" i="56" s="1"/>
  <c r="BP237" i="56" s="1"/>
  <c r="BP272" i="56" s="1"/>
  <c r="BH9" i="53" l="1"/>
  <c r="BH10" i="53" s="1"/>
  <c r="BP246" i="56"/>
  <c r="BP239" i="56"/>
  <c r="AF10" i="53"/>
  <c r="AF34" i="53" s="1"/>
  <c r="BH34" i="53" l="1"/>
  <c r="BH17" i="53"/>
  <c r="BP248" i="56"/>
  <c r="BP7" i="56"/>
  <c r="AF17" i="53"/>
  <c r="AF18" i="53" s="1"/>
  <c r="AF37" i="53" s="1"/>
  <c r="BP9" i="56" l="1"/>
  <c r="BP10" i="56"/>
  <c r="BP12" i="56" l="1"/>
  <c r="BP13" i="56" s="1"/>
  <c r="BH19" i="53" s="1"/>
  <c r="AG10" i="53"/>
  <c r="AG34" i="53" s="1"/>
  <c r="BQ250" i="56" l="1"/>
  <c r="BQ251" i="56" s="1"/>
  <c r="AG17" i="53"/>
  <c r="AH10" i="53"/>
  <c r="AH34" i="53" s="1"/>
  <c r="BQ237" i="56" l="1"/>
  <c r="BQ272" i="56" s="1"/>
  <c r="AG18" i="53"/>
  <c r="AG37" i="53" s="1"/>
  <c r="AH17" i="53"/>
  <c r="AI10" i="53"/>
  <c r="AI34" i="53" s="1"/>
  <c r="BQ239" i="56" l="1"/>
  <c r="BQ246" i="56"/>
  <c r="BQ7" i="56" s="1"/>
  <c r="BI9" i="53"/>
  <c r="BI10" i="53" s="1"/>
  <c r="BI17" i="53" s="1"/>
  <c r="AH18" i="53"/>
  <c r="AH37" i="53" s="1"/>
  <c r="AI17" i="53"/>
  <c r="AJ10" i="53"/>
  <c r="AJ34" i="53" s="1"/>
  <c r="BQ248" i="56" l="1"/>
  <c r="BI34" i="53"/>
  <c r="BQ9" i="56"/>
  <c r="BQ10" i="56"/>
  <c r="AI18" i="53"/>
  <c r="AI37" i="53" s="1"/>
  <c r="AJ17" i="53"/>
  <c r="AK10" i="53"/>
  <c r="AK34" i="53" s="1"/>
  <c r="BQ12" i="56" l="1"/>
  <c r="BQ13" i="56" s="1"/>
  <c r="BI19" i="53" s="1"/>
  <c r="AJ18" i="53"/>
  <c r="AJ37" i="53" s="1"/>
  <c r="AK17" i="53"/>
  <c r="AL10" i="53"/>
  <c r="AL34" i="53" s="1"/>
  <c r="BR250" i="56" l="1"/>
  <c r="BR251" i="56" s="1"/>
  <c r="AK18" i="53"/>
  <c r="AK37" i="53" s="1"/>
  <c r="AL17" i="53"/>
  <c r="BR237" i="56" l="1"/>
  <c r="AL18" i="53"/>
  <c r="AL37" i="53" s="1"/>
  <c r="AN10" i="53"/>
  <c r="AN34" i="53" s="1"/>
  <c r="AM10" i="53"/>
  <c r="AM34" i="53" l="1"/>
  <c r="AM24" i="53"/>
  <c r="BS264" i="56"/>
  <c r="BR272" i="56"/>
  <c r="BS237" i="56"/>
  <c r="BS263" i="56"/>
  <c r="BR246" i="56"/>
  <c r="BS246" i="56" s="1"/>
  <c r="BR239" i="56"/>
  <c r="BS239" i="56" s="1"/>
  <c r="BJ9" i="53"/>
  <c r="BJ10" i="53" s="1"/>
  <c r="AN17" i="53"/>
  <c r="AM17" i="53"/>
  <c r="AM18" i="53" s="1"/>
  <c r="BT245" i="56" l="1"/>
  <c r="BK15" i="53"/>
  <c r="BK16" i="53" s="1"/>
  <c r="BK35" i="53" s="1"/>
  <c r="BT247" i="56"/>
  <c r="BT8" i="56" s="1"/>
  <c r="BT11" i="56" s="1"/>
  <c r="BR248" i="56"/>
  <c r="BS248" i="56" s="1"/>
  <c r="BR7" i="56"/>
  <c r="BR9" i="56" s="1"/>
  <c r="BS9" i="56" s="1"/>
  <c r="BJ34" i="53"/>
  <c r="BJ17" i="53"/>
  <c r="AN18" i="53"/>
  <c r="AN37" i="53" s="1"/>
  <c r="AM37" i="53"/>
  <c r="AO10" i="53"/>
  <c r="AO34" i="53" s="1"/>
  <c r="BR10" i="56" l="1"/>
  <c r="BR12" i="56" s="1"/>
  <c r="BS7" i="56"/>
  <c r="AO17" i="53"/>
  <c r="AO18" i="53" s="1"/>
  <c r="AO37" i="53" s="1"/>
  <c r="BS10" i="56" l="1"/>
  <c r="BS12" i="56"/>
  <c r="BR13" i="56"/>
  <c r="BJ19" i="53" s="1"/>
  <c r="AP10" i="53"/>
  <c r="AP34" i="53" s="1"/>
  <c r="BS250" i="56" l="1"/>
  <c r="BS13" i="56"/>
  <c r="AP17" i="53"/>
  <c r="AP18" i="53" s="1"/>
  <c r="AP37" i="53" s="1"/>
  <c r="DG250" i="56" l="1"/>
  <c r="DG251" i="56" s="1"/>
  <c r="DG237" i="56" s="1"/>
  <c r="BT250" i="56"/>
  <c r="BT251" i="56" s="1"/>
  <c r="AQ10" i="53"/>
  <c r="AQ34" i="53" s="1"/>
  <c r="BT237" i="56" l="1"/>
  <c r="DH237" i="56"/>
  <c r="DG246" i="56"/>
  <c r="DH246" i="56" s="1"/>
  <c r="DG239" i="56"/>
  <c r="DH239" i="56" s="1"/>
  <c r="AQ17" i="53"/>
  <c r="AQ18" i="53" s="1"/>
  <c r="AQ37" i="53" s="1"/>
  <c r="BK9" i="53" l="1"/>
  <c r="BK10" i="53" s="1"/>
  <c r="BT239" i="56"/>
  <c r="BT246" i="56"/>
  <c r="DK238" i="56"/>
  <c r="DK247" i="56"/>
  <c r="DG248" i="56"/>
  <c r="DH248" i="56" s="1"/>
  <c r="DG7" i="56"/>
  <c r="DH7" i="56" s="1"/>
  <c r="AR10" i="53"/>
  <c r="AR34" i="53" s="1"/>
  <c r="BK34" i="53" l="1"/>
  <c r="BK17" i="53"/>
  <c r="BT7" i="56"/>
  <c r="BT248" i="56"/>
  <c r="DK8" i="56"/>
  <c r="DG9" i="56"/>
  <c r="DH9" i="56" s="1"/>
  <c r="DG10" i="56"/>
  <c r="AR17" i="53"/>
  <c r="AR18" i="53" s="1"/>
  <c r="AR37" i="53" s="1"/>
  <c r="BT9" i="56" l="1"/>
  <c r="BT10" i="56"/>
  <c r="DG12" i="56"/>
  <c r="AS10" i="53"/>
  <c r="AS34" i="53" s="1"/>
  <c r="BT12" i="56" l="1"/>
  <c r="AS17" i="53"/>
  <c r="AS18" i="53" s="1"/>
  <c r="AS37" i="53" s="1"/>
  <c r="DG13" i="56"/>
  <c r="DH12" i="56"/>
  <c r="AT10" i="53"/>
  <c r="AT34" i="53" s="1"/>
  <c r="BT13" i="56" l="1"/>
  <c r="BK19" i="53" s="1"/>
  <c r="AT17" i="53"/>
  <c r="AT18" i="53" s="1"/>
  <c r="AT37" i="53" s="1"/>
  <c r="AU10" i="53"/>
  <c r="BU250" i="56" l="1"/>
  <c r="BU251" i="56" s="1"/>
  <c r="AU17" i="53"/>
  <c r="AU18" i="53" s="1"/>
  <c r="AU37" i="53" s="1"/>
  <c r="AU34" i="53"/>
  <c r="AV10" i="53"/>
  <c r="BU237" i="56" l="1"/>
  <c r="AV17" i="53"/>
  <c r="AV18" i="53" s="1"/>
  <c r="AV37" i="53" s="1"/>
  <c r="AV34" i="53"/>
  <c r="AW10" i="53"/>
  <c r="AW34" i="53" s="1"/>
  <c r="BL9" i="53" l="1"/>
  <c r="BL10" i="53" s="1"/>
  <c r="BU239" i="56"/>
  <c r="BU246" i="56"/>
  <c r="AW17" i="53"/>
  <c r="AW18" i="53" s="1"/>
  <c r="AW37" i="53" s="1"/>
  <c r="AX10" i="53"/>
  <c r="AX34" i="53" s="1"/>
  <c r="BL34" i="53" l="1"/>
  <c r="BL17" i="53"/>
  <c r="BU7" i="56"/>
  <c r="BU248" i="56"/>
  <c r="AX17" i="53"/>
  <c r="BU9" i="56" l="1"/>
  <c r="BU10" i="56"/>
  <c r="AX18" i="53"/>
  <c r="BU12" i="56" l="1"/>
  <c r="AY18" i="53"/>
  <c r="AX37" i="53"/>
  <c r="BU13" i="56" l="1"/>
  <c r="BL19" i="53" s="1"/>
  <c r="AZ18" i="53"/>
  <c r="AY37" i="53"/>
  <c r="BV250" i="56" l="1"/>
  <c r="BV251" i="56" s="1"/>
  <c r="AZ37" i="53"/>
  <c r="BA18" i="53"/>
  <c r="BV237" i="56" l="1"/>
  <c r="BB18" i="53"/>
  <c r="BA37" i="53"/>
  <c r="BW263" i="56" l="1"/>
  <c r="BM9" i="53"/>
  <c r="BM10" i="53" s="1"/>
  <c r="BV239" i="56"/>
  <c r="BV246" i="56"/>
  <c r="BC18" i="53"/>
  <c r="BB37" i="53"/>
  <c r="BN15" i="53" l="1"/>
  <c r="BN16" i="53" s="1"/>
  <c r="BN35" i="53" s="1"/>
  <c r="BW247" i="56"/>
  <c r="BW8" i="56" s="1"/>
  <c r="BW11" i="56" s="1"/>
  <c r="BW245" i="56"/>
  <c r="BM17" i="53"/>
  <c r="BM34" i="53"/>
  <c r="BV248" i="56"/>
  <c r="BV7" i="56"/>
  <c r="BD18" i="53"/>
  <c r="BC37" i="53"/>
  <c r="BV9" i="56" l="1"/>
  <c r="BV10" i="56"/>
  <c r="BD37" i="53"/>
  <c r="BE18" i="53"/>
  <c r="BV12" i="56" l="1"/>
  <c r="BF18" i="53"/>
  <c r="BE37" i="53"/>
  <c r="BV13" i="56" l="1"/>
  <c r="BM19" i="53" s="1"/>
  <c r="BG18" i="53"/>
  <c r="BF37" i="53"/>
  <c r="BW250" i="56" l="1"/>
  <c r="BW251" i="56" s="1"/>
  <c r="BH18" i="53"/>
  <c r="BG37" i="53"/>
  <c r="BW237" i="56" l="1"/>
  <c r="BI18" i="53"/>
  <c r="BH37" i="53"/>
  <c r="BN9" i="53" l="1"/>
  <c r="BN10" i="53" s="1"/>
  <c r="BW239" i="56"/>
  <c r="BW246" i="56"/>
  <c r="BJ18" i="53"/>
  <c r="BI37" i="53"/>
  <c r="BJ37" i="53" l="1"/>
  <c r="BK18" i="53"/>
  <c r="BN34" i="53"/>
  <c r="BN17" i="53"/>
  <c r="BW248" i="56"/>
  <c r="BW7" i="56"/>
  <c r="E21" i="56"/>
  <c r="DI21" i="56" s="1"/>
  <c r="DI19" i="56"/>
  <c r="E105" i="56"/>
  <c r="DI105" i="56" s="1"/>
  <c r="F19" i="56"/>
  <c r="DH19" i="56" s="1"/>
  <c r="DK20" i="56" s="1"/>
  <c r="BL18" i="53" l="1"/>
  <c r="BK37" i="53"/>
  <c r="BW9" i="56"/>
  <c r="BW10" i="56"/>
  <c r="DI103" i="56"/>
  <c r="DJ19" i="56"/>
  <c r="F21" i="56"/>
  <c r="DH21" i="56" s="1"/>
  <c r="DJ21" i="56" s="1"/>
  <c r="BM18" i="53" l="1"/>
  <c r="BL37" i="53"/>
  <c r="BW12" i="56"/>
  <c r="E216" i="56"/>
  <c r="DI216" i="56" s="1"/>
  <c r="DI214" i="56"/>
  <c r="F214" i="56"/>
  <c r="F105" i="56"/>
  <c r="DH105" i="56" s="1"/>
  <c r="DJ105" i="56" s="1"/>
  <c r="DH103" i="56"/>
  <c r="BN18" i="53" l="1"/>
  <c r="BM37" i="53"/>
  <c r="BW13" i="56"/>
  <c r="BN19" i="53" s="1"/>
  <c r="F218" i="56"/>
  <c r="DH214" i="56"/>
  <c r="DK215" i="56" s="1"/>
  <c r="F216" i="56"/>
  <c r="DH216" i="56" s="1"/>
  <c r="DJ216" i="56" s="1"/>
  <c r="DJ103" i="56"/>
  <c r="DK104" i="56"/>
  <c r="E220" i="56"/>
  <c r="DI220" i="56" s="1"/>
  <c r="E4" i="56"/>
  <c r="DI218" i="56"/>
  <c r="BN37" i="53" l="1"/>
  <c r="BX250" i="56"/>
  <c r="BX251" i="56" s="1"/>
  <c r="BX237" i="56" s="1"/>
  <c r="DJ214" i="56"/>
  <c r="E6" i="56"/>
  <c r="DI6" i="56" s="1"/>
  <c r="DI4" i="56"/>
  <c r="F4" i="56"/>
  <c r="F220" i="56"/>
  <c r="DH220" i="56" s="1"/>
  <c r="DJ220" i="56" s="1"/>
  <c r="DH218" i="56"/>
  <c r="DK219" i="56" s="1"/>
  <c r="BO9" i="53" l="1"/>
  <c r="BO10" i="53" s="1"/>
  <c r="DH4" i="56"/>
  <c r="DJ4" i="56" s="1"/>
  <c r="F10" i="56"/>
  <c r="DH10" i="56" s="1"/>
  <c r="DK11" i="56" s="1"/>
  <c r="DJ218" i="56"/>
  <c r="BO17" i="53" l="1"/>
  <c r="BO18" i="53" s="1"/>
  <c r="BO34" i="53"/>
  <c r="BX239" i="56"/>
  <c r="BX246" i="56"/>
  <c r="DK5" i="56"/>
  <c r="DH6" i="56"/>
  <c r="DJ6" i="56" s="1"/>
  <c r="BX248" i="56" l="1"/>
  <c r="BX7" i="56"/>
  <c r="BX9" i="56" l="1"/>
  <c r="BX10" i="56"/>
  <c r="BX12" i="56" l="1"/>
  <c r="BX13" i="56" l="1"/>
  <c r="BO19" i="53" s="1"/>
  <c r="BO37" i="53" s="1"/>
  <c r="BY250" i="56" l="1"/>
  <c r="BY251" i="56" s="1"/>
  <c r="BY237" i="56" l="1"/>
  <c r="BZ263" i="56" s="1"/>
  <c r="BP9" i="53" l="1"/>
  <c r="BP10" i="53" s="1"/>
  <c r="BP17" i="53" s="1"/>
  <c r="BP18" i="53" s="1"/>
  <c r="BY239" i="56"/>
  <c r="BY246" i="56"/>
  <c r="BZ245" i="56" l="1"/>
  <c r="CF245" i="56" s="1"/>
  <c r="BQ15" i="53"/>
  <c r="BQ16" i="53" s="1"/>
  <c r="BQ35" i="53" s="1"/>
  <c r="BZ247" i="56"/>
  <c r="CF244" i="56"/>
  <c r="BP34" i="53"/>
  <c r="BY248" i="56"/>
  <c r="BY7" i="56"/>
  <c r="BZ8" i="56" l="1"/>
  <c r="CF247" i="56"/>
  <c r="BY9" i="56"/>
  <c r="BY10" i="56"/>
  <c r="BZ11" i="56" l="1"/>
  <c r="CF11" i="56" s="1"/>
  <c r="CF8" i="56"/>
  <c r="BY12" i="56"/>
  <c r="BY13" i="56" s="1"/>
  <c r="BP19" i="53" s="1"/>
  <c r="BP37" i="53" s="1"/>
  <c r="BZ250" i="56" l="1"/>
  <c r="BZ251" i="56" s="1"/>
  <c r="BZ237" i="56" s="1"/>
  <c r="BQ9" i="53" s="1"/>
  <c r="BQ10" i="53" l="1"/>
  <c r="BQ34" i="53" s="1"/>
  <c r="BZ239" i="56"/>
  <c r="BZ246" i="56"/>
  <c r="BQ17" i="53" l="1"/>
  <c r="BQ18" i="53" s="1"/>
  <c r="BZ248" i="56"/>
  <c r="BZ7" i="56"/>
  <c r="BZ9" i="56" l="1"/>
  <c r="BZ10" i="56"/>
  <c r="BZ12" i="56" l="1"/>
  <c r="BZ13" i="56" s="1"/>
  <c r="BQ19" i="53" s="1"/>
  <c r="BQ37" i="53" s="1"/>
  <c r="CA250" i="56" l="1"/>
  <c r="CA251" i="56" s="1"/>
  <c r="CA237" i="56" s="1"/>
  <c r="BR9" i="53" l="1"/>
  <c r="BR10" i="53" s="1"/>
  <c r="BR17" i="53" s="1"/>
  <c r="BR18" i="53" s="1"/>
  <c r="CA239" i="56"/>
  <c r="CA246" i="56"/>
  <c r="BR34" i="53" l="1"/>
  <c r="CA248" i="56"/>
  <c r="CA7" i="56"/>
  <c r="CA9" i="56" l="1"/>
  <c r="CA10" i="56"/>
  <c r="CA12" i="56" l="1"/>
  <c r="CA13" i="56" s="1"/>
  <c r="BR19" i="53" s="1"/>
  <c r="BR37" i="53" s="1"/>
  <c r="CB250" i="56" l="1"/>
  <c r="CB251" i="56" s="1"/>
  <c r="CB237" i="56" s="1"/>
  <c r="CC263" i="56" s="1"/>
  <c r="BS9" i="53" l="1"/>
  <c r="BS10" i="53" s="1"/>
  <c r="BS34" i="53" s="1"/>
  <c r="CB239" i="56"/>
  <c r="CB246" i="56"/>
  <c r="BS17" i="53" l="1"/>
  <c r="BS18" i="53" s="1"/>
  <c r="CB248" i="56"/>
  <c r="CB7" i="56"/>
  <c r="CB9" i="56" l="1"/>
  <c r="CB10" i="56"/>
  <c r="CB12" i="56" l="1"/>
  <c r="CB13" i="56" s="1"/>
  <c r="BS19" i="53" s="1"/>
  <c r="BS37" i="53" s="1"/>
  <c r="CC250" i="56" l="1"/>
  <c r="CC251" i="56" s="1"/>
  <c r="CC237" i="56" l="1"/>
  <c r="CC239" i="56" l="1"/>
  <c r="CC246" i="56"/>
  <c r="CC248" i="56" s="1"/>
  <c r="BT9" i="53"/>
  <c r="BT10" i="53" s="1"/>
  <c r="BT34" i="53" s="1"/>
  <c r="CC7" i="56" l="1"/>
  <c r="CC9" i="56" s="1"/>
  <c r="BT17" i="53"/>
  <c r="BT18" i="53" s="1"/>
  <c r="CC10" i="56" l="1"/>
  <c r="CC12" i="56" s="1"/>
  <c r="CC13" i="56" s="1"/>
  <c r="BT19" i="53" s="1"/>
  <c r="BT37" i="53" s="1"/>
  <c r="CD250" i="56" l="1"/>
  <c r="CD251" i="56" s="1"/>
  <c r="CD237" i="56" s="1"/>
  <c r="BU9" i="53" l="1"/>
  <c r="BU10" i="53" s="1"/>
  <c r="BU34" i="53" s="1"/>
  <c r="CD239" i="56"/>
  <c r="CD246" i="56"/>
  <c r="BU17" i="53" l="1"/>
  <c r="BU18" i="53" s="1"/>
  <c r="CD7" i="56"/>
  <c r="CD248" i="56"/>
  <c r="CD9" i="56" l="1"/>
  <c r="CD10" i="56"/>
  <c r="CD12" i="56" l="1"/>
  <c r="CD13" i="56" s="1"/>
  <c r="BU19" i="53" s="1"/>
  <c r="BU37" i="53" s="1"/>
  <c r="CE250" i="56" l="1"/>
  <c r="CE251" i="56" s="1"/>
  <c r="CE237" i="56" l="1"/>
  <c r="CF264" i="56" s="1"/>
  <c r="BV9" i="53" l="1"/>
  <c r="BV10" i="53" s="1"/>
  <c r="BV34" i="53" s="1"/>
  <c r="CF263" i="56"/>
  <c r="CE246" i="56"/>
  <c r="CE7" i="56" s="1"/>
  <c r="CF237" i="56"/>
  <c r="CE239" i="56"/>
  <c r="CF239" i="56" s="1"/>
  <c r="BV17" i="53" l="1"/>
  <c r="BV18" i="53" s="1"/>
  <c r="CI247" i="56"/>
  <c r="CI245" i="56"/>
  <c r="BY15" i="53"/>
  <c r="BY16" i="53" s="1"/>
  <c r="BY35" i="53" s="1"/>
  <c r="CF246" i="56"/>
  <c r="CE248" i="56"/>
  <c r="CF248" i="56" s="1"/>
  <c r="CE9" i="56"/>
  <c r="CF9" i="56" s="1"/>
  <c r="CE10" i="56"/>
  <c r="CF7" i="56"/>
  <c r="CI8" i="56" l="1"/>
  <c r="CE12" i="56"/>
  <c r="CF10" i="56"/>
  <c r="CI11" i="56" l="1"/>
  <c r="CF12" i="56"/>
  <c r="CE13" i="56"/>
  <c r="BV19" i="53" s="1"/>
  <c r="BV37" i="53" s="1"/>
  <c r="CF250" i="56" l="1"/>
  <c r="CF13" i="56"/>
  <c r="CG250" i="56" l="1"/>
  <c r="CG251" i="56" s="1"/>
  <c r="CG237" i="56" l="1"/>
  <c r="BW9" i="53" l="1"/>
  <c r="BW10" i="53" s="1"/>
  <c r="BW34" i="53" s="1"/>
  <c r="CG239" i="56"/>
  <c r="CG246" i="56"/>
  <c r="BW17" i="53" l="1"/>
  <c r="BW18" i="53" s="1"/>
  <c r="CG7" i="56"/>
  <c r="CG248" i="56"/>
  <c r="CG9" i="56" l="1"/>
  <c r="CG10" i="56"/>
  <c r="CG12" i="56" l="1"/>
  <c r="CG13" i="56" l="1"/>
  <c r="BW19" i="53" s="1"/>
  <c r="BW37" i="53" s="1"/>
  <c r="CH250" i="56" l="1"/>
  <c r="CH251" i="56" s="1"/>
  <c r="CH237" i="56" l="1"/>
  <c r="BX9" i="53" l="1"/>
  <c r="BX10" i="53" s="1"/>
  <c r="BX34" i="53" s="1"/>
  <c r="CH239" i="56"/>
  <c r="CH246" i="56"/>
  <c r="BX17" i="53" l="1"/>
  <c r="BX18" i="53" s="1"/>
  <c r="CH7" i="56"/>
  <c r="CH248" i="56"/>
  <c r="CH9" i="56" l="1"/>
  <c r="CH10" i="56"/>
  <c r="CH12" i="56" l="1"/>
  <c r="CH13" i="56" l="1"/>
  <c r="BX19" i="53" s="1"/>
  <c r="BX37" i="53" s="1"/>
  <c r="CI250" i="56" l="1"/>
  <c r="CI251" i="56" s="1"/>
  <c r="CI237" i="56" l="1"/>
  <c r="BY9" i="53" l="1"/>
  <c r="BY10" i="53" s="1"/>
  <c r="BY34" i="53" s="1"/>
  <c r="CJ263" i="56"/>
  <c r="CI239" i="56"/>
  <c r="CI246" i="56"/>
  <c r="BY17" i="53" l="1"/>
  <c r="BY18" i="53" s="1"/>
  <c r="CI248" i="56"/>
  <c r="CI7" i="56"/>
  <c r="CJ245" i="56" l="1"/>
  <c r="BZ15" i="53"/>
  <c r="BZ16" i="53" s="1"/>
  <c r="BZ35" i="53" s="1"/>
  <c r="CJ247" i="56"/>
  <c r="CI9" i="56"/>
  <c r="CI10" i="56"/>
  <c r="CJ8" i="56" l="1"/>
  <c r="CI12" i="56"/>
  <c r="CJ11" i="56" l="1"/>
  <c r="CI13" i="56"/>
  <c r="BY19" i="53" s="1"/>
  <c r="BY37" i="53" s="1"/>
  <c r="CJ250" i="56" l="1"/>
  <c r="CJ251" i="56" s="1"/>
  <c r="CJ237" i="56" l="1"/>
  <c r="BZ9" i="53" l="1"/>
  <c r="BZ10" i="53" s="1"/>
  <c r="BZ34" i="53" s="1"/>
  <c r="CJ239" i="56"/>
  <c r="CJ246" i="56"/>
  <c r="BZ17" i="53" l="1"/>
  <c r="BZ18" i="53" s="1"/>
  <c r="CJ248" i="56"/>
  <c r="CJ7" i="56"/>
  <c r="CJ9" i="56" l="1"/>
  <c r="CJ10" i="56"/>
  <c r="CJ12" i="56" l="1"/>
  <c r="CJ13" i="56" l="1"/>
  <c r="BZ19" i="53" s="1"/>
  <c r="BZ37" i="53" s="1"/>
  <c r="CK250" i="56" l="1"/>
  <c r="CK251" i="56" s="1"/>
  <c r="CK237" i="56" l="1"/>
  <c r="CA9" i="53" l="1"/>
  <c r="CA10" i="53" s="1"/>
  <c r="CA34" i="53" s="1"/>
  <c r="CK239" i="56"/>
  <c r="CK246" i="56"/>
  <c r="CA17" i="53" l="1"/>
  <c r="CA18" i="53" s="1"/>
  <c r="CK248" i="56"/>
  <c r="CK7" i="56"/>
  <c r="CK9" i="56" l="1"/>
  <c r="CK10" i="56"/>
  <c r="CK12" i="56" l="1"/>
  <c r="CK13" i="56" l="1"/>
  <c r="CA19" i="53" s="1"/>
  <c r="CA37" i="53" s="1"/>
  <c r="CL250" i="56" l="1"/>
  <c r="CL251" i="56" s="1"/>
  <c r="CL237" i="56" l="1"/>
  <c r="CB9" i="53" l="1"/>
  <c r="CB10" i="53" s="1"/>
  <c r="CB34" i="53" s="1"/>
  <c r="CM263" i="56"/>
  <c r="CL239" i="56"/>
  <c r="CL246" i="56"/>
  <c r="CB17" i="53" l="1"/>
  <c r="CB18" i="53" s="1"/>
  <c r="CL248" i="56"/>
  <c r="CL7" i="56"/>
  <c r="CM245" i="56" l="1"/>
  <c r="CC15" i="53"/>
  <c r="CC16" i="53" s="1"/>
  <c r="CC35" i="53" s="1"/>
  <c r="CM247" i="56"/>
  <c r="CL9" i="56"/>
  <c r="CL10" i="56"/>
  <c r="CM8" i="56" l="1"/>
  <c r="CL12" i="56"/>
  <c r="CL13" i="56" s="1"/>
  <c r="CM11" i="56" l="1"/>
  <c r="CM250" i="56"/>
  <c r="CM251" i="56" s="1"/>
  <c r="CM237" i="56" s="1"/>
  <c r="CB19" i="53"/>
  <c r="CB37" i="53" s="1"/>
  <c r="CC9" i="53" l="1"/>
  <c r="CC10" i="53" s="1"/>
  <c r="CC34" i="53" s="1"/>
  <c r="CM239" i="56"/>
  <c r="CM246" i="56"/>
  <c r="CC17" i="53" l="1"/>
  <c r="CC18" i="53" s="1"/>
  <c r="CM248" i="56"/>
  <c r="CM7" i="56"/>
  <c r="CM9" i="56" l="1"/>
  <c r="CM10" i="56"/>
  <c r="CM12" i="56" l="1"/>
  <c r="CM13" i="56" s="1"/>
  <c r="CN250" i="56" l="1"/>
  <c r="CN251" i="56" s="1"/>
  <c r="CN237" i="56" s="1"/>
  <c r="CC19" i="53"/>
  <c r="CC37" i="53" s="1"/>
  <c r="CD9" i="53" l="1"/>
  <c r="CD10" i="53" s="1"/>
  <c r="CD17" i="53" s="1"/>
  <c r="CD18" i="53" s="1"/>
  <c r="CN239" i="56"/>
  <c r="CN246" i="56"/>
  <c r="CD34" i="53" l="1"/>
  <c r="CN248" i="56"/>
  <c r="CN7" i="56"/>
  <c r="CN9" i="56" l="1"/>
  <c r="CN10" i="56"/>
  <c r="CN12" i="56" l="1"/>
  <c r="CN13" i="56" s="1"/>
  <c r="CO250" i="56" l="1"/>
  <c r="CO251" i="56" s="1"/>
  <c r="CO237" i="56" s="1"/>
  <c r="CD19" i="53"/>
  <c r="CD37" i="53" s="1"/>
  <c r="CE9" i="53" l="1"/>
  <c r="CE10" i="53" s="1"/>
  <c r="CE34" i="53" s="1"/>
  <c r="CP263" i="56"/>
  <c r="CO239" i="56"/>
  <c r="CO246" i="56"/>
  <c r="CE17" i="53" l="1"/>
  <c r="CE18" i="53" s="1"/>
  <c r="CO248" i="56"/>
  <c r="CO7" i="56"/>
  <c r="CF15" i="53" l="1"/>
  <c r="CF16" i="53" s="1"/>
  <c r="CF35" i="53" s="1"/>
  <c r="CP245" i="56"/>
  <c r="CS245" i="56" s="1"/>
  <c r="CP247" i="56"/>
  <c r="CS244" i="56"/>
  <c r="CO9" i="56"/>
  <c r="CO10" i="56"/>
  <c r="CP8" i="56" l="1"/>
  <c r="CS247" i="56"/>
  <c r="CO12" i="56"/>
  <c r="CO13" i="56" s="1"/>
  <c r="CP11" i="56" l="1"/>
  <c r="CS11" i="56" s="1"/>
  <c r="CS8" i="56"/>
  <c r="CP250" i="56"/>
  <c r="CP251" i="56" s="1"/>
  <c r="CE19" i="53"/>
  <c r="CE37" i="53" s="1"/>
  <c r="CP237" i="56" l="1"/>
  <c r="CF9" i="53" l="1"/>
  <c r="CF10" i="53" s="1"/>
  <c r="CF34" i="53" s="1"/>
  <c r="CP246" i="56"/>
  <c r="CP7" i="56" s="1"/>
  <c r="CP239" i="56"/>
  <c r="CF17" i="53" l="1"/>
  <c r="CF18" i="53" s="1"/>
  <c r="CP248" i="56"/>
  <c r="CP9" i="56"/>
  <c r="CP10" i="56"/>
  <c r="CP12" i="56" l="1"/>
  <c r="CP13" i="56" s="1"/>
  <c r="CQ250" i="56" l="1"/>
  <c r="CQ251" i="56" s="1"/>
  <c r="CF19" i="53"/>
  <c r="CF37" i="53" s="1"/>
  <c r="CQ237" i="56" l="1"/>
  <c r="CG9" i="53" l="1"/>
  <c r="CG10" i="53" s="1"/>
  <c r="CG34" i="53" s="1"/>
  <c r="CQ246" i="56"/>
  <c r="CQ7" i="56" s="1"/>
  <c r="CQ239" i="56"/>
  <c r="CG17" i="53" l="1"/>
  <c r="CG18" i="53" s="1"/>
  <c r="CQ248" i="56"/>
  <c r="CQ9" i="56"/>
  <c r="CQ10" i="56"/>
  <c r="CQ12" i="56" l="1"/>
  <c r="CQ13" i="56" s="1"/>
  <c r="CR250" i="56" l="1"/>
  <c r="CR251" i="56" s="1"/>
  <c r="CG19" i="53"/>
  <c r="CG37" i="53" s="1"/>
  <c r="CR237" i="56" l="1"/>
  <c r="CH9" i="53" l="1"/>
  <c r="CH10" i="53" s="1"/>
  <c r="CH34" i="53" s="1"/>
  <c r="CS264" i="56"/>
  <c r="CS265" i="56" s="1"/>
  <c r="CS263" i="56"/>
  <c r="CU263" i="56" s="1"/>
  <c r="CS237" i="56"/>
  <c r="CR246" i="56"/>
  <c r="CR248" i="56" s="1"/>
  <c r="CS248" i="56" s="1"/>
  <c r="CR239" i="56"/>
  <c r="CS239" i="56" s="1"/>
  <c r="CH17" i="53" l="1"/>
  <c r="CH18" i="53" s="1"/>
  <c r="CS246" i="56"/>
  <c r="CR7" i="56"/>
  <c r="CR9" i="56" s="1"/>
  <c r="CS9" i="56" s="1"/>
  <c r="CS7" i="56" l="1"/>
  <c r="CR10" i="56"/>
  <c r="CR12" i="56" s="1"/>
  <c r="CS10" i="56" l="1"/>
  <c r="CS12" i="56"/>
  <c r="CR13" i="56"/>
  <c r="CH19" i="53" s="1"/>
  <c r="CH37" i="53" s="1"/>
  <c r="CS250" i="56" l="1"/>
  <c r="CS13" i="56"/>
  <c r="CT250" i="56" l="1"/>
  <c r="CT251" i="56" s="1"/>
  <c r="CT237" i="56" s="1"/>
  <c r="CT239" i="56" l="1"/>
  <c r="CT246" i="56"/>
  <c r="CT248" i="56" l="1"/>
  <c r="CT7" i="56"/>
  <c r="CT9" i="56" l="1"/>
  <c r="CT10" i="56"/>
  <c r="CT12" i="56" l="1"/>
  <c r="CT13" i="56" l="1"/>
  <c r="CU250" i="56" l="1"/>
  <c r="CU251" i="56" s="1"/>
  <c r="CU237" i="56" s="1"/>
  <c r="CU239" i="56" l="1"/>
  <c r="CU246" i="56"/>
  <c r="CU7" i="56" l="1"/>
  <c r="CU248" i="56"/>
  <c r="CU9" i="56" l="1"/>
  <c r="CU10" i="56"/>
  <c r="CU12" i="56" l="1"/>
  <c r="CU13" i="56" l="1"/>
  <c r="CV250" i="56" l="1"/>
  <c r="CV251" i="56" s="1"/>
  <c r="CV237" i="56" s="1"/>
  <c r="CW263" i="56" s="1"/>
  <c r="CW245" i="56" l="1"/>
  <c r="CW247" i="56"/>
  <c r="CW8" i="56" s="1"/>
  <c r="CW11" i="56" s="1"/>
  <c r="CV239" i="56" l="1"/>
  <c r="CV246" i="56"/>
  <c r="CV7" i="56" l="1"/>
  <c r="CV248" i="56"/>
  <c r="CV9" i="56" l="1"/>
  <c r="CV10" i="56"/>
  <c r="CV12" i="56" l="1"/>
  <c r="CV13" i="56" l="1"/>
  <c r="CW250" i="56" l="1"/>
  <c r="CW251" i="56" s="1"/>
  <c r="CW237" i="56" s="1"/>
  <c r="CW239" i="56" l="1"/>
  <c r="CW246" i="56"/>
  <c r="CW7" i="56" l="1"/>
  <c r="CW248" i="56"/>
  <c r="CW9" i="56" l="1"/>
  <c r="CW10" i="56"/>
  <c r="CW12" i="56" l="1"/>
  <c r="CW13" i="56" l="1"/>
  <c r="CX250" i="56" l="1"/>
  <c r="CX251" i="56" s="1"/>
  <c r="CX237" i="56" s="1"/>
  <c r="CX239" i="56" l="1"/>
  <c r="CX246" i="56"/>
  <c r="CX7" i="56" l="1"/>
  <c r="CX248" i="56"/>
  <c r="CX9" i="56" l="1"/>
  <c r="CX10" i="56"/>
  <c r="CX12" i="56" l="1"/>
  <c r="CX13" i="56" l="1"/>
  <c r="CY250" i="56" l="1"/>
  <c r="CY251" i="56" s="1"/>
  <c r="CY237" i="56" s="1"/>
  <c r="CZ263" i="56" s="1"/>
  <c r="CZ245" i="56" l="1"/>
  <c r="CZ247" i="56"/>
  <c r="CZ8" i="56" l="1"/>
  <c r="CY239" i="56"/>
  <c r="CY246" i="56"/>
  <c r="CZ11" i="56" l="1"/>
  <c r="CY248" i="56"/>
  <c r="CY7" i="56"/>
  <c r="CY9" i="56" l="1"/>
  <c r="CY10" i="56"/>
  <c r="CY12" i="56" l="1"/>
  <c r="CY13" i="56" s="1"/>
  <c r="CZ250" i="56" s="1"/>
  <c r="CZ251" i="56" s="1"/>
  <c r="CZ237" i="56" s="1"/>
  <c r="CZ239" i="56" l="1"/>
  <c r="CZ246" i="56"/>
  <c r="CZ248" i="56" l="1"/>
  <c r="CZ7" i="56"/>
  <c r="CZ9" i="56" l="1"/>
  <c r="CZ10" i="56"/>
  <c r="CZ12" i="56" l="1"/>
  <c r="CZ13" i="56" s="1"/>
  <c r="DA250" i="56" s="1"/>
  <c r="DA251" i="56" s="1"/>
  <c r="DA237" i="56" s="1"/>
  <c r="DA239" i="56" l="1"/>
  <c r="DA246" i="56"/>
  <c r="DA7" i="56" l="1"/>
  <c r="DA248" i="56"/>
  <c r="DA9" i="56" l="1"/>
  <c r="DA10" i="56"/>
  <c r="DA12" i="56" l="1"/>
  <c r="DA13" i="56" s="1"/>
  <c r="DB250" i="56" s="1"/>
  <c r="DB251" i="56" s="1"/>
  <c r="DB237" i="56" s="1"/>
  <c r="DC263" i="56" s="1"/>
  <c r="DC245" i="56" l="1"/>
  <c r="DF245" i="56" s="1"/>
  <c r="DC247" i="56"/>
  <c r="DF244" i="56"/>
  <c r="E244" i="56" s="1"/>
  <c r="DI244" i="56" l="1"/>
  <c r="DJ244" i="56" s="1"/>
  <c r="E245" i="56"/>
  <c r="DI245" i="56" s="1"/>
  <c r="DJ245" i="56" s="1"/>
  <c r="DC8" i="56"/>
  <c r="DF247" i="56"/>
  <c r="DB239" i="56"/>
  <c r="DB246" i="56"/>
  <c r="DC11" i="56" l="1"/>
  <c r="DF11" i="56" s="1"/>
  <c r="DF8" i="56"/>
  <c r="DB248" i="56"/>
  <c r="DB7" i="56"/>
  <c r="DB9" i="56" l="1"/>
  <c r="DB10" i="56"/>
  <c r="DB12" i="56" l="1"/>
  <c r="DB13" i="56" s="1"/>
  <c r="DC250" i="56" s="1"/>
  <c r="DC251" i="56" s="1"/>
  <c r="DC237" i="56" s="1"/>
  <c r="DC239" i="56" l="1"/>
  <c r="DC246" i="56"/>
  <c r="DC248" i="56" l="1"/>
  <c r="DC7" i="56"/>
  <c r="DC9" i="56" l="1"/>
  <c r="DC10" i="56"/>
  <c r="DC12" i="56" l="1"/>
  <c r="DC13" i="56" s="1"/>
  <c r="DD250" i="56" s="1"/>
  <c r="DD251" i="56" s="1"/>
  <c r="DD237" i="56" s="1"/>
  <c r="DD239" i="56" l="1"/>
  <c r="DD246" i="56"/>
  <c r="DD7" i="56" l="1"/>
  <c r="DD248" i="56"/>
  <c r="DD9" i="56" l="1"/>
  <c r="DD10" i="56"/>
  <c r="DD12" i="56" l="1"/>
  <c r="DD13" i="56" s="1"/>
  <c r="DE250" i="56" s="1"/>
  <c r="DE251" i="56" s="1"/>
  <c r="DE237" i="56" s="1"/>
  <c r="DF263" i="56" s="1"/>
  <c r="DE239" i="56" l="1"/>
  <c r="DF239" i="56" s="1"/>
  <c r="DE246" i="56"/>
  <c r="DF237" i="56"/>
  <c r="E237" i="56" s="1"/>
  <c r="E239" i="56" l="1"/>
  <c r="DI239" i="56" s="1"/>
  <c r="DJ239" i="56" s="1"/>
  <c r="DI237" i="56"/>
  <c r="DJ237" i="56" s="1"/>
  <c r="E246" i="56"/>
  <c r="DE7" i="56"/>
  <c r="DE248" i="56"/>
  <c r="DF248" i="56" s="1"/>
  <c r="DF246" i="56"/>
  <c r="DI246" i="56" l="1"/>
  <c r="DJ246" i="56" s="1"/>
  <c r="E7" i="56"/>
  <c r="E248" i="56"/>
  <c r="DI248" i="56" s="1"/>
  <c r="DJ248" i="56" s="1"/>
  <c r="DE9" i="56"/>
  <c r="DF9" i="56" s="1"/>
  <c r="DE10" i="56"/>
  <c r="DF7" i="56"/>
  <c r="E9" i="56" l="1"/>
  <c r="DI9" i="56" s="1"/>
  <c r="DJ9" i="56" s="1"/>
  <c r="E10" i="56"/>
  <c r="DI7" i="56"/>
  <c r="DJ7" i="56" s="1"/>
  <c r="DE12" i="56"/>
  <c r="DF10" i="56"/>
  <c r="E12" i="56" l="1"/>
  <c r="DI12" i="56" s="1"/>
  <c r="DJ12" i="56" s="1"/>
  <c r="DI10" i="56"/>
  <c r="DJ10" i="56" s="1"/>
  <c r="DF12" i="56"/>
  <c r="DE13" i="56"/>
  <c r="DF250" i="56" l="1"/>
  <c r="DF13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KB PARK</author>
    <author>DAEWOO</author>
    <author>GYUHA</author>
    <author>Kim Seung Hwan</author>
    <author>Gyuha LEE</author>
    <author>kim jun hyuk</author>
    <author>Admin</author>
    <author>KIMJUNHYUK</author>
  </authors>
  <commentList>
    <comment ref="BM16" authorId="0" shapeId="0" xr:uid="{48A071FC-3337-409C-9686-F00FB52C19BD}">
      <text>
        <r>
          <rPr>
            <b/>
            <sz val="9"/>
            <color indexed="81"/>
            <rFont val="돋움"/>
            <family val="3"/>
            <charset val="129"/>
          </rPr>
          <t>공사비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지연이자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22" authorId="1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선급금</t>
        </r>
        <r>
          <rPr>
            <b/>
            <sz val="9"/>
            <color indexed="81"/>
            <rFont val="Tahoma"/>
            <family val="2"/>
          </rPr>
          <t xml:space="preserve"> 20%</t>
        </r>
      </text>
    </comment>
    <comment ref="BM22" authorId="0" shapeId="0" xr:uid="{A82C7C9A-D335-4A7B-AE79-00D5B558FC57}">
      <text>
        <r>
          <rPr>
            <b/>
            <sz val="9"/>
            <color indexed="81"/>
            <rFont val="돋움"/>
            <family val="3"/>
            <charset val="129"/>
          </rPr>
          <t>공사비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지연이자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AE43" authorId="1" shapeId="0" xr:uid="{D2CBCD1A-84D1-49CF-9E6F-61616D7A9A90}">
      <text>
        <r>
          <rPr>
            <b/>
            <sz val="9"/>
            <color indexed="81"/>
            <rFont val="돋움"/>
            <family val="3"/>
            <charset val="129"/>
          </rPr>
          <t>선급금</t>
        </r>
        <r>
          <rPr>
            <b/>
            <sz val="9"/>
            <color indexed="81"/>
            <rFont val="Tahoma"/>
            <family val="2"/>
          </rPr>
          <t xml:space="preserve"> 20%</t>
        </r>
      </text>
    </comment>
    <comment ref="BM43" authorId="0" shapeId="0" xr:uid="{5F3F0D31-48C7-4403-AEEE-564C43AA4FE5}">
      <text>
        <r>
          <rPr>
            <b/>
            <sz val="9"/>
            <color indexed="81"/>
            <rFont val="돋움"/>
            <family val="3"/>
            <charset val="129"/>
          </rPr>
          <t>공사비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지연이자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AP46" authorId="1" shapeId="0" xr:uid="{8D8E4B3F-1362-4CB5-AAB4-B33EBA955D07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선급금 20% 반영
도급예정액(USD 177.7M)
3분기 일정 재확인 예정</t>
        </r>
      </text>
    </comment>
    <comment ref="AR46" authorId="1" shapeId="0" xr:uid="{B754EDE0-2C18-4E5A-A6D0-295109206A0F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선급금 20% 반영
증자 심의자료에는 10%
(계약 전 THT 협의 필요)</t>
        </r>
      </text>
    </comment>
    <comment ref="BC46" authorId="0" shapeId="0" xr:uid="{DF7A86A0-5ACE-432B-8622-EFD29703AF4C}">
      <text>
        <r>
          <rPr>
            <b/>
            <sz val="9"/>
            <color indexed="81"/>
            <rFont val="돋움"/>
            <family val="3"/>
            <charset val="129"/>
          </rPr>
          <t>선수금</t>
        </r>
        <r>
          <rPr>
            <b/>
            <sz val="9"/>
            <color indexed="81"/>
            <rFont val="Tahoma"/>
            <family val="2"/>
          </rPr>
          <t xml:space="preserve"> 20%</t>
        </r>
      </text>
    </comment>
    <comment ref="BM46" authorId="0" shapeId="0" xr:uid="{963B60E2-FAFC-4F0E-9EE7-DC66C4E35D74}">
      <text>
        <r>
          <rPr>
            <b/>
            <sz val="9"/>
            <color indexed="81"/>
            <rFont val="Tahoma"/>
            <family val="2"/>
          </rPr>
          <t xml:space="preserve">THT </t>
        </r>
        <r>
          <rPr>
            <b/>
            <sz val="9"/>
            <color indexed="81"/>
            <rFont val="돋움"/>
            <family val="3"/>
            <charset val="129"/>
          </rPr>
          <t>선수금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수금
</t>
        </r>
        <r>
          <rPr>
            <b/>
            <sz val="9"/>
            <color indexed="81"/>
            <rFont val="Tahoma"/>
            <family val="2"/>
          </rPr>
          <t>$31,000</t>
        </r>
        <r>
          <rPr>
            <b/>
            <sz val="9"/>
            <color indexed="81"/>
            <rFont val="돋움"/>
            <family val="3"/>
            <charset val="129"/>
          </rPr>
          <t>천</t>
        </r>
      </text>
    </comment>
    <comment ref="BB55" authorId="0" shapeId="0" xr:uid="{95F1B1B0-791A-489F-84F8-DEB6277AB7BA}">
      <text>
        <r>
          <rPr>
            <b/>
            <sz val="9"/>
            <color indexed="81"/>
            <rFont val="돋움"/>
            <family val="3"/>
            <charset val="129"/>
          </rPr>
          <t>선수금</t>
        </r>
        <r>
          <rPr>
            <b/>
            <sz val="9"/>
            <color indexed="81"/>
            <rFont val="Tahoma"/>
            <family val="2"/>
          </rPr>
          <t xml:space="preserve"> 5% 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</text>
    </comment>
    <comment ref="AX100" authorId="0" shapeId="0" xr:uid="{E23E5AF1-D931-4089-BF72-4830C3515194}">
      <text>
        <r>
          <rPr>
            <b/>
            <sz val="9"/>
            <color indexed="81"/>
            <rFont val="Tahoma"/>
            <family val="2"/>
          </rPr>
          <t>THT</t>
        </r>
        <r>
          <rPr>
            <b/>
            <sz val="9"/>
            <color indexed="81"/>
            <rFont val="돋움"/>
            <family val="3"/>
            <charset val="129"/>
          </rPr>
          <t>기성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개월분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이연
</t>
        </r>
        <r>
          <rPr>
            <b/>
            <sz val="9"/>
            <color indexed="81"/>
            <rFont val="Tahoma"/>
            <family val="2"/>
          </rPr>
          <t>($269</t>
        </r>
        <r>
          <rPr>
            <b/>
            <sz val="9"/>
            <color indexed="81"/>
            <rFont val="돋움"/>
            <family val="3"/>
            <charset val="129"/>
          </rPr>
          <t>천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M100" authorId="0" shapeId="0" xr:uid="{71F898D0-FB98-48D1-B89B-C3180CDE9EDF}">
      <text>
        <r>
          <rPr>
            <b/>
            <sz val="9"/>
            <color indexed="81"/>
            <rFont val="돋움"/>
            <family val="3"/>
            <charset val="129"/>
          </rPr>
          <t>공사비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지연이자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R116" authorId="2" shapeId="0" xr:uid="{00000000-0006-0000-01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[BD 30%]
Issuance of PTA 20% 400,000                    2023.12
Issuance of ERC 10% 200,000                    2023.12</t>
        </r>
      </text>
    </comment>
    <comment ref="AD116" authorId="3" shapeId="0" xr:uid="{00000000-0006-0000-0100-000006000000}">
      <text>
        <r>
          <rPr>
            <b/>
            <sz val="9"/>
            <color indexed="81"/>
            <rFont val="Tahoma"/>
            <family val="2"/>
          </rPr>
          <t>GYUHA:
TD 20%</t>
        </r>
      </text>
    </comment>
    <comment ref="AE116" authorId="3" shapeId="0" xr:uid="{00000000-0006-0000-0100-000007000000}">
      <text>
        <r>
          <rPr>
            <b/>
            <sz val="9"/>
            <color indexed="81"/>
            <rFont val="Tahoma"/>
            <family val="2"/>
          </rPr>
          <t>[BD 10%]
Issuance of LURC 10% 200,000                    2024.10</t>
        </r>
      </text>
    </comment>
    <comment ref="AG116" authorId="3" shapeId="0" xr:uid="{00000000-0006-0000-0100-000008000000}">
      <text>
        <r>
          <rPr>
            <b/>
            <sz val="9"/>
            <color indexed="81"/>
            <rFont val="Tahoma"/>
            <family val="2"/>
          </rPr>
          <t>GYUHA:
CP 20%</t>
        </r>
      </text>
    </comment>
    <comment ref="AO116" authorId="3" shapeId="0" xr:uid="{00000000-0006-0000-0100-000009000000}">
      <text>
        <r>
          <rPr>
            <b/>
            <sz val="9"/>
            <color indexed="81"/>
            <rFont val="Tahoma"/>
            <family val="2"/>
          </rPr>
          <t>GYUHA:
BD 20%</t>
        </r>
      </text>
    </comment>
    <comment ref="AQ116" authorId="3" shapeId="0" xr:uid="{00000000-0006-0000-0100-00000A000000}">
      <text>
        <r>
          <rPr>
            <b/>
            <sz val="9"/>
            <color indexed="81"/>
            <rFont val="Tahoma"/>
            <family val="2"/>
          </rPr>
          <t>GYUHA:
TD 10%</t>
        </r>
      </text>
    </comment>
    <comment ref="AG119" authorId="2" shapeId="0" xr:uid="{00000000-0006-0000-0100-00000B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TD 20%</t>
        </r>
      </text>
    </comment>
    <comment ref="AH119" authorId="2" shapeId="0" xr:uid="{00000000-0006-0000-0100-00000C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CP 20%</t>
        </r>
      </text>
    </comment>
    <comment ref="AU119" authorId="0" shapeId="0" xr:uid="{2FD24DB1-B67A-4F9B-8A34-B7E7C77D1908}">
      <text>
        <r>
          <rPr>
            <b/>
            <sz val="9"/>
            <color indexed="81"/>
            <rFont val="Tahoma"/>
            <family val="2"/>
          </rPr>
          <t xml:space="preserve">PTA </t>
        </r>
        <r>
          <rPr>
            <b/>
            <sz val="9"/>
            <color indexed="81"/>
            <rFont val="돋움"/>
            <family val="3"/>
            <charset val="129"/>
          </rPr>
          <t>승인</t>
        </r>
      </text>
    </comment>
    <comment ref="AV119" authorId="0" shapeId="0" xr:uid="{4F21C10D-AF9B-4B8E-9701-1966E2039F6C}">
      <text>
        <r>
          <rPr>
            <b/>
            <sz val="9"/>
            <color indexed="81"/>
            <rFont val="Tahoma"/>
            <family val="2"/>
          </rPr>
          <t xml:space="preserve">PTA </t>
        </r>
        <r>
          <rPr>
            <b/>
            <sz val="9"/>
            <color indexed="81"/>
            <rFont val="돋움"/>
            <family val="3"/>
            <charset val="129"/>
          </rPr>
          <t>승인</t>
        </r>
      </text>
    </comment>
    <comment ref="AW119" authorId="0" shapeId="0" xr:uid="{98148362-8342-4B3F-9CC8-6CB42B40A5E4}">
      <text>
        <r>
          <rPr>
            <b/>
            <sz val="9"/>
            <color indexed="81"/>
            <rFont val="Tahoma"/>
            <family val="2"/>
          </rPr>
          <t xml:space="preserve">TD </t>
        </r>
        <r>
          <rPr>
            <b/>
            <sz val="9"/>
            <color indexed="81"/>
            <rFont val="돋움"/>
            <family val="3"/>
            <charset val="129"/>
          </rPr>
          <t>승인</t>
        </r>
      </text>
    </comment>
    <comment ref="AY119" authorId="0" shapeId="0" xr:uid="{9F127799-2DDA-4F97-86E1-42FF9D30650C}">
      <text>
        <r>
          <rPr>
            <b/>
            <sz val="9"/>
            <color indexed="81"/>
            <rFont val="Tahoma"/>
            <family val="2"/>
          </rPr>
          <t xml:space="preserve">CP </t>
        </r>
        <r>
          <rPr>
            <b/>
            <sz val="9"/>
            <color indexed="81"/>
            <rFont val="돋움"/>
            <family val="3"/>
            <charset val="129"/>
          </rPr>
          <t>승인</t>
        </r>
      </text>
    </comment>
    <comment ref="AZ119" authorId="0" shapeId="0" xr:uid="{3136B995-C353-4FD7-84EB-8EFE054CDC26}">
      <text>
        <r>
          <rPr>
            <b/>
            <sz val="9"/>
            <color indexed="81"/>
            <rFont val="Tahoma"/>
            <family val="2"/>
          </rPr>
          <t xml:space="preserve">CP </t>
        </r>
        <r>
          <rPr>
            <b/>
            <sz val="9"/>
            <color indexed="81"/>
            <rFont val="돋움"/>
            <family val="3"/>
            <charset val="129"/>
          </rPr>
          <t>승인</t>
        </r>
      </text>
    </comment>
    <comment ref="BB119" authorId="0" shapeId="0" xr:uid="{7A9E4760-DC4F-40C4-BA6B-94AD573FA9C0}">
      <text>
        <r>
          <rPr>
            <b/>
            <sz val="9"/>
            <color indexed="81"/>
            <rFont val="Tahoma"/>
            <family val="2"/>
          </rPr>
          <t xml:space="preserve">ED </t>
        </r>
        <r>
          <rPr>
            <b/>
            <sz val="9"/>
            <color indexed="81"/>
            <rFont val="돋움"/>
            <family val="3"/>
            <charset val="129"/>
          </rPr>
          <t>승인</t>
        </r>
      </text>
    </comment>
    <comment ref="BC119" authorId="0" shapeId="0" xr:uid="{E0FA0F23-FFD3-4391-8D2C-B82EE71C0B27}">
      <text>
        <r>
          <rPr>
            <b/>
            <sz val="9"/>
            <color indexed="81"/>
            <rFont val="Tahoma"/>
            <family val="2"/>
          </rPr>
          <t xml:space="preserve">ED </t>
        </r>
        <r>
          <rPr>
            <b/>
            <sz val="9"/>
            <color indexed="81"/>
            <rFont val="돋움"/>
            <family val="3"/>
            <charset val="129"/>
          </rPr>
          <t>승인</t>
        </r>
      </text>
    </comment>
    <comment ref="G137" authorId="2" shapeId="0" xr:uid="{00000000-0006-0000-0100-00000D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프리콘착수</t>
        </r>
        <r>
          <rPr>
            <sz val="9"/>
            <color indexed="81"/>
            <rFont val="Tahoma"/>
            <family val="2"/>
          </rPr>
          <t xml:space="preserve"> 20%</t>
        </r>
      </text>
    </comment>
    <comment ref="O137" authorId="2" shapeId="0" xr:uid="{00000000-0006-0000-0100-00000E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BD 30%</t>
        </r>
      </text>
    </comment>
    <comment ref="R137" authorId="2" shapeId="0" xr:uid="{00000000-0006-0000-0100-00000F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TD 30%</t>
        </r>
      </text>
    </comment>
    <comment ref="W137" authorId="2" shapeId="0" xr:uid="{00000000-0006-0000-0100-000010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착공</t>
        </r>
        <r>
          <rPr>
            <sz val="9"/>
            <color indexed="81"/>
            <rFont val="Tahoma"/>
            <family val="2"/>
          </rPr>
          <t xml:space="preserve"> 20%</t>
        </r>
      </text>
    </comment>
    <comment ref="G140" authorId="2" shapeId="0" xr:uid="{00000000-0006-0000-0100-000011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프리콘착수</t>
        </r>
        <r>
          <rPr>
            <sz val="9"/>
            <color indexed="81"/>
            <rFont val="Tahoma"/>
            <family val="2"/>
          </rPr>
          <t xml:space="preserve"> 20%</t>
        </r>
      </text>
    </comment>
    <comment ref="R140" authorId="2" shapeId="0" xr:uid="{00000000-0006-0000-0100-000012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BD 30%</t>
        </r>
      </text>
    </comment>
    <comment ref="AA140" authorId="2" shapeId="0" xr:uid="{00000000-0006-0000-0100-000013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TD 30%</t>
        </r>
      </text>
    </comment>
    <comment ref="AH140" authorId="2" shapeId="0" xr:uid="{00000000-0006-0000-0100-000014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착공</t>
        </r>
        <r>
          <rPr>
            <sz val="9"/>
            <color indexed="81"/>
            <rFont val="Tahoma"/>
            <family val="2"/>
          </rPr>
          <t xml:space="preserve"> 20%</t>
        </r>
      </text>
    </comment>
    <comment ref="Q143" authorId="2" shapeId="0" xr:uid="{00000000-0006-0000-0100-000015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프리콘착수</t>
        </r>
        <r>
          <rPr>
            <sz val="9"/>
            <color indexed="81"/>
            <rFont val="Tahoma"/>
            <family val="2"/>
          </rPr>
          <t xml:space="preserve"> 20%</t>
        </r>
      </text>
    </comment>
    <comment ref="R143" authorId="2" shapeId="0" xr:uid="{00000000-0006-0000-0100-000016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프리콘착수</t>
        </r>
        <r>
          <rPr>
            <sz val="9"/>
            <color indexed="81"/>
            <rFont val="Tahoma"/>
            <family val="2"/>
          </rPr>
          <t xml:space="preserve"> 20%</t>
        </r>
      </text>
    </comment>
    <comment ref="W143" authorId="2" shapeId="0" xr:uid="{00000000-0006-0000-0100-000017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BD 30%</t>
        </r>
      </text>
    </comment>
    <comment ref="AA143" authorId="2" shapeId="0" xr:uid="{00000000-0006-0000-0100-000018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BD 30%</t>
        </r>
      </text>
    </comment>
    <comment ref="AB143" authorId="2" shapeId="0" xr:uid="{00000000-0006-0000-0100-000019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TD 30%</t>
        </r>
      </text>
    </comment>
    <comment ref="AC143" authorId="2" shapeId="0" xr:uid="{00000000-0006-0000-0100-00001A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TD 30%</t>
        </r>
      </text>
    </comment>
    <comment ref="AE143" authorId="2" shapeId="0" xr:uid="{00000000-0006-0000-0100-00001B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TD 30%</t>
        </r>
      </text>
    </comment>
    <comment ref="AG143" authorId="2" shapeId="0" xr:uid="{00000000-0006-0000-0100-00001C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TD 30%</t>
        </r>
      </text>
    </comment>
    <comment ref="AR143" authorId="4" shapeId="0" xr:uid="{00000000-0006-0000-0100-00001D000000}">
      <text>
        <r>
          <rPr>
            <b/>
            <sz val="9"/>
            <color indexed="81"/>
            <rFont val="Tahoma"/>
            <family val="2"/>
          </rPr>
          <t xml:space="preserve">GYUHA:
</t>
        </r>
        <r>
          <rPr>
            <b/>
            <sz val="9"/>
            <color indexed="81"/>
            <rFont val="돋움"/>
            <family val="3"/>
            <charset val="129"/>
          </rPr>
          <t>착공</t>
        </r>
        <r>
          <rPr>
            <b/>
            <sz val="9"/>
            <color indexed="81"/>
            <rFont val="Tahoma"/>
            <family val="2"/>
          </rPr>
          <t xml:space="preserve"> 20%</t>
        </r>
      </text>
    </comment>
    <comment ref="AO146" authorId="2" shapeId="0" xr:uid="{00000000-0006-0000-0100-00001E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TD 30%</t>
        </r>
      </text>
    </comment>
    <comment ref="AR146" authorId="2" shapeId="0" xr:uid="{00000000-0006-0000-0100-00001F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착공</t>
        </r>
        <r>
          <rPr>
            <sz val="9"/>
            <color indexed="81"/>
            <rFont val="Tahoma"/>
            <family val="2"/>
          </rPr>
          <t xml:space="preserve"> 20%</t>
        </r>
      </text>
    </comment>
    <comment ref="R149" authorId="2" shapeId="0" xr:uid="{00000000-0006-0000-0100-000020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프리콘착수</t>
        </r>
        <r>
          <rPr>
            <sz val="9"/>
            <color indexed="81"/>
            <rFont val="Tahoma"/>
            <family val="2"/>
          </rPr>
          <t xml:space="preserve"> 20%</t>
        </r>
      </text>
    </comment>
    <comment ref="R152" authorId="2" shapeId="0" xr:uid="{00000000-0006-0000-0100-000021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프리콘착수</t>
        </r>
        <r>
          <rPr>
            <sz val="9"/>
            <color indexed="81"/>
            <rFont val="Tahoma"/>
            <family val="2"/>
          </rPr>
          <t xml:space="preserve"> 20%</t>
        </r>
      </text>
    </comment>
    <comment ref="R155" authorId="2" shapeId="0" xr:uid="{00000000-0006-0000-0100-000022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프리콘착수</t>
        </r>
        <r>
          <rPr>
            <sz val="9"/>
            <color indexed="81"/>
            <rFont val="Tahoma"/>
            <family val="2"/>
          </rPr>
          <t xml:space="preserve"> 20%</t>
        </r>
      </text>
    </comment>
    <comment ref="E183" authorId="5" shapeId="0" xr:uid="{00000000-0006-0000-0100-000023000000}">
      <text>
        <r>
          <rPr>
            <b/>
            <sz val="9"/>
            <color indexed="81"/>
            <rFont val="Tahoma"/>
            <family val="2"/>
          </rPr>
          <t>kim jun hyuk:</t>
        </r>
        <r>
          <rPr>
            <sz val="9"/>
            <color indexed="81"/>
            <rFont val="Tahoma"/>
            <family val="2"/>
          </rPr>
          <t xml:space="preserve">
=120070+207041*70%</t>
        </r>
      </text>
    </comment>
    <comment ref="R184" authorId="1" shapeId="0" xr:uid="{00000000-0006-0000-0100-000024000000}">
      <text>
        <r>
          <rPr>
            <b/>
            <sz val="9"/>
            <color indexed="81"/>
            <rFont val="Tahoma"/>
            <family val="2"/>
          </rPr>
          <t>JVC</t>
        </r>
        <r>
          <rPr>
            <b/>
            <sz val="9"/>
            <color indexed="81"/>
            <rFont val="돋움"/>
            <family val="3"/>
            <charset val="129"/>
          </rPr>
          <t>설립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자본금
지분율</t>
        </r>
        <r>
          <rPr>
            <b/>
            <sz val="9"/>
            <color indexed="81"/>
            <rFont val="Tahoma"/>
            <family val="2"/>
          </rPr>
          <t xml:space="preserve"> 70%
=&gt; </t>
        </r>
        <r>
          <rPr>
            <b/>
            <sz val="9"/>
            <color indexed="81"/>
            <rFont val="돋움"/>
            <family val="3"/>
            <charset val="129"/>
          </rPr>
          <t>컨소시엄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가정으로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삭제</t>
        </r>
      </text>
    </comment>
    <comment ref="AY184" authorId="1" shapeId="0" xr:uid="{49CC683D-AAA2-448C-A698-D7D6B15F1B41}">
      <text>
        <r>
          <rPr>
            <b/>
            <sz val="9"/>
            <color indexed="81"/>
            <rFont val="Tahoma"/>
            <family val="2"/>
          </rPr>
          <t>8</t>
        </r>
        <r>
          <rPr>
            <b/>
            <sz val="9"/>
            <color indexed="81"/>
            <rFont val="돋움"/>
            <family val="3"/>
            <charset val="129"/>
          </rPr>
          <t>천만불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당사분</t>
        </r>
        <r>
          <rPr>
            <b/>
            <sz val="9"/>
            <color indexed="81"/>
            <rFont val="Tahoma"/>
            <family val="2"/>
          </rPr>
          <t>70%)
3</t>
        </r>
        <r>
          <rPr>
            <b/>
            <sz val="9"/>
            <color indexed="81"/>
            <rFont val="돋움"/>
            <family val="3"/>
            <charset val="129"/>
          </rPr>
          <t>분기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  <comment ref="Z185" authorId="3" shapeId="0" xr:uid="{00000000-0006-0000-0100-000026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맑은 고딕"/>
            <family val="2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컨설팅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 
1.682MIL
</t>
        </r>
        <r>
          <rPr>
            <b/>
            <sz val="9"/>
            <color indexed="81"/>
            <rFont val="맑은 고딕"/>
            <family val="2"/>
            <charset val="129"/>
          </rPr>
          <t>계약금</t>
        </r>
        <r>
          <rPr>
            <b/>
            <sz val="9"/>
            <color indexed="81"/>
            <rFont val="Tahoma"/>
            <family val="2"/>
          </rPr>
          <t xml:space="preserve"> 40%
673</t>
        </r>
      </text>
    </comment>
    <comment ref="AA185" authorId="3" shapeId="0" xr:uid="{00000000-0006-0000-0100-000027000000}">
      <text>
        <r>
          <rPr>
            <b/>
            <sz val="9"/>
            <color indexed="81"/>
            <rFont val="Tahoma"/>
            <family val="2"/>
          </rPr>
          <t>Kim Seung Hwan:
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컨설팅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 
1.682MIL
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중도금</t>
        </r>
        <r>
          <rPr>
            <b/>
            <sz val="9"/>
            <color indexed="81"/>
            <rFont val="Tahoma"/>
            <family val="2"/>
          </rPr>
          <t xml:space="preserve"> 20%
1.682*20%=0.336
              +
1.682MIL
</t>
        </r>
        <r>
          <rPr>
            <b/>
            <sz val="9"/>
            <color indexed="81"/>
            <rFont val="돋움"/>
            <family val="3"/>
            <charset val="129"/>
          </rPr>
          <t>잔금</t>
        </r>
        <r>
          <rPr>
            <b/>
            <sz val="9"/>
            <color indexed="81"/>
            <rFont val="Tahoma"/>
            <family val="2"/>
          </rPr>
          <t xml:space="preserve"> 10%
1.682*10%=0.168
</t>
        </r>
        <r>
          <rPr>
            <b/>
            <sz val="9"/>
            <color indexed="81"/>
            <rFont val="돋움"/>
            <family val="3"/>
            <charset val="129"/>
          </rPr>
          <t xml:space="preserve">합계
</t>
        </r>
        <r>
          <rPr>
            <b/>
            <sz val="9"/>
            <color indexed="81"/>
            <rFont val="Tahoma"/>
            <family val="2"/>
          </rPr>
          <t xml:space="preserve">1.682*30%=0.505
+
</t>
        </r>
        <r>
          <rPr>
            <b/>
            <sz val="9"/>
            <color indexed="81"/>
            <rFont val="돋움"/>
            <family val="3"/>
            <charset val="129"/>
          </rPr>
          <t>입찰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제안서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용역
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중도금</t>
        </r>
        <r>
          <rPr>
            <b/>
            <sz val="9"/>
            <color indexed="81"/>
            <rFont val="Tahoma"/>
            <family val="2"/>
          </rPr>
          <t xml:space="preserve"> 20%
1*20% =0.2</t>
        </r>
      </text>
    </comment>
    <comment ref="AD185" authorId="1" shapeId="0" xr:uid="{00000000-0006-0000-0100-000028000000}">
      <text>
        <r>
          <rPr>
            <b/>
            <sz val="9"/>
            <color indexed="81"/>
            <rFont val="돋움"/>
            <family val="3"/>
            <charset val="129"/>
          </rPr>
          <t>투자제안서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설계비
총</t>
        </r>
        <r>
          <rPr>
            <b/>
            <sz val="9"/>
            <color indexed="81"/>
            <rFont val="Tahoma"/>
            <family val="2"/>
          </rPr>
          <t xml:space="preserve"> 60</t>
        </r>
        <r>
          <rPr>
            <b/>
            <sz val="9"/>
            <color indexed="81"/>
            <rFont val="돋움"/>
            <family val="3"/>
            <charset val="129"/>
          </rPr>
          <t>만불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계약금</t>
        </r>
        <r>
          <rPr>
            <b/>
            <sz val="9"/>
            <color indexed="81"/>
            <rFont val="Tahoma"/>
            <family val="2"/>
          </rPr>
          <t xml:space="preserve"> 20% : 12</t>
        </r>
        <r>
          <rPr>
            <b/>
            <sz val="9"/>
            <color indexed="81"/>
            <rFont val="돋움"/>
            <family val="3"/>
            <charset val="129"/>
          </rPr>
          <t>만불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G185" authorId="1" shapeId="0" xr:uid="{00000000-0006-0000-0100-000029000000}">
      <text>
        <r>
          <rPr>
            <b/>
            <sz val="9"/>
            <color indexed="81"/>
            <rFont val="돋움"/>
            <family val="3"/>
            <charset val="129"/>
          </rPr>
          <t>설계비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계약금</t>
        </r>
        <r>
          <rPr>
            <b/>
            <sz val="9"/>
            <color indexed="81"/>
            <rFont val="Tahoma"/>
            <family val="2"/>
          </rPr>
          <t>(20%)
 5.2</t>
        </r>
        <r>
          <rPr>
            <b/>
            <sz val="9"/>
            <color indexed="81"/>
            <rFont val="돋움"/>
            <family val="3"/>
            <charset val="129"/>
          </rPr>
          <t>만불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H185" authorId="1" shapeId="0" xr:uid="{00000000-0006-0000-0100-00002A000000}">
      <text>
        <r>
          <rPr>
            <b/>
            <sz val="9"/>
            <color indexed="81"/>
            <rFont val="Tahoma"/>
            <family val="2"/>
          </rPr>
          <t>MP</t>
        </r>
        <r>
          <rPr>
            <b/>
            <sz val="9"/>
            <color indexed="81"/>
            <rFont val="돋움"/>
            <family val="3"/>
            <charset val="129"/>
          </rPr>
          <t>용역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중도금</t>
        </r>
      </text>
    </comment>
    <comment ref="AJ185" authorId="1" shapeId="0" xr:uid="{00000000-0006-0000-0100-00002C000000}">
      <text>
        <r>
          <rPr>
            <b/>
            <sz val="9"/>
            <color indexed="81"/>
            <rFont val="돋움"/>
            <family val="3"/>
            <charset val="129"/>
          </rPr>
          <t>설계비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중도금</t>
        </r>
        <r>
          <rPr>
            <b/>
            <sz val="9"/>
            <color indexed="81"/>
            <rFont val="Tahoma"/>
            <family val="2"/>
          </rPr>
          <t>(40%)
10.4</t>
        </r>
        <r>
          <rPr>
            <b/>
            <sz val="9"/>
            <color indexed="81"/>
            <rFont val="돋움"/>
            <family val="3"/>
            <charset val="129"/>
          </rPr>
          <t>만불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O185" authorId="1" shapeId="0" xr:uid="{10A156C4-28F7-4379-AEA3-69B33C9DD2C9}">
      <text>
        <r>
          <rPr>
            <b/>
            <sz val="9"/>
            <color indexed="81"/>
            <rFont val="돋움"/>
            <family val="3"/>
            <charset val="129"/>
          </rPr>
          <t>설계비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잔금</t>
        </r>
        <r>
          <rPr>
            <b/>
            <sz val="9"/>
            <color indexed="81"/>
            <rFont val="Tahoma"/>
            <family val="2"/>
          </rPr>
          <t>(10%)
2.6</t>
        </r>
        <r>
          <rPr>
            <b/>
            <sz val="9"/>
            <color indexed="81"/>
            <rFont val="돋움"/>
            <family val="3"/>
            <charset val="129"/>
          </rPr>
          <t>만불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P185" authorId="1" shapeId="0" xr:uid="{7D2506B5-ED7F-43EE-BA08-F621618F25EE}">
      <text>
        <r>
          <rPr>
            <b/>
            <sz val="9"/>
            <color indexed="81"/>
            <rFont val="Tahoma"/>
            <family val="2"/>
          </rPr>
          <t>IPA</t>
        </r>
        <r>
          <rPr>
            <b/>
            <sz val="9"/>
            <color indexed="81"/>
            <rFont val="돋움"/>
            <family val="3"/>
            <charset val="129"/>
          </rPr>
          <t xml:space="preserve">승인시
</t>
        </r>
        <r>
          <rPr>
            <b/>
            <sz val="9"/>
            <color indexed="81"/>
            <rFont val="Tahoma"/>
            <family val="2"/>
          </rPr>
          <t>V</t>
        </r>
        <r>
          <rPr>
            <b/>
            <sz val="9"/>
            <color indexed="81"/>
            <rFont val="돋움"/>
            <family val="3"/>
            <charset val="129"/>
          </rPr>
          <t>그룹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용역비</t>
        </r>
        <r>
          <rPr>
            <b/>
            <sz val="9"/>
            <color indexed="81"/>
            <rFont val="Tahoma"/>
            <family val="2"/>
          </rPr>
          <t xml:space="preserve"> 30%</t>
        </r>
      </text>
    </comment>
    <comment ref="AW185" authorId="1" shapeId="0" xr:uid="{DE5A5A2C-C21E-4332-A113-049414BD1F24}">
      <text>
        <r>
          <rPr>
            <b/>
            <sz val="9"/>
            <color indexed="81"/>
            <rFont val="Tahoma"/>
            <family val="2"/>
          </rPr>
          <t>IPA</t>
        </r>
        <r>
          <rPr>
            <b/>
            <sz val="9"/>
            <color indexed="81"/>
            <rFont val="돋움"/>
            <family val="3"/>
            <charset val="129"/>
          </rPr>
          <t xml:space="preserve">승인시
</t>
        </r>
        <r>
          <rPr>
            <b/>
            <sz val="9"/>
            <color indexed="81"/>
            <rFont val="Tahoma"/>
            <family val="2"/>
          </rPr>
          <t>V</t>
        </r>
        <r>
          <rPr>
            <b/>
            <sz val="9"/>
            <color indexed="81"/>
            <rFont val="돋움"/>
            <family val="3"/>
            <charset val="129"/>
          </rPr>
          <t>그룹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용역비</t>
        </r>
        <r>
          <rPr>
            <b/>
            <sz val="9"/>
            <color indexed="81"/>
            <rFont val="Tahoma"/>
            <family val="2"/>
          </rPr>
          <t xml:space="preserve"> 30%</t>
        </r>
      </text>
    </comment>
    <comment ref="AY185" authorId="1" shapeId="0" xr:uid="{2052EDAE-8822-4DE9-AB41-80AFEC081884}">
      <text>
        <r>
          <rPr>
            <b/>
            <sz val="9"/>
            <color indexed="81"/>
            <rFont val="Tahoma"/>
            <family val="2"/>
          </rPr>
          <t>IPA</t>
        </r>
        <r>
          <rPr>
            <b/>
            <sz val="9"/>
            <color indexed="81"/>
            <rFont val="돋움"/>
            <family val="3"/>
            <charset val="129"/>
          </rPr>
          <t xml:space="preserve">승인시
</t>
        </r>
        <r>
          <rPr>
            <b/>
            <sz val="9"/>
            <color indexed="81"/>
            <rFont val="Tahoma"/>
            <family val="2"/>
          </rPr>
          <t>V</t>
        </r>
        <r>
          <rPr>
            <b/>
            <sz val="9"/>
            <color indexed="81"/>
            <rFont val="돋움"/>
            <family val="3"/>
            <charset val="129"/>
          </rPr>
          <t>그룹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용역비</t>
        </r>
        <r>
          <rPr>
            <b/>
            <sz val="9"/>
            <color indexed="81"/>
            <rFont val="Tahoma"/>
            <family val="2"/>
          </rPr>
          <t xml:space="preserve"> 30%</t>
        </r>
      </text>
    </comment>
    <comment ref="E187" authorId="5" shapeId="0" xr:uid="{59CB0339-067B-49EF-882A-F603AEA6EE65}">
      <text>
        <r>
          <rPr>
            <b/>
            <sz val="9"/>
            <color indexed="81"/>
            <rFont val="Tahoma"/>
            <family val="2"/>
          </rPr>
          <t>kim jun hyuk:</t>
        </r>
        <r>
          <rPr>
            <sz val="9"/>
            <color indexed="81"/>
            <rFont val="Tahoma"/>
            <family val="2"/>
          </rPr>
          <t xml:space="preserve">
=120070+207041*70%</t>
        </r>
      </text>
    </comment>
    <comment ref="AM187" authorId="1" shapeId="0" xr:uid="{00000000-0006-0000-0100-000031000000}">
      <text>
        <r>
          <rPr>
            <b/>
            <sz val="9"/>
            <color indexed="81"/>
            <rFont val="돋움"/>
            <family val="3"/>
            <charset val="129"/>
          </rPr>
          <t>보증금</t>
        </r>
        <r>
          <rPr>
            <b/>
            <sz val="9"/>
            <color indexed="81"/>
            <rFont val="Tahoma"/>
            <family val="2"/>
          </rPr>
          <t xml:space="preserve">(5%) </t>
        </r>
        <r>
          <rPr>
            <b/>
            <sz val="9"/>
            <color indexed="81"/>
            <rFont val="돋움"/>
            <family val="3"/>
            <charset val="129"/>
          </rPr>
          <t xml:space="preserve">회수
</t>
        </r>
      </text>
    </comment>
    <comment ref="AN187" authorId="1" shapeId="0" xr:uid="{BC9E4935-D0F3-496A-8CA6-056ED2C03C82}">
      <text>
        <r>
          <rPr>
            <b/>
            <sz val="9"/>
            <color indexed="81"/>
            <rFont val="돋움"/>
            <family val="3"/>
            <charset val="129"/>
          </rPr>
          <t>보증금</t>
        </r>
        <r>
          <rPr>
            <b/>
            <sz val="9"/>
            <color indexed="81"/>
            <rFont val="Tahoma"/>
            <family val="2"/>
          </rPr>
          <t xml:space="preserve">(5%) </t>
        </r>
        <r>
          <rPr>
            <b/>
            <sz val="9"/>
            <color indexed="81"/>
            <rFont val="돋움"/>
            <family val="3"/>
            <charset val="129"/>
          </rPr>
          <t xml:space="preserve">회수
</t>
        </r>
      </text>
    </comment>
    <comment ref="AO187" authorId="1" shapeId="0" xr:uid="{D44E08AA-0E8E-4D44-995C-53409298A0A5}">
      <text>
        <r>
          <rPr>
            <b/>
            <sz val="9"/>
            <color indexed="81"/>
            <rFont val="돋움"/>
            <family val="3"/>
            <charset val="129"/>
          </rPr>
          <t>보증금</t>
        </r>
        <r>
          <rPr>
            <b/>
            <sz val="9"/>
            <color indexed="81"/>
            <rFont val="Tahoma"/>
            <family val="2"/>
          </rPr>
          <t xml:space="preserve">(5%) </t>
        </r>
        <r>
          <rPr>
            <b/>
            <sz val="9"/>
            <color indexed="81"/>
            <rFont val="돋움"/>
            <family val="3"/>
            <charset val="129"/>
          </rPr>
          <t xml:space="preserve">회수
</t>
        </r>
      </text>
    </comment>
    <comment ref="AR187" authorId="0" shapeId="0" xr:uid="{E9579678-6F1A-4E8A-91E7-0FECAF86164A}">
      <text>
        <r>
          <rPr>
            <b/>
            <sz val="9"/>
            <color indexed="81"/>
            <rFont val="Tahoma"/>
            <family val="2"/>
          </rPr>
          <t>KB PARK: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보증금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반환
</t>
        </r>
        <r>
          <rPr>
            <sz val="9"/>
            <color indexed="81"/>
            <rFont val="Tahoma"/>
            <family val="2"/>
          </rPr>
          <t xml:space="preserve">(From </t>
        </r>
        <r>
          <rPr>
            <sz val="9"/>
            <color indexed="81"/>
            <rFont val="돋움"/>
            <family val="3"/>
            <charset val="129"/>
          </rPr>
          <t>태광비나</t>
        </r>
        <r>
          <rPr>
            <sz val="9"/>
            <color indexed="81"/>
            <rFont val="Tahoma"/>
            <family val="2"/>
          </rPr>
          <t>)</t>
        </r>
      </text>
    </comment>
    <comment ref="BR187" authorId="6" shapeId="0" xr:uid="{00000000-0006-0000-0100-000032000000}">
      <text>
        <r>
          <rPr>
            <b/>
            <sz val="9"/>
            <color indexed="81"/>
            <rFont val="Tahoma"/>
            <family val="2"/>
          </rPr>
          <t xml:space="preserve">DECV BD3 Mr. Joo:
2027.05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12 </t>
        </r>
        <r>
          <rPr>
            <b/>
            <sz val="9"/>
            <color indexed="81"/>
            <rFont val="돋움"/>
            <family val="3"/>
            <charset val="129"/>
          </rPr>
          <t xml:space="preserve">변경
</t>
        </r>
        <r>
          <rPr>
            <b/>
            <sz val="9"/>
            <color indexed="81"/>
            <rFont val="Tahoma"/>
            <family val="2"/>
          </rPr>
          <t xml:space="preserve">1) spc </t>
        </r>
        <r>
          <rPr>
            <b/>
            <sz val="9"/>
            <color indexed="81"/>
            <rFont val="돋움"/>
            <family val="3"/>
            <charset val="129"/>
          </rPr>
          <t xml:space="preserve">배당전제
</t>
        </r>
        <r>
          <rPr>
            <b/>
            <sz val="9"/>
            <color indexed="81"/>
            <rFont val="Tahoma"/>
            <family val="2"/>
          </rPr>
          <t>2) 600</t>
        </r>
        <r>
          <rPr>
            <b/>
            <sz val="9"/>
            <color indexed="81"/>
            <rFont val="돋움"/>
            <family val="3"/>
            <charset val="129"/>
          </rPr>
          <t>은</t>
        </r>
        <r>
          <rPr>
            <b/>
            <sz val="9"/>
            <color indexed="81"/>
            <rFont val="Tahoma"/>
            <family val="2"/>
          </rPr>
          <t xml:space="preserve"> PM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전제</t>
        </r>
      </text>
    </comment>
    <comment ref="BW187" authorId="1" shapeId="0" xr:uid="{00000000-0006-0000-0100-000033000000}">
      <text>
        <r>
          <rPr>
            <b/>
            <sz val="9"/>
            <color indexed="81"/>
            <rFont val="Tahoma"/>
            <family val="2"/>
          </rPr>
          <t>LTPH 1</t>
        </r>
        <r>
          <rPr>
            <b/>
            <sz val="9"/>
            <color indexed="81"/>
            <rFont val="돋움"/>
            <family val="3"/>
            <charset val="129"/>
          </rPr>
          <t xml:space="preserve">차배당
</t>
        </r>
      </text>
    </comment>
    <comment ref="BZ187" authorId="0" shapeId="0" xr:uid="{2FD9E75B-BDF7-4866-A123-82636B220A39}">
      <text>
        <r>
          <rPr>
            <sz val="9"/>
            <color indexed="81"/>
            <rFont val="돋움"/>
            <family val="3"/>
            <charset val="129"/>
          </rPr>
          <t>주주대여금</t>
        </r>
        <r>
          <rPr>
            <sz val="9"/>
            <color indexed="81"/>
            <rFont val="Tahoma"/>
            <family val="2"/>
          </rPr>
          <t xml:space="preserve"> 1,2</t>
        </r>
        <r>
          <rPr>
            <sz val="9"/>
            <color indexed="81"/>
            <rFont val="돋움"/>
            <family val="3"/>
            <charset val="129"/>
          </rPr>
          <t>차분
회수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E187" authorId="6" shapeId="0" xr:uid="{00000000-0006-0000-0100-000034000000}">
      <text>
        <r>
          <rPr>
            <b/>
            <sz val="9"/>
            <color indexed="81"/>
            <rFont val="Tahoma"/>
            <family val="2"/>
          </rPr>
          <t xml:space="preserve">DECV BD3 Mr. Joo:
2027.05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12 </t>
        </r>
        <r>
          <rPr>
            <b/>
            <sz val="9"/>
            <color indexed="81"/>
            <rFont val="돋움"/>
            <family val="3"/>
            <charset val="129"/>
          </rPr>
          <t xml:space="preserve">변경
</t>
        </r>
        <r>
          <rPr>
            <b/>
            <sz val="9"/>
            <color indexed="81"/>
            <rFont val="Tahoma"/>
            <family val="2"/>
          </rPr>
          <t xml:space="preserve">1) spc </t>
        </r>
        <r>
          <rPr>
            <b/>
            <sz val="9"/>
            <color indexed="81"/>
            <rFont val="돋움"/>
            <family val="3"/>
            <charset val="129"/>
          </rPr>
          <t xml:space="preserve">배당전제
</t>
        </r>
        <r>
          <rPr>
            <b/>
            <sz val="9"/>
            <color indexed="81"/>
            <rFont val="Tahoma"/>
            <family val="2"/>
          </rPr>
          <t>2) 600</t>
        </r>
        <r>
          <rPr>
            <b/>
            <sz val="9"/>
            <color indexed="81"/>
            <rFont val="돋움"/>
            <family val="3"/>
            <charset val="129"/>
          </rPr>
          <t>은</t>
        </r>
        <r>
          <rPr>
            <b/>
            <sz val="9"/>
            <color indexed="81"/>
            <rFont val="Tahoma"/>
            <family val="2"/>
          </rPr>
          <t xml:space="preserve"> PM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전제</t>
        </r>
      </text>
    </comment>
    <comment ref="CJ187" authorId="1" shapeId="0" xr:uid="{00000000-0006-0000-0100-000035000000}">
      <text>
        <r>
          <rPr>
            <b/>
            <sz val="9"/>
            <color indexed="81"/>
            <rFont val="Tahoma"/>
            <family val="2"/>
          </rPr>
          <t>LTPH 2</t>
        </r>
        <r>
          <rPr>
            <b/>
            <sz val="9"/>
            <color indexed="81"/>
            <rFont val="돋움"/>
            <family val="3"/>
            <charset val="129"/>
          </rPr>
          <t xml:space="preserve">차배당
</t>
        </r>
      </text>
    </comment>
    <comment ref="CR187" authorId="6" shapeId="0" xr:uid="{00000000-0006-0000-0100-000036000000}">
      <text>
        <r>
          <rPr>
            <b/>
            <sz val="9"/>
            <color indexed="81"/>
            <rFont val="Tahoma"/>
            <family val="2"/>
          </rPr>
          <t xml:space="preserve">DECV BD3 Mr. Joo:
2027.05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12 </t>
        </r>
        <r>
          <rPr>
            <b/>
            <sz val="9"/>
            <color indexed="81"/>
            <rFont val="돋움"/>
            <family val="3"/>
            <charset val="129"/>
          </rPr>
          <t xml:space="preserve">변경
</t>
        </r>
        <r>
          <rPr>
            <b/>
            <sz val="9"/>
            <color indexed="81"/>
            <rFont val="Tahoma"/>
            <family val="2"/>
          </rPr>
          <t xml:space="preserve">1) spc </t>
        </r>
        <r>
          <rPr>
            <b/>
            <sz val="9"/>
            <color indexed="81"/>
            <rFont val="돋움"/>
            <family val="3"/>
            <charset val="129"/>
          </rPr>
          <t xml:space="preserve">배당전제
</t>
        </r>
        <r>
          <rPr>
            <b/>
            <sz val="9"/>
            <color indexed="81"/>
            <rFont val="Tahoma"/>
            <family val="2"/>
          </rPr>
          <t>2) 600</t>
        </r>
        <r>
          <rPr>
            <b/>
            <sz val="9"/>
            <color indexed="81"/>
            <rFont val="돋움"/>
            <family val="3"/>
            <charset val="129"/>
          </rPr>
          <t>은</t>
        </r>
        <r>
          <rPr>
            <b/>
            <sz val="9"/>
            <color indexed="81"/>
            <rFont val="Tahoma"/>
            <family val="2"/>
          </rPr>
          <t xml:space="preserve"> PM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전제</t>
        </r>
      </text>
    </comment>
    <comment ref="CW187" authorId="1" shapeId="0" xr:uid="{2C2C0838-6113-4096-AEC1-B3C7458DE39A}">
      <text>
        <r>
          <rPr>
            <b/>
            <sz val="9"/>
            <color indexed="81"/>
            <rFont val="Tahoma"/>
            <family val="2"/>
          </rPr>
          <t>LTPH 2</t>
        </r>
        <r>
          <rPr>
            <b/>
            <sz val="9"/>
            <color indexed="81"/>
            <rFont val="돋움"/>
            <family val="3"/>
            <charset val="129"/>
          </rPr>
          <t xml:space="preserve">차배당
</t>
        </r>
      </text>
    </comment>
    <comment ref="DE187" authorId="6" shapeId="0" xr:uid="{2FE86C1A-F499-4314-9B14-A21C876CA016}">
      <text>
        <r>
          <rPr>
            <b/>
            <sz val="9"/>
            <color indexed="81"/>
            <rFont val="Tahoma"/>
            <family val="2"/>
          </rPr>
          <t xml:space="preserve">DECV BD3 Mr. Joo:
2027.05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12 </t>
        </r>
        <r>
          <rPr>
            <b/>
            <sz val="9"/>
            <color indexed="81"/>
            <rFont val="돋움"/>
            <family val="3"/>
            <charset val="129"/>
          </rPr>
          <t xml:space="preserve">변경
</t>
        </r>
        <r>
          <rPr>
            <b/>
            <sz val="9"/>
            <color indexed="81"/>
            <rFont val="Tahoma"/>
            <family val="2"/>
          </rPr>
          <t xml:space="preserve">1) spc </t>
        </r>
        <r>
          <rPr>
            <b/>
            <sz val="9"/>
            <color indexed="81"/>
            <rFont val="돋움"/>
            <family val="3"/>
            <charset val="129"/>
          </rPr>
          <t xml:space="preserve">배당전제
</t>
        </r>
        <r>
          <rPr>
            <b/>
            <sz val="9"/>
            <color indexed="81"/>
            <rFont val="Tahoma"/>
            <family val="2"/>
          </rPr>
          <t>2) 600</t>
        </r>
        <r>
          <rPr>
            <b/>
            <sz val="9"/>
            <color indexed="81"/>
            <rFont val="돋움"/>
            <family val="3"/>
            <charset val="129"/>
          </rPr>
          <t>은</t>
        </r>
        <r>
          <rPr>
            <b/>
            <sz val="9"/>
            <color indexed="81"/>
            <rFont val="Tahoma"/>
            <family val="2"/>
          </rPr>
          <t xml:space="preserve"> PM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전제</t>
        </r>
      </text>
    </comment>
    <comment ref="DG187" authorId="6" shapeId="0" xr:uid="{00000000-0006-0000-0100-000037000000}">
      <text>
        <r>
          <rPr>
            <b/>
            <sz val="9"/>
            <color indexed="81"/>
            <rFont val="Tahoma"/>
            <family val="2"/>
          </rPr>
          <t xml:space="preserve">KIM JUN HYUK::
</t>
        </r>
        <r>
          <rPr>
            <b/>
            <sz val="9"/>
            <color indexed="81"/>
            <rFont val="돋움"/>
            <family val="3"/>
            <charset val="129"/>
          </rPr>
          <t>빌라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부지용지매각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  <r>
          <rPr>
            <b/>
            <sz val="9"/>
            <color indexed="81"/>
            <rFont val="Tahoma"/>
            <family val="2"/>
          </rPr>
          <t xml:space="preserve"> X 60%
DECV BD3 Mr. Joo: (65,194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65,140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b/>
            <sz val="9"/>
            <color indexed="81"/>
            <rFont val="Tahoma"/>
            <family val="2"/>
          </rPr>
          <t xml:space="preserve">)
</t>
        </r>
      </text>
    </comment>
    <comment ref="Q188" authorId="1" shapeId="0" xr:uid="{00000000-0006-0000-0100-000038000000}">
      <text>
        <r>
          <rPr>
            <b/>
            <sz val="9"/>
            <color indexed="81"/>
            <rFont val="Tahoma"/>
            <family val="2"/>
          </rPr>
          <t xml:space="preserve">(2) PM </t>
        </r>
        <r>
          <rPr>
            <b/>
            <sz val="9"/>
            <color indexed="81"/>
            <rFont val="돋움"/>
            <family val="3"/>
            <charset val="129"/>
          </rPr>
          <t>출자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자본금</t>
        </r>
        <r>
          <rPr>
            <b/>
            <sz val="9"/>
            <color indexed="81"/>
            <rFont val="Tahoma"/>
            <family val="2"/>
          </rPr>
          <t xml:space="preserve"> 200</t>
        </r>
        <r>
          <rPr>
            <b/>
            <sz val="9"/>
            <color indexed="81"/>
            <rFont val="돋움"/>
            <family val="3"/>
            <charset val="129"/>
          </rPr>
          <t>억동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당사분</t>
        </r>
        <r>
          <rPr>
            <sz val="9"/>
            <color indexed="81"/>
            <rFont val="Tahoma"/>
            <family val="2"/>
          </rPr>
          <t xml:space="preserve"> 60% =120</t>
        </r>
        <r>
          <rPr>
            <sz val="9"/>
            <color indexed="81"/>
            <rFont val="돋움"/>
            <family val="3"/>
            <charset val="129"/>
          </rPr>
          <t>억동</t>
        </r>
        <r>
          <rPr>
            <sz val="9"/>
            <color indexed="81"/>
            <rFont val="Tahoma"/>
            <family val="2"/>
          </rPr>
          <t xml:space="preserve"> = 51</t>
        </r>
        <r>
          <rPr>
            <sz val="9"/>
            <color indexed="81"/>
            <rFont val="돋움"/>
            <family val="3"/>
            <charset val="129"/>
          </rPr>
          <t>만불</t>
        </r>
      </text>
    </comment>
    <comment ref="Y188" authorId="1" shapeId="0" xr:uid="{00000000-0006-0000-0100-000039000000}">
      <text>
        <r>
          <rPr>
            <b/>
            <sz val="9"/>
            <color indexed="81"/>
            <rFont val="Tahoma"/>
            <family val="2"/>
          </rPr>
          <t xml:space="preserve">(1) </t>
        </r>
        <r>
          <rPr>
            <b/>
            <sz val="9"/>
            <color indexed="81"/>
            <rFont val="돋움"/>
            <family val="3"/>
            <charset val="129"/>
          </rPr>
          <t>보증금</t>
        </r>
        <r>
          <rPr>
            <b/>
            <sz val="9"/>
            <color indexed="81"/>
            <rFont val="Tahoma"/>
            <family val="2"/>
          </rPr>
          <t xml:space="preserve"> 5%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 - 7800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$ * 5% = 390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$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 - PA+</t>
        </r>
        <r>
          <rPr>
            <b/>
            <sz val="9"/>
            <color indexed="81"/>
            <rFont val="돋움"/>
            <family val="3"/>
            <charset val="129"/>
          </rPr>
          <t>개발기한연장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전제
</t>
        </r>
      </text>
    </comment>
    <comment ref="AA188" authorId="1" shapeId="0" xr:uid="{00000000-0006-0000-0100-00003A000000}">
      <text>
        <r>
          <rPr>
            <b/>
            <sz val="9"/>
            <color indexed="81"/>
            <rFont val="Tahoma"/>
            <family val="2"/>
          </rPr>
          <t xml:space="preserve">(1) </t>
        </r>
        <r>
          <rPr>
            <b/>
            <sz val="9"/>
            <color indexed="81"/>
            <rFont val="돋움"/>
            <family val="3"/>
            <charset val="129"/>
          </rPr>
          <t>계약금</t>
        </r>
        <r>
          <rPr>
            <b/>
            <sz val="9"/>
            <color indexed="81"/>
            <rFont val="Tahoma"/>
            <family val="2"/>
          </rPr>
          <t xml:space="preserve"> 5%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 - 7800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$ * 5% = 390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$
 - EPA+PTA</t>
        </r>
        <r>
          <rPr>
            <b/>
            <sz val="9"/>
            <color indexed="81"/>
            <rFont val="돋움"/>
            <family val="3"/>
            <charset val="129"/>
          </rPr>
          <t>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전제</t>
        </r>
      </text>
    </comment>
    <comment ref="AD188" authorId="1" shapeId="0" xr:uid="{00000000-0006-0000-0100-00003B000000}">
      <text>
        <r>
          <rPr>
            <b/>
            <sz val="9"/>
            <color indexed="81"/>
            <rFont val="Tahoma"/>
            <family val="2"/>
          </rPr>
          <t xml:space="preserve">(1) </t>
        </r>
        <r>
          <rPr>
            <b/>
            <sz val="9"/>
            <color indexed="81"/>
            <rFont val="돋움"/>
            <family val="3"/>
            <charset val="129"/>
          </rPr>
          <t>계약금</t>
        </r>
        <r>
          <rPr>
            <b/>
            <sz val="9"/>
            <color indexed="81"/>
            <rFont val="Tahoma"/>
            <family val="2"/>
          </rPr>
          <t xml:space="preserve"> 5%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 - 7800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$ * 5% = 390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$
 - EPA+PTA</t>
        </r>
        <r>
          <rPr>
            <b/>
            <sz val="9"/>
            <color indexed="81"/>
            <rFont val="돋움"/>
            <family val="3"/>
            <charset val="129"/>
          </rPr>
          <t>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전제</t>
        </r>
      </text>
    </comment>
    <comment ref="AE188" authorId="1" shapeId="0" xr:uid="{00000000-0006-0000-0100-00003C000000}">
      <text>
        <r>
          <rPr>
            <b/>
            <sz val="9"/>
            <color indexed="81"/>
            <rFont val="Tahoma"/>
            <family val="2"/>
          </rPr>
          <t xml:space="preserve">(1) </t>
        </r>
        <r>
          <rPr>
            <b/>
            <sz val="9"/>
            <color indexed="81"/>
            <rFont val="돋움"/>
            <family val="3"/>
            <charset val="129"/>
          </rPr>
          <t>계약금</t>
        </r>
        <r>
          <rPr>
            <b/>
            <sz val="9"/>
            <color indexed="81"/>
            <rFont val="Tahoma"/>
            <family val="2"/>
          </rPr>
          <t xml:space="preserve"> 5%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 - 7800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$ * 5% = 390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$
 - EPA+PTA</t>
        </r>
        <r>
          <rPr>
            <b/>
            <sz val="9"/>
            <color indexed="81"/>
            <rFont val="돋움"/>
            <family val="3"/>
            <charset val="129"/>
          </rPr>
          <t>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전제</t>
        </r>
      </text>
    </comment>
    <comment ref="AR188" authorId="0" shapeId="0" xr:uid="{86F839A4-0D45-488D-B0E7-AFFABBE6051D}">
      <text>
        <r>
          <rPr>
            <b/>
            <sz val="9"/>
            <color indexed="81"/>
            <rFont val="Tahoma"/>
            <family val="2"/>
          </rPr>
          <t>KB PARK: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년짝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사업법인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유상증자</t>
        </r>
      </text>
    </comment>
    <comment ref="AZ188" authorId="0" shapeId="0" xr:uid="{6FE37A5D-DAC7-4F52-A290-F94D9CFF484A}">
      <text>
        <r>
          <rPr>
            <sz val="9"/>
            <color indexed="81"/>
            <rFont val="돋움"/>
            <family val="3"/>
            <charset val="129"/>
          </rPr>
          <t>주주대여금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차</t>
        </r>
      </text>
    </comment>
    <comment ref="BA188" authorId="0" shapeId="0" xr:uid="{8B2277B7-2E03-4209-953E-A0693EA25491}">
      <text>
        <r>
          <rPr>
            <sz val="9"/>
            <color indexed="81"/>
            <rFont val="돋움"/>
            <family val="3"/>
            <charset val="129"/>
          </rPr>
          <t>주주대여금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차</t>
        </r>
      </text>
    </comment>
    <comment ref="BB188" authorId="0" shapeId="0" xr:uid="{1D002DD2-4DA3-426D-836A-2672D9834C8A}">
      <text>
        <r>
          <rPr>
            <sz val="9"/>
            <color indexed="81"/>
            <rFont val="돋움"/>
            <family val="3"/>
            <charset val="129"/>
          </rPr>
          <t>주주대여금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차</t>
        </r>
      </text>
    </comment>
    <comment ref="E191" authorId="5" shapeId="0" xr:uid="{79D86058-284E-497A-8E4D-F7ED51508B39}">
      <text>
        <r>
          <rPr>
            <b/>
            <sz val="9"/>
            <color indexed="81"/>
            <rFont val="Tahoma"/>
            <family val="2"/>
          </rPr>
          <t>kim jun hyuk:</t>
        </r>
        <r>
          <rPr>
            <sz val="9"/>
            <color indexed="81"/>
            <rFont val="Tahoma"/>
            <family val="2"/>
          </rPr>
          <t xml:space="preserve">
=120070+207041*70%</t>
        </r>
      </text>
    </comment>
    <comment ref="AP192" authorId="1" shapeId="0" xr:uid="{00000000-0006-0000-0100-00003D000000}">
      <text>
        <r>
          <rPr>
            <b/>
            <sz val="9"/>
            <color indexed="81"/>
            <rFont val="돋움"/>
            <family val="3"/>
            <charset val="129"/>
          </rPr>
          <t>토지대금</t>
        </r>
        <r>
          <rPr>
            <b/>
            <sz val="9"/>
            <color indexed="81"/>
            <rFont val="Tahoma"/>
            <family val="2"/>
          </rPr>
          <t xml:space="preserve"> 10%
(DA)</t>
        </r>
      </text>
    </comment>
    <comment ref="AX192" authorId="1" shapeId="0" xr:uid="{E5FFCF2A-03E5-43C7-A3F6-7666D13C9D1A}">
      <text>
        <r>
          <rPr>
            <b/>
            <sz val="9"/>
            <color indexed="81"/>
            <rFont val="돋움"/>
            <family val="3"/>
            <charset val="129"/>
          </rPr>
          <t>토지대금</t>
        </r>
        <r>
          <rPr>
            <b/>
            <sz val="9"/>
            <color indexed="81"/>
            <rFont val="Tahoma"/>
            <family val="2"/>
          </rPr>
          <t xml:space="preserve"> 10%
(DA)</t>
        </r>
      </text>
    </comment>
    <comment ref="AZ192" authorId="1" shapeId="0" xr:uid="{FE410C5F-FD0F-4899-AFE1-71E717B577D8}">
      <text>
        <r>
          <rPr>
            <b/>
            <sz val="9"/>
            <color indexed="81"/>
            <rFont val="Tahoma"/>
            <family val="2"/>
          </rPr>
          <t>PTA</t>
        </r>
        <r>
          <rPr>
            <b/>
            <sz val="9"/>
            <color indexed="81"/>
            <rFont val="돋움"/>
            <family val="3"/>
            <charset val="129"/>
          </rPr>
          <t>승인</t>
        </r>
        <r>
          <rPr>
            <b/>
            <sz val="9"/>
            <color indexed="81"/>
            <rFont val="Tahoma"/>
            <family val="2"/>
          </rPr>
          <t xml:space="preserve">,
</t>
        </r>
        <r>
          <rPr>
            <b/>
            <sz val="9"/>
            <color indexed="81"/>
            <rFont val="돋움"/>
            <family val="3"/>
            <charset val="129"/>
          </rPr>
          <t>토자잔금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납무</t>
        </r>
      </text>
    </comment>
    <comment ref="BC192" authorId="1" shapeId="0" xr:uid="{201351D7-B21D-4F7A-B7CB-4E3385494309}">
      <text>
        <r>
          <rPr>
            <b/>
            <sz val="9"/>
            <color indexed="81"/>
            <rFont val="Tahoma"/>
            <family val="2"/>
          </rPr>
          <t xml:space="preserve">K2HH1 </t>
        </r>
        <r>
          <rPr>
            <b/>
            <sz val="9"/>
            <color indexed="81"/>
            <rFont val="돋움"/>
            <family val="3"/>
            <charset val="129"/>
          </rPr>
          <t xml:space="preserve">법인설립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출자금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백만불</t>
        </r>
        <r>
          <rPr>
            <b/>
            <sz val="9"/>
            <color indexed="81"/>
            <rFont val="Tahoma"/>
            <family val="2"/>
          </rPr>
          <t xml:space="preserve">)
DECV51%, THT24%, </t>
        </r>
        <r>
          <rPr>
            <b/>
            <sz val="9"/>
            <color indexed="81"/>
            <rFont val="돋움"/>
            <family val="3"/>
            <charset val="129"/>
          </rPr>
          <t>외부투자유치</t>
        </r>
        <r>
          <rPr>
            <b/>
            <sz val="9"/>
            <color indexed="81"/>
            <rFont val="Tahoma"/>
            <family val="2"/>
          </rPr>
          <t xml:space="preserve"> 25%</t>
        </r>
      </text>
    </comment>
    <comment ref="BM192" authorId="1" shapeId="0" xr:uid="{7379741E-55CE-496C-B51B-6C3D55805E20}">
      <text>
        <r>
          <rPr>
            <b/>
            <sz val="9"/>
            <color indexed="81"/>
            <rFont val="Tahoma"/>
            <family val="2"/>
          </rPr>
          <t xml:space="preserve">K2HH1 </t>
        </r>
        <r>
          <rPr>
            <b/>
            <sz val="9"/>
            <color indexed="81"/>
            <rFont val="돋움"/>
            <family val="3"/>
            <charset val="129"/>
          </rPr>
          <t xml:space="preserve">유상증자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$60,000</t>
        </r>
        <r>
          <rPr>
            <b/>
            <sz val="9"/>
            <color indexed="81"/>
            <rFont val="돋움"/>
            <family val="3"/>
            <charset val="129"/>
          </rPr>
          <t>천</t>
        </r>
        <r>
          <rPr>
            <b/>
            <sz val="9"/>
            <color indexed="81"/>
            <rFont val="Tahoma"/>
            <family val="2"/>
          </rPr>
          <t xml:space="preserve">)
DECV51%, THT24%, </t>
        </r>
        <r>
          <rPr>
            <b/>
            <sz val="9"/>
            <color indexed="81"/>
            <rFont val="돋움"/>
            <family val="3"/>
            <charset val="129"/>
          </rPr>
          <t>외부투자유치</t>
        </r>
        <r>
          <rPr>
            <b/>
            <sz val="9"/>
            <color indexed="81"/>
            <rFont val="Tahoma"/>
            <family val="2"/>
          </rPr>
          <t xml:space="preserve"> 25%</t>
        </r>
      </text>
    </comment>
    <comment ref="E195" authorId="5" shapeId="0" xr:uid="{4B0F7D1F-5CA5-49BB-8628-571470087070}">
      <text>
        <r>
          <rPr>
            <b/>
            <sz val="9"/>
            <color indexed="81"/>
            <rFont val="Tahoma"/>
            <family val="2"/>
          </rPr>
          <t>kim jun hyuk:</t>
        </r>
        <r>
          <rPr>
            <sz val="9"/>
            <color indexed="81"/>
            <rFont val="Tahoma"/>
            <family val="2"/>
          </rPr>
          <t xml:space="preserve">
=120070+207041*70%</t>
        </r>
      </text>
    </comment>
    <comment ref="AC196" authorId="1" shapeId="0" xr:uid="{00000000-0006-0000-0100-000044000000}">
      <text>
        <r>
          <rPr>
            <b/>
            <sz val="9"/>
            <color indexed="81"/>
            <rFont val="Tahoma"/>
            <family val="2"/>
          </rPr>
          <t>Eq</t>
        </r>
        <r>
          <rPr>
            <b/>
            <sz val="9"/>
            <color indexed="81"/>
            <rFont val="돋움"/>
            <family val="3"/>
            <charset val="129"/>
          </rPr>
          <t xml:space="preserve">출자금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지분율</t>
        </r>
        <r>
          <rPr>
            <b/>
            <sz val="9"/>
            <color indexed="81"/>
            <rFont val="Tahoma"/>
            <family val="2"/>
          </rPr>
          <t>51%)</t>
        </r>
      </text>
    </comment>
    <comment ref="AD196" authorId="1" shapeId="0" xr:uid="{00000000-0006-0000-0100-000045000000}">
      <text>
        <r>
          <rPr>
            <b/>
            <sz val="9"/>
            <color indexed="81"/>
            <rFont val="Tahoma"/>
            <family val="2"/>
          </rPr>
          <t>Eq</t>
        </r>
        <r>
          <rPr>
            <b/>
            <sz val="9"/>
            <color indexed="81"/>
            <rFont val="돋움"/>
            <family val="3"/>
            <charset val="129"/>
          </rPr>
          <t xml:space="preserve">출자금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지분율</t>
        </r>
        <r>
          <rPr>
            <b/>
            <sz val="9"/>
            <color indexed="81"/>
            <rFont val="Tahoma"/>
            <family val="2"/>
          </rPr>
          <t>51%)</t>
        </r>
      </text>
    </comment>
    <comment ref="AE196" authorId="1" shapeId="0" xr:uid="{00000000-0006-0000-0100-000046000000}">
      <text>
        <r>
          <rPr>
            <b/>
            <sz val="9"/>
            <color indexed="81"/>
            <rFont val="Tahoma"/>
            <family val="2"/>
          </rPr>
          <t>Eq</t>
        </r>
        <r>
          <rPr>
            <b/>
            <sz val="9"/>
            <color indexed="81"/>
            <rFont val="돋움"/>
            <family val="3"/>
            <charset val="129"/>
          </rPr>
          <t xml:space="preserve">출자금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지분율</t>
        </r>
        <r>
          <rPr>
            <b/>
            <sz val="9"/>
            <color indexed="81"/>
            <rFont val="Tahoma"/>
            <family val="2"/>
          </rPr>
          <t>51%)</t>
        </r>
      </text>
    </comment>
    <comment ref="AI196" authorId="1" shapeId="0" xr:uid="{00000000-0006-0000-0100-000047000000}">
      <text>
        <r>
          <rPr>
            <b/>
            <sz val="9"/>
            <color indexed="81"/>
            <rFont val="Tahoma"/>
            <family val="2"/>
          </rPr>
          <t>Eq</t>
        </r>
        <r>
          <rPr>
            <b/>
            <sz val="9"/>
            <color indexed="81"/>
            <rFont val="돋움"/>
            <family val="3"/>
            <charset val="129"/>
          </rPr>
          <t>출자금</t>
        </r>
        <r>
          <rPr>
            <b/>
            <sz val="9"/>
            <color indexed="81"/>
            <rFont val="Tahoma"/>
            <family val="2"/>
          </rPr>
          <t>*20%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지분율</t>
        </r>
        <r>
          <rPr>
            <b/>
            <sz val="9"/>
            <color indexed="81"/>
            <rFont val="Tahoma"/>
            <family val="2"/>
          </rPr>
          <t>36%)</t>
        </r>
      </text>
    </comment>
    <comment ref="AK196" authorId="1" shapeId="0" xr:uid="{00000000-0006-0000-0100-000048000000}">
      <text>
        <r>
          <rPr>
            <b/>
            <sz val="9"/>
            <color indexed="81"/>
            <rFont val="Tahoma"/>
            <family val="2"/>
          </rPr>
          <t>DAEWOO: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출자금</t>
        </r>
        <r>
          <rPr>
            <sz val="9"/>
            <color indexed="81"/>
            <rFont val="Tahoma"/>
            <family val="2"/>
          </rPr>
          <t xml:space="preserve"> 30%</t>
        </r>
      </text>
    </comment>
    <comment ref="AP196" authorId="0" shapeId="0" xr:uid="{50E953E8-DF67-49BB-B43F-6BABB850B95C}">
      <text>
        <r>
          <rPr>
            <b/>
            <sz val="9"/>
            <color indexed="81"/>
            <rFont val="돋움"/>
            <family val="3"/>
            <charset val="129"/>
          </rPr>
          <t>타이빙</t>
        </r>
        <r>
          <rPr>
            <b/>
            <sz val="9"/>
            <color indexed="81"/>
            <rFont val="Tahoma"/>
            <family val="2"/>
          </rPr>
          <t xml:space="preserve">PJ
ZUP </t>
        </r>
        <r>
          <rPr>
            <b/>
            <sz val="9"/>
            <color indexed="81"/>
            <rFont val="돋움"/>
            <family val="3"/>
            <charset val="129"/>
          </rPr>
          <t>대여금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>지분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취득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전환</t>
        </r>
      </text>
    </comment>
    <comment ref="Z197" authorId="7" shapeId="0" xr:uid="{00000000-0006-0000-0100-000049000000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DECV - Venture North</t>
        </r>
      </text>
    </comment>
    <comment ref="AA197" authorId="7" shapeId="0" xr:uid="{00000000-0006-0000-0100-00004A000000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DECV - xxx</t>
        </r>
      </text>
    </comment>
    <comment ref="AB197" authorId="7" shapeId="0" xr:uid="{00000000-0006-0000-0100-00004B000000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DECV - Consultant</t>
        </r>
      </text>
    </comment>
    <comment ref="AC197" authorId="7" shapeId="0" xr:uid="{00000000-0006-0000-0100-00004C000000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투자심의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자료</t>
        </r>
        <r>
          <rPr>
            <sz val="9"/>
            <color indexed="81"/>
            <rFont val="Tahoma"/>
            <family val="2"/>
          </rPr>
          <t xml:space="preserve">: 
</t>
        </r>
        <r>
          <rPr>
            <sz val="9"/>
            <color indexed="81"/>
            <rFont val="돋움"/>
            <family val="3"/>
            <charset val="129"/>
          </rPr>
          <t>시장조사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설계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법무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각종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제안서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분양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마케팅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시장분석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법적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미정</t>
        </r>
      </text>
    </comment>
    <comment ref="AD197" authorId="7" shapeId="0" xr:uid="{00000000-0006-0000-0100-00004D000000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투자심의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자료</t>
        </r>
        <r>
          <rPr>
            <sz val="9"/>
            <color indexed="81"/>
            <rFont val="Tahoma"/>
            <family val="2"/>
          </rPr>
          <t xml:space="preserve">: 
</t>
        </r>
        <r>
          <rPr>
            <sz val="9"/>
            <color indexed="81"/>
            <rFont val="돋움"/>
            <family val="3"/>
            <charset val="129"/>
          </rPr>
          <t>시장조사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설계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법무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각종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제안서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분양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마케팅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시장분석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법적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미정</t>
        </r>
      </text>
    </comment>
    <comment ref="AE197" authorId="7" shapeId="0" xr:uid="{00000000-0006-0000-0100-00004E000000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DECV - Consultant</t>
        </r>
      </text>
    </comment>
    <comment ref="E199" authorId="5" shapeId="0" xr:uid="{412FEFCC-63EB-4761-A363-601D8F0EC8A1}">
      <text>
        <r>
          <rPr>
            <b/>
            <sz val="9"/>
            <color indexed="81"/>
            <rFont val="Tahoma"/>
            <family val="2"/>
          </rPr>
          <t>kim jun hyuk:</t>
        </r>
        <r>
          <rPr>
            <sz val="9"/>
            <color indexed="81"/>
            <rFont val="Tahoma"/>
            <family val="2"/>
          </rPr>
          <t xml:space="preserve">
=120070+207041*70%</t>
        </r>
      </text>
    </comment>
    <comment ref="AC200" authorId="1" shapeId="0" xr:uid="{E51B3895-0C83-4112-AF03-6C043A7833E1}">
      <text>
        <r>
          <rPr>
            <b/>
            <sz val="9"/>
            <color indexed="81"/>
            <rFont val="Tahoma"/>
            <family val="2"/>
          </rPr>
          <t>Eq</t>
        </r>
        <r>
          <rPr>
            <b/>
            <sz val="9"/>
            <color indexed="81"/>
            <rFont val="돋움"/>
            <family val="3"/>
            <charset val="129"/>
          </rPr>
          <t xml:space="preserve">출자금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지분율</t>
        </r>
        <r>
          <rPr>
            <b/>
            <sz val="9"/>
            <color indexed="81"/>
            <rFont val="Tahoma"/>
            <family val="2"/>
          </rPr>
          <t>51%)</t>
        </r>
      </text>
    </comment>
    <comment ref="AD200" authorId="1" shapeId="0" xr:uid="{40784225-7FBB-430A-ACA5-658AE4F27D27}">
      <text>
        <r>
          <rPr>
            <b/>
            <sz val="9"/>
            <color indexed="81"/>
            <rFont val="Tahoma"/>
            <family val="2"/>
          </rPr>
          <t>Eq</t>
        </r>
        <r>
          <rPr>
            <b/>
            <sz val="9"/>
            <color indexed="81"/>
            <rFont val="돋움"/>
            <family val="3"/>
            <charset val="129"/>
          </rPr>
          <t xml:space="preserve">출자금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지분율</t>
        </r>
        <r>
          <rPr>
            <b/>
            <sz val="9"/>
            <color indexed="81"/>
            <rFont val="Tahoma"/>
            <family val="2"/>
          </rPr>
          <t>51%)</t>
        </r>
      </text>
    </comment>
    <comment ref="AE200" authorId="1" shapeId="0" xr:uid="{50CBFA93-C0A1-46A6-BE7C-6B473A4588D7}">
      <text>
        <r>
          <rPr>
            <b/>
            <sz val="9"/>
            <color indexed="81"/>
            <rFont val="Tahoma"/>
            <family val="2"/>
          </rPr>
          <t>Eq</t>
        </r>
        <r>
          <rPr>
            <b/>
            <sz val="9"/>
            <color indexed="81"/>
            <rFont val="돋움"/>
            <family val="3"/>
            <charset val="129"/>
          </rPr>
          <t xml:space="preserve">출자금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지분율</t>
        </r>
        <r>
          <rPr>
            <b/>
            <sz val="9"/>
            <color indexed="81"/>
            <rFont val="Tahoma"/>
            <family val="2"/>
          </rPr>
          <t>51%)</t>
        </r>
      </text>
    </comment>
    <comment ref="AI200" authorId="1" shapeId="0" xr:uid="{A56AD824-329A-489D-B2B9-3E6AEB426BBB}">
      <text>
        <r>
          <rPr>
            <b/>
            <sz val="9"/>
            <color indexed="81"/>
            <rFont val="Tahoma"/>
            <family val="2"/>
          </rPr>
          <t>Eq</t>
        </r>
        <r>
          <rPr>
            <b/>
            <sz val="9"/>
            <color indexed="81"/>
            <rFont val="돋움"/>
            <family val="3"/>
            <charset val="129"/>
          </rPr>
          <t>출자금</t>
        </r>
        <r>
          <rPr>
            <b/>
            <sz val="9"/>
            <color indexed="81"/>
            <rFont val="Tahoma"/>
            <family val="2"/>
          </rPr>
          <t>*20%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지분율</t>
        </r>
        <r>
          <rPr>
            <b/>
            <sz val="9"/>
            <color indexed="81"/>
            <rFont val="Tahoma"/>
            <family val="2"/>
          </rPr>
          <t>36%)</t>
        </r>
      </text>
    </comment>
    <comment ref="AK200" authorId="1" shapeId="0" xr:uid="{02E9F9AB-A84D-4533-8D33-2C2F639D33E1}">
      <text>
        <r>
          <rPr>
            <b/>
            <sz val="9"/>
            <color indexed="81"/>
            <rFont val="Tahoma"/>
            <family val="2"/>
          </rPr>
          <t>DAEWOO: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출자금</t>
        </r>
        <r>
          <rPr>
            <sz val="9"/>
            <color indexed="81"/>
            <rFont val="Tahoma"/>
            <family val="2"/>
          </rPr>
          <t xml:space="preserve"> 30%</t>
        </r>
      </text>
    </comment>
    <comment ref="AP200" authorId="0" shapeId="0" xr:uid="{58F3F199-AE00-4DAC-8F35-5FD01B1053C8}">
      <text>
        <r>
          <rPr>
            <b/>
            <sz val="9"/>
            <color indexed="81"/>
            <rFont val="돋움"/>
            <family val="3"/>
            <charset val="129"/>
          </rPr>
          <t>타이빙</t>
        </r>
        <r>
          <rPr>
            <b/>
            <sz val="9"/>
            <color indexed="81"/>
            <rFont val="Tahoma"/>
            <family val="2"/>
          </rPr>
          <t xml:space="preserve">PJ
ZUP </t>
        </r>
        <r>
          <rPr>
            <b/>
            <sz val="9"/>
            <color indexed="81"/>
            <rFont val="돋움"/>
            <family val="3"/>
            <charset val="129"/>
          </rPr>
          <t>대여금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>지분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취득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전환</t>
        </r>
      </text>
    </comment>
    <comment ref="BC200" authorId="1" shapeId="0" xr:uid="{4CC9D81C-E8DA-4E69-A197-5703EFC672A2}">
      <text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 xml:space="preserve"> 1.36</t>
        </r>
        <r>
          <rPr>
            <b/>
            <sz val="9"/>
            <color indexed="81"/>
            <rFont val="돋움"/>
            <family val="3"/>
            <charset val="129"/>
          </rPr>
          <t>억불
당사</t>
        </r>
        <r>
          <rPr>
            <b/>
            <sz val="9"/>
            <color indexed="81"/>
            <rFont val="Tahoma"/>
            <family val="2"/>
          </rPr>
          <t xml:space="preserve"> 30%</t>
        </r>
        <r>
          <rPr>
            <b/>
            <sz val="9"/>
            <color indexed="81"/>
            <rFont val="돋움"/>
            <family val="3"/>
            <charset val="129"/>
          </rPr>
          <t>지분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분할납부</t>
        </r>
        <r>
          <rPr>
            <b/>
            <sz val="9"/>
            <color indexed="81"/>
            <rFont val="Tahoma"/>
            <family val="2"/>
          </rPr>
          <t>/ 15%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BH200" authorId="1" shapeId="0" xr:uid="{159F48F1-1556-4CDB-B065-4E7E220EF7DA}">
      <text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 xml:space="preserve"> 1.36</t>
        </r>
        <r>
          <rPr>
            <b/>
            <sz val="9"/>
            <color indexed="81"/>
            <rFont val="돋움"/>
            <family val="3"/>
            <charset val="129"/>
          </rPr>
          <t>억불
당사</t>
        </r>
        <r>
          <rPr>
            <b/>
            <sz val="9"/>
            <color indexed="81"/>
            <rFont val="Tahoma"/>
            <family val="2"/>
          </rPr>
          <t xml:space="preserve"> 30%</t>
        </r>
        <r>
          <rPr>
            <b/>
            <sz val="9"/>
            <color indexed="81"/>
            <rFont val="돋움"/>
            <family val="3"/>
            <charset val="129"/>
          </rPr>
          <t>지분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분할납부</t>
        </r>
        <r>
          <rPr>
            <b/>
            <sz val="9"/>
            <color indexed="81"/>
            <rFont val="Tahoma"/>
            <family val="2"/>
          </rPr>
          <t>/ 8%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BN200" authorId="1" shapeId="0" xr:uid="{233DAB66-DE3E-46A7-9E42-E3F4CDEE6088}">
      <text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 xml:space="preserve"> 1.36</t>
        </r>
        <r>
          <rPr>
            <b/>
            <sz val="9"/>
            <color indexed="81"/>
            <rFont val="돋움"/>
            <family val="3"/>
            <charset val="129"/>
          </rPr>
          <t>억불
당사</t>
        </r>
        <r>
          <rPr>
            <b/>
            <sz val="9"/>
            <color indexed="81"/>
            <rFont val="Tahoma"/>
            <family val="2"/>
          </rPr>
          <t xml:space="preserve"> 30%</t>
        </r>
        <r>
          <rPr>
            <b/>
            <sz val="9"/>
            <color indexed="81"/>
            <rFont val="돋움"/>
            <family val="3"/>
            <charset val="129"/>
          </rPr>
          <t>지분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분할납부</t>
        </r>
        <r>
          <rPr>
            <b/>
            <sz val="9"/>
            <color indexed="81"/>
            <rFont val="Tahoma"/>
            <family val="2"/>
          </rPr>
          <t>/ 15%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BO200" authorId="1" shapeId="0" xr:uid="{0583B6B7-2DAB-455F-B5EE-B192BD18F16D}">
      <text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 xml:space="preserve"> 1.36</t>
        </r>
        <r>
          <rPr>
            <b/>
            <sz val="9"/>
            <color indexed="81"/>
            <rFont val="돋움"/>
            <family val="3"/>
            <charset val="129"/>
          </rPr>
          <t>억불
당사</t>
        </r>
        <r>
          <rPr>
            <b/>
            <sz val="9"/>
            <color indexed="81"/>
            <rFont val="Tahoma"/>
            <family val="2"/>
          </rPr>
          <t xml:space="preserve"> 30%</t>
        </r>
        <r>
          <rPr>
            <b/>
            <sz val="9"/>
            <color indexed="81"/>
            <rFont val="돋움"/>
            <family val="3"/>
            <charset val="129"/>
          </rPr>
          <t>지분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분할납부</t>
        </r>
        <r>
          <rPr>
            <b/>
            <sz val="9"/>
            <color indexed="81"/>
            <rFont val="Tahoma"/>
            <family val="2"/>
          </rPr>
          <t>/ 22%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BY200" authorId="1" shapeId="0" xr:uid="{33463587-0B33-4BFA-9D71-3BFB109FD7C2}">
      <text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 xml:space="preserve"> 1.36</t>
        </r>
        <r>
          <rPr>
            <b/>
            <sz val="9"/>
            <color indexed="81"/>
            <rFont val="돋움"/>
            <family val="3"/>
            <charset val="129"/>
          </rPr>
          <t>억불
당사</t>
        </r>
        <r>
          <rPr>
            <b/>
            <sz val="9"/>
            <color indexed="81"/>
            <rFont val="Tahoma"/>
            <family val="2"/>
          </rPr>
          <t xml:space="preserve"> 30%</t>
        </r>
        <r>
          <rPr>
            <b/>
            <sz val="9"/>
            <color indexed="81"/>
            <rFont val="돋움"/>
            <family val="3"/>
            <charset val="129"/>
          </rPr>
          <t>지분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분할납부</t>
        </r>
        <r>
          <rPr>
            <b/>
            <sz val="9"/>
            <color indexed="81"/>
            <rFont val="Tahoma"/>
            <family val="2"/>
          </rPr>
          <t>/ 20%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BZ200" authorId="1" shapeId="0" xr:uid="{E4D53D19-F5CC-4CA6-B4F7-238E28976B63}">
      <text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 xml:space="preserve"> 1.36</t>
        </r>
        <r>
          <rPr>
            <b/>
            <sz val="9"/>
            <color indexed="81"/>
            <rFont val="돋움"/>
            <family val="3"/>
            <charset val="129"/>
          </rPr>
          <t>억불
당사</t>
        </r>
        <r>
          <rPr>
            <b/>
            <sz val="9"/>
            <color indexed="81"/>
            <rFont val="Tahoma"/>
            <family val="2"/>
          </rPr>
          <t xml:space="preserve"> 30%</t>
        </r>
        <r>
          <rPr>
            <b/>
            <sz val="9"/>
            <color indexed="81"/>
            <rFont val="돋움"/>
            <family val="3"/>
            <charset val="129"/>
          </rPr>
          <t>지분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분할납부</t>
        </r>
        <r>
          <rPr>
            <b/>
            <sz val="9"/>
            <color indexed="81"/>
            <rFont val="Tahoma"/>
            <family val="2"/>
          </rPr>
          <t>/ 15%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CH200" authorId="1" shapeId="0" xr:uid="{8AB77677-6FC1-491F-AFCE-A3FEC54E0D25}">
      <text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 xml:space="preserve"> 1.36</t>
        </r>
        <r>
          <rPr>
            <b/>
            <sz val="9"/>
            <color indexed="81"/>
            <rFont val="돋움"/>
            <family val="3"/>
            <charset val="129"/>
          </rPr>
          <t>억불
당사</t>
        </r>
        <r>
          <rPr>
            <b/>
            <sz val="9"/>
            <color indexed="81"/>
            <rFont val="Tahoma"/>
            <family val="2"/>
          </rPr>
          <t xml:space="preserve"> 30%</t>
        </r>
        <r>
          <rPr>
            <b/>
            <sz val="9"/>
            <color indexed="81"/>
            <rFont val="돋움"/>
            <family val="3"/>
            <charset val="129"/>
          </rPr>
          <t>지분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분할납부</t>
        </r>
        <r>
          <rPr>
            <b/>
            <sz val="9"/>
            <color indexed="81"/>
            <rFont val="Tahoma"/>
            <family val="2"/>
          </rPr>
          <t>/ 20%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CL200" authorId="1" shapeId="0" xr:uid="{14B1DEB0-CD75-4170-893B-4FE716994D71}">
      <text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 xml:space="preserve"> 1.36</t>
        </r>
        <r>
          <rPr>
            <b/>
            <sz val="9"/>
            <color indexed="81"/>
            <rFont val="돋움"/>
            <family val="3"/>
            <charset val="129"/>
          </rPr>
          <t>억불
당사</t>
        </r>
        <r>
          <rPr>
            <b/>
            <sz val="9"/>
            <color indexed="81"/>
            <rFont val="Tahoma"/>
            <family val="2"/>
          </rPr>
          <t xml:space="preserve"> 30%</t>
        </r>
        <r>
          <rPr>
            <b/>
            <sz val="9"/>
            <color indexed="81"/>
            <rFont val="돋움"/>
            <family val="3"/>
            <charset val="129"/>
          </rPr>
          <t>지분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분할납부</t>
        </r>
        <r>
          <rPr>
            <b/>
            <sz val="9"/>
            <color indexed="81"/>
            <rFont val="Tahoma"/>
            <family val="2"/>
          </rPr>
          <t>/ 30%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CP200" authorId="1" shapeId="0" xr:uid="{58A42BCB-4C54-4B4B-8038-B0368CA5CE63}">
      <text>
        <r>
          <rPr>
            <b/>
            <sz val="9"/>
            <color indexed="81"/>
            <rFont val="Tahoma"/>
            <family val="2"/>
          </rPr>
          <t>6</t>
        </r>
        <r>
          <rPr>
            <b/>
            <sz val="9"/>
            <color indexed="81"/>
            <rFont val="돋움"/>
            <family val="3"/>
            <charset val="129"/>
          </rPr>
          <t>차납부</t>
        </r>
        <r>
          <rPr>
            <b/>
            <sz val="9"/>
            <color indexed="81"/>
            <rFont val="Tahoma"/>
            <family val="2"/>
          </rPr>
          <t>:</t>
        </r>
        <r>
          <rPr>
            <b/>
            <sz val="9"/>
            <color indexed="81"/>
            <rFont val="돋움"/>
            <family val="3"/>
            <charset val="129"/>
          </rPr>
          <t>주주대여금</t>
        </r>
      </text>
    </comment>
    <comment ref="Z201" authorId="7" shapeId="0" xr:uid="{63C1D22C-9770-4D77-A523-2FA926410C6B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DECV - Venture North</t>
        </r>
      </text>
    </comment>
    <comment ref="AA201" authorId="7" shapeId="0" xr:uid="{0FE71217-D8EA-4F79-B07A-2ABFE725E0EA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DECV - xxx</t>
        </r>
      </text>
    </comment>
    <comment ref="AB201" authorId="7" shapeId="0" xr:uid="{5E0C5F0E-ED9A-4773-AD43-5AD3F83908B8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DECV - Consultant</t>
        </r>
      </text>
    </comment>
    <comment ref="AC201" authorId="7" shapeId="0" xr:uid="{F53E9F69-1C12-4329-B5E6-C584CE68D441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투자심의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자료</t>
        </r>
        <r>
          <rPr>
            <sz val="9"/>
            <color indexed="81"/>
            <rFont val="Tahoma"/>
            <family val="2"/>
          </rPr>
          <t xml:space="preserve">: 
</t>
        </r>
        <r>
          <rPr>
            <sz val="9"/>
            <color indexed="81"/>
            <rFont val="돋움"/>
            <family val="3"/>
            <charset val="129"/>
          </rPr>
          <t>시장조사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설계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법무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각종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제안서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분양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마케팅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시장분석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법적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미정</t>
        </r>
      </text>
    </comment>
    <comment ref="AD201" authorId="7" shapeId="0" xr:uid="{9881C0CE-860F-411D-80A3-153FDC408B3B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투자심의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자료</t>
        </r>
        <r>
          <rPr>
            <sz val="9"/>
            <color indexed="81"/>
            <rFont val="Tahoma"/>
            <family val="2"/>
          </rPr>
          <t xml:space="preserve">: 
</t>
        </r>
        <r>
          <rPr>
            <sz val="9"/>
            <color indexed="81"/>
            <rFont val="돋움"/>
            <family val="3"/>
            <charset val="129"/>
          </rPr>
          <t>시장조사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설계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법무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각종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제안서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분양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마케팅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시장분석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법적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미정</t>
        </r>
      </text>
    </comment>
    <comment ref="AE201" authorId="7" shapeId="0" xr:uid="{F1639924-39AE-4AE9-9E58-7D9407ACF646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DECV - Consultant</t>
        </r>
      </text>
    </comment>
    <comment ref="E203" authorId="5" shapeId="0" xr:uid="{A0D28F62-AD21-4A7D-8AC9-030DAD6F5B29}">
      <text>
        <r>
          <rPr>
            <b/>
            <sz val="9"/>
            <color indexed="81"/>
            <rFont val="Tahoma"/>
            <family val="2"/>
          </rPr>
          <t>kim jun hyuk:</t>
        </r>
        <r>
          <rPr>
            <sz val="9"/>
            <color indexed="81"/>
            <rFont val="Tahoma"/>
            <family val="2"/>
          </rPr>
          <t xml:space="preserve">
=120070+207041*70%</t>
        </r>
      </text>
    </comment>
    <comment ref="AC204" authorId="1" shapeId="0" xr:uid="{15AC3FFC-0DC6-472F-B204-6178FB1941F0}">
      <text>
        <r>
          <rPr>
            <b/>
            <sz val="9"/>
            <color indexed="81"/>
            <rFont val="Tahoma"/>
            <family val="2"/>
          </rPr>
          <t>Eq</t>
        </r>
        <r>
          <rPr>
            <b/>
            <sz val="9"/>
            <color indexed="81"/>
            <rFont val="돋움"/>
            <family val="3"/>
            <charset val="129"/>
          </rPr>
          <t xml:space="preserve">출자금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지분율</t>
        </r>
        <r>
          <rPr>
            <b/>
            <sz val="9"/>
            <color indexed="81"/>
            <rFont val="Tahoma"/>
            <family val="2"/>
          </rPr>
          <t>51%)</t>
        </r>
      </text>
    </comment>
    <comment ref="AD204" authorId="1" shapeId="0" xr:uid="{60CC5F05-11F1-49DF-9AE6-60C749438FA9}">
      <text>
        <r>
          <rPr>
            <b/>
            <sz val="9"/>
            <color indexed="81"/>
            <rFont val="Tahoma"/>
            <family val="2"/>
          </rPr>
          <t>Eq</t>
        </r>
        <r>
          <rPr>
            <b/>
            <sz val="9"/>
            <color indexed="81"/>
            <rFont val="돋움"/>
            <family val="3"/>
            <charset val="129"/>
          </rPr>
          <t xml:space="preserve">출자금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지분율</t>
        </r>
        <r>
          <rPr>
            <b/>
            <sz val="9"/>
            <color indexed="81"/>
            <rFont val="Tahoma"/>
            <family val="2"/>
          </rPr>
          <t>51%)</t>
        </r>
      </text>
    </comment>
    <comment ref="AE204" authorId="1" shapeId="0" xr:uid="{A4DDC980-7988-46B1-9933-30C78FE422B9}">
      <text>
        <r>
          <rPr>
            <b/>
            <sz val="9"/>
            <color indexed="81"/>
            <rFont val="Tahoma"/>
            <family val="2"/>
          </rPr>
          <t>Eq</t>
        </r>
        <r>
          <rPr>
            <b/>
            <sz val="9"/>
            <color indexed="81"/>
            <rFont val="돋움"/>
            <family val="3"/>
            <charset val="129"/>
          </rPr>
          <t xml:space="preserve">출자금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지분율</t>
        </r>
        <r>
          <rPr>
            <b/>
            <sz val="9"/>
            <color indexed="81"/>
            <rFont val="Tahoma"/>
            <family val="2"/>
          </rPr>
          <t>51%)</t>
        </r>
      </text>
    </comment>
    <comment ref="AI204" authorId="1" shapeId="0" xr:uid="{92CC53BC-B1CE-4B1E-A86F-26D025294E07}">
      <text>
        <r>
          <rPr>
            <b/>
            <sz val="9"/>
            <color indexed="81"/>
            <rFont val="Tahoma"/>
            <family val="2"/>
          </rPr>
          <t>Eq</t>
        </r>
        <r>
          <rPr>
            <b/>
            <sz val="9"/>
            <color indexed="81"/>
            <rFont val="돋움"/>
            <family val="3"/>
            <charset val="129"/>
          </rPr>
          <t>출자금</t>
        </r>
        <r>
          <rPr>
            <b/>
            <sz val="9"/>
            <color indexed="81"/>
            <rFont val="Tahoma"/>
            <family val="2"/>
          </rPr>
          <t>*20%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지분율</t>
        </r>
        <r>
          <rPr>
            <b/>
            <sz val="9"/>
            <color indexed="81"/>
            <rFont val="Tahoma"/>
            <family val="2"/>
          </rPr>
          <t>36%)</t>
        </r>
      </text>
    </comment>
    <comment ref="AK204" authorId="1" shapeId="0" xr:uid="{4BEAE94D-64EC-45F8-B1BE-E7C10EBD77A3}">
      <text>
        <r>
          <rPr>
            <b/>
            <sz val="9"/>
            <color indexed="81"/>
            <rFont val="Tahoma"/>
            <family val="2"/>
          </rPr>
          <t>DAEWOO: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출자금</t>
        </r>
        <r>
          <rPr>
            <sz val="9"/>
            <color indexed="81"/>
            <rFont val="Tahoma"/>
            <family val="2"/>
          </rPr>
          <t xml:space="preserve"> 30%</t>
        </r>
      </text>
    </comment>
    <comment ref="AP204" authorId="0" shapeId="0" xr:uid="{FBFF02A3-A976-4F59-B3E8-B814B4578820}">
      <text>
        <r>
          <rPr>
            <b/>
            <sz val="9"/>
            <color indexed="81"/>
            <rFont val="돋움"/>
            <family val="3"/>
            <charset val="129"/>
          </rPr>
          <t>타이빙</t>
        </r>
        <r>
          <rPr>
            <b/>
            <sz val="9"/>
            <color indexed="81"/>
            <rFont val="Tahoma"/>
            <family val="2"/>
          </rPr>
          <t xml:space="preserve">PJ
ZUP </t>
        </r>
        <r>
          <rPr>
            <b/>
            <sz val="9"/>
            <color indexed="81"/>
            <rFont val="돋움"/>
            <family val="3"/>
            <charset val="129"/>
          </rPr>
          <t>대여금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>지분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취득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전환</t>
        </r>
      </text>
    </comment>
    <comment ref="BM204" authorId="0" shapeId="0" xr:uid="{AC93B25B-7774-4444-93CD-3F254CFD750C}">
      <text>
        <r>
          <rPr>
            <b/>
            <sz val="9"/>
            <color indexed="81"/>
            <rFont val="Tahoma"/>
            <family val="2"/>
          </rPr>
          <t xml:space="preserve">H1HH1 </t>
        </r>
        <r>
          <rPr>
            <b/>
            <sz val="9"/>
            <color indexed="81"/>
            <rFont val="돋움"/>
            <family val="3"/>
            <charset val="129"/>
          </rPr>
          <t xml:space="preserve">지분인수
</t>
        </r>
        <r>
          <rPr>
            <b/>
            <sz val="9"/>
            <color indexed="81"/>
            <rFont val="Tahoma"/>
            <family val="2"/>
          </rPr>
          <t>$50,000</t>
        </r>
        <r>
          <rPr>
            <b/>
            <sz val="9"/>
            <color indexed="81"/>
            <rFont val="돋움"/>
            <family val="3"/>
            <charset val="129"/>
          </rPr>
          <t>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중
</t>
        </r>
        <r>
          <rPr>
            <b/>
            <sz val="9"/>
            <color indexed="81"/>
            <rFont val="Tahoma"/>
            <family val="2"/>
          </rPr>
          <t>DECV 50% ($25,000</t>
        </r>
        <r>
          <rPr>
            <b/>
            <sz val="9"/>
            <color indexed="81"/>
            <rFont val="돋움"/>
            <family val="3"/>
            <charset val="129"/>
          </rPr>
          <t>천</t>
        </r>
        <r>
          <rPr>
            <b/>
            <sz val="9"/>
            <color indexed="81"/>
            <rFont val="Tahoma"/>
            <family val="2"/>
          </rPr>
          <t>)
THT 25% ($12,500</t>
        </r>
        <r>
          <rPr>
            <b/>
            <sz val="9"/>
            <color indexed="81"/>
            <rFont val="돋움"/>
            <family val="3"/>
            <charset val="129"/>
          </rPr>
          <t>천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잔여</t>
        </r>
        <r>
          <rPr>
            <b/>
            <sz val="9"/>
            <color indexed="81"/>
            <rFont val="Tahoma"/>
            <family val="2"/>
          </rPr>
          <t xml:space="preserve"> 25%(</t>
        </r>
        <r>
          <rPr>
            <b/>
            <sz val="9"/>
            <color indexed="81"/>
            <rFont val="돋움"/>
            <family val="3"/>
            <charset val="129"/>
          </rPr>
          <t>본사</t>
        </r>
        <r>
          <rPr>
            <b/>
            <sz val="9"/>
            <color indexed="81"/>
            <rFont val="Tahoma"/>
            <family val="2"/>
          </rPr>
          <t xml:space="preserve"> OR </t>
        </r>
        <r>
          <rPr>
            <b/>
            <sz val="9"/>
            <color indexed="81"/>
            <rFont val="돋움"/>
            <family val="3"/>
            <charset val="129"/>
          </rPr>
          <t>외부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O204" authorId="0" shapeId="0" xr:uid="{28DCD070-77B1-4642-936C-714395B7647E}">
      <text>
        <r>
          <rPr>
            <b/>
            <sz val="9"/>
            <color indexed="81"/>
            <rFont val="Tahoma"/>
            <family val="2"/>
          </rPr>
          <t xml:space="preserve">H1HH1 </t>
        </r>
        <r>
          <rPr>
            <b/>
            <sz val="9"/>
            <color indexed="81"/>
            <rFont val="돋움"/>
            <family val="3"/>
            <charset val="129"/>
          </rPr>
          <t xml:space="preserve">지분인수
</t>
        </r>
        <r>
          <rPr>
            <b/>
            <sz val="9"/>
            <color indexed="81"/>
            <rFont val="Tahoma"/>
            <family val="2"/>
          </rPr>
          <t>$50,000</t>
        </r>
        <r>
          <rPr>
            <b/>
            <sz val="9"/>
            <color indexed="81"/>
            <rFont val="돋움"/>
            <family val="3"/>
            <charset val="129"/>
          </rPr>
          <t>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중
</t>
        </r>
        <r>
          <rPr>
            <b/>
            <sz val="9"/>
            <color indexed="81"/>
            <rFont val="Tahoma"/>
            <family val="2"/>
          </rPr>
          <t>DECV 50% ($25,000</t>
        </r>
        <r>
          <rPr>
            <b/>
            <sz val="9"/>
            <color indexed="81"/>
            <rFont val="돋움"/>
            <family val="3"/>
            <charset val="129"/>
          </rPr>
          <t>천</t>
        </r>
        <r>
          <rPr>
            <b/>
            <sz val="9"/>
            <color indexed="81"/>
            <rFont val="Tahoma"/>
            <family val="2"/>
          </rPr>
          <t>)
THT 20% ($10,000</t>
        </r>
        <r>
          <rPr>
            <b/>
            <sz val="9"/>
            <color indexed="81"/>
            <rFont val="돋움"/>
            <family val="3"/>
            <charset val="129"/>
          </rPr>
          <t>천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잔여</t>
        </r>
        <r>
          <rPr>
            <b/>
            <sz val="9"/>
            <color indexed="81"/>
            <rFont val="Tahoma"/>
            <family val="2"/>
          </rPr>
          <t xml:space="preserve"> 30%(</t>
        </r>
        <r>
          <rPr>
            <b/>
            <sz val="9"/>
            <color indexed="81"/>
            <rFont val="돋움"/>
            <family val="3"/>
            <charset val="129"/>
          </rPr>
          <t>본사</t>
        </r>
        <r>
          <rPr>
            <b/>
            <sz val="9"/>
            <color indexed="81"/>
            <rFont val="Tahoma"/>
            <family val="2"/>
          </rPr>
          <t xml:space="preserve"> OR </t>
        </r>
        <r>
          <rPr>
            <b/>
            <sz val="9"/>
            <color indexed="81"/>
            <rFont val="돋움"/>
            <family val="3"/>
            <charset val="129"/>
          </rPr>
          <t>외부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Z205" authorId="7" shapeId="0" xr:uid="{71FE84A4-B5BE-4F3D-BD83-0ADFF8A6BA90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DECV - Venture North</t>
        </r>
      </text>
    </comment>
    <comment ref="AA205" authorId="7" shapeId="0" xr:uid="{88FA5FAD-FA43-4F9D-9FBB-475DB3BA3BB0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DECV - xxx</t>
        </r>
      </text>
    </comment>
    <comment ref="AB205" authorId="7" shapeId="0" xr:uid="{A74E3139-D1F3-43E1-BC64-E56CFDB3372A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DECV - Consultant</t>
        </r>
      </text>
    </comment>
    <comment ref="AC205" authorId="7" shapeId="0" xr:uid="{FEF4DD5B-58E3-4A0D-8719-54E2D7AC417C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투자심의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자료</t>
        </r>
        <r>
          <rPr>
            <sz val="9"/>
            <color indexed="81"/>
            <rFont val="Tahoma"/>
            <family val="2"/>
          </rPr>
          <t xml:space="preserve">: 
</t>
        </r>
        <r>
          <rPr>
            <sz val="9"/>
            <color indexed="81"/>
            <rFont val="돋움"/>
            <family val="3"/>
            <charset val="129"/>
          </rPr>
          <t>시장조사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설계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법무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각종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제안서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분양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마케팅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시장분석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법적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미정</t>
        </r>
      </text>
    </comment>
    <comment ref="AD205" authorId="7" shapeId="0" xr:uid="{C078A48D-DAA9-459E-8C14-73F845459ABA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투자심의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자료</t>
        </r>
        <r>
          <rPr>
            <sz val="9"/>
            <color indexed="81"/>
            <rFont val="Tahoma"/>
            <family val="2"/>
          </rPr>
          <t xml:space="preserve">: 
</t>
        </r>
        <r>
          <rPr>
            <sz val="9"/>
            <color indexed="81"/>
            <rFont val="돋움"/>
            <family val="3"/>
            <charset val="129"/>
          </rPr>
          <t>시장조사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설계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법무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각종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제안서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분양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마케팅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시장분석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법적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미정</t>
        </r>
      </text>
    </comment>
    <comment ref="AE205" authorId="7" shapeId="0" xr:uid="{071724A0-FBCE-4C92-B18F-3E5F0A34C31A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DECV - Consultant</t>
        </r>
      </text>
    </comment>
    <comment ref="C222" authorId="7" shapeId="0" xr:uid="{00000000-0006-0000-0100-00004F000000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박긍균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바로미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배당</t>
        </r>
        <r>
          <rPr>
            <sz val="9"/>
            <color indexed="81"/>
            <rFont val="Tahoma"/>
            <family val="2"/>
          </rPr>
          <t xml:space="preserve"> : 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80,000</t>
        </r>
        <r>
          <rPr>
            <sz val="9"/>
            <color indexed="81"/>
            <rFont val="돋움"/>
            <family val="3"/>
            <charset val="129"/>
          </rPr>
          <t>천
선수금은</t>
        </r>
        <r>
          <rPr>
            <sz val="9"/>
            <color indexed="81"/>
            <rFont val="Tahoma"/>
            <family val="2"/>
          </rPr>
          <t xml:space="preserve"> 23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11</t>
        </r>
        <r>
          <rPr>
            <sz val="9"/>
            <color indexed="81"/>
            <rFont val="돋움"/>
            <family val="3"/>
            <charset val="129"/>
          </rPr>
          <t>월에</t>
        </r>
        <r>
          <rPr>
            <sz val="9"/>
            <color indexed="81"/>
            <rFont val="Tahoma"/>
            <family val="2"/>
          </rPr>
          <t xml:space="preserve"> 24,000</t>
        </r>
        <r>
          <rPr>
            <sz val="9"/>
            <color indexed="81"/>
            <rFont val="돋움"/>
            <family val="3"/>
            <charset val="129"/>
          </rPr>
          <t>천
대여는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그대로</t>
        </r>
        <r>
          <rPr>
            <sz val="9"/>
            <color indexed="81"/>
            <rFont val="Tahoma"/>
            <family val="2"/>
          </rPr>
          <t xml:space="preserve"> 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, 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, 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넣었어</t>
        </r>
      </text>
    </comment>
    <comment ref="AG222" authorId="7" shapeId="0" xr:uid="{00000000-0006-0000-0100-000050000000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THT </t>
        </r>
        <r>
          <rPr>
            <sz val="9"/>
            <color indexed="81"/>
            <rFont val="돋움"/>
            <family val="3"/>
            <charset val="129"/>
          </rPr>
          <t>자금수지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</t>
        </r>
      </text>
    </comment>
    <comment ref="AM222" authorId="7" shapeId="0" xr:uid="{00000000-0006-0000-0100-000051000000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THT </t>
        </r>
        <r>
          <rPr>
            <sz val="9"/>
            <color indexed="81"/>
            <rFont val="돋움"/>
            <family val="3"/>
            <charset val="129"/>
          </rPr>
          <t>자금수지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</t>
        </r>
      </text>
    </comment>
    <comment ref="AP222" authorId="0" shapeId="0" xr:uid="{203CC999-6AE8-499A-B320-DE4E552A5EF2}">
      <text>
        <r>
          <rPr>
            <b/>
            <sz val="9"/>
            <color indexed="81"/>
            <rFont val="돋움"/>
            <family val="3"/>
            <charset val="129"/>
          </rPr>
          <t>타이빙</t>
        </r>
        <r>
          <rPr>
            <b/>
            <sz val="9"/>
            <color indexed="81"/>
            <rFont val="Tahoma"/>
            <family val="2"/>
          </rPr>
          <t xml:space="preserve">PJ
ZUP </t>
        </r>
        <r>
          <rPr>
            <b/>
            <sz val="9"/>
            <color indexed="81"/>
            <rFont val="돋움"/>
            <family val="3"/>
            <charset val="129"/>
          </rPr>
          <t>대여금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상환</t>
        </r>
      </text>
    </comment>
    <comment ref="AR222" authorId="7" shapeId="0" xr:uid="{00000000-0006-0000-0100-000052000000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THT </t>
        </r>
        <r>
          <rPr>
            <sz val="9"/>
            <color indexed="81"/>
            <rFont val="돋움"/>
            <family val="3"/>
            <charset val="129"/>
          </rPr>
          <t>자금수지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</t>
        </r>
      </text>
    </comment>
    <comment ref="AU222" authorId="0" shapeId="0" xr:uid="{45B7E053-DA4F-4A9D-B3D1-7F5AB0790BC6}">
      <text>
        <r>
          <rPr>
            <b/>
            <sz val="9"/>
            <color indexed="81"/>
            <rFont val="돋움"/>
            <family val="3"/>
            <charset val="129"/>
          </rPr>
          <t>타이빙</t>
        </r>
        <r>
          <rPr>
            <b/>
            <sz val="9"/>
            <color indexed="81"/>
            <rFont val="Tahoma"/>
            <family val="2"/>
          </rPr>
          <t xml:space="preserve">PJ
ZUP </t>
        </r>
        <r>
          <rPr>
            <b/>
            <sz val="9"/>
            <color indexed="81"/>
            <rFont val="돋움"/>
            <family val="3"/>
            <charset val="129"/>
          </rPr>
          <t>대여금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상환</t>
        </r>
      </text>
    </comment>
    <comment ref="AN223" authorId="0" shapeId="0" xr:uid="{354919C5-B8D1-4C40-A985-07C76E99C28D}">
      <text>
        <r>
          <rPr>
            <b/>
            <sz val="9"/>
            <color indexed="81"/>
            <rFont val="돋움"/>
            <family val="3"/>
            <charset val="129"/>
          </rPr>
          <t>타이빙</t>
        </r>
        <r>
          <rPr>
            <b/>
            <sz val="9"/>
            <color indexed="81"/>
            <rFont val="Tahoma"/>
            <family val="2"/>
          </rPr>
          <t xml:space="preserve">PJ
ZUP </t>
        </r>
        <r>
          <rPr>
            <b/>
            <sz val="9"/>
            <color indexed="81"/>
            <rFont val="돋움"/>
            <family val="3"/>
            <charset val="129"/>
          </rPr>
          <t>대여금</t>
        </r>
      </text>
    </comment>
    <comment ref="AM228" authorId="7" shapeId="0" xr:uid="{00000000-0006-0000-0100-000053000000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THT </t>
        </r>
        <r>
          <rPr>
            <sz val="9"/>
            <color indexed="81"/>
            <rFont val="돋움"/>
            <family val="3"/>
            <charset val="129"/>
          </rPr>
          <t>자금수지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</t>
        </r>
      </text>
    </comment>
    <comment ref="Q229" authorId="1" shapeId="0" xr:uid="{00000000-0006-0000-0100-000054000000}">
      <text>
        <r>
          <rPr>
            <b/>
            <sz val="9"/>
            <color indexed="81"/>
            <rFont val="돋움"/>
            <family val="3"/>
            <charset val="129"/>
          </rPr>
          <t>토지대금</t>
        </r>
        <r>
          <rPr>
            <b/>
            <sz val="9"/>
            <color indexed="81"/>
            <rFont val="Tahoma"/>
            <family val="2"/>
          </rPr>
          <t xml:space="preserve"> 10%(DA)
PTA</t>
        </r>
        <r>
          <rPr>
            <b/>
            <sz val="9"/>
            <color indexed="81"/>
            <rFont val="돋움"/>
            <family val="3"/>
            <charset val="129"/>
          </rPr>
          <t>접수</t>
        </r>
      </text>
    </comment>
    <comment ref="AR229" authorId="1" shapeId="0" xr:uid="{00000000-0006-0000-0100-000055000000}">
      <text>
        <r>
          <rPr>
            <b/>
            <sz val="9"/>
            <color indexed="81"/>
            <rFont val="돋움"/>
            <family val="3"/>
            <charset val="129"/>
          </rPr>
          <t>토지매입</t>
        </r>
        <r>
          <rPr>
            <b/>
            <sz val="9"/>
            <color indexed="81"/>
            <rFont val="Tahoma"/>
            <family val="2"/>
          </rPr>
          <t xml:space="preserve"> 50%
LURC</t>
        </r>
      </text>
    </comment>
    <comment ref="AA231" authorId="7" shapeId="0" xr:uid="{00000000-0006-0000-0100-000056000000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THT </t>
        </r>
        <r>
          <rPr>
            <sz val="9"/>
            <color indexed="81"/>
            <rFont val="돋움"/>
            <family val="3"/>
            <charset val="129"/>
          </rPr>
          <t>자금수지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</t>
        </r>
      </text>
    </comment>
    <comment ref="AG241" authorId="1" shapeId="0" xr:uid="{00000000-0006-0000-0100-000057000000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AH241" authorId="1" shapeId="0" xr:uid="{00000000-0006-0000-0100-000058000000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AK241" authorId="1" shapeId="0" xr:uid="{00000000-0006-0000-0100-000059000000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AN241" authorId="1" shapeId="0" xr:uid="{00000000-0006-0000-0100-00005A000000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AQ241" authorId="1" shapeId="0" xr:uid="{00000000-0006-0000-0100-00005B000000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AU241" authorId="1" shapeId="0" xr:uid="{00000000-0006-0000-0100-00005C000000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AX241" authorId="1" shapeId="0" xr:uid="{00000000-0006-0000-0100-00005D000000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AY241" authorId="1" shapeId="0" xr:uid="{E130FB87-D5A5-41BD-95D9-68C9B9D98869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BA241" authorId="1" shapeId="0" xr:uid="{73B34BC3-8078-4504-9388-1FF9F2CB18D3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BD241" authorId="1" shapeId="0" xr:uid="{8F0C3A5A-95FA-4DE9-9ABC-254C87ACB939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BH241" authorId="1" shapeId="0" xr:uid="{B57AE19D-B90E-434E-9944-D0375579129D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BK241" authorId="1" shapeId="0" xr:uid="{AEF2E660-561C-4ACE-885C-4168536C5088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BN241" authorId="1" shapeId="0" xr:uid="{6B5A7B50-EA10-4C4D-A360-ABD845E0D174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BQ241" authorId="1" shapeId="0" xr:uid="{B24668B2-94AE-4EF8-B753-D8133A56D761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BU241" authorId="1" shapeId="0" xr:uid="{6E8B4312-54A5-41DA-9BEF-816D4312515B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BX241" authorId="1" shapeId="0" xr:uid="{707799D9-2E57-4811-A6A8-C657E5292D0B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CA241" authorId="1" shapeId="0" xr:uid="{4BC99C35-C9EA-4F54-8A63-29D9C118DCB6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CD241" authorId="1" shapeId="0" xr:uid="{1C46D2C5-BE3B-48F6-9172-2BA3103D0A94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CH241" authorId="1" shapeId="0" xr:uid="{A21EAE54-C832-4F26-889B-775FC9F68275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CK241" authorId="1" shapeId="0" xr:uid="{A49F4388-53F2-430F-88F0-F8C3BAABDE50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CN241" authorId="1" shapeId="0" xr:uid="{292DD226-4A99-4F89-A53B-8811415556BE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CQ241" authorId="1" shapeId="0" xr:uid="{8378B5BF-B232-4DD8-B168-D1C59D9688EE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CU241" authorId="1" shapeId="0" xr:uid="{2F07934B-E4FA-4047-9121-B6253D804021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CX241" authorId="1" shapeId="0" xr:uid="{53180AC6-6C07-46AB-8B15-773DFEA2B64A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DA241" authorId="1" shapeId="0" xr:uid="{88743D2D-AC5A-4F59-92DB-D98FD7B1DCB8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DD241" authorId="1" shapeId="0" xr:uid="{48E0AC8D-9C82-44F3-A94E-39E58D998D14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DAEWOO</author>
    <author>KB PARK</author>
    <author>GYUHA</author>
    <author>Kim Seung Hwan</author>
    <author>Gyuha LEE</author>
    <author>kim jun hyuk</author>
    <author>Admin</author>
    <author>KIMJUNHYUK</author>
  </authors>
  <commentList>
    <comment ref="Q22" authorId="0" shapeId="0" xr:uid="{F9E69766-C572-48B7-AA9B-B8E50AD2F496}">
      <text>
        <r>
          <rPr>
            <b/>
            <sz val="9"/>
            <color indexed="81"/>
            <rFont val="돋움"/>
            <family val="3"/>
            <charset val="129"/>
          </rPr>
          <t>선급금</t>
        </r>
        <r>
          <rPr>
            <b/>
            <sz val="9"/>
            <color indexed="81"/>
            <rFont val="Tahoma"/>
            <family val="2"/>
          </rPr>
          <t xml:space="preserve"> 20%</t>
        </r>
      </text>
    </comment>
    <comment ref="AE25" authorId="0" shapeId="0" xr:uid="{F57EE9B8-52C9-4ECD-8E4F-D2E77210BC36}">
      <text>
        <r>
          <rPr>
            <b/>
            <sz val="9"/>
            <color indexed="81"/>
            <rFont val="돋움"/>
            <family val="3"/>
            <charset val="129"/>
          </rPr>
          <t>선급금</t>
        </r>
        <r>
          <rPr>
            <b/>
            <sz val="9"/>
            <color indexed="81"/>
            <rFont val="Tahoma"/>
            <family val="2"/>
          </rPr>
          <t xml:space="preserve"> 20%</t>
        </r>
      </text>
    </comment>
    <comment ref="AP28" authorId="0" shapeId="0" xr:uid="{C00A3DA7-94B1-4511-A435-C77792493BAE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선급금 20% 반영
도급예정액(USD 177.7M)
3분기 일정 재확인 예정</t>
        </r>
      </text>
    </comment>
    <comment ref="AR28" authorId="0" shapeId="0" xr:uid="{303E160C-1A4E-486A-A6C3-3858596AA91C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선급금 20% 반영
증자 심의자료에는 10%
(계약 전 THT 협의 필요)</t>
        </r>
      </text>
    </comment>
    <comment ref="AY28" authorId="0" shapeId="0" xr:uid="{4742F534-F8A0-46C5-ABB1-4C047F363DE8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선급금 20% 반영
도급예정액(USD 156.7M)
3분기 일정 재확인 예정</t>
        </r>
      </text>
    </comment>
    <comment ref="BC28" authorId="1" shapeId="0" xr:uid="{43FD631D-E735-499B-931B-B1EEEC35BC9A}">
      <text>
        <r>
          <rPr>
            <b/>
            <sz val="9"/>
            <color indexed="81"/>
            <rFont val="돋움"/>
            <family val="3"/>
            <charset val="129"/>
          </rPr>
          <t>선수금</t>
        </r>
        <r>
          <rPr>
            <b/>
            <sz val="9"/>
            <color indexed="81"/>
            <rFont val="Tahoma"/>
            <family val="2"/>
          </rPr>
          <t xml:space="preserve"> 20%</t>
        </r>
      </text>
    </comment>
    <comment ref="AE52" authorId="0" shapeId="0" xr:uid="{046A25FA-63EA-4E78-B1A6-351865910F25}">
      <text>
        <r>
          <rPr>
            <b/>
            <sz val="9"/>
            <color indexed="81"/>
            <rFont val="돋움"/>
            <family val="3"/>
            <charset val="129"/>
          </rPr>
          <t>선급금</t>
        </r>
        <r>
          <rPr>
            <b/>
            <sz val="9"/>
            <color indexed="81"/>
            <rFont val="Tahoma"/>
            <family val="2"/>
          </rPr>
          <t xml:space="preserve"> 20%</t>
        </r>
      </text>
    </comment>
    <comment ref="AP55" authorId="0" shapeId="0" xr:uid="{69D923F7-B20E-4521-BEFB-AA0D7DD26B7A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선급금 20% 반영
도급예정액(USD 177.7M)
3분기 일정 재확인 예정</t>
        </r>
      </text>
    </comment>
    <comment ref="AR55" authorId="0" shapeId="0" xr:uid="{09D60901-D082-4E44-A8EC-DE94FE095944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선급금 20% 반영
증자 심의자료에는 10%
(계약 전 THT 협의 필요)</t>
        </r>
      </text>
    </comment>
    <comment ref="AY55" authorId="0" shapeId="0" xr:uid="{F9BA184C-1B71-4C14-BB93-A37242495219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선급금 20% 반영
도급예정액(USD 156.7M)
3분기 일정 재확인 예정</t>
        </r>
      </text>
    </comment>
    <comment ref="BC55" authorId="1" shapeId="0" xr:uid="{62A6B160-CACD-43C3-A38C-057780D109DA}">
      <text>
        <r>
          <rPr>
            <b/>
            <sz val="9"/>
            <color indexed="81"/>
            <rFont val="돋움"/>
            <family val="3"/>
            <charset val="129"/>
          </rPr>
          <t>선수금</t>
        </r>
        <r>
          <rPr>
            <b/>
            <sz val="9"/>
            <color indexed="81"/>
            <rFont val="Tahoma"/>
            <family val="2"/>
          </rPr>
          <t xml:space="preserve"> 20%</t>
        </r>
      </text>
    </comment>
    <comment ref="BB64" authorId="1" shapeId="0" xr:uid="{B2B6B2E1-228B-459D-9AB0-5DACC7C423A3}">
      <text>
        <r>
          <rPr>
            <b/>
            <sz val="9"/>
            <color indexed="81"/>
            <rFont val="돋움"/>
            <family val="3"/>
            <charset val="129"/>
          </rPr>
          <t>선수금</t>
        </r>
        <r>
          <rPr>
            <b/>
            <sz val="9"/>
            <color indexed="81"/>
            <rFont val="Tahoma"/>
            <family val="2"/>
          </rPr>
          <t xml:space="preserve"> 5% 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</text>
    </comment>
    <comment ref="R125" authorId="2" shapeId="0" xr:uid="{DB8D6420-5F88-4309-97B3-D661BC3B0902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[BD 30%]
Issuance of PTA 20% 400,000                    2023.12
Issuance of ERC 10% 200,000                    2023.12</t>
        </r>
      </text>
    </comment>
    <comment ref="AD125" authorId="3" shapeId="0" xr:uid="{3076CEDF-6FFF-4316-9D1A-2E53E315FBFE}">
      <text>
        <r>
          <rPr>
            <b/>
            <sz val="9"/>
            <color indexed="81"/>
            <rFont val="Tahoma"/>
            <family val="2"/>
          </rPr>
          <t>GYUHA:
TD 20%</t>
        </r>
      </text>
    </comment>
    <comment ref="AE125" authorId="3" shapeId="0" xr:uid="{5CA74FEB-EAA0-407F-BCD7-7423CDA5F8D1}">
      <text>
        <r>
          <rPr>
            <b/>
            <sz val="9"/>
            <color indexed="81"/>
            <rFont val="Tahoma"/>
            <family val="2"/>
          </rPr>
          <t>[BD 10%]
Issuance of LURC 10% 200,000                    2024.10</t>
        </r>
      </text>
    </comment>
    <comment ref="AG125" authorId="3" shapeId="0" xr:uid="{DD566340-A66C-440B-8679-0D5AB91203F2}">
      <text>
        <r>
          <rPr>
            <b/>
            <sz val="9"/>
            <color indexed="81"/>
            <rFont val="Tahoma"/>
            <family val="2"/>
          </rPr>
          <t>GYUHA:
CP 20%</t>
        </r>
      </text>
    </comment>
    <comment ref="AO125" authorId="3" shapeId="0" xr:uid="{D7AA1F88-23E0-45AF-A162-BCEAD1D2A144}">
      <text>
        <r>
          <rPr>
            <b/>
            <sz val="9"/>
            <color indexed="81"/>
            <rFont val="Tahoma"/>
            <family val="2"/>
          </rPr>
          <t>GYUHA:
BD 20%</t>
        </r>
      </text>
    </comment>
    <comment ref="AQ125" authorId="3" shapeId="0" xr:uid="{D2D56A59-8095-4583-A475-B916AA2B7646}">
      <text>
        <r>
          <rPr>
            <b/>
            <sz val="9"/>
            <color indexed="81"/>
            <rFont val="Tahoma"/>
            <family val="2"/>
          </rPr>
          <t>GYUHA:
TD 10%</t>
        </r>
      </text>
    </comment>
    <comment ref="AG128" authorId="2" shapeId="0" xr:uid="{5B23D121-9A29-4FEC-A600-5FACDB3CAFC1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TD 20%</t>
        </r>
      </text>
    </comment>
    <comment ref="AH128" authorId="2" shapeId="0" xr:uid="{D688B732-B8E7-4805-8D15-8315FFA1AAD5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CP 20%</t>
        </r>
      </text>
    </comment>
    <comment ref="AU128" authorId="1" shapeId="0" xr:uid="{B956FAD9-9E38-4F29-894F-0C9A6B202B21}">
      <text>
        <r>
          <rPr>
            <b/>
            <sz val="9"/>
            <color indexed="81"/>
            <rFont val="Tahoma"/>
            <family val="2"/>
          </rPr>
          <t xml:space="preserve">PTA </t>
        </r>
        <r>
          <rPr>
            <b/>
            <sz val="9"/>
            <color indexed="81"/>
            <rFont val="돋움"/>
            <family val="3"/>
            <charset val="129"/>
          </rPr>
          <t>승인</t>
        </r>
      </text>
    </comment>
    <comment ref="AV128" authorId="1" shapeId="0" xr:uid="{529F9069-2C83-4E5A-8620-E5EBB235CE8A}">
      <text>
        <r>
          <rPr>
            <b/>
            <sz val="9"/>
            <color indexed="81"/>
            <rFont val="Tahoma"/>
            <family val="2"/>
          </rPr>
          <t xml:space="preserve">PTA </t>
        </r>
        <r>
          <rPr>
            <b/>
            <sz val="9"/>
            <color indexed="81"/>
            <rFont val="돋움"/>
            <family val="3"/>
            <charset val="129"/>
          </rPr>
          <t>승인</t>
        </r>
      </text>
    </comment>
    <comment ref="AW128" authorId="1" shapeId="0" xr:uid="{1541ECD5-0B81-4304-9779-B5FAEA554A7D}">
      <text>
        <r>
          <rPr>
            <b/>
            <sz val="9"/>
            <color indexed="81"/>
            <rFont val="Tahoma"/>
            <family val="2"/>
          </rPr>
          <t xml:space="preserve">TD </t>
        </r>
        <r>
          <rPr>
            <b/>
            <sz val="9"/>
            <color indexed="81"/>
            <rFont val="돋움"/>
            <family val="3"/>
            <charset val="129"/>
          </rPr>
          <t>승인</t>
        </r>
      </text>
    </comment>
    <comment ref="AY128" authorId="1" shapeId="0" xr:uid="{3F32B28F-067C-43EA-9E9B-904053662C09}">
      <text>
        <r>
          <rPr>
            <b/>
            <sz val="9"/>
            <color indexed="81"/>
            <rFont val="Tahoma"/>
            <family val="2"/>
          </rPr>
          <t xml:space="preserve">CP </t>
        </r>
        <r>
          <rPr>
            <b/>
            <sz val="9"/>
            <color indexed="81"/>
            <rFont val="돋움"/>
            <family val="3"/>
            <charset val="129"/>
          </rPr>
          <t>승인</t>
        </r>
      </text>
    </comment>
    <comment ref="AZ128" authorId="1" shapeId="0" xr:uid="{3E2A5F4E-D48A-40D4-822D-D5162D34F2EC}">
      <text>
        <r>
          <rPr>
            <b/>
            <sz val="9"/>
            <color indexed="81"/>
            <rFont val="Tahoma"/>
            <family val="2"/>
          </rPr>
          <t xml:space="preserve">CP </t>
        </r>
        <r>
          <rPr>
            <b/>
            <sz val="9"/>
            <color indexed="81"/>
            <rFont val="돋움"/>
            <family val="3"/>
            <charset val="129"/>
          </rPr>
          <t>승인</t>
        </r>
      </text>
    </comment>
    <comment ref="BB128" authorId="1" shapeId="0" xr:uid="{C840E2E4-D50D-4318-AAB5-ABD17BA11A8D}">
      <text>
        <r>
          <rPr>
            <b/>
            <sz val="9"/>
            <color indexed="81"/>
            <rFont val="Tahoma"/>
            <family val="2"/>
          </rPr>
          <t xml:space="preserve">ED </t>
        </r>
        <r>
          <rPr>
            <b/>
            <sz val="9"/>
            <color indexed="81"/>
            <rFont val="돋움"/>
            <family val="3"/>
            <charset val="129"/>
          </rPr>
          <t>승인</t>
        </r>
      </text>
    </comment>
    <comment ref="BC128" authorId="1" shapeId="0" xr:uid="{034434F9-9943-4768-A93F-AD660E780AE1}">
      <text>
        <r>
          <rPr>
            <b/>
            <sz val="9"/>
            <color indexed="81"/>
            <rFont val="Tahoma"/>
            <family val="2"/>
          </rPr>
          <t xml:space="preserve">ED </t>
        </r>
        <r>
          <rPr>
            <b/>
            <sz val="9"/>
            <color indexed="81"/>
            <rFont val="돋움"/>
            <family val="3"/>
            <charset val="129"/>
          </rPr>
          <t>승인</t>
        </r>
      </text>
    </comment>
    <comment ref="BI128" authorId="1" shapeId="0" xr:uid="{A4EA7463-B4E1-4472-9BA9-284A876F22B3}">
      <text>
        <r>
          <rPr>
            <b/>
            <sz val="9"/>
            <color indexed="81"/>
            <rFont val="Tahoma"/>
            <family val="2"/>
          </rPr>
          <t xml:space="preserve">CP </t>
        </r>
        <r>
          <rPr>
            <b/>
            <sz val="9"/>
            <color indexed="81"/>
            <rFont val="돋움"/>
            <family val="3"/>
            <charset val="129"/>
          </rPr>
          <t>승인</t>
        </r>
      </text>
    </comment>
    <comment ref="G146" authorId="2" shapeId="0" xr:uid="{6138A064-F3F2-4C38-B129-6A1F3BD18E8D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프리콘착수</t>
        </r>
        <r>
          <rPr>
            <sz val="9"/>
            <color indexed="81"/>
            <rFont val="Tahoma"/>
            <family val="2"/>
          </rPr>
          <t xml:space="preserve"> 20%</t>
        </r>
      </text>
    </comment>
    <comment ref="O146" authorId="2" shapeId="0" xr:uid="{CD38B086-14A1-4917-B7A5-457047944F53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BD 30%</t>
        </r>
      </text>
    </comment>
    <comment ref="R146" authorId="2" shapeId="0" xr:uid="{A0AC8F42-6776-4492-B935-2698CFC8E9D5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TD 30%</t>
        </r>
      </text>
    </comment>
    <comment ref="W146" authorId="2" shapeId="0" xr:uid="{50070D00-6BC2-4666-A3CF-DC34FF912C6A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착공</t>
        </r>
        <r>
          <rPr>
            <sz val="9"/>
            <color indexed="81"/>
            <rFont val="Tahoma"/>
            <family val="2"/>
          </rPr>
          <t xml:space="preserve"> 20%</t>
        </r>
      </text>
    </comment>
    <comment ref="G149" authorId="2" shapeId="0" xr:uid="{B08D49D2-AD85-454D-B55A-6268B366CAF8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프리콘착수</t>
        </r>
        <r>
          <rPr>
            <sz val="9"/>
            <color indexed="81"/>
            <rFont val="Tahoma"/>
            <family val="2"/>
          </rPr>
          <t xml:space="preserve"> 20%</t>
        </r>
      </text>
    </comment>
    <comment ref="R149" authorId="2" shapeId="0" xr:uid="{CB90C691-233F-47B0-A275-6ECE4EAFECB1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BD 30%</t>
        </r>
      </text>
    </comment>
    <comment ref="AA149" authorId="2" shapeId="0" xr:uid="{ED5AB2A7-F930-49B5-87CD-9AB3C9CE0B6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TD 30%</t>
        </r>
      </text>
    </comment>
    <comment ref="AH149" authorId="2" shapeId="0" xr:uid="{EC2A013A-ECF4-4439-BDCB-08A5EB92628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착공</t>
        </r>
        <r>
          <rPr>
            <sz val="9"/>
            <color indexed="81"/>
            <rFont val="Tahoma"/>
            <family val="2"/>
          </rPr>
          <t xml:space="preserve"> 20%</t>
        </r>
      </text>
    </comment>
    <comment ref="Q152" authorId="2" shapeId="0" xr:uid="{31FC1478-CDAA-423F-9AA6-146DC0B14F26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프리콘착수</t>
        </r>
        <r>
          <rPr>
            <sz val="9"/>
            <color indexed="81"/>
            <rFont val="Tahoma"/>
            <family val="2"/>
          </rPr>
          <t xml:space="preserve"> 20%</t>
        </r>
      </text>
    </comment>
    <comment ref="R152" authorId="2" shapeId="0" xr:uid="{A3151A2D-C9B7-4F0A-BC15-BE35BDBCE1DD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프리콘착수</t>
        </r>
        <r>
          <rPr>
            <sz val="9"/>
            <color indexed="81"/>
            <rFont val="Tahoma"/>
            <family val="2"/>
          </rPr>
          <t xml:space="preserve"> 20%</t>
        </r>
      </text>
    </comment>
    <comment ref="W152" authorId="2" shapeId="0" xr:uid="{078F5B50-05C6-4AA0-9DBA-FE13AC8FC6A3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BD 30%</t>
        </r>
      </text>
    </comment>
    <comment ref="AA152" authorId="2" shapeId="0" xr:uid="{DDE8411F-3526-427F-AE1B-ED0E02CA5337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BD 30%</t>
        </r>
      </text>
    </comment>
    <comment ref="AB152" authorId="2" shapeId="0" xr:uid="{7CAFA9B8-90AB-4EC5-A9E0-BE3A28F231B5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TD 30%</t>
        </r>
      </text>
    </comment>
    <comment ref="AC152" authorId="2" shapeId="0" xr:uid="{5FAB7C31-30E9-4A73-95AC-1E2E380E5C25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TD 30%</t>
        </r>
      </text>
    </comment>
    <comment ref="AE152" authorId="2" shapeId="0" xr:uid="{FB18E4E9-6F5F-4AE3-9359-13A73489B17D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TD 30%</t>
        </r>
      </text>
    </comment>
    <comment ref="AG152" authorId="2" shapeId="0" xr:uid="{49CB84FF-F97F-4797-A0B9-DC9911BF0BA1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TD 30%</t>
        </r>
      </text>
    </comment>
    <comment ref="AR152" authorId="4" shapeId="0" xr:uid="{735E74AB-3901-4617-9235-5EF1BFF4F2ED}">
      <text>
        <r>
          <rPr>
            <b/>
            <sz val="9"/>
            <color indexed="81"/>
            <rFont val="Tahoma"/>
            <family val="2"/>
          </rPr>
          <t xml:space="preserve">GYUHA:
</t>
        </r>
        <r>
          <rPr>
            <b/>
            <sz val="9"/>
            <color indexed="81"/>
            <rFont val="돋움"/>
            <family val="3"/>
            <charset val="129"/>
          </rPr>
          <t>착공</t>
        </r>
        <r>
          <rPr>
            <b/>
            <sz val="9"/>
            <color indexed="81"/>
            <rFont val="Tahoma"/>
            <family val="2"/>
          </rPr>
          <t xml:space="preserve"> 20%</t>
        </r>
      </text>
    </comment>
    <comment ref="AO155" authorId="2" shapeId="0" xr:uid="{5C3DE39B-722B-4CD7-8A4E-0644D628F256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TD 30%</t>
        </r>
      </text>
    </comment>
    <comment ref="AR155" authorId="2" shapeId="0" xr:uid="{7696D084-0BB9-4516-9980-23E726F6484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착공</t>
        </r>
        <r>
          <rPr>
            <sz val="9"/>
            <color indexed="81"/>
            <rFont val="Tahoma"/>
            <family val="2"/>
          </rPr>
          <t xml:space="preserve"> 20%</t>
        </r>
      </text>
    </comment>
    <comment ref="R158" authorId="2" shapeId="0" xr:uid="{D085B56E-BBD9-43EF-8557-A8623C099BF3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프리콘착수</t>
        </r>
        <r>
          <rPr>
            <sz val="9"/>
            <color indexed="81"/>
            <rFont val="Tahoma"/>
            <family val="2"/>
          </rPr>
          <t xml:space="preserve"> 20%</t>
        </r>
      </text>
    </comment>
    <comment ref="R161" authorId="2" shapeId="0" xr:uid="{A736C81F-4407-41D6-9B7F-AE7EFB5BA44B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프리콘착수</t>
        </r>
        <r>
          <rPr>
            <sz val="9"/>
            <color indexed="81"/>
            <rFont val="Tahoma"/>
            <family val="2"/>
          </rPr>
          <t xml:space="preserve"> 20%</t>
        </r>
      </text>
    </comment>
    <comment ref="R164" authorId="2" shapeId="0" xr:uid="{44AD2012-CC06-4A87-A392-BAA855A809A5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프리콘착수</t>
        </r>
        <r>
          <rPr>
            <sz val="9"/>
            <color indexed="81"/>
            <rFont val="Tahoma"/>
            <family val="2"/>
          </rPr>
          <t xml:space="preserve"> 20%</t>
        </r>
      </text>
    </comment>
    <comment ref="E192" authorId="5" shapeId="0" xr:uid="{16ADE673-7957-402C-9801-D820C82AF281}">
      <text>
        <r>
          <rPr>
            <b/>
            <sz val="9"/>
            <color indexed="81"/>
            <rFont val="Tahoma"/>
            <family val="2"/>
          </rPr>
          <t>kim jun hyuk:</t>
        </r>
        <r>
          <rPr>
            <sz val="9"/>
            <color indexed="81"/>
            <rFont val="Tahoma"/>
            <family val="2"/>
          </rPr>
          <t xml:space="preserve">
=120070+207041*70%</t>
        </r>
      </text>
    </comment>
    <comment ref="R193" authorId="0" shapeId="0" xr:uid="{3A6F7376-BD2E-454F-B3D0-89689F78C1AE}">
      <text>
        <r>
          <rPr>
            <b/>
            <sz val="9"/>
            <color indexed="81"/>
            <rFont val="Tahoma"/>
            <family val="2"/>
          </rPr>
          <t>JVC</t>
        </r>
        <r>
          <rPr>
            <b/>
            <sz val="9"/>
            <color indexed="81"/>
            <rFont val="돋움"/>
            <family val="3"/>
            <charset val="129"/>
          </rPr>
          <t>설립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자본금
지분율</t>
        </r>
        <r>
          <rPr>
            <b/>
            <sz val="9"/>
            <color indexed="81"/>
            <rFont val="Tahoma"/>
            <family val="2"/>
          </rPr>
          <t xml:space="preserve"> 70%
=&gt; </t>
        </r>
        <r>
          <rPr>
            <b/>
            <sz val="9"/>
            <color indexed="81"/>
            <rFont val="돋움"/>
            <family val="3"/>
            <charset val="129"/>
          </rPr>
          <t>컨소시엄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가정으로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삭제</t>
        </r>
      </text>
    </comment>
    <comment ref="AY193" authorId="0" shapeId="0" xr:uid="{421B1D09-6C98-4F1E-90EA-DEC5FBE6E670}">
      <text>
        <r>
          <rPr>
            <b/>
            <sz val="9"/>
            <color indexed="81"/>
            <rFont val="Tahoma"/>
            <family val="2"/>
          </rPr>
          <t>8</t>
        </r>
        <r>
          <rPr>
            <b/>
            <sz val="9"/>
            <color indexed="81"/>
            <rFont val="돋움"/>
            <family val="3"/>
            <charset val="129"/>
          </rPr>
          <t>천만불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당사분</t>
        </r>
        <r>
          <rPr>
            <b/>
            <sz val="9"/>
            <color indexed="81"/>
            <rFont val="Tahoma"/>
            <family val="2"/>
          </rPr>
          <t>70%)
3</t>
        </r>
        <r>
          <rPr>
            <b/>
            <sz val="9"/>
            <color indexed="81"/>
            <rFont val="돋움"/>
            <family val="3"/>
            <charset val="129"/>
          </rPr>
          <t>분기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  <comment ref="Z194" authorId="3" shapeId="0" xr:uid="{C4ECB487-0898-4FFE-BE00-07B70F27219E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맑은 고딕"/>
            <family val="2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컨설팅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 
1.682MIL
</t>
        </r>
        <r>
          <rPr>
            <b/>
            <sz val="9"/>
            <color indexed="81"/>
            <rFont val="맑은 고딕"/>
            <family val="2"/>
            <charset val="129"/>
          </rPr>
          <t>계약금</t>
        </r>
        <r>
          <rPr>
            <b/>
            <sz val="9"/>
            <color indexed="81"/>
            <rFont val="Tahoma"/>
            <family val="2"/>
          </rPr>
          <t xml:space="preserve"> 40%
673</t>
        </r>
      </text>
    </comment>
    <comment ref="AA194" authorId="3" shapeId="0" xr:uid="{C1AE1040-1DD7-4CF3-A1E6-77846243D38D}">
      <text>
        <r>
          <rPr>
            <b/>
            <sz val="9"/>
            <color indexed="81"/>
            <rFont val="Tahoma"/>
            <family val="2"/>
          </rPr>
          <t>Kim Seung Hwan:
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컨설팅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 
1.682MIL
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중도금</t>
        </r>
        <r>
          <rPr>
            <b/>
            <sz val="9"/>
            <color indexed="81"/>
            <rFont val="Tahoma"/>
            <family val="2"/>
          </rPr>
          <t xml:space="preserve"> 20%
1.682*20%=0.336
              +
1.682MIL
</t>
        </r>
        <r>
          <rPr>
            <b/>
            <sz val="9"/>
            <color indexed="81"/>
            <rFont val="돋움"/>
            <family val="3"/>
            <charset val="129"/>
          </rPr>
          <t>잔금</t>
        </r>
        <r>
          <rPr>
            <b/>
            <sz val="9"/>
            <color indexed="81"/>
            <rFont val="Tahoma"/>
            <family val="2"/>
          </rPr>
          <t xml:space="preserve"> 10%
1.682*10%=0.168
</t>
        </r>
        <r>
          <rPr>
            <b/>
            <sz val="9"/>
            <color indexed="81"/>
            <rFont val="돋움"/>
            <family val="3"/>
            <charset val="129"/>
          </rPr>
          <t xml:space="preserve">합계
</t>
        </r>
        <r>
          <rPr>
            <b/>
            <sz val="9"/>
            <color indexed="81"/>
            <rFont val="Tahoma"/>
            <family val="2"/>
          </rPr>
          <t xml:space="preserve">1.682*30%=0.505
+
</t>
        </r>
        <r>
          <rPr>
            <b/>
            <sz val="9"/>
            <color indexed="81"/>
            <rFont val="돋움"/>
            <family val="3"/>
            <charset val="129"/>
          </rPr>
          <t>입찰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제안서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용역
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중도금</t>
        </r>
        <r>
          <rPr>
            <b/>
            <sz val="9"/>
            <color indexed="81"/>
            <rFont val="Tahoma"/>
            <family val="2"/>
          </rPr>
          <t xml:space="preserve"> 20%
1*20% =0.2</t>
        </r>
      </text>
    </comment>
    <comment ref="AD194" authorId="0" shapeId="0" xr:uid="{57FB6BB5-E041-49BE-9668-C0A0403A63E6}">
      <text>
        <r>
          <rPr>
            <b/>
            <sz val="9"/>
            <color indexed="81"/>
            <rFont val="돋움"/>
            <family val="3"/>
            <charset val="129"/>
          </rPr>
          <t>투자제안서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설계비
총</t>
        </r>
        <r>
          <rPr>
            <b/>
            <sz val="9"/>
            <color indexed="81"/>
            <rFont val="Tahoma"/>
            <family val="2"/>
          </rPr>
          <t xml:space="preserve"> 60</t>
        </r>
        <r>
          <rPr>
            <b/>
            <sz val="9"/>
            <color indexed="81"/>
            <rFont val="돋움"/>
            <family val="3"/>
            <charset val="129"/>
          </rPr>
          <t>만불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계약금</t>
        </r>
        <r>
          <rPr>
            <b/>
            <sz val="9"/>
            <color indexed="81"/>
            <rFont val="Tahoma"/>
            <family val="2"/>
          </rPr>
          <t xml:space="preserve"> 20% : 12</t>
        </r>
        <r>
          <rPr>
            <b/>
            <sz val="9"/>
            <color indexed="81"/>
            <rFont val="돋움"/>
            <family val="3"/>
            <charset val="129"/>
          </rPr>
          <t>만불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G194" authorId="0" shapeId="0" xr:uid="{5C5C9D87-6F9A-4105-BB3A-7F09A153D11C}">
      <text>
        <r>
          <rPr>
            <b/>
            <sz val="9"/>
            <color indexed="81"/>
            <rFont val="돋움"/>
            <family val="3"/>
            <charset val="129"/>
          </rPr>
          <t>설계비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계약금</t>
        </r>
        <r>
          <rPr>
            <b/>
            <sz val="9"/>
            <color indexed="81"/>
            <rFont val="Tahoma"/>
            <family val="2"/>
          </rPr>
          <t>(20%)
 5.2</t>
        </r>
        <r>
          <rPr>
            <b/>
            <sz val="9"/>
            <color indexed="81"/>
            <rFont val="돋움"/>
            <family val="3"/>
            <charset val="129"/>
          </rPr>
          <t>만불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H194" authorId="0" shapeId="0" xr:uid="{5AF459DB-C453-4123-9F3D-64E46A437868}">
      <text>
        <r>
          <rPr>
            <b/>
            <sz val="9"/>
            <color indexed="81"/>
            <rFont val="Tahoma"/>
            <family val="2"/>
          </rPr>
          <t>MP</t>
        </r>
        <r>
          <rPr>
            <b/>
            <sz val="9"/>
            <color indexed="81"/>
            <rFont val="돋움"/>
            <family val="3"/>
            <charset val="129"/>
          </rPr>
          <t>용역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중도금</t>
        </r>
      </text>
    </comment>
    <comment ref="AJ194" authorId="0" shapeId="0" xr:uid="{55A5A7A5-DCFF-47C5-8846-106744CE8609}">
      <text>
        <r>
          <rPr>
            <b/>
            <sz val="9"/>
            <color indexed="81"/>
            <rFont val="돋움"/>
            <family val="3"/>
            <charset val="129"/>
          </rPr>
          <t>설계비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중도금</t>
        </r>
        <r>
          <rPr>
            <b/>
            <sz val="9"/>
            <color indexed="81"/>
            <rFont val="Tahoma"/>
            <family val="2"/>
          </rPr>
          <t>(40%)
10.4</t>
        </r>
        <r>
          <rPr>
            <b/>
            <sz val="9"/>
            <color indexed="81"/>
            <rFont val="돋움"/>
            <family val="3"/>
            <charset val="129"/>
          </rPr>
          <t>만불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O194" authorId="0" shapeId="0" xr:uid="{2B3C350E-93C3-40D9-BD91-7AAAEE960C6C}">
      <text>
        <r>
          <rPr>
            <b/>
            <sz val="9"/>
            <color indexed="81"/>
            <rFont val="돋움"/>
            <family val="3"/>
            <charset val="129"/>
          </rPr>
          <t>설계비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잔금</t>
        </r>
        <r>
          <rPr>
            <b/>
            <sz val="9"/>
            <color indexed="81"/>
            <rFont val="Tahoma"/>
            <family val="2"/>
          </rPr>
          <t>(10%)
2.6</t>
        </r>
        <r>
          <rPr>
            <b/>
            <sz val="9"/>
            <color indexed="81"/>
            <rFont val="돋움"/>
            <family val="3"/>
            <charset val="129"/>
          </rPr>
          <t>만불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P194" authorId="0" shapeId="0" xr:uid="{97262AAB-AF86-41AE-87A4-D3D8C200C569}">
      <text>
        <r>
          <rPr>
            <b/>
            <sz val="9"/>
            <color indexed="81"/>
            <rFont val="Tahoma"/>
            <family val="2"/>
          </rPr>
          <t>IPA</t>
        </r>
        <r>
          <rPr>
            <b/>
            <sz val="9"/>
            <color indexed="81"/>
            <rFont val="돋움"/>
            <family val="3"/>
            <charset val="129"/>
          </rPr>
          <t xml:space="preserve">승인시
</t>
        </r>
        <r>
          <rPr>
            <b/>
            <sz val="9"/>
            <color indexed="81"/>
            <rFont val="Tahoma"/>
            <family val="2"/>
          </rPr>
          <t>V</t>
        </r>
        <r>
          <rPr>
            <b/>
            <sz val="9"/>
            <color indexed="81"/>
            <rFont val="돋움"/>
            <family val="3"/>
            <charset val="129"/>
          </rPr>
          <t>그룹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용역비</t>
        </r>
        <r>
          <rPr>
            <b/>
            <sz val="9"/>
            <color indexed="81"/>
            <rFont val="Tahoma"/>
            <family val="2"/>
          </rPr>
          <t xml:space="preserve"> 30%</t>
        </r>
      </text>
    </comment>
    <comment ref="AW194" authorId="0" shapeId="0" xr:uid="{234CED4D-F4D1-458E-B4BE-927B5DA1B270}">
      <text>
        <r>
          <rPr>
            <b/>
            <sz val="9"/>
            <color indexed="81"/>
            <rFont val="Tahoma"/>
            <family val="2"/>
          </rPr>
          <t>IPA</t>
        </r>
        <r>
          <rPr>
            <b/>
            <sz val="9"/>
            <color indexed="81"/>
            <rFont val="돋움"/>
            <family val="3"/>
            <charset val="129"/>
          </rPr>
          <t xml:space="preserve">승인시
</t>
        </r>
        <r>
          <rPr>
            <b/>
            <sz val="9"/>
            <color indexed="81"/>
            <rFont val="Tahoma"/>
            <family val="2"/>
          </rPr>
          <t>V</t>
        </r>
        <r>
          <rPr>
            <b/>
            <sz val="9"/>
            <color indexed="81"/>
            <rFont val="돋움"/>
            <family val="3"/>
            <charset val="129"/>
          </rPr>
          <t>그룹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용역비</t>
        </r>
        <r>
          <rPr>
            <b/>
            <sz val="9"/>
            <color indexed="81"/>
            <rFont val="Tahoma"/>
            <family val="2"/>
          </rPr>
          <t xml:space="preserve"> 30%</t>
        </r>
      </text>
    </comment>
    <comment ref="AY194" authorId="0" shapeId="0" xr:uid="{8B8E8086-2712-4B39-A920-88BE55FF5884}">
      <text>
        <r>
          <rPr>
            <b/>
            <sz val="9"/>
            <color indexed="81"/>
            <rFont val="Tahoma"/>
            <family val="2"/>
          </rPr>
          <t>IPA</t>
        </r>
        <r>
          <rPr>
            <b/>
            <sz val="9"/>
            <color indexed="81"/>
            <rFont val="돋움"/>
            <family val="3"/>
            <charset val="129"/>
          </rPr>
          <t xml:space="preserve">승인시
</t>
        </r>
        <r>
          <rPr>
            <b/>
            <sz val="9"/>
            <color indexed="81"/>
            <rFont val="Tahoma"/>
            <family val="2"/>
          </rPr>
          <t>V</t>
        </r>
        <r>
          <rPr>
            <b/>
            <sz val="9"/>
            <color indexed="81"/>
            <rFont val="돋움"/>
            <family val="3"/>
            <charset val="129"/>
          </rPr>
          <t>그룹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용역비</t>
        </r>
        <r>
          <rPr>
            <b/>
            <sz val="9"/>
            <color indexed="81"/>
            <rFont val="Tahoma"/>
            <family val="2"/>
          </rPr>
          <t xml:space="preserve"> 30%</t>
        </r>
      </text>
    </comment>
    <comment ref="E196" authorId="5" shapeId="0" xr:uid="{652332B5-DE79-4594-B6B8-0D17B22A9897}">
      <text>
        <r>
          <rPr>
            <b/>
            <sz val="9"/>
            <color indexed="81"/>
            <rFont val="Tahoma"/>
            <family val="2"/>
          </rPr>
          <t>kim jun hyuk:</t>
        </r>
        <r>
          <rPr>
            <sz val="9"/>
            <color indexed="81"/>
            <rFont val="Tahoma"/>
            <family val="2"/>
          </rPr>
          <t xml:space="preserve">
=120070+207041*70%</t>
        </r>
      </text>
    </comment>
    <comment ref="AM196" authorId="0" shapeId="0" xr:uid="{FCC97768-7DB1-45A0-8832-FEA14D582E65}">
      <text>
        <r>
          <rPr>
            <b/>
            <sz val="9"/>
            <color indexed="81"/>
            <rFont val="돋움"/>
            <family val="3"/>
            <charset val="129"/>
          </rPr>
          <t>보증금</t>
        </r>
        <r>
          <rPr>
            <b/>
            <sz val="9"/>
            <color indexed="81"/>
            <rFont val="Tahoma"/>
            <family val="2"/>
          </rPr>
          <t xml:space="preserve">(5%) </t>
        </r>
        <r>
          <rPr>
            <b/>
            <sz val="9"/>
            <color indexed="81"/>
            <rFont val="돋움"/>
            <family val="3"/>
            <charset val="129"/>
          </rPr>
          <t xml:space="preserve">회수
</t>
        </r>
      </text>
    </comment>
    <comment ref="AN196" authorId="0" shapeId="0" xr:uid="{9B1D788D-80F9-4825-96FE-CEAC88674564}">
      <text>
        <r>
          <rPr>
            <b/>
            <sz val="9"/>
            <color indexed="81"/>
            <rFont val="돋움"/>
            <family val="3"/>
            <charset val="129"/>
          </rPr>
          <t>보증금</t>
        </r>
        <r>
          <rPr>
            <b/>
            <sz val="9"/>
            <color indexed="81"/>
            <rFont val="Tahoma"/>
            <family val="2"/>
          </rPr>
          <t xml:space="preserve">(5%) </t>
        </r>
        <r>
          <rPr>
            <b/>
            <sz val="9"/>
            <color indexed="81"/>
            <rFont val="돋움"/>
            <family val="3"/>
            <charset val="129"/>
          </rPr>
          <t xml:space="preserve">회수
</t>
        </r>
      </text>
    </comment>
    <comment ref="AO196" authorId="0" shapeId="0" xr:uid="{25A9BE61-0EC3-45B4-818A-2086B11ED430}">
      <text>
        <r>
          <rPr>
            <b/>
            <sz val="9"/>
            <color indexed="81"/>
            <rFont val="돋움"/>
            <family val="3"/>
            <charset val="129"/>
          </rPr>
          <t>보증금</t>
        </r>
        <r>
          <rPr>
            <b/>
            <sz val="9"/>
            <color indexed="81"/>
            <rFont val="Tahoma"/>
            <family val="2"/>
          </rPr>
          <t xml:space="preserve">(5%) </t>
        </r>
        <r>
          <rPr>
            <b/>
            <sz val="9"/>
            <color indexed="81"/>
            <rFont val="돋움"/>
            <family val="3"/>
            <charset val="129"/>
          </rPr>
          <t xml:space="preserve">회수
</t>
        </r>
      </text>
    </comment>
    <comment ref="AR196" authorId="1" shapeId="0" xr:uid="{E7ECEEA9-A83F-4B40-8938-F05C8D0FD5E3}">
      <text>
        <r>
          <rPr>
            <b/>
            <sz val="9"/>
            <color indexed="81"/>
            <rFont val="Tahoma"/>
            <family val="2"/>
          </rPr>
          <t>KB PARK: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보증금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반환
</t>
        </r>
        <r>
          <rPr>
            <sz val="9"/>
            <color indexed="81"/>
            <rFont val="Tahoma"/>
            <family val="2"/>
          </rPr>
          <t xml:space="preserve">(From </t>
        </r>
        <r>
          <rPr>
            <sz val="9"/>
            <color indexed="81"/>
            <rFont val="돋움"/>
            <family val="3"/>
            <charset val="129"/>
          </rPr>
          <t>태광비나</t>
        </r>
        <r>
          <rPr>
            <sz val="9"/>
            <color indexed="81"/>
            <rFont val="Tahoma"/>
            <family val="2"/>
          </rPr>
          <t>)</t>
        </r>
      </text>
    </comment>
    <comment ref="BR196" authorId="6" shapeId="0" xr:uid="{39C7B876-5A6B-4312-8C3F-933C2BC87FB7}">
      <text>
        <r>
          <rPr>
            <b/>
            <sz val="9"/>
            <color indexed="81"/>
            <rFont val="Tahoma"/>
            <family val="2"/>
          </rPr>
          <t xml:space="preserve">DECV BD3 Mr. Joo:
2027.05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12 </t>
        </r>
        <r>
          <rPr>
            <b/>
            <sz val="9"/>
            <color indexed="81"/>
            <rFont val="돋움"/>
            <family val="3"/>
            <charset val="129"/>
          </rPr>
          <t xml:space="preserve">변경
</t>
        </r>
        <r>
          <rPr>
            <b/>
            <sz val="9"/>
            <color indexed="81"/>
            <rFont val="Tahoma"/>
            <family val="2"/>
          </rPr>
          <t xml:space="preserve">1) spc </t>
        </r>
        <r>
          <rPr>
            <b/>
            <sz val="9"/>
            <color indexed="81"/>
            <rFont val="돋움"/>
            <family val="3"/>
            <charset val="129"/>
          </rPr>
          <t xml:space="preserve">배당전제
</t>
        </r>
        <r>
          <rPr>
            <b/>
            <sz val="9"/>
            <color indexed="81"/>
            <rFont val="Tahoma"/>
            <family val="2"/>
          </rPr>
          <t>2) 600</t>
        </r>
        <r>
          <rPr>
            <b/>
            <sz val="9"/>
            <color indexed="81"/>
            <rFont val="돋움"/>
            <family val="3"/>
            <charset val="129"/>
          </rPr>
          <t>은</t>
        </r>
        <r>
          <rPr>
            <b/>
            <sz val="9"/>
            <color indexed="81"/>
            <rFont val="Tahoma"/>
            <family val="2"/>
          </rPr>
          <t xml:space="preserve"> PM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전제</t>
        </r>
      </text>
    </comment>
    <comment ref="BW196" authorId="0" shapeId="0" xr:uid="{5C6BAB37-FF58-4773-95B3-FE63064A41EC}">
      <text>
        <r>
          <rPr>
            <b/>
            <sz val="9"/>
            <color indexed="81"/>
            <rFont val="Tahoma"/>
            <family val="2"/>
          </rPr>
          <t>LTPH 1</t>
        </r>
        <r>
          <rPr>
            <b/>
            <sz val="9"/>
            <color indexed="81"/>
            <rFont val="돋움"/>
            <family val="3"/>
            <charset val="129"/>
          </rPr>
          <t xml:space="preserve">차배당
</t>
        </r>
      </text>
    </comment>
    <comment ref="CE196" authorId="6" shapeId="0" xr:uid="{392559C5-488E-4247-9448-B57A563B1675}">
      <text>
        <r>
          <rPr>
            <b/>
            <sz val="9"/>
            <color indexed="81"/>
            <rFont val="Tahoma"/>
            <family val="2"/>
          </rPr>
          <t xml:space="preserve">DECV BD3 Mr. Joo:
2027.05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12 </t>
        </r>
        <r>
          <rPr>
            <b/>
            <sz val="9"/>
            <color indexed="81"/>
            <rFont val="돋움"/>
            <family val="3"/>
            <charset val="129"/>
          </rPr>
          <t xml:space="preserve">변경
</t>
        </r>
        <r>
          <rPr>
            <b/>
            <sz val="9"/>
            <color indexed="81"/>
            <rFont val="Tahoma"/>
            <family val="2"/>
          </rPr>
          <t xml:space="preserve">1) spc </t>
        </r>
        <r>
          <rPr>
            <b/>
            <sz val="9"/>
            <color indexed="81"/>
            <rFont val="돋움"/>
            <family val="3"/>
            <charset val="129"/>
          </rPr>
          <t xml:space="preserve">배당전제
</t>
        </r>
        <r>
          <rPr>
            <b/>
            <sz val="9"/>
            <color indexed="81"/>
            <rFont val="Tahoma"/>
            <family val="2"/>
          </rPr>
          <t>2) 600</t>
        </r>
        <r>
          <rPr>
            <b/>
            <sz val="9"/>
            <color indexed="81"/>
            <rFont val="돋움"/>
            <family val="3"/>
            <charset val="129"/>
          </rPr>
          <t>은</t>
        </r>
        <r>
          <rPr>
            <b/>
            <sz val="9"/>
            <color indexed="81"/>
            <rFont val="Tahoma"/>
            <family val="2"/>
          </rPr>
          <t xml:space="preserve"> PM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전제</t>
        </r>
      </text>
    </comment>
    <comment ref="CJ196" authorId="0" shapeId="0" xr:uid="{B39333EF-D802-4DC8-AC0F-8E5EE6FE4511}">
      <text>
        <r>
          <rPr>
            <b/>
            <sz val="9"/>
            <color indexed="81"/>
            <rFont val="Tahoma"/>
            <family val="2"/>
          </rPr>
          <t>LTPH 2</t>
        </r>
        <r>
          <rPr>
            <b/>
            <sz val="9"/>
            <color indexed="81"/>
            <rFont val="돋움"/>
            <family val="3"/>
            <charset val="129"/>
          </rPr>
          <t xml:space="preserve">차배당
</t>
        </r>
      </text>
    </comment>
    <comment ref="CR196" authorId="6" shapeId="0" xr:uid="{262D9C93-4EA4-4E15-8AD8-A9096B7326BF}">
      <text>
        <r>
          <rPr>
            <b/>
            <sz val="9"/>
            <color indexed="81"/>
            <rFont val="Tahoma"/>
            <family val="2"/>
          </rPr>
          <t xml:space="preserve">DECV BD3 Mr. Joo:
2027.05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12 </t>
        </r>
        <r>
          <rPr>
            <b/>
            <sz val="9"/>
            <color indexed="81"/>
            <rFont val="돋움"/>
            <family val="3"/>
            <charset val="129"/>
          </rPr>
          <t xml:space="preserve">변경
</t>
        </r>
        <r>
          <rPr>
            <b/>
            <sz val="9"/>
            <color indexed="81"/>
            <rFont val="Tahoma"/>
            <family val="2"/>
          </rPr>
          <t xml:space="preserve">1) spc </t>
        </r>
        <r>
          <rPr>
            <b/>
            <sz val="9"/>
            <color indexed="81"/>
            <rFont val="돋움"/>
            <family val="3"/>
            <charset val="129"/>
          </rPr>
          <t xml:space="preserve">배당전제
</t>
        </r>
        <r>
          <rPr>
            <b/>
            <sz val="9"/>
            <color indexed="81"/>
            <rFont val="Tahoma"/>
            <family val="2"/>
          </rPr>
          <t>2) 600</t>
        </r>
        <r>
          <rPr>
            <b/>
            <sz val="9"/>
            <color indexed="81"/>
            <rFont val="돋움"/>
            <family val="3"/>
            <charset val="129"/>
          </rPr>
          <t>은</t>
        </r>
        <r>
          <rPr>
            <b/>
            <sz val="9"/>
            <color indexed="81"/>
            <rFont val="Tahoma"/>
            <family val="2"/>
          </rPr>
          <t xml:space="preserve"> PM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전제</t>
        </r>
      </text>
    </comment>
    <comment ref="CW196" authorId="0" shapeId="0" xr:uid="{A3E2F1B6-C66A-4159-B347-9F2D7576CC81}">
      <text>
        <r>
          <rPr>
            <b/>
            <sz val="9"/>
            <color indexed="81"/>
            <rFont val="Tahoma"/>
            <family val="2"/>
          </rPr>
          <t>LTPH 2</t>
        </r>
        <r>
          <rPr>
            <b/>
            <sz val="9"/>
            <color indexed="81"/>
            <rFont val="돋움"/>
            <family val="3"/>
            <charset val="129"/>
          </rPr>
          <t xml:space="preserve">차배당
</t>
        </r>
      </text>
    </comment>
    <comment ref="DE196" authorId="6" shapeId="0" xr:uid="{2B9234FD-FAD3-4270-96AB-2CD6C8B5402F}">
      <text>
        <r>
          <rPr>
            <b/>
            <sz val="9"/>
            <color indexed="81"/>
            <rFont val="Tahoma"/>
            <family val="2"/>
          </rPr>
          <t xml:space="preserve">DECV BD3 Mr. Joo:
2027.05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12 </t>
        </r>
        <r>
          <rPr>
            <b/>
            <sz val="9"/>
            <color indexed="81"/>
            <rFont val="돋움"/>
            <family val="3"/>
            <charset val="129"/>
          </rPr>
          <t xml:space="preserve">변경
</t>
        </r>
        <r>
          <rPr>
            <b/>
            <sz val="9"/>
            <color indexed="81"/>
            <rFont val="Tahoma"/>
            <family val="2"/>
          </rPr>
          <t xml:space="preserve">1) spc </t>
        </r>
        <r>
          <rPr>
            <b/>
            <sz val="9"/>
            <color indexed="81"/>
            <rFont val="돋움"/>
            <family val="3"/>
            <charset val="129"/>
          </rPr>
          <t xml:space="preserve">배당전제
</t>
        </r>
        <r>
          <rPr>
            <b/>
            <sz val="9"/>
            <color indexed="81"/>
            <rFont val="Tahoma"/>
            <family val="2"/>
          </rPr>
          <t>2) 600</t>
        </r>
        <r>
          <rPr>
            <b/>
            <sz val="9"/>
            <color indexed="81"/>
            <rFont val="돋움"/>
            <family val="3"/>
            <charset val="129"/>
          </rPr>
          <t>은</t>
        </r>
        <r>
          <rPr>
            <b/>
            <sz val="9"/>
            <color indexed="81"/>
            <rFont val="Tahoma"/>
            <family val="2"/>
          </rPr>
          <t xml:space="preserve"> PM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전제</t>
        </r>
      </text>
    </comment>
    <comment ref="DG196" authorId="6" shapeId="0" xr:uid="{5A7542BC-FB69-404C-9265-07551A2AD14B}">
      <text>
        <r>
          <rPr>
            <b/>
            <sz val="9"/>
            <color indexed="81"/>
            <rFont val="Tahoma"/>
            <family val="2"/>
          </rPr>
          <t xml:space="preserve">KIM JUN HYUK::
</t>
        </r>
        <r>
          <rPr>
            <b/>
            <sz val="9"/>
            <color indexed="81"/>
            <rFont val="돋움"/>
            <family val="3"/>
            <charset val="129"/>
          </rPr>
          <t>빌라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부지용지매각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  <r>
          <rPr>
            <b/>
            <sz val="9"/>
            <color indexed="81"/>
            <rFont val="Tahoma"/>
            <family val="2"/>
          </rPr>
          <t xml:space="preserve"> X 60%
DECV BD3 Mr. Joo: (65,194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65,140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b/>
            <sz val="9"/>
            <color indexed="81"/>
            <rFont val="Tahoma"/>
            <family val="2"/>
          </rPr>
          <t xml:space="preserve">)
</t>
        </r>
      </text>
    </comment>
    <comment ref="Q197" authorId="0" shapeId="0" xr:uid="{FD07DEEE-0795-4B60-8FFE-DC61F0A6B532}">
      <text>
        <r>
          <rPr>
            <b/>
            <sz val="9"/>
            <color indexed="81"/>
            <rFont val="Tahoma"/>
            <family val="2"/>
          </rPr>
          <t xml:space="preserve">(2) PM </t>
        </r>
        <r>
          <rPr>
            <b/>
            <sz val="9"/>
            <color indexed="81"/>
            <rFont val="돋움"/>
            <family val="3"/>
            <charset val="129"/>
          </rPr>
          <t>출자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자본금</t>
        </r>
        <r>
          <rPr>
            <b/>
            <sz val="9"/>
            <color indexed="81"/>
            <rFont val="Tahoma"/>
            <family val="2"/>
          </rPr>
          <t xml:space="preserve"> 200</t>
        </r>
        <r>
          <rPr>
            <b/>
            <sz val="9"/>
            <color indexed="81"/>
            <rFont val="돋움"/>
            <family val="3"/>
            <charset val="129"/>
          </rPr>
          <t>억동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당사분</t>
        </r>
        <r>
          <rPr>
            <sz val="9"/>
            <color indexed="81"/>
            <rFont val="Tahoma"/>
            <family val="2"/>
          </rPr>
          <t xml:space="preserve"> 60% =120</t>
        </r>
        <r>
          <rPr>
            <sz val="9"/>
            <color indexed="81"/>
            <rFont val="돋움"/>
            <family val="3"/>
            <charset val="129"/>
          </rPr>
          <t>억동</t>
        </r>
        <r>
          <rPr>
            <sz val="9"/>
            <color indexed="81"/>
            <rFont val="Tahoma"/>
            <family val="2"/>
          </rPr>
          <t xml:space="preserve"> = 51</t>
        </r>
        <r>
          <rPr>
            <sz val="9"/>
            <color indexed="81"/>
            <rFont val="돋움"/>
            <family val="3"/>
            <charset val="129"/>
          </rPr>
          <t>만불</t>
        </r>
      </text>
    </comment>
    <comment ref="Y197" authorId="0" shapeId="0" xr:uid="{201F75D7-4D62-4926-89FC-332DAA3DBCAB}">
      <text>
        <r>
          <rPr>
            <b/>
            <sz val="9"/>
            <color indexed="81"/>
            <rFont val="Tahoma"/>
            <family val="2"/>
          </rPr>
          <t xml:space="preserve">(1) </t>
        </r>
        <r>
          <rPr>
            <b/>
            <sz val="9"/>
            <color indexed="81"/>
            <rFont val="돋움"/>
            <family val="3"/>
            <charset val="129"/>
          </rPr>
          <t>보증금</t>
        </r>
        <r>
          <rPr>
            <b/>
            <sz val="9"/>
            <color indexed="81"/>
            <rFont val="Tahoma"/>
            <family val="2"/>
          </rPr>
          <t xml:space="preserve"> 5%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 - 7800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$ * 5% = 390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$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 - PA+</t>
        </r>
        <r>
          <rPr>
            <b/>
            <sz val="9"/>
            <color indexed="81"/>
            <rFont val="돋움"/>
            <family val="3"/>
            <charset val="129"/>
          </rPr>
          <t>개발기한연장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전제
</t>
        </r>
      </text>
    </comment>
    <comment ref="AA197" authorId="0" shapeId="0" xr:uid="{5AF37A51-616B-4B80-88E0-07D0C23AB5EA}">
      <text>
        <r>
          <rPr>
            <b/>
            <sz val="9"/>
            <color indexed="81"/>
            <rFont val="Tahoma"/>
            <family val="2"/>
          </rPr>
          <t xml:space="preserve">(1) </t>
        </r>
        <r>
          <rPr>
            <b/>
            <sz val="9"/>
            <color indexed="81"/>
            <rFont val="돋움"/>
            <family val="3"/>
            <charset val="129"/>
          </rPr>
          <t>계약금</t>
        </r>
        <r>
          <rPr>
            <b/>
            <sz val="9"/>
            <color indexed="81"/>
            <rFont val="Tahoma"/>
            <family val="2"/>
          </rPr>
          <t xml:space="preserve"> 5%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 - 7800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$ * 5% = 390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$
 - EPA+PTA</t>
        </r>
        <r>
          <rPr>
            <b/>
            <sz val="9"/>
            <color indexed="81"/>
            <rFont val="돋움"/>
            <family val="3"/>
            <charset val="129"/>
          </rPr>
          <t>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전제</t>
        </r>
      </text>
    </comment>
    <comment ref="AD197" authorId="0" shapeId="0" xr:uid="{E4AE43E0-E5F0-4FFD-BD41-24BB789D1404}">
      <text>
        <r>
          <rPr>
            <b/>
            <sz val="9"/>
            <color indexed="81"/>
            <rFont val="Tahoma"/>
            <family val="2"/>
          </rPr>
          <t xml:space="preserve">(1) </t>
        </r>
        <r>
          <rPr>
            <b/>
            <sz val="9"/>
            <color indexed="81"/>
            <rFont val="돋움"/>
            <family val="3"/>
            <charset val="129"/>
          </rPr>
          <t>계약금</t>
        </r>
        <r>
          <rPr>
            <b/>
            <sz val="9"/>
            <color indexed="81"/>
            <rFont val="Tahoma"/>
            <family val="2"/>
          </rPr>
          <t xml:space="preserve"> 5%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 - 7800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$ * 5% = 390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$
 - EPA+PTA</t>
        </r>
        <r>
          <rPr>
            <b/>
            <sz val="9"/>
            <color indexed="81"/>
            <rFont val="돋움"/>
            <family val="3"/>
            <charset val="129"/>
          </rPr>
          <t>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전제</t>
        </r>
      </text>
    </comment>
    <comment ref="AE197" authorId="0" shapeId="0" xr:uid="{B0DD8F83-4309-48AF-98E9-A244F052D273}">
      <text>
        <r>
          <rPr>
            <b/>
            <sz val="9"/>
            <color indexed="81"/>
            <rFont val="Tahoma"/>
            <family val="2"/>
          </rPr>
          <t xml:space="preserve">(1) </t>
        </r>
        <r>
          <rPr>
            <b/>
            <sz val="9"/>
            <color indexed="81"/>
            <rFont val="돋움"/>
            <family val="3"/>
            <charset val="129"/>
          </rPr>
          <t>계약금</t>
        </r>
        <r>
          <rPr>
            <b/>
            <sz val="9"/>
            <color indexed="81"/>
            <rFont val="Tahoma"/>
            <family val="2"/>
          </rPr>
          <t xml:space="preserve"> 5%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 - 7800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$ * 5% = 390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$
 - EPA+PTA</t>
        </r>
        <r>
          <rPr>
            <b/>
            <sz val="9"/>
            <color indexed="81"/>
            <rFont val="돋움"/>
            <family val="3"/>
            <charset val="129"/>
          </rPr>
          <t>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전제</t>
        </r>
      </text>
    </comment>
    <comment ref="AR197" authorId="1" shapeId="0" xr:uid="{24E2EDA6-36DE-4291-81BE-F21B0A556D73}">
      <text>
        <r>
          <rPr>
            <b/>
            <sz val="9"/>
            <color indexed="81"/>
            <rFont val="Tahoma"/>
            <family val="2"/>
          </rPr>
          <t>KB PARK: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년짝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사업법인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유상증자</t>
        </r>
      </text>
    </comment>
    <comment ref="AX197" authorId="1" shapeId="0" xr:uid="{7C73C4CD-AE91-43A1-9325-29F80642CB00}">
      <text>
        <r>
          <rPr>
            <b/>
            <sz val="9"/>
            <color indexed="81"/>
            <rFont val="Tahoma"/>
            <family val="2"/>
          </rPr>
          <t>KB PARK: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대여금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차</t>
        </r>
      </text>
    </comment>
    <comment ref="AY197" authorId="1" shapeId="0" xr:uid="{98C6F129-C974-40BB-B231-9C5FAF613364}">
      <text>
        <r>
          <rPr>
            <b/>
            <sz val="9"/>
            <color indexed="81"/>
            <rFont val="Tahoma"/>
            <family val="2"/>
          </rPr>
          <t>KB PARK: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대여금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차</t>
        </r>
      </text>
    </comment>
    <comment ref="E200" authorId="5" shapeId="0" xr:uid="{173B4826-A834-48F6-A2DC-1F0D62739A49}">
      <text>
        <r>
          <rPr>
            <b/>
            <sz val="9"/>
            <color indexed="81"/>
            <rFont val="Tahoma"/>
            <family val="2"/>
          </rPr>
          <t>kim jun hyuk:</t>
        </r>
        <r>
          <rPr>
            <sz val="9"/>
            <color indexed="81"/>
            <rFont val="Tahoma"/>
            <family val="2"/>
          </rPr>
          <t xml:space="preserve">
=120070+207041*70%</t>
        </r>
      </text>
    </comment>
    <comment ref="AP201" authorId="0" shapeId="0" xr:uid="{F7328B7C-CD35-4842-A688-C5F050EE87C6}">
      <text>
        <r>
          <rPr>
            <b/>
            <sz val="9"/>
            <color indexed="81"/>
            <rFont val="돋움"/>
            <family val="3"/>
            <charset val="129"/>
          </rPr>
          <t>토지대금</t>
        </r>
        <r>
          <rPr>
            <b/>
            <sz val="9"/>
            <color indexed="81"/>
            <rFont val="Tahoma"/>
            <family val="2"/>
          </rPr>
          <t xml:space="preserve"> 10%
(DA)</t>
        </r>
      </text>
    </comment>
    <comment ref="AX201" authorId="0" shapeId="0" xr:uid="{CE866AB8-3AB6-42EA-B811-BC2F7FE54FD0}">
      <text>
        <r>
          <rPr>
            <b/>
            <sz val="9"/>
            <color indexed="81"/>
            <rFont val="돋움"/>
            <family val="3"/>
            <charset val="129"/>
          </rPr>
          <t>토지대금</t>
        </r>
        <r>
          <rPr>
            <b/>
            <sz val="9"/>
            <color indexed="81"/>
            <rFont val="Tahoma"/>
            <family val="2"/>
          </rPr>
          <t xml:space="preserve"> 10%
(DA)</t>
        </r>
      </text>
    </comment>
    <comment ref="AZ201" authorId="0" shapeId="0" xr:uid="{583A2621-C4CA-484D-8BF1-2A46FA98FDE5}">
      <text>
        <r>
          <rPr>
            <b/>
            <sz val="9"/>
            <color indexed="81"/>
            <rFont val="Tahoma"/>
            <family val="2"/>
          </rPr>
          <t>PTA</t>
        </r>
        <r>
          <rPr>
            <b/>
            <sz val="9"/>
            <color indexed="81"/>
            <rFont val="돋움"/>
            <family val="3"/>
            <charset val="129"/>
          </rPr>
          <t>승인</t>
        </r>
        <r>
          <rPr>
            <b/>
            <sz val="9"/>
            <color indexed="81"/>
            <rFont val="Tahoma"/>
            <family val="2"/>
          </rPr>
          <t xml:space="preserve">,
</t>
        </r>
        <r>
          <rPr>
            <b/>
            <sz val="9"/>
            <color indexed="81"/>
            <rFont val="돋움"/>
            <family val="3"/>
            <charset val="129"/>
          </rPr>
          <t>토자잔금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납무</t>
        </r>
      </text>
    </comment>
    <comment ref="BC201" authorId="0" shapeId="0" xr:uid="{5BEA124D-198D-4DF8-A836-8E083B862A78}">
      <text>
        <r>
          <rPr>
            <b/>
            <sz val="9"/>
            <color indexed="81"/>
            <rFont val="돋움"/>
            <family val="3"/>
            <charset val="129"/>
          </rPr>
          <t>토지매입</t>
        </r>
        <r>
          <rPr>
            <b/>
            <sz val="9"/>
            <color indexed="81"/>
            <rFont val="Tahoma"/>
            <family val="2"/>
          </rPr>
          <t xml:space="preserve"> 50%
LURC</t>
        </r>
      </text>
    </comment>
    <comment ref="BD201" authorId="0" shapeId="0" xr:uid="{0EF8389E-3BC5-41F7-9C80-C6FAF51CEE57}">
      <text>
        <r>
          <rPr>
            <b/>
            <sz val="9"/>
            <color indexed="81"/>
            <rFont val="돋움"/>
            <family val="3"/>
            <charset val="129"/>
          </rPr>
          <t>토지매입</t>
        </r>
        <r>
          <rPr>
            <b/>
            <sz val="9"/>
            <color indexed="81"/>
            <rFont val="Tahoma"/>
            <family val="2"/>
          </rPr>
          <t xml:space="preserve"> 50%
LURC</t>
        </r>
      </text>
    </comment>
    <comment ref="BE201" authorId="0" shapeId="0" xr:uid="{7D61B1AC-582B-4306-AB0A-7AACC1688B84}">
      <text>
        <r>
          <rPr>
            <b/>
            <sz val="9"/>
            <color indexed="81"/>
            <rFont val="돋움"/>
            <family val="3"/>
            <charset val="129"/>
          </rPr>
          <t>토지매입</t>
        </r>
        <r>
          <rPr>
            <b/>
            <sz val="9"/>
            <color indexed="81"/>
            <rFont val="Tahoma"/>
            <family val="2"/>
          </rPr>
          <t xml:space="preserve"> 50%
LURC</t>
        </r>
      </text>
    </comment>
    <comment ref="BJ201" authorId="0" shapeId="0" xr:uid="{44815547-D194-40A9-9B6E-FBCD9A951C25}">
      <text>
        <r>
          <rPr>
            <b/>
            <sz val="9"/>
            <color indexed="81"/>
            <rFont val="Tahoma"/>
            <family val="2"/>
          </rPr>
          <t>PTA</t>
        </r>
        <r>
          <rPr>
            <b/>
            <sz val="9"/>
            <color indexed="81"/>
            <rFont val="돋움"/>
            <family val="3"/>
            <charset val="129"/>
          </rPr>
          <t>승인</t>
        </r>
        <r>
          <rPr>
            <b/>
            <sz val="9"/>
            <color indexed="81"/>
            <rFont val="Tahoma"/>
            <family val="2"/>
          </rPr>
          <t xml:space="preserve">,
</t>
        </r>
        <r>
          <rPr>
            <b/>
            <sz val="9"/>
            <color indexed="81"/>
            <rFont val="돋움"/>
            <family val="3"/>
            <charset val="129"/>
          </rPr>
          <t>토자잔금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납무</t>
        </r>
      </text>
    </comment>
    <comment ref="E204" authorId="5" shapeId="0" xr:uid="{ADAFA064-669F-40C4-9506-F6644B5A7F2B}">
      <text>
        <r>
          <rPr>
            <b/>
            <sz val="9"/>
            <color indexed="81"/>
            <rFont val="Tahoma"/>
            <family val="2"/>
          </rPr>
          <t>kim jun hyuk:</t>
        </r>
        <r>
          <rPr>
            <sz val="9"/>
            <color indexed="81"/>
            <rFont val="Tahoma"/>
            <family val="2"/>
          </rPr>
          <t xml:space="preserve">
=120070+207041*70%</t>
        </r>
      </text>
    </comment>
    <comment ref="AC205" authorId="0" shapeId="0" xr:uid="{09AB9196-1BBF-4D76-8DB6-17A1F1A5795E}">
      <text>
        <r>
          <rPr>
            <b/>
            <sz val="9"/>
            <color indexed="81"/>
            <rFont val="Tahoma"/>
            <family val="2"/>
          </rPr>
          <t>Eq</t>
        </r>
        <r>
          <rPr>
            <b/>
            <sz val="9"/>
            <color indexed="81"/>
            <rFont val="돋움"/>
            <family val="3"/>
            <charset val="129"/>
          </rPr>
          <t xml:space="preserve">출자금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지분율</t>
        </r>
        <r>
          <rPr>
            <b/>
            <sz val="9"/>
            <color indexed="81"/>
            <rFont val="Tahoma"/>
            <family val="2"/>
          </rPr>
          <t>51%)</t>
        </r>
      </text>
    </comment>
    <comment ref="AD205" authorId="0" shapeId="0" xr:uid="{E9F48E51-A2AB-4DE6-8EBF-02A7C631F0A8}">
      <text>
        <r>
          <rPr>
            <b/>
            <sz val="9"/>
            <color indexed="81"/>
            <rFont val="Tahoma"/>
            <family val="2"/>
          </rPr>
          <t>Eq</t>
        </r>
        <r>
          <rPr>
            <b/>
            <sz val="9"/>
            <color indexed="81"/>
            <rFont val="돋움"/>
            <family val="3"/>
            <charset val="129"/>
          </rPr>
          <t xml:space="preserve">출자금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지분율</t>
        </r>
        <r>
          <rPr>
            <b/>
            <sz val="9"/>
            <color indexed="81"/>
            <rFont val="Tahoma"/>
            <family val="2"/>
          </rPr>
          <t>51%)</t>
        </r>
      </text>
    </comment>
    <comment ref="AE205" authorId="0" shapeId="0" xr:uid="{0A419F66-2C9D-445B-9C43-D42ED91D5E2D}">
      <text>
        <r>
          <rPr>
            <b/>
            <sz val="9"/>
            <color indexed="81"/>
            <rFont val="Tahoma"/>
            <family val="2"/>
          </rPr>
          <t>Eq</t>
        </r>
        <r>
          <rPr>
            <b/>
            <sz val="9"/>
            <color indexed="81"/>
            <rFont val="돋움"/>
            <family val="3"/>
            <charset val="129"/>
          </rPr>
          <t xml:space="preserve">출자금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지분율</t>
        </r>
        <r>
          <rPr>
            <b/>
            <sz val="9"/>
            <color indexed="81"/>
            <rFont val="Tahoma"/>
            <family val="2"/>
          </rPr>
          <t>51%)</t>
        </r>
      </text>
    </comment>
    <comment ref="AI205" authorId="0" shapeId="0" xr:uid="{2739C96F-D8D3-4B45-A3EA-0E2117C4B489}">
      <text>
        <r>
          <rPr>
            <b/>
            <sz val="9"/>
            <color indexed="81"/>
            <rFont val="Tahoma"/>
            <family val="2"/>
          </rPr>
          <t>Eq</t>
        </r>
        <r>
          <rPr>
            <b/>
            <sz val="9"/>
            <color indexed="81"/>
            <rFont val="돋움"/>
            <family val="3"/>
            <charset val="129"/>
          </rPr>
          <t>출자금</t>
        </r>
        <r>
          <rPr>
            <b/>
            <sz val="9"/>
            <color indexed="81"/>
            <rFont val="Tahoma"/>
            <family val="2"/>
          </rPr>
          <t>*20%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지분율</t>
        </r>
        <r>
          <rPr>
            <b/>
            <sz val="9"/>
            <color indexed="81"/>
            <rFont val="Tahoma"/>
            <family val="2"/>
          </rPr>
          <t>36%)</t>
        </r>
      </text>
    </comment>
    <comment ref="AK205" authorId="0" shapeId="0" xr:uid="{7729DB45-6460-470E-8272-80771B79C00A}">
      <text>
        <r>
          <rPr>
            <b/>
            <sz val="9"/>
            <color indexed="81"/>
            <rFont val="Tahoma"/>
            <family val="2"/>
          </rPr>
          <t>DAEWOO: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출자금</t>
        </r>
        <r>
          <rPr>
            <sz val="9"/>
            <color indexed="81"/>
            <rFont val="Tahoma"/>
            <family val="2"/>
          </rPr>
          <t xml:space="preserve"> 30%</t>
        </r>
      </text>
    </comment>
    <comment ref="AP205" authorId="1" shapeId="0" xr:uid="{DCC1B191-E0EA-4F78-9463-8B6A7003294F}">
      <text>
        <r>
          <rPr>
            <b/>
            <sz val="9"/>
            <color indexed="81"/>
            <rFont val="돋움"/>
            <family val="3"/>
            <charset val="129"/>
          </rPr>
          <t>타이빙</t>
        </r>
        <r>
          <rPr>
            <b/>
            <sz val="9"/>
            <color indexed="81"/>
            <rFont val="Tahoma"/>
            <family val="2"/>
          </rPr>
          <t xml:space="preserve">PJ
ZUP </t>
        </r>
        <r>
          <rPr>
            <b/>
            <sz val="9"/>
            <color indexed="81"/>
            <rFont val="돋움"/>
            <family val="3"/>
            <charset val="129"/>
          </rPr>
          <t>대여금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>지분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취득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전환</t>
        </r>
      </text>
    </comment>
    <comment ref="Z206" authorId="7" shapeId="0" xr:uid="{F68B936F-1F82-41C2-8633-480153A65483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DECV - Venture North</t>
        </r>
      </text>
    </comment>
    <comment ref="AA206" authorId="7" shapeId="0" xr:uid="{43A77880-2B42-40A0-8994-643C49C3A363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DECV - xxx</t>
        </r>
      </text>
    </comment>
    <comment ref="AB206" authorId="7" shapeId="0" xr:uid="{2B505901-17D1-4748-ACA3-D1F165868D63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DECV - Consultant</t>
        </r>
      </text>
    </comment>
    <comment ref="AC206" authorId="7" shapeId="0" xr:uid="{7C00E058-561F-4CF2-A185-449FB343E284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투자심의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자료</t>
        </r>
        <r>
          <rPr>
            <sz val="9"/>
            <color indexed="81"/>
            <rFont val="Tahoma"/>
            <family val="2"/>
          </rPr>
          <t xml:space="preserve">: 
</t>
        </r>
        <r>
          <rPr>
            <sz val="9"/>
            <color indexed="81"/>
            <rFont val="돋움"/>
            <family val="3"/>
            <charset val="129"/>
          </rPr>
          <t>시장조사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설계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법무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각종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제안서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분양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마케팅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시장분석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법적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미정</t>
        </r>
      </text>
    </comment>
    <comment ref="AD206" authorId="7" shapeId="0" xr:uid="{3C2EDE72-0602-4129-8E39-28AEFA34549C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투자심의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자료</t>
        </r>
        <r>
          <rPr>
            <sz val="9"/>
            <color indexed="81"/>
            <rFont val="Tahoma"/>
            <family val="2"/>
          </rPr>
          <t xml:space="preserve">: 
</t>
        </r>
        <r>
          <rPr>
            <sz val="9"/>
            <color indexed="81"/>
            <rFont val="돋움"/>
            <family val="3"/>
            <charset val="129"/>
          </rPr>
          <t>시장조사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설계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법무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각종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제안서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분양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마케팅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시장분석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법적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미정</t>
        </r>
      </text>
    </comment>
    <comment ref="AE206" authorId="7" shapeId="0" xr:uid="{1F2833A3-DF94-4C5C-B776-4BD967B02E5A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DECV - Consultant</t>
        </r>
      </text>
    </comment>
    <comment ref="E208" authorId="5" shapeId="0" xr:uid="{A18540CA-8FD3-4548-889B-501DC60851A0}">
      <text>
        <r>
          <rPr>
            <b/>
            <sz val="9"/>
            <color indexed="81"/>
            <rFont val="Tahoma"/>
            <family val="2"/>
          </rPr>
          <t>kim jun hyuk:</t>
        </r>
        <r>
          <rPr>
            <sz val="9"/>
            <color indexed="81"/>
            <rFont val="Tahoma"/>
            <family val="2"/>
          </rPr>
          <t xml:space="preserve">
=120070+207041*70%</t>
        </r>
      </text>
    </comment>
    <comment ref="AC209" authorId="0" shapeId="0" xr:uid="{10639A33-2AA4-469E-A91C-0D684822C363}">
      <text>
        <r>
          <rPr>
            <b/>
            <sz val="9"/>
            <color indexed="81"/>
            <rFont val="Tahoma"/>
            <family val="2"/>
          </rPr>
          <t>Eq</t>
        </r>
        <r>
          <rPr>
            <b/>
            <sz val="9"/>
            <color indexed="81"/>
            <rFont val="돋움"/>
            <family val="3"/>
            <charset val="129"/>
          </rPr>
          <t xml:space="preserve">출자금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지분율</t>
        </r>
        <r>
          <rPr>
            <b/>
            <sz val="9"/>
            <color indexed="81"/>
            <rFont val="Tahoma"/>
            <family val="2"/>
          </rPr>
          <t>51%)</t>
        </r>
      </text>
    </comment>
    <comment ref="AD209" authorId="0" shapeId="0" xr:uid="{55922DCC-DCB4-4B1C-9E40-6514E1FE93C4}">
      <text>
        <r>
          <rPr>
            <b/>
            <sz val="9"/>
            <color indexed="81"/>
            <rFont val="Tahoma"/>
            <family val="2"/>
          </rPr>
          <t>Eq</t>
        </r>
        <r>
          <rPr>
            <b/>
            <sz val="9"/>
            <color indexed="81"/>
            <rFont val="돋움"/>
            <family val="3"/>
            <charset val="129"/>
          </rPr>
          <t xml:space="preserve">출자금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지분율</t>
        </r>
        <r>
          <rPr>
            <b/>
            <sz val="9"/>
            <color indexed="81"/>
            <rFont val="Tahoma"/>
            <family val="2"/>
          </rPr>
          <t>51%)</t>
        </r>
      </text>
    </comment>
    <comment ref="AE209" authorId="0" shapeId="0" xr:uid="{579D933F-4ED3-44E1-A84D-CE1F45E04418}">
      <text>
        <r>
          <rPr>
            <b/>
            <sz val="9"/>
            <color indexed="81"/>
            <rFont val="Tahoma"/>
            <family val="2"/>
          </rPr>
          <t>Eq</t>
        </r>
        <r>
          <rPr>
            <b/>
            <sz val="9"/>
            <color indexed="81"/>
            <rFont val="돋움"/>
            <family val="3"/>
            <charset val="129"/>
          </rPr>
          <t xml:space="preserve">출자금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지분율</t>
        </r>
        <r>
          <rPr>
            <b/>
            <sz val="9"/>
            <color indexed="81"/>
            <rFont val="Tahoma"/>
            <family val="2"/>
          </rPr>
          <t>51%)</t>
        </r>
      </text>
    </comment>
    <comment ref="AI209" authorId="0" shapeId="0" xr:uid="{5F559D19-691A-4FFF-AD05-06C44FD601E0}">
      <text>
        <r>
          <rPr>
            <b/>
            <sz val="9"/>
            <color indexed="81"/>
            <rFont val="Tahoma"/>
            <family val="2"/>
          </rPr>
          <t>Eq</t>
        </r>
        <r>
          <rPr>
            <b/>
            <sz val="9"/>
            <color indexed="81"/>
            <rFont val="돋움"/>
            <family val="3"/>
            <charset val="129"/>
          </rPr>
          <t>출자금</t>
        </r>
        <r>
          <rPr>
            <b/>
            <sz val="9"/>
            <color indexed="81"/>
            <rFont val="Tahoma"/>
            <family val="2"/>
          </rPr>
          <t>*20%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지분율</t>
        </r>
        <r>
          <rPr>
            <b/>
            <sz val="9"/>
            <color indexed="81"/>
            <rFont val="Tahoma"/>
            <family val="2"/>
          </rPr>
          <t>36%)</t>
        </r>
      </text>
    </comment>
    <comment ref="AK209" authorId="0" shapeId="0" xr:uid="{2A928BD7-E271-46C5-AF95-38E4C1E77789}">
      <text>
        <r>
          <rPr>
            <b/>
            <sz val="9"/>
            <color indexed="81"/>
            <rFont val="Tahoma"/>
            <family val="2"/>
          </rPr>
          <t>DAEWOO: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출자금</t>
        </r>
        <r>
          <rPr>
            <sz val="9"/>
            <color indexed="81"/>
            <rFont val="Tahoma"/>
            <family val="2"/>
          </rPr>
          <t xml:space="preserve"> 30%</t>
        </r>
      </text>
    </comment>
    <comment ref="AP209" authorId="1" shapeId="0" xr:uid="{8E8E3C61-8423-4A22-B584-7EFE21942CD0}">
      <text>
        <r>
          <rPr>
            <b/>
            <sz val="9"/>
            <color indexed="81"/>
            <rFont val="돋움"/>
            <family val="3"/>
            <charset val="129"/>
          </rPr>
          <t>타이빙</t>
        </r>
        <r>
          <rPr>
            <b/>
            <sz val="9"/>
            <color indexed="81"/>
            <rFont val="Tahoma"/>
            <family val="2"/>
          </rPr>
          <t xml:space="preserve">PJ
ZUP </t>
        </r>
        <r>
          <rPr>
            <b/>
            <sz val="9"/>
            <color indexed="81"/>
            <rFont val="돋움"/>
            <family val="3"/>
            <charset val="129"/>
          </rPr>
          <t>대여금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>지분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취득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전환</t>
        </r>
      </text>
    </comment>
    <comment ref="Z210" authorId="7" shapeId="0" xr:uid="{E6245F49-B1F1-4973-ACAE-68D433905DD8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DECV - Venture North</t>
        </r>
      </text>
    </comment>
    <comment ref="AA210" authorId="7" shapeId="0" xr:uid="{CFD9C51E-3BEA-486D-996A-C8E0DC17BD1B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DECV - xxx</t>
        </r>
      </text>
    </comment>
    <comment ref="AB210" authorId="7" shapeId="0" xr:uid="{E274401C-ABE1-4076-B8AB-0DE98FFBE670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DECV - Consultant</t>
        </r>
      </text>
    </comment>
    <comment ref="AC210" authorId="7" shapeId="0" xr:uid="{9939A613-53FA-4333-9C7F-6223170796E0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투자심의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자료</t>
        </r>
        <r>
          <rPr>
            <sz val="9"/>
            <color indexed="81"/>
            <rFont val="Tahoma"/>
            <family val="2"/>
          </rPr>
          <t xml:space="preserve">: 
</t>
        </r>
        <r>
          <rPr>
            <sz val="9"/>
            <color indexed="81"/>
            <rFont val="돋움"/>
            <family val="3"/>
            <charset val="129"/>
          </rPr>
          <t>시장조사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설계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법무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각종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제안서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분양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마케팅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시장분석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법적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미정</t>
        </r>
      </text>
    </comment>
    <comment ref="AD210" authorId="7" shapeId="0" xr:uid="{5A19581C-774C-48BB-B9E6-6396FF079545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투자심의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자료</t>
        </r>
        <r>
          <rPr>
            <sz val="9"/>
            <color indexed="81"/>
            <rFont val="Tahoma"/>
            <family val="2"/>
          </rPr>
          <t xml:space="preserve">: 
</t>
        </r>
        <r>
          <rPr>
            <sz val="9"/>
            <color indexed="81"/>
            <rFont val="돋움"/>
            <family val="3"/>
            <charset val="129"/>
          </rPr>
          <t>시장조사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설계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법무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각종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제안서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분양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마케팅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시장분석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법적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미정</t>
        </r>
      </text>
    </comment>
    <comment ref="AE210" authorId="7" shapeId="0" xr:uid="{41614ABF-8E0B-4A16-AA87-86F15116A585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DECV - Consultant</t>
        </r>
      </text>
    </comment>
    <comment ref="E212" authorId="5" shapeId="0" xr:uid="{0D54DFBD-9EDE-4D9F-8BBC-49B2E18440B6}">
      <text>
        <r>
          <rPr>
            <b/>
            <sz val="9"/>
            <color indexed="81"/>
            <rFont val="Tahoma"/>
            <family val="2"/>
          </rPr>
          <t>kim jun hyuk:</t>
        </r>
        <r>
          <rPr>
            <sz val="9"/>
            <color indexed="81"/>
            <rFont val="Tahoma"/>
            <family val="2"/>
          </rPr>
          <t xml:space="preserve">
=120070+207041*70%</t>
        </r>
      </text>
    </comment>
    <comment ref="AC213" authorId="0" shapeId="0" xr:uid="{E1E08A7D-A7CC-4E49-A960-641A5BDD57C6}">
      <text>
        <r>
          <rPr>
            <b/>
            <sz val="9"/>
            <color indexed="81"/>
            <rFont val="Tahoma"/>
            <family val="2"/>
          </rPr>
          <t>Eq</t>
        </r>
        <r>
          <rPr>
            <b/>
            <sz val="9"/>
            <color indexed="81"/>
            <rFont val="돋움"/>
            <family val="3"/>
            <charset val="129"/>
          </rPr>
          <t xml:space="preserve">출자금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지분율</t>
        </r>
        <r>
          <rPr>
            <b/>
            <sz val="9"/>
            <color indexed="81"/>
            <rFont val="Tahoma"/>
            <family val="2"/>
          </rPr>
          <t>51%)</t>
        </r>
      </text>
    </comment>
    <comment ref="AD213" authorId="0" shapeId="0" xr:uid="{DD6D3D9A-A09F-4422-A4DF-A7AAD4E6DA21}">
      <text>
        <r>
          <rPr>
            <b/>
            <sz val="9"/>
            <color indexed="81"/>
            <rFont val="Tahoma"/>
            <family val="2"/>
          </rPr>
          <t>Eq</t>
        </r>
        <r>
          <rPr>
            <b/>
            <sz val="9"/>
            <color indexed="81"/>
            <rFont val="돋움"/>
            <family val="3"/>
            <charset val="129"/>
          </rPr>
          <t xml:space="preserve">출자금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지분율</t>
        </r>
        <r>
          <rPr>
            <b/>
            <sz val="9"/>
            <color indexed="81"/>
            <rFont val="Tahoma"/>
            <family val="2"/>
          </rPr>
          <t>51%)</t>
        </r>
      </text>
    </comment>
    <comment ref="AE213" authorId="0" shapeId="0" xr:uid="{10D11D6E-C87D-489F-8A05-219BB47D0E1D}">
      <text>
        <r>
          <rPr>
            <b/>
            <sz val="9"/>
            <color indexed="81"/>
            <rFont val="Tahoma"/>
            <family val="2"/>
          </rPr>
          <t>Eq</t>
        </r>
        <r>
          <rPr>
            <b/>
            <sz val="9"/>
            <color indexed="81"/>
            <rFont val="돋움"/>
            <family val="3"/>
            <charset val="129"/>
          </rPr>
          <t xml:space="preserve">출자금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지분율</t>
        </r>
        <r>
          <rPr>
            <b/>
            <sz val="9"/>
            <color indexed="81"/>
            <rFont val="Tahoma"/>
            <family val="2"/>
          </rPr>
          <t>51%)</t>
        </r>
      </text>
    </comment>
    <comment ref="AI213" authorId="0" shapeId="0" xr:uid="{36223031-0D9A-43BB-B568-CC8F7F3EF97D}">
      <text>
        <r>
          <rPr>
            <b/>
            <sz val="9"/>
            <color indexed="81"/>
            <rFont val="Tahoma"/>
            <family val="2"/>
          </rPr>
          <t>Eq</t>
        </r>
        <r>
          <rPr>
            <b/>
            <sz val="9"/>
            <color indexed="81"/>
            <rFont val="돋움"/>
            <family val="3"/>
            <charset val="129"/>
          </rPr>
          <t>출자금</t>
        </r>
        <r>
          <rPr>
            <b/>
            <sz val="9"/>
            <color indexed="81"/>
            <rFont val="Tahoma"/>
            <family val="2"/>
          </rPr>
          <t>*20%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지분율</t>
        </r>
        <r>
          <rPr>
            <b/>
            <sz val="9"/>
            <color indexed="81"/>
            <rFont val="Tahoma"/>
            <family val="2"/>
          </rPr>
          <t>36%)</t>
        </r>
      </text>
    </comment>
    <comment ref="AK213" authorId="0" shapeId="0" xr:uid="{A29A40BD-E0FA-4CA5-AF46-9E3647C63C14}">
      <text>
        <r>
          <rPr>
            <b/>
            <sz val="9"/>
            <color indexed="81"/>
            <rFont val="Tahoma"/>
            <family val="2"/>
          </rPr>
          <t>DAEWOO: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출자금</t>
        </r>
        <r>
          <rPr>
            <sz val="9"/>
            <color indexed="81"/>
            <rFont val="Tahoma"/>
            <family val="2"/>
          </rPr>
          <t xml:space="preserve"> 30%</t>
        </r>
      </text>
    </comment>
    <comment ref="AP213" authorId="1" shapeId="0" xr:uid="{CAE5DFC7-BA92-424F-8EE6-E4C9D89C9CC7}">
      <text>
        <r>
          <rPr>
            <b/>
            <sz val="9"/>
            <color indexed="81"/>
            <rFont val="돋움"/>
            <family val="3"/>
            <charset val="129"/>
          </rPr>
          <t>타이빙</t>
        </r>
        <r>
          <rPr>
            <b/>
            <sz val="9"/>
            <color indexed="81"/>
            <rFont val="Tahoma"/>
            <family val="2"/>
          </rPr>
          <t xml:space="preserve">PJ
ZUP </t>
        </r>
        <r>
          <rPr>
            <b/>
            <sz val="9"/>
            <color indexed="81"/>
            <rFont val="돋움"/>
            <family val="3"/>
            <charset val="129"/>
          </rPr>
          <t>대여금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>지분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취득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전환</t>
        </r>
      </text>
    </comment>
    <comment ref="Z214" authorId="7" shapeId="0" xr:uid="{959BD4DE-9302-4A25-A6F2-4EAD5DD18E8A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DECV - Venture North</t>
        </r>
      </text>
    </comment>
    <comment ref="AA214" authorId="7" shapeId="0" xr:uid="{5787615C-265E-4A27-969F-8C70046B2EDD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DECV - xxx</t>
        </r>
      </text>
    </comment>
    <comment ref="AB214" authorId="7" shapeId="0" xr:uid="{157A9612-C922-4876-BE94-6DA0DB74D355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DECV - Consultant</t>
        </r>
      </text>
    </comment>
    <comment ref="AC214" authorId="7" shapeId="0" xr:uid="{87EA04F9-0242-49C9-9366-7BBCB5D94E30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투자심의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자료</t>
        </r>
        <r>
          <rPr>
            <sz val="9"/>
            <color indexed="81"/>
            <rFont val="Tahoma"/>
            <family val="2"/>
          </rPr>
          <t xml:space="preserve">: 
</t>
        </r>
        <r>
          <rPr>
            <sz val="9"/>
            <color indexed="81"/>
            <rFont val="돋움"/>
            <family val="3"/>
            <charset val="129"/>
          </rPr>
          <t>시장조사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설계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법무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각종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제안서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분양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마케팅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시장분석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법적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미정</t>
        </r>
      </text>
    </comment>
    <comment ref="AD214" authorId="7" shapeId="0" xr:uid="{827E8FBF-C4D7-4CDF-A838-2C64E94F536A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투자심의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자료</t>
        </r>
        <r>
          <rPr>
            <sz val="9"/>
            <color indexed="81"/>
            <rFont val="Tahoma"/>
            <family val="2"/>
          </rPr>
          <t xml:space="preserve">: 
</t>
        </r>
        <r>
          <rPr>
            <sz val="9"/>
            <color indexed="81"/>
            <rFont val="돋움"/>
            <family val="3"/>
            <charset val="129"/>
          </rPr>
          <t>시장조사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설계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법무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각종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제안서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분양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마케팅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시장분석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법적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미정</t>
        </r>
      </text>
    </comment>
    <comment ref="AE214" authorId="7" shapeId="0" xr:uid="{FEA3F2EB-82E7-4771-A844-D0B8E00FE8B8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DECV - Consultant</t>
        </r>
      </text>
    </comment>
    <comment ref="C231" authorId="7" shapeId="0" xr:uid="{9D0C3794-0F06-462C-A44F-8CDAD53F0CFE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박긍균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바로미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배당</t>
        </r>
        <r>
          <rPr>
            <sz val="9"/>
            <color indexed="81"/>
            <rFont val="Tahoma"/>
            <family val="2"/>
          </rPr>
          <t xml:space="preserve"> : 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80,000</t>
        </r>
        <r>
          <rPr>
            <sz val="9"/>
            <color indexed="81"/>
            <rFont val="돋움"/>
            <family val="3"/>
            <charset val="129"/>
          </rPr>
          <t>천
선수금은</t>
        </r>
        <r>
          <rPr>
            <sz val="9"/>
            <color indexed="81"/>
            <rFont val="Tahoma"/>
            <family val="2"/>
          </rPr>
          <t xml:space="preserve"> 23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11</t>
        </r>
        <r>
          <rPr>
            <sz val="9"/>
            <color indexed="81"/>
            <rFont val="돋움"/>
            <family val="3"/>
            <charset val="129"/>
          </rPr>
          <t>월에</t>
        </r>
        <r>
          <rPr>
            <sz val="9"/>
            <color indexed="81"/>
            <rFont val="Tahoma"/>
            <family val="2"/>
          </rPr>
          <t xml:space="preserve"> 24,000</t>
        </r>
        <r>
          <rPr>
            <sz val="9"/>
            <color indexed="81"/>
            <rFont val="돋움"/>
            <family val="3"/>
            <charset val="129"/>
          </rPr>
          <t>천
대여는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그대로</t>
        </r>
        <r>
          <rPr>
            <sz val="9"/>
            <color indexed="81"/>
            <rFont val="Tahoma"/>
            <family val="2"/>
          </rPr>
          <t xml:space="preserve"> 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, 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, 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넣었어</t>
        </r>
      </text>
    </comment>
    <comment ref="AG231" authorId="7" shapeId="0" xr:uid="{6B585F1B-807C-493F-AD48-3F8B25E67F3F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THT </t>
        </r>
        <r>
          <rPr>
            <sz val="9"/>
            <color indexed="81"/>
            <rFont val="돋움"/>
            <family val="3"/>
            <charset val="129"/>
          </rPr>
          <t>자금수지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</t>
        </r>
      </text>
    </comment>
    <comment ref="AM231" authorId="7" shapeId="0" xr:uid="{65EF30ED-0B81-4F23-8F7B-9E7D6705DC83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THT </t>
        </r>
        <r>
          <rPr>
            <sz val="9"/>
            <color indexed="81"/>
            <rFont val="돋움"/>
            <family val="3"/>
            <charset val="129"/>
          </rPr>
          <t>자금수지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</t>
        </r>
      </text>
    </comment>
    <comment ref="AP231" authorId="1" shapeId="0" xr:uid="{45CCA2B5-5D35-4742-81FE-A81EDDFFAE4F}">
      <text>
        <r>
          <rPr>
            <b/>
            <sz val="9"/>
            <color indexed="81"/>
            <rFont val="돋움"/>
            <family val="3"/>
            <charset val="129"/>
          </rPr>
          <t>타이빙</t>
        </r>
        <r>
          <rPr>
            <b/>
            <sz val="9"/>
            <color indexed="81"/>
            <rFont val="Tahoma"/>
            <family val="2"/>
          </rPr>
          <t xml:space="preserve">PJ
ZUP </t>
        </r>
        <r>
          <rPr>
            <b/>
            <sz val="9"/>
            <color indexed="81"/>
            <rFont val="돋움"/>
            <family val="3"/>
            <charset val="129"/>
          </rPr>
          <t>대여금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상환</t>
        </r>
      </text>
    </comment>
    <comment ref="AR231" authorId="7" shapeId="0" xr:uid="{D75DACAE-FE70-4260-9656-3D55F7721F9C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THT </t>
        </r>
        <r>
          <rPr>
            <sz val="9"/>
            <color indexed="81"/>
            <rFont val="돋움"/>
            <family val="3"/>
            <charset val="129"/>
          </rPr>
          <t>자금수지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</t>
        </r>
      </text>
    </comment>
    <comment ref="AU231" authorId="1" shapeId="0" xr:uid="{62E70187-B325-4974-BA97-10D9354154F4}">
      <text>
        <r>
          <rPr>
            <b/>
            <sz val="9"/>
            <color indexed="81"/>
            <rFont val="돋움"/>
            <family val="3"/>
            <charset val="129"/>
          </rPr>
          <t>타이빙</t>
        </r>
        <r>
          <rPr>
            <b/>
            <sz val="9"/>
            <color indexed="81"/>
            <rFont val="Tahoma"/>
            <family val="2"/>
          </rPr>
          <t xml:space="preserve">PJ
ZUP </t>
        </r>
        <r>
          <rPr>
            <b/>
            <sz val="9"/>
            <color indexed="81"/>
            <rFont val="돋움"/>
            <family val="3"/>
            <charset val="129"/>
          </rPr>
          <t>대여금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상환</t>
        </r>
      </text>
    </comment>
    <comment ref="AN232" authorId="1" shapeId="0" xr:uid="{70D5B0B9-B821-4110-BEA5-4C6921AFBB13}">
      <text>
        <r>
          <rPr>
            <b/>
            <sz val="9"/>
            <color indexed="81"/>
            <rFont val="돋움"/>
            <family val="3"/>
            <charset val="129"/>
          </rPr>
          <t>타이빙</t>
        </r>
        <r>
          <rPr>
            <b/>
            <sz val="9"/>
            <color indexed="81"/>
            <rFont val="Tahoma"/>
            <family val="2"/>
          </rPr>
          <t xml:space="preserve">PJ
ZUP </t>
        </r>
        <r>
          <rPr>
            <b/>
            <sz val="9"/>
            <color indexed="81"/>
            <rFont val="돋움"/>
            <family val="3"/>
            <charset val="129"/>
          </rPr>
          <t>대여금</t>
        </r>
      </text>
    </comment>
    <comment ref="AM237" authorId="7" shapeId="0" xr:uid="{E46C146B-C61A-4436-87F7-226DE8D0D150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THT </t>
        </r>
        <r>
          <rPr>
            <sz val="9"/>
            <color indexed="81"/>
            <rFont val="돋움"/>
            <family val="3"/>
            <charset val="129"/>
          </rPr>
          <t>자금수지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</t>
        </r>
      </text>
    </comment>
    <comment ref="Q238" authorId="0" shapeId="0" xr:uid="{EF7B5411-E757-49A0-8730-C2BE1E46A7A1}">
      <text>
        <r>
          <rPr>
            <b/>
            <sz val="9"/>
            <color indexed="81"/>
            <rFont val="돋움"/>
            <family val="3"/>
            <charset val="129"/>
          </rPr>
          <t>토지대금</t>
        </r>
        <r>
          <rPr>
            <b/>
            <sz val="9"/>
            <color indexed="81"/>
            <rFont val="Tahoma"/>
            <family val="2"/>
          </rPr>
          <t xml:space="preserve"> 10%(DA)
PTA</t>
        </r>
        <r>
          <rPr>
            <b/>
            <sz val="9"/>
            <color indexed="81"/>
            <rFont val="돋움"/>
            <family val="3"/>
            <charset val="129"/>
          </rPr>
          <t>접수</t>
        </r>
      </text>
    </comment>
    <comment ref="AR238" authorId="0" shapeId="0" xr:uid="{5F744F6D-4027-4909-A697-09E2E3881DA0}">
      <text>
        <r>
          <rPr>
            <b/>
            <sz val="9"/>
            <color indexed="81"/>
            <rFont val="돋움"/>
            <family val="3"/>
            <charset val="129"/>
          </rPr>
          <t>토지매입</t>
        </r>
        <r>
          <rPr>
            <b/>
            <sz val="9"/>
            <color indexed="81"/>
            <rFont val="Tahoma"/>
            <family val="2"/>
          </rPr>
          <t xml:space="preserve"> 50%
LURC</t>
        </r>
      </text>
    </comment>
    <comment ref="AA240" authorId="7" shapeId="0" xr:uid="{5007A2C9-C1B6-4FB9-9078-0F652B58BED1}">
      <text>
        <r>
          <rPr>
            <b/>
            <sz val="9"/>
            <color indexed="81"/>
            <rFont val="Tahoma"/>
            <family val="2"/>
          </rPr>
          <t>KIMJUNHYUK:</t>
        </r>
        <r>
          <rPr>
            <sz val="9"/>
            <color indexed="81"/>
            <rFont val="Tahoma"/>
            <family val="2"/>
          </rPr>
          <t xml:space="preserve">
THT </t>
        </r>
        <r>
          <rPr>
            <sz val="9"/>
            <color indexed="81"/>
            <rFont val="돋움"/>
            <family val="3"/>
            <charset val="129"/>
          </rPr>
          <t>자금수지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</t>
        </r>
      </text>
    </comment>
    <comment ref="AG250" authorId="0" shapeId="0" xr:uid="{F3E500CF-5893-4EC1-A39E-793A78E188B1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AH250" authorId="0" shapeId="0" xr:uid="{3BBE9062-7C5E-4EC2-A57A-3B5140B674FA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AK250" authorId="0" shapeId="0" xr:uid="{57A5E7E8-9CEF-41F0-ACC7-D17802F0B65D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AN250" authorId="0" shapeId="0" xr:uid="{4A827C1B-08C7-4B3D-A89F-622164ED0397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AQ250" authorId="0" shapeId="0" xr:uid="{EE91662E-58C5-443D-A595-3BE7CD1B02D4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AU250" authorId="0" shapeId="0" xr:uid="{2B6AFE9D-FA1D-4DBC-8A97-375194BA414C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AX250" authorId="0" shapeId="0" xr:uid="{AA08F22F-4B8A-4E3E-B3E4-34F1A0628CB4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BA250" authorId="0" shapeId="0" xr:uid="{026F502B-9121-44DF-AF3A-69A6C05D95BA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BD250" authorId="0" shapeId="0" xr:uid="{00DB2F0F-DFCF-480D-A3D6-9008D0A24185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BH250" authorId="0" shapeId="0" xr:uid="{4CF91BC4-B47F-4358-837A-2A991C59A24C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BK250" authorId="0" shapeId="0" xr:uid="{FE508BBA-60AD-4AA0-B824-A052A8F10560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BN250" authorId="0" shapeId="0" xr:uid="{2CABDD12-114C-434C-A3E0-DA2799E1B38C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BQ250" authorId="0" shapeId="0" xr:uid="{F5ACEDE7-07AA-448A-A77D-6473F7DCE75C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BU250" authorId="0" shapeId="0" xr:uid="{716AF892-8163-4DF9-A772-BCC44E1F8D77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BX250" authorId="0" shapeId="0" xr:uid="{6400CE2F-8E37-4240-A70F-01C76777E948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CA250" authorId="0" shapeId="0" xr:uid="{983556C3-8A5A-4865-9CC7-7AF5C073D4CD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CD250" authorId="0" shapeId="0" xr:uid="{E04E937F-7809-4826-86D6-2C9F35646541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CH250" authorId="0" shapeId="0" xr:uid="{526405BD-66A1-4F07-B57D-8B91285FF92C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CK250" authorId="0" shapeId="0" xr:uid="{D6437D80-D7F7-4676-A235-A11F93EBD4BE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CN250" authorId="0" shapeId="0" xr:uid="{AC76BFE3-872A-4634-94E2-56B2E02F0AEE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CQ250" authorId="0" shapeId="0" xr:uid="{9B18B3B2-3088-4EC9-B11C-5D4296944038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CU250" authorId="0" shapeId="0" xr:uid="{DC6C0E44-1A79-4E8D-9405-665935A3DDB0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CX250" authorId="0" shapeId="0" xr:uid="{DD47BB73-DE82-4FED-AE28-059ED2CCC916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DA250" authorId="0" shapeId="0" xr:uid="{E7C677F3-D969-451B-A8FA-3E4430AF5650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  <comment ref="DD250" authorId="0" shapeId="0" xr:uid="{2C7D034D-2614-4EA6-9FCE-F0B1BCB7E67F}">
      <text>
        <r>
          <rPr>
            <b/>
            <sz val="9"/>
            <color indexed="81"/>
            <rFont val="돋움"/>
            <family val="3"/>
            <charset val="129"/>
          </rPr>
          <t>이전가격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DAEWOO</author>
    <author>GYUHA</author>
    <author>kim jun hyuk</author>
    <author>admin</author>
    <author>Kim Seung Hwan</author>
    <author>Admin</author>
    <author>DECV BD3 Mr. Joo</author>
  </authors>
  <commentList>
    <comment ref="T22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선급금</t>
        </r>
        <r>
          <rPr>
            <b/>
            <sz val="9"/>
            <color indexed="81"/>
            <rFont val="Tahoma"/>
            <family val="2"/>
          </rPr>
          <t xml:space="preserve"> 20%</t>
        </r>
      </text>
    </comment>
    <comment ref="U25" authorId="0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선급금</t>
        </r>
        <r>
          <rPr>
            <b/>
            <sz val="9"/>
            <color indexed="81"/>
            <rFont val="Tahoma"/>
            <family val="2"/>
          </rPr>
          <t xml:space="preserve"> 20%</t>
        </r>
      </text>
    </comment>
    <comment ref="V28" authorId="0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선급금</t>
        </r>
        <r>
          <rPr>
            <b/>
            <sz val="9"/>
            <color indexed="81"/>
            <rFont val="Tahoma"/>
            <family val="2"/>
          </rPr>
          <t xml:space="preserve"> 20%</t>
        </r>
      </text>
    </comment>
    <comment ref="R44" authorId="1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GYUHA:</t>
        </r>
        <r>
          <rPr>
            <sz val="9"/>
            <color indexed="81"/>
            <rFont val="맑은 고딕"/>
            <family val="3"/>
            <charset val="129"/>
            <scheme val="minor"/>
          </rPr>
          <t xml:space="preserve">
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>BD 20%: 400</t>
        </r>
        <r>
          <rPr>
            <sz val="9"/>
            <color indexed="81"/>
            <rFont val="맑은 고딕"/>
            <family val="3"/>
            <charset val="129"/>
            <scheme val="minor"/>
          </rPr>
          <t xml:space="preserve">
BD도서 3~7월 (건축/외장/구조/MEP)
BD소방 7~9월
EP승인 4~9월
BD승인 9~11월 (매출 11월)</t>
        </r>
      </text>
    </comment>
    <comment ref="Q47" authorId="1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GYUHA:</t>
        </r>
        <r>
          <rPr>
            <sz val="9"/>
            <color indexed="81"/>
            <rFont val="맑은 고딕"/>
            <family val="3"/>
            <charset val="129"/>
            <scheme val="minor"/>
          </rPr>
          <t xml:space="preserve">
PTA 30%</t>
        </r>
      </text>
    </comment>
    <comment ref="V47" authorId="1" shapeId="0" xr:uid="{00000000-0006-0000-0200-000006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TD 20%</t>
        </r>
      </text>
    </comment>
    <comment ref="Y47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CP 20%</t>
        </r>
      </text>
    </comment>
    <comment ref="G50" authorId="1" shapeId="0" xr:uid="{00000000-0006-0000-0200-000008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프리콘착수</t>
        </r>
        <r>
          <rPr>
            <sz val="9"/>
            <color indexed="81"/>
            <rFont val="Tahoma"/>
            <family val="2"/>
          </rPr>
          <t xml:space="preserve"> 20%</t>
        </r>
      </text>
    </comment>
    <comment ref="O50" authorId="1" shapeId="0" xr:uid="{00000000-0006-0000-0200-000009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BD 30%</t>
        </r>
      </text>
    </comment>
    <comment ref="R50" authorId="1" shapeId="0" xr:uid="{00000000-0006-0000-0200-00000A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TD 30%</t>
        </r>
      </text>
    </comment>
    <comment ref="W50" authorId="1" shapeId="0" xr:uid="{00000000-0006-0000-0200-00000B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착공</t>
        </r>
        <r>
          <rPr>
            <sz val="9"/>
            <color indexed="81"/>
            <rFont val="Tahoma"/>
            <family val="2"/>
          </rPr>
          <t xml:space="preserve"> 20%</t>
        </r>
      </text>
    </comment>
    <comment ref="G53" authorId="1" shapeId="0" xr:uid="{00000000-0006-0000-0200-00000C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프리콘착수</t>
        </r>
        <r>
          <rPr>
            <sz val="9"/>
            <color indexed="81"/>
            <rFont val="Tahoma"/>
            <family val="2"/>
          </rPr>
          <t xml:space="preserve"> 20%</t>
        </r>
      </text>
    </comment>
    <comment ref="R53" authorId="1" shapeId="0" xr:uid="{00000000-0006-0000-0200-00000D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BD 30%</t>
        </r>
      </text>
    </comment>
    <comment ref="AA53" authorId="1" shapeId="0" xr:uid="{00000000-0006-0000-0200-00000E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TD 30%</t>
        </r>
      </text>
    </comment>
    <comment ref="AE53" authorId="1" shapeId="0" xr:uid="{00000000-0006-0000-0200-00000F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착공</t>
        </r>
        <r>
          <rPr>
            <sz val="9"/>
            <color indexed="81"/>
            <rFont val="Tahoma"/>
            <family val="2"/>
          </rPr>
          <t xml:space="preserve"> 20%</t>
        </r>
      </text>
    </comment>
    <comment ref="P56" authorId="1" shapeId="0" xr:uid="{00000000-0006-0000-0200-000010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프리콘착수</t>
        </r>
        <r>
          <rPr>
            <sz val="9"/>
            <color indexed="81"/>
            <rFont val="Tahoma"/>
            <family val="2"/>
          </rPr>
          <t xml:space="preserve"> 20%</t>
        </r>
      </text>
    </comment>
    <comment ref="R56" authorId="1" shapeId="0" xr:uid="{00000000-0006-0000-0200-000011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프리콘착수</t>
        </r>
        <r>
          <rPr>
            <sz val="9"/>
            <color indexed="81"/>
            <rFont val="Tahoma"/>
            <family val="2"/>
          </rPr>
          <t xml:space="preserve"> 20%</t>
        </r>
      </text>
    </comment>
    <comment ref="W56" authorId="1" shapeId="0" xr:uid="{00000000-0006-0000-0200-000012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BD 30%</t>
        </r>
      </text>
    </comment>
    <comment ref="AB56" authorId="1" shapeId="0" xr:uid="{00000000-0006-0000-0200-000013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TD 30%</t>
        </r>
      </text>
    </comment>
    <comment ref="AE56" authorId="1" shapeId="0" xr:uid="{00000000-0006-0000-0200-000014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착공</t>
        </r>
        <r>
          <rPr>
            <sz val="9"/>
            <color indexed="81"/>
            <rFont val="Tahoma"/>
            <family val="2"/>
          </rPr>
          <t xml:space="preserve"> 20%</t>
        </r>
      </text>
    </comment>
    <comment ref="R59" authorId="1" shapeId="0" xr:uid="{00000000-0006-0000-0200-000015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프리콘착수</t>
        </r>
        <r>
          <rPr>
            <sz val="9"/>
            <color indexed="81"/>
            <rFont val="Tahoma"/>
            <family val="2"/>
          </rPr>
          <t xml:space="preserve"> 20%</t>
        </r>
      </text>
    </comment>
    <comment ref="AL59" authorId="1" shapeId="0" xr:uid="{00000000-0006-0000-0200-000016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BD 30%</t>
        </r>
      </text>
    </comment>
    <comment ref="AO59" authorId="1" shapeId="0" xr:uid="{00000000-0006-0000-0200-000017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TD 30%</t>
        </r>
      </text>
    </comment>
    <comment ref="AR59" authorId="1" shapeId="0" xr:uid="{00000000-0006-0000-0200-000018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착공</t>
        </r>
        <r>
          <rPr>
            <sz val="9"/>
            <color indexed="81"/>
            <rFont val="Tahoma"/>
            <family val="2"/>
          </rPr>
          <t xml:space="preserve"> 20%</t>
        </r>
      </text>
    </comment>
    <comment ref="R62" authorId="1" shapeId="0" xr:uid="{00000000-0006-0000-0200-000019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프리콘착수</t>
        </r>
        <r>
          <rPr>
            <sz val="9"/>
            <color indexed="81"/>
            <rFont val="Tahoma"/>
            <family val="2"/>
          </rPr>
          <t xml:space="preserve"> 20%</t>
        </r>
      </text>
    </comment>
    <comment ref="R65" authorId="1" shapeId="0" xr:uid="{00000000-0006-0000-0200-00001A000000}">
      <text>
        <r>
          <rPr>
            <b/>
            <sz val="9"/>
            <color indexed="81"/>
            <rFont val="Tahoma"/>
            <family val="2"/>
          </rPr>
          <t>GYUHA: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프리콘착수</t>
        </r>
        <r>
          <rPr>
            <sz val="9"/>
            <color indexed="81"/>
            <rFont val="Tahoma"/>
            <family val="2"/>
          </rPr>
          <t xml:space="preserve"> 20%</t>
        </r>
      </text>
    </comment>
    <comment ref="E72" authorId="2" shapeId="0" xr:uid="{00000000-0006-0000-0200-00001B000000}">
      <text>
        <r>
          <rPr>
            <b/>
            <sz val="9"/>
            <color indexed="81"/>
            <rFont val="Tahoma"/>
            <family val="2"/>
          </rPr>
          <t>kim jun hyuk:</t>
        </r>
        <r>
          <rPr>
            <sz val="9"/>
            <color indexed="81"/>
            <rFont val="Tahoma"/>
            <family val="2"/>
          </rPr>
          <t xml:space="preserve">
=120070+207041*70%</t>
        </r>
      </text>
    </comment>
    <comment ref="R73" authorId="0" shapeId="0" xr:uid="{00000000-0006-0000-0200-00001C000000}">
      <text>
        <r>
          <rPr>
            <b/>
            <sz val="9"/>
            <color indexed="81"/>
            <rFont val="Tahoma"/>
            <family val="2"/>
          </rPr>
          <t>JVC</t>
        </r>
        <r>
          <rPr>
            <b/>
            <sz val="9"/>
            <color indexed="81"/>
            <rFont val="돋움"/>
            <family val="3"/>
            <charset val="129"/>
          </rPr>
          <t>설립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자본금
지분율</t>
        </r>
        <r>
          <rPr>
            <b/>
            <sz val="9"/>
            <color indexed="81"/>
            <rFont val="Tahoma"/>
            <family val="2"/>
          </rPr>
          <t xml:space="preserve"> 70%</t>
        </r>
      </text>
    </comment>
    <comment ref="L74" authorId="3" shapeId="0" xr:uid="{00000000-0006-0000-0200-00001D000000}">
      <text>
        <r>
          <rPr>
            <b/>
            <sz val="9"/>
            <color indexed="81"/>
            <rFont val="Tahoma"/>
            <family val="2"/>
          </rPr>
          <t xml:space="preserve">Kim Seung Hwan
</t>
        </r>
        <r>
          <rPr>
            <b/>
            <sz val="9"/>
            <color indexed="81"/>
            <rFont val="돋움"/>
            <family val="3"/>
            <charset val="129"/>
          </rPr>
          <t>시장조사
계약금</t>
        </r>
        <r>
          <rPr>
            <b/>
            <sz val="9"/>
            <color indexed="81"/>
            <rFont val="Tahoma"/>
            <family val="2"/>
          </rPr>
          <t xml:space="preserve"> 70%
</t>
        </r>
      </text>
    </comment>
    <comment ref="N74" authorId="4" shapeId="0" xr:uid="{00000000-0006-0000-0200-00001E000000}">
      <text>
        <r>
          <rPr>
            <b/>
            <sz val="9"/>
            <color indexed="81"/>
            <rFont val="Tahoma"/>
            <family val="2"/>
          </rPr>
          <t>Kim Seung Hwan: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시장조사
잔금</t>
        </r>
        <r>
          <rPr>
            <sz val="9"/>
            <color indexed="81"/>
            <rFont val="Tahoma"/>
            <family val="2"/>
          </rPr>
          <t xml:space="preserve"> 30%</t>
        </r>
      </text>
    </comment>
    <comment ref="E76" authorId="2" shapeId="0" xr:uid="{00000000-0006-0000-0200-00001F000000}">
      <text>
        <r>
          <rPr>
            <b/>
            <sz val="9"/>
            <color indexed="81"/>
            <rFont val="Tahoma"/>
            <family val="2"/>
          </rPr>
          <t>kim jun hyuk:</t>
        </r>
        <r>
          <rPr>
            <sz val="9"/>
            <color indexed="81"/>
            <rFont val="Tahoma"/>
            <family val="2"/>
          </rPr>
          <t xml:space="preserve">
=108657*60%+78600</t>
        </r>
      </text>
    </comment>
    <comment ref="BR76" authorId="5" shapeId="0" xr:uid="{00000000-0006-0000-0200-000020000000}">
      <text>
        <r>
          <rPr>
            <b/>
            <sz val="9"/>
            <color indexed="81"/>
            <rFont val="Tahoma"/>
            <family val="2"/>
          </rPr>
          <t xml:space="preserve">DECV BD3 Mr. Joo:
2027.05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12 </t>
        </r>
        <r>
          <rPr>
            <b/>
            <sz val="9"/>
            <color indexed="81"/>
            <rFont val="돋움"/>
            <family val="3"/>
            <charset val="129"/>
          </rPr>
          <t xml:space="preserve">변경
</t>
        </r>
        <r>
          <rPr>
            <b/>
            <sz val="9"/>
            <color indexed="81"/>
            <rFont val="Tahoma"/>
            <family val="2"/>
          </rPr>
          <t xml:space="preserve">1) spc </t>
        </r>
        <r>
          <rPr>
            <b/>
            <sz val="9"/>
            <color indexed="81"/>
            <rFont val="돋움"/>
            <family val="3"/>
            <charset val="129"/>
          </rPr>
          <t xml:space="preserve">배당전제
</t>
        </r>
        <r>
          <rPr>
            <b/>
            <sz val="9"/>
            <color indexed="81"/>
            <rFont val="Tahoma"/>
            <family val="2"/>
          </rPr>
          <t>2) 600</t>
        </r>
        <r>
          <rPr>
            <b/>
            <sz val="9"/>
            <color indexed="81"/>
            <rFont val="돋움"/>
            <family val="3"/>
            <charset val="129"/>
          </rPr>
          <t>은</t>
        </r>
        <r>
          <rPr>
            <b/>
            <sz val="9"/>
            <color indexed="81"/>
            <rFont val="Tahoma"/>
            <family val="2"/>
          </rPr>
          <t xml:space="preserve"> PM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전제</t>
        </r>
      </text>
    </comment>
    <comment ref="BT76" authorId="5" shapeId="0" xr:uid="{00000000-0006-0000-0200-000021000000}">
      <text>
        <r>
          <rPr>
            <b/>
            <sz val="9"/>
            <color indexed="81"/>
            <rFont val="Tahoma"/>
            <family val="2"/>
          </rPr>
          <t xml:space="preserve">KIM JUN HYUK::
</t>
        </r>
        <r>
          <rPr>
            <b/>
            <sz val="9"/>
            <color indexed="81"/>
            <rFont val="돋움"/>
            <family val="3"/>
            <charset val="129"/>
          </rPr>
          <t>빌라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부지용지매각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  <r>
          <rPr>
            <b/>
            <sz val="9"/>
            <color indexed="81"/>
            <rFont val="Tahoma"/>
            <family val="2"/>
          </rPr>
          <t xml:space="preserve"> X 60%
DECV BD3 Mr. Joo: (65,194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65,140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b/>
            <sz val="9"/>
            <color indexed="81"/>
            <rFont val="Tahoma"/>
            <family val="2"/>
          </rPr>
          <t xml:space="preserve">)
</t>
        </r>
      </text>
    </comment>
    <comment ref="O77" authorId="0" shapeId="0" xr:uid="{00000000-0006-0000-0200-000022000000}">
      <text>
        <r>
          <rPr>
            <b/>
            <sz val="9"/>
            <color indexed="81"/>
            <rFont val="Tahoma"/>
            <family val="2"/>
          </rPr>
          <t xml:space="preserve">PM </t>
        </r>
        <r>
          <rPr>
            <b/>
            <sz val="9"/>
            <color indexed="81"/>
            <rFont val="돋움"/>
            <family val="3"/>
            <charset val="129"/>
          </rPr>
          <t>출자
자본금</t>
        </r>
        <r>
          <rPr>
            <b/>
            <sz val="9"/>
            <color indexed="81"/>
            <rFont val="Tahoma"/>
            <family val="2"/>
          </rPr>
          <t xml:space="preserve"> 200</t>
        </r>
        <r>
          <rPr>
            <b/>
            <sz val="9"/>
            <color indexed="81"/>
            <rFont val="돋움"/>
            <family val="3"/>
            <charset val="129"/>
          </rPr>
          <t xml:space="preserve">억동
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당사분</t>
        </r>
        <r>
          <rPr>
            <b/>
            <sz val="9"/>
            <color indexed="81"/>
            <rFont val="Tahoma"/>
            <family val="2"/>
          </rPr>
          <t xml:space="preserve"> 60% =120</t>
        </r>
        <r>
          <rPr>
            <b/>
            <sz val="9"/>
            <color indexed="81"/>
            <rFont val="돋움"/>
            <family val="3"/>
            <charset val="129"/>
          </rPr>
          <t>억동</t>
        </r>
      </text>
    </comment>
    <comment ref="P77" authorId="0" shapeId="0" xr:uid="{00000000-0006-0000-0200-000023000000}">
      <text>
        <r>
          <rPr>
            <b/>
            <sz val="9"/>
            <color indexed="81"/>
            <rFont val="돋움"/>
            <family val="3"/>
            <charset val="129"/>
          </rPr>
          <t>인수대금</t>
        </r>
        <r>
          <rPr>
            <b/>
            <sz val="9"/>
            <color indexed="81"/>
            <rFont val="Tahoma"/>
            <family val="2"/>
          </rPr>
          <t xml:space="preserve"> 5%
PA/</t>
        </r>
        <r>
          <rPr>
            <b/>
            <sz val="9"/>
            <color indexed="81"/>
            <rFont val="돋움"/>
            <family val="3"/>
            <charset val="129"/>
          </rPr>
          <t>개발기한연장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전제</t>
        </r>
      </text>
    </comment>
    <comment ref="Q77" authorId="0" shapeId="0" xr:uid="{00000000-0006-0000-0200-000024000000}">
      <text>
        <r>
          <rPr>
            <b/>
            <sz val="9"/>
            <color indexed="81"/>
            <rFont val="Tahoma"/>
            <family val="2"/>
          </rPr>
          <t>PTA</t>
        </r>
        <r>
          <rPr>
            <b/>
            <sz val="9"/>
            <color indexed="81"/>
            <rFont val="돋움"/>
            <family val="3"/>
            <charset val="129"/>
          </rPr>
          <t>접수</t>
        </r>
        <r>
          <rPr>
            <b/>
            <sz val="9"/>
            <color indexed="81"/>
            <rFont val="Tahoma"/>
            <family val="2"/>
          </rPr>
          <t xml:space="preserve"> 5%</t>
        </r>
      </text>
    </comment>
    <comment ref="W77" authorId="0" shapeId="0" xr:uid="{00000000-0006-0000-0200-000025000000}">
      <text>
        <r>
          <rPr>
            <b/>
            <sz val="9"/>
            <color indexed="81"/>
            <rFont val="돋움"/>
            <family val="3"/>
            <charset val="129"/>
          </rPr>
          <t>지분인수대금</t>
        </r>
        <r>
          <rPr>
            <b/>
            <sz val="9"/>
            <color indexed="81"/>
            <rFont val="Tahoma"/>
            <family val="2"/>
          </rPr>
          <t xml:space="preserve"> 80%
ERC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</text>
    </comment>
    <comment ref="Y77" authorId="0" shapeId="0" xr:uid="{00000000-0006-0000-0200-000026000000}">
      <text>
        <r>
          <rPr>
            <b/>
            <sz val="9"/>
            <color indexed="81"/>
            <rFont val="돋움"/>
            <family val="3"/>
            <charset val="129"/>
          </rPr>
          <t>지분인수대금</t>
        </r>
        <r>
          <rPr>
            <b/>
            <sz val="9"/>
            <color indexed="81"/>
            <rFont val="Tahoma"/>
            <family val="2"/>
          </rPr>
          <t xml:space="preserve"> 10%
LURC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</text>
    </comment>
    <comment ref="L78" authorId="0" shapeId="0" xr:uid="{00000000-0006-0000-0200-000027000000}">
      <text>
        <r>
          <rPr>
            <b/>
            <sz val="9"/>
            <color indexed="81"/>
            <rFont val="돋움"/>
            <family val="3"/>
            <charset val="129"/>
          </rPr>
          <t>Pm사 설립용50%</t>
        </r>
      </text>
    </comment>
    <comment ref="N78" authorId="0" shapeId="0" xr:uid="{00000000-0006-0000-0200-000028000000}">
      <text>
        <r>
          <rPr>
            <b/>
            <sz val="9"/>
            <color indexed="81"/>
            <rFont val="돋움"/>
            <family val="3"/>
            <charset val="129"/>
          </rPr>
          <t>PM 설립용역비 (당사분 2.2억동, VAT별도)
계약: 50% 1.1억동 (4.6천불 / 23,600)
잔금: 50% 1.1억동 (4.6천불 / 23,600)</t>
        </r>
      </text>
    </comment>
    <comment ref="O78" authorId="6" shapeId="0" xr:uid="{00000000-0006-0000-0200-000029000000}">
      <text>
        <r>
          <rPr>
            <sz val="9"/>
            <color indexed="81"/>
            <rFont val="돋움"/>
            <family val="3"/>
            <charset val="129"/>
          </rPr>
          <t>기업분할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용역
계약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약</t>
        </r>
        <r>
          <rPr>
            <sz val="9"/>
            <color indexed="81"/>
            <rFont val="Tahoma"/>
            <family val="2"/>
          </rPr>
          <t xml:space="preserve"> 2.5</t>
        </r>
        <r>
          <rPr>
            <sz val="9"/>
            <color indexed="81"/>
            <rFont val="돋움"/>
            <family val="3"/>
            <charset val="129"/>
          </rPr>
          <t>억동</t>
        </r>
        <r>
          <rPr>
            <sz val="9"/>
            <color indexed="81"/>
            <rFont val="Tahoma"/>
            <family val="2"/>
          </rPr>
          <t xml:space="preserve"> * 50%
</t>
        </r>
      </text>
    </comment>
    <comment ref="P78" authorId="6" shapeId="0" xr:uid="{00000000-0006-0000-0200-00002A000000}">
      <text>
        <r>
          <rPr>
            <b/>
            <sz val="9"/>
            <color indexed="81"/>
            <rFont val="돋움"/>
            <family val="3"/>
            <charset val="129"/>
          </rPr>
          <t>기업분할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용역
잔금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약</t>
        </r>
        <r>
          <rPr>
            <b/>
            <sz val="9"/>
            <color indexed="81"/>
            <rFont val="Tahoma"/>
            <family val="2"/>
          </rPr>
          <t xml:space="preserve"> 2.5</t>
        </r>
        <r>
          <rPr>
            <b/>
            <sz val="9"/>
            <color indexed="81"/>
            <rFont val="돋움"/>
            <family val="3"/>
            <charset val="129"/>
          </rPr>
          <t>억동</t>
        </r>
        <r>
          <rPr>
            <b/>
            <sz val="9"/>
            <color indexed="81"/>
            <rFont val="Tahoma"/>
            <family val="2"/>
          </rPr>
          <t xml:space="preserve"> * 50%</t>
        </r>
      </text>
    </comment>
    <comment ref="Q81" authorId="0" shapeId="0" xr:uid="{00000000-0006-0000-0200-00002B000000}">
      <text>
        <r>
          <rPr>
            <b/>
            <sz val="9"/>
            <color indexed="81"/>
            <rFont val="돋움"/>
            <family val="3"/>
            <charset val="129"/>
          </rPr>
          <t>토지대금</t>
        </r>
        <r>
          <rPr>
            <b/>
            <sz val="9"/>
            <color indexed="81"/>
            <rFont val="Tahoma"/>
            <family val="2"/>
          </rPr>
          <t xml:space="preserve"> 10%(DA)
PTA</t>
        </r>
        <r>
          <rPr>
            <b/>
            <sz val="9"/>
            <color indexed="81"/>
            <rFont val="돋움"/>
            <family val="3"/>
            <charset val="129"/>
          </rPr>
          <t>접수</t>
        </r>
      </text>
    </comment>
    <comment ref="AE81" authorId="0" shapeId="0" xr:uid="{00000000-0006-0000-0200-00002C000000}">
      <text>
        <r>
          <rPr>
            <b/>
            <sz val="9"/>
            <color indexed="81"/>
            <rFont val="맑은 고딕"/>
            <family val="2"/>
            <charset val="129"/>
          </rPr>
          <t>토지매입대금</t>
        </r>
        <r>
          <rPr>
            <b/>
            <sz val="9"/>
            <color indexed="81"/>
            <rFont val="Tahoma"/>
            <family val="2"/>
          </rPr>
          <t xml:space="preserve"> 40%
PTA</t>
        </r>
        <r>
          <rPr>
            <b/>
            <sz val="9"/>
            <color indexed="81"/>
            <rFont val="맑은 고딕"/>
            <family val="2"/>
            <charset val="129"/>
          </rPr>
          <t>승인시</t>
        </r>
      </text>
    </comment>
    <comment ref="AR81" authorId="0" shapeId="0" xr:uid="{00000000-0006-0000-0200-00002D000000}">
      <text>
        <r>
          <rPr>
            <b/>
            <sz val="9"/>
            <color indexed="81"/>
            <rFont val="돋움"/>
            <family val="3"/>
            <charset val="129"/>
          </rPr>
          <t>토지매입</t>
        </r>
        <r>
          <rPr>
            <b/>
            <sz val="9"/>
            <color indexed="81"/>
            <rFont val="Tahoma"/>
            <family val="2"/>
          </rPr>
          <t xml:space="preserve"> 50%
LURC</t>
        </r>
      </text>
    </comment>
    <comment ref="AR87" authorId="0" shapeId="0" xr:uid="{00000000-0006-0000-0200-00002E000000}">
      <text>
        <r>
          <rPr>
            <b/>
            <sz val="9"/>
            <color indexed="81"/>
            <rFont val="Tahoma"/>
            <family val="2"/>
          </rPr>
          <t>Eq</t>
        </r>
        <r>
          <rPr>
            <b/>
            <sz val="9"/>
            <color indexed="81"/>
            <rFont val="돋움"/>
            <family val="3"/>
            <charset val="129"/>
          </rPr>
          <t>출자금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지분율</t>
        </r>
        <r>
          <rPr>
            <b/>
            <sz val="9"/>
            <color indexed="81"/>
            <rFont val="Tahoma"/>
            <family val="2"/>
          </rPr>
          <t>51%)</t>
        </r>
      </text>
    </comment>
    <comment ref="O88" authorId="0" shapeId="0" xr:uid="{00000000-0006-0000-0200-00002F000000}">
      <text>
        <r>
          <rPr>
            <b/>
            <sz val="9"/>
            <color indexed="81"/>
            <rFont val="돋움"/>
            <family val="3"/>
            <charset val="129"/>
          </rPr>
          <t>투자제안서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용역비</t>
        </r>
      </text>
    </comment>
    <comment ref="Q115" authorId="0" shapeId="0" xr:uid="{00000000-0006-0000-0200-000030000000}">
      <text>
        <r>
          <rPr>
            <b/>
            <sz val="9"/>
            <color indexed="81"/>
            <rFont val="돋움"/>
            <family val="3"/>
            <charset val="129"/>
          </rPr>
          <t>토지대금</t>
        </r>
        <r>
          <rPr>
            <b/>
            <sz val="9"/>
            <color indexed="81"/>
            <rFont val="Tahoma"/>
            <family val="2"/>
          </rPr>
          <t xml:space="preserve"> 10%(DA)
PTA</t>
        </r>
        <r>
          <rPr>
            <b/>
            <sz val="9"/>
            <color indexed="81"/>
            <rFont val="돋움"/>
            <family val="3"/>
            <charset val="129"/>
          </rPr>
          <t>접수</t>
        </r>
      </text>
    </comment>
    <comment ref="AR115" authorId="0" shapeId="0" xr:uid="{00000000-0006-0000-0200-000031000000}">
      <text>
        <r>
          <rPr>
            <b/>
            <sz val="9"/>
            <color indexed="81"/>
            <rFont val="돋움"/>
            <family val="3"/>
            <charset val="129"/>
          </rPr>
          <t>토지매입</t>
        </r>
        <r>
          <rPr>
            <b/>
            <sz val="9"/>
            <color indexed="81"/>
            <rFont val="Tahoma"/>
            <family val="2"/>
          </rPr>
          <t xml:space="preserve"> 50%
LURC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 Seung Hwan</author>
    <author>KIM JUN HYUK:</author>
  </authors>
  <commentList>
    <comment ref="C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Kim Seung Hwan: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사업비</t>
        </r>
        <r>
          <rPr>
            <sz val="9"/>
            <color indexed="81"/>
            <rFont val="Tahoma"/>
            <family val="2"/>
          </rPr>
          <t xml:space="preserve"> : 1,230 mil
</t>
        </r>
        <r>
          <rPr>
            <sz val="9"/>
            <color indexed="81"/>
            <rFont val="돋움"/>
            <family val="3"/>
            <charset val="129"/>
          </rPr>
          <t>자본금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사업비의</t>
        </r>
        <r>
          <rPr>
            <sz val="9"/>
            <color indexed="81"/>
            <rFont val="Tahoma"/>
            <family val="2"/>
          </rPr>
          <t xml:space="preserve"> 15%) : 185 mil
</t>
        </r>
        <r>
          <rPr>
            <sz val="9"/>
            <color indexed="81"/>
            <rFont val="돋움"/>
            <family val="3"/>
            <charset val="129"/>
          </rPr>
          <t>초기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자본금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자본금의</t>
        </r>
        <r>
          <rPr>
            <sz val="9"/>
            <color indexed="81"/>
            <rFont val="Tahoma"/>
            <family val="2"/>
          </rPr>
          <t xml:space="preserve"> 2/3 </t>
        </r>
        <r>
          <rPr>
            <sz val="9"/>
            <color indexed="81"/>
            <rFont val="돋움"/>
            <family val="3"/>
            <charset val="129"/>
          </rPr>
          <t>가정</t>
        </r>
        <r>
          <rPr>
            <sz val="9"/>
            <color indexed="81"/>
            <rFont val="Tahoma"/>
            <family val="2"/>
          </rPr>
          <t xml:space="preserve">) : 124 mil
</t>
        </r>
        <r>
          <rPr>
            <sz val="9"/>
            <color indexed="81"/>
            <rFont val="돋움"/>
            <family val="3"/>
            <charset val="129"/>
          </rPr>
          <t>당사지분</t>
        </r>
        <r>
          <rPr>
            <sz val="9"/>
            <color indexed="81"/>
            <rFont val="Tahoma"/>
            <family val="2"/>
          </rPr>
          <t xml:space="preserve"> 70%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</t>
        </r>
        <r>
          <rPr>
            <sz val="9"/>
            <color indexed="81"/>
            <rFont val="Tahoma"/>
            <family val="2"/>
          </rPr>
          <t xml:space="preserve"> : 86.8 mil</t>
        </r>
      </text>
    </comment>
    <comment ref="C7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Kim Seung Hwan: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사업비</t>
        </r>
        <r>
          <rPr>
            <sz val="9"/>
            <color indexed="81"/>
            <rFont val="Tahoma"/>
            <family val="2"/>
          </rPr>
          <t xml:space="preserve"> : 1,230 mil
</t>
        </r>
        <r>
          <rPr>
            <sz val="9"/>
            <color indexed="81"/>
            <rFont val="돋움"/>
            <family val="3"/>
            <charset val="129"/>
          </rPr>
          <t>자본금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사업비의</t>
        </r>
        <r>
          <rPr>
            <sz val="9"/>
            <color indexed="81"/>
            <rFont val="Tahoma"/>
            <family val="2"/>
          </rPr>
          <t xml:space="preserve"> 15%) : 185 mil
</t>
        </r>
        <r>
          <rPr>
            <sz val="9"/>
            <color indexed="81"/>
            <rFont val="돋움"/>
            <family val="3"/>
            <charset val="129"/>
          </rPr>
          <t>초기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자본금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자본금의</t>
        </r>
        <r>
          <rPr>
            <sz val="9"/>
            <color indexed="81"/>
            <rFont val="Tahoma"/>
            <family val="2"/>
          </rPr>
          <t xml:space="preserve"> 2/3 </t>
        </r>
        <r>
          <rPr>
            <sz val="9"/>
            <color indexed="81"/>
            <rFont val="돋움"/>
            <family val="3"/>
            <charset val="129"/>
          </rPr>
          <t>가정</t>
        </r>
        <r>
          <rPr>
            <sz val="9"/>
            <color indexed="81"/>
            <rFont val="Tahoma"/>
            <family val="2"/>
          </rPr>
          <t xml:space="preserve">) : 124 mil
</t>
        </r>
        <r>
          <rPr>
            <sz val="9"/>
            <color indexed="81"/>
            <rFont val="돋움"/>
            <family val="3"/>
            <charset val="129"/>
          </rPr>
          <t>당사지분</t>
        </r>
        <r>
          <rPr>
            <sz val="9"/>
            <color indexed="81"/>
            <rFont val="Tahoma"/>
            <family val="2"/>
          </rPr>
          <t xml:space="preserve"> 70%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</t>
        </r>
        <r>
          <rPr>
            <sz val="9"/>
            <color indexed="81"/>
            <rFont val="Tahoma"/>
            <family val="2"/>
          </rPr>
          <t xml:space="preserve"> : 86.8 mil</t>
        </r>
      </text>
    </comment>
    <comment ref="H9" authorId="1" shapeId="0" xr:uid="{00000000-0006-0000-0300-000003000000}">
      <text>
        <r>
          <rPr>
            <b/>
            <sz val="9"/>
            <color indexed="81"/>
            <rFont val="Tahoma"/>
            <family val="2"/>
          </rPr>
          <t>KIM JUN HYUK::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투자협력계약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컨설팅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계약금</t>
        </r>
        <r>
          <rPr>
            <sz val="9"/>
            <color indexed="81"/>
            <rFont val="Tahoma"/>
            <family val="2"/>
          </rPr>
          <t xml:space="preserve"> 70%</t>
        </r>
      </text>
    </comment>
    <comment ref="J9" authorId="1" shapeId="0" xr:uid="{00000000-0006-0000-0300-000004000000}">
      <text>
        <r>
          <rPr>
            <b/>
            <sz val="9"/>
            <color indexed="81"/>
            <rFont val="Tahoma"/>
            <family val="2"/>
          </rPr>
          <t>KIM JUN HYUK::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투자협력계약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컨설팅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계약금</t>
        </r>
        <r>
          <rPr>
            <sz val="9"/>
            <color indexed="81"/>
            <rFont val="Tahoma"/>
            <family val="2"/>
          </rPr>
          <t xml:space="preserve"> 30%</t>
        </r>
      </text>
    </comment>
    <comment ref="C1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Kim Seung Hwan:</t>
        </r>
        <r>
          <rPr>
            <sz val="9"/>
            <color indexed="81"/>
            <rFont val="Tahoma"/>
            <family val="2"/>
          </rPr>
          <t xml:space="preserve">
23</t>
        </r>
        <r>
          <rPr>
            <sz val="9"/>
            <color indexed="81"/>
            <rFont val="돋움"/>
            <family val="3"/>
            <charset val="129"/>
          </rPr>
          <t>년말에</t>
        </r>
        <r>
          <rPr>
            <sz val="9"/>
            <color indexed="81"/>
            <rFont val="Tahoma"/>
            <family val="2"/>
          </rPr>
          <t xml:space="preserve"> tht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lurc </t>
        </r>
        <r>
          <rPr>
            <sz val="9"/>
            <color indexed="81"/>
            <rFont val="돋움"/>
            <family val="3"/>
            <charset val="129"/>
          </rPr>
          <t xml:space="preserve">획득
</t>
        </r>
        <r>
          <rPr>
            <sz val="9"/>
            <color indexed="81"/>
            <rFont val="Tahoma"/>
            <family val="2"/>
          </rPr>
          <t>decv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설계인허가는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진행하지만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자금이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필요한</t>
        </r>
        <r>
          <rPr>
            <sz val="9"/>
            <color indexed="81"/>
            <rFont val="Tahoma"/>
            <family val="2"/>
          </rPr>
          <t xml:space="preserve"> da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늦춰서</t>
        </r>
        <r>
          <rPr>
            <sz val="9"/>
            <color indexed="81"/>
            <rFont val="Tahoma"/>
            <family val="2"/>
          </rPr>
          <t xml:space="preserve"> 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체결하는것으로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가정</t>
        </r>
      </text>
    </comment>
    <comment ref="C13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Kim Seung Hwan:</t>
        </r>
        <r>
          <rPr>
            <sz val="9"/>
            <color indexed="81"/>
            <rFont val="Tahoma"/>
            <family val="2"/>
          </rPr>
          <t xml:space="preserve">
23</t>
        </r>
        <r>
          <rPr>
            <sz val="9"/>
            <color indexed="81"/>
            <rFont val="돋움"/>
            <family val="3"/>
            <charset val="129"/>
          </rPr>
          <t>년말에</t>
        </r>
        <r>
          <rPr>
            <sz val="9"/>
            <color indexed="81"/>
            <rFont val="Tahoma"/>
            <family val="2"/>
          </rPr>
          <t xml:space="preserve"> tht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lurc </t>
        </r>
        <r>
          <rPr>
            <sz val="9"/>
            <color indexed="81"/>
            <rFont val="돋움"/>
            <family val="3"/>
            <charset val="129"/>
          </rPr>
          <t xml:space="preserve">획득
</t>
        </r>
        <r>
          <rPr>
            <sz val="9"/>
            <color indexed="81"/>
            <rFont val="Tahoma"/>
            <family val="2"/>
          </rPr>
          <t>decv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설계인허가는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진행하지만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자금이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필요한</t>
        </r>
        <r>
          <rPr>
            <sz val="9"/>
            <color indexed="81"/>
            <rFont val="Tahoma"/>
            <family val="2"/>
          </rPr>
          <t xml:space="preserve"> da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늦춰서</t>
        </r>
        <r>
          <rPr>
            <sz val="9"/>
            <color indexed="81"/>
            <rFont val="Tahoma"/>
            <family val="2"/>
          </rPr>
          <t xml:space="preserve"> 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체결하는것으로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가정</t>
        </r>
      </text>
    </comment>
    <comment ref="C15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Kim Seung Hwan: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에쿼티로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토지비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별도로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편성하지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않음</t>
        </r>
      </text>
    </comment>
    <comment ref="C1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 xml:space="preserve">Kim Seung Hwan:
</t>
        </r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사업비</t>
        </r>
        <r>
          <rPr>
            <b/>
            <sz val="9"/>
            <color indexed="81"/>
            <rFont val="Tahoma"/>
            <family val="2"/>
          </rPr>
          <t xml:space="preserve"> : 1,076 mil
</t>
        </r>
        <r>
          <rPr>
            <b/>
            <sz val="9"/>
            <color indexed="81"/>
            <rFont val="돋움"/>
            <family val="3"/>
            <charset val="129"/>
          </rPr>
          <t>자본금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사업비의</t>
        </r>
        <r>
          <rPr>
            <b/>
            <sz val="9"/>
            <color indexed="81"/>
            <rFont val="Tahoma"/>
            <family val="2"/>
          </rPr>
          <t xml:space="preserve"> 15%) : 161.4 mil
</t>
        </r>
        <r>
          <rPr>
            <b/>
            <sz val="9"/>
            <color indexed="81"/>
            <rFont val="돋움"/>
            <family val="3"/>
            <charset val="129"/>
          </rPr>
          <t>당사지분</t>
        </r>
        <r>
          <rPr>
            <b/>
            <sz val="9"/>
            <color indexed="81"/>
            <rFont val="Tahoma"/>
            <family val="2"/>
          </rPr>
          <t xml:space="preserve"> 51% : 82.3 mil
</t>
        </r>
        <r>
          <rPr>
            <b/>
            <sz val="9"/>
            <color indexed="81"/>
            <rFont val="돋움"/>
            <family val="3"/>
            <charset val="129"/>
          </rPr>
          <t>초기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자본금</t>
        </r>
        <r>
          <rPr>
            <b/>
            <sz val="9"/>
            <color indexed="81"/>
            <rFont val="Tahoma"/>
            <family val="2"/>
          </rPr>
          <t xml:space="preserve">( </t>
        </r>
        <r>
          <rPr>
            <b/>
            <sz val="9"/>
            <color indexed="81"/>
            <rFont val="돋움"/>
            <family val="3"/>
            <charset val="129"/>
          </rPr>
          <t>당사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자본금의</t>
        </r>
        <r>
          <rPr>
            <b/>
            <sz val="9"/>
            <color indexed="81"/>
            <rFont val="Tahoma"/>
            <family val="2"/>
          </rPr>
          <t xml:space="preserve"> 2/3 </t>
        </r>
        <r>
          <rPr>
            <b/>
            <sz val="9"/>
            <color indexed="81"/>
            <rFont val="돋움"/>
            <family val="3"/>
            <charset val="129"/>
          </rPr>
          <t>가정</t>
        </r>
        <r>
          <rPr>
            <b/>
            <sz val="9"/>
            <color indexed="81"/>
            <rFont val="Tahoma"/>
            <family val="2"/>
          </rPr>
          <t>) : 55 mil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9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 xml:space="preserve">Kim Seung Hwan:
</t>
        </r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사업비</t>
        </r>
        <r>
          <rPr>
            <b/>
            <sz val="9"/>
            <color indexed="81"/>
            <rFont val="Tahoma"/>
            <family val="2"/>
          </rPr>
          <t xml:space="preserve"> : 1,076 mil
</t>
        </r>
        <r>
          <rPr>
            <b/>
            <sz val="9"/>
            <color indexed="81"/>
            <rFont val="돋움"/>
            <family val="3"/>
            <charset val="129"/>
          </rPr>
          <t>자본금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사업비의</t>
        </r>
        <r>
          <rPr>
            <b/>
            <sz val="9"/>
            <color indexed="81"/>
            <rFont val="Tahoma"/>
            <family val="2"/>
          </rPr>
          <t xml:space="preserve"> 15%) : 161.4 mil
</t>
        </r>
        <r>
          <rPr>
            <b/>
            <sz val="9"/>
            <color indexed="81"/>
            <rFont val="돋움"/>
            <family val="3"/>
            <charset val="129"/>
          </rPr>
          <t>당사지분</t>
        </r>
        <r>
          <rPr>
            <b/>
            <sz val="9"/>
            <color indexed="81"/>
            <rFont val="Tahoma"/>
            <family val="2"/>
          </rPr>
          <t xml:space="preserve"> 51% : 82.3 mil
</t>
        </r>
        <r>
          <rPr>
            <b/>
            <sz val="9"/>
            <color indexed="81"/>
            <rFont val="돋움"/>
            <family val="3"/>
            <charset val="129"/>
          </rPr>
          <t>초기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자본금</t>
        </r>
        <r>
          <rPr>
            <b/>
            <sz val="9"/>
            <color indexed="81"/>
            <rFont val="Tahoma"/>
            <family val="2"/>
          </rPr>
          <t xml:space="preserve">( </t>
        </r>
        <r>
          <rPr>
            <b/>
            <sz val="9"/>
            <color indexed="81"/>
            <rFont val="돋움"/>
            <family val="3"/>
            <charset val="129"/>
          </rPr>
          <t>당사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자본금의</t>
        </r>
        <r>
          <rPr>
            <b/>
            <sz val="9"/>
            <color indexed="81"/>
            <rFont val="Tahoma"/>
            <family val="2"/>
          </rPr>
          <t xml:space="preserve"> 2/3 </t>
        </r>
        <r>
          <rPr>
            <b/>
            <sz val="9"/>
            <color indexed="81"/>
            <rFont val="돋움"/>
            <family val="3"/>
            <charset val="129"/>
          </rPr>
          <t>가정</t>
        </r>
        <r>
          <rPr>
            <b/>
            <sz val="9"/>
            <color indexed="81"/>
            <rFont val="Tahoma"/>
            <family val="2"/>
          </rPr>
          <t>) : 55 mil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19" authorId="1" shapeId="0" xr:uid="{00000000-0006-0000-0300-00000A000000}">
      <text>
        <r>
          <rPr>
            <b/>
            <sz val="9"/>
            <color indexed="81"/>
            <rFont val="Tahoma"/>
            <family val="2"/>
          </rPr>
          <t>KIM JUN HYUK::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사업비</t>
        </r>
        <r>
          <rPr>
            <sz val="9"/>
            <color indexed="81"/>
            <rFont val="Tahoma"/>
            <family val="2"/>
          </rPr>
          <t>*15%(</t>
        </r>
        <r>
          <rPr>
            <sz val="9"/>
            <color indexed="81"/>
            <rFont val="돋움"/>
            <family val="3"/>
            <charset val="129"/>
          </rPr>
          <t>자본금규모</t>
        </r>
        <r>
          <rPr>
            <sz val="9"/>
            <color indexed="81"/>
            <rFont val="Tahoma"/>
            <family val="2"/>
          </rPr>
          <t>)*51%(</t>
        </r>
        <r>
          <rPr>
            <sz val="9"/>
            <color indexed="81"/>
            <rFont val="돋움"/>
            <family val="3"/>
            <charset val="129"/>
          </rPr>
          <t>지분</t>
        </r>
        <r>
          <rPr>
            <sz val="9"/>
            <color indexed="81"/>
            <rFont val="Tahoma"/>
            <family val="2"/>
          </rPr>
          <t>)/2(2</t>
        </r>
        <r>
          <rPr>
            <sz val="9"/>
            <color indexed="81"/>
            <rFont val="돋움"/>
            <family val="3"/>
            <charset val="129"/>
          </rPr>
          <t>회로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나눠서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자본금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투입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연결" type="7" refreshedVersion="6"/>
</connections>
</file>

<file path=xl/sharedStrings.xml><?xml version="1.0" encoding="utf-8"?>
<sst xmlns="http://schemas.openxmlformats.org/spreadsheetml/2006/main" count="1549" uniqueCount="369">
  <si>
    <t>영업지출</t>
  </si>
  <si>
    <t>대여금지출</t>
  </si>
  <si>
    <t>보증금지출</t>
  </si>
  <si>
    <t>기타지출</t>
  </si>
  <si>
    <t>구분</t>
  </si>
  <si>
    <t>수입</t>
  </si>
  <si>
    <t>보증금회수</t>
  </si>
  <si>
    <t>기타수입</t>
  </si>
  <si>
    <t>수입 총계</t>
  </si>
  <si>
    <t>지출</t>
  </si>
  <si>
    <t>지출 총계</t>
  </si>
  <si>
    <t>과부족</t>
    <phoneticPr fontId="18" type="noConversion"/>
  </si>
  <si>
    <t>과부족 누계</t>
    <phoneticPr fontId="18" type="noConversion"/>
  </si>
  <si>
    <t>정기자금 집행일</t>
    <phoneticPr fontId="18" type="noConversion"/>
  </si>
  <si>
    <t>1차</t>
    <phoneticPr fontId="18" type="noConversion"/>
  </si>
  <si>
    <t>2차</t>
    <phoneticPr fontId="18" type="noConversion"/>
  </si>
  <si>
    <t>기성수금일</t>
    <phoneticPr fontId="18" type="noConversion"/>
  </si>
  <si>
    <t>일자</t>
    <phoneticPr fontId="18" type="noConversion"/>
  </si>
  <si>
    <t>보증금</t>
    <phoneticPr fontId="18" type="noConversion"/>
  </si>
  <si>
    <t>투자심의</t>
    <phoneticPr fontId="18" type="noConversion"/>
  </si>
  <si>
    <t>LURC 발급</t>
    <phoneticPr fontId="18" type="noConversion"/>
  </si>
  <si>
    <t>DECV 재정능력 확인</t>
    <phoneticPr fontId="18" type="noConversion"/>
  </si>
  <si>
    <t>법무 용역</t>
    <phoneticPr fontId="18" type="noConversion"/>
  </si>
  <si>
    <t>PJ</t>
    <phoneticPr fontId="18" type="noConversion"/>
  </si>
  <si>
    <t>■ PJ 추진 일정</t>
    <phoneticPr fontId="18" type="noConversion"/>
  </si>
  <si>
    <t>2022</t>
    <phoneticPr fontId="18" type="noConversion"/>
  </si>
  <si>
    <t>2023</t>
    <phoneticPr fontId="18" type="noConversion"/>
  </si>
  <si>
    <t>2024</t>
    <phoneticPr fontId="18" type="noConversion"/>
  </si>
  <si>
    <t>2025</t>
    <phoneticPr fontId="18" type="noConversion"/>
  </si>
  <si>
    <t>박뚜리엠</t>
    <phoneticPr fontId="18" type="noConversion"/>
  </si>
  <si>
    <t>K2HH1</t>
    <phoneticPr fontId="18" type="noConversion"/>
  </si>
  <si>
    <t>타이빙성
신도시</t>
    <phoneticPr fontId="18" type="noConversion"/>
  </si>
  <si>
    <t>년짝
신도시</t>
    <phoneticPr fontId="18" type="noConversion"/>
  </si>
  <si>
    <t>1차 컨설팅 계약</t>
    <phoneticPr fontId="18" type="noConversion"/>
  </si>
  <si>
    <t>입찰
재정능력 입증</t>
    <phoneticPr fontId="18" type="noConversion"/>
  </si>
  <si>
    <t>착공</t>
    <phoneticPr fontId="18" type="noConversion"/>
  </si>
  <si>
    <t>투자제안서
 작성 용역</t>
    <phoneticPr fontId="18" type="noConversion"/>
  </si>
  <si>
    <t>프로젝트명</t>
    <phoneticPr fontId="18" type="noConversion"/>
  </si>
  <si>
    <t>투자심의
(12/8, SG1+2)</t>
    <phoneticPr fontId="18" type="noConversion"/>
  </si>
  <si>
    <t>2026</t>
    <phoneticPr fontId="18" type="noConversion"/>
  </si>
  <si>
    <t>PTC 체결</t>
  </si>
  <si>
    <t>SPA 계약(5%)</t>
    <phoneticPr fontId="18" type="noConversion"/>
  </si>
  <si>
    <t>PTA 승인(80%)</t>
    <phoneticPr fontId="18" type="noConversion"/>
  </si>
  <si>
    <t>LURC 발급(10%)</t>
    <phoneticPr fontId="18" type="noConversion"/>
  </si>
  <si>
    <t>설계 용역</t>
    <phoneticPr fontId="18" type="noConversion"/>
  </si>
  <si>
    <t>2027</t>
    <phoneticPr fontId="18" type="noConversion"/>
  </si>
  <si>
    <t>PA 계약(5%)</t>
    <phoneticPr fontId="18" type="noConversion"/>
  </si>
  <si>
    <t>PM사 설립(0.6Mil.)</t>
    <phoneticPr fontId="18" type="noConversion"/>
  </si>
  <si>
    <t>DA 계약
PTA 신청(10%)</t>
    <phoneticPr fontId="18" type="noConversion"/>
  </si>
  <si>
    <t>DA 계약
PTA 신청(40%)</t>
    <phoneticPr fontId="18" type="noConversion"/>
  </si>
  <si>
    <t>DA 계약
PTA완료(50%)</t>
    <phoneticPr fontId="18" type="noConversion"/>
  </si>
  <si>
    <t>약정항목명</t>
  </si>
  <si>
    <t>영업수익</t>
  </si>
  <si>
    <t>은행차입조달</t>
  </si>
  <si>
    <t>은행차입상환</t>
  </si>
  <si>
    <t>수지</t>
  </si>
  <si>
    <t>과부족</t>
  </si>
  <si>
    <t>과부족 누계</t>
  </si>
  <si>
    <t>K8CT1</t>
    <phoneticPr fontId="18" type="noConversion"/>
  </si>
  <si>
    <t>K8HH1</t>
    <phoneticPr fontId="18" type="noConversion"/>
  </si>
  <si>
    <t>K2CT1</t>
    <phoneticPr fontId="18" type="noConversion"/>
  </si>
  <si>
    <t>22년말 소계</t>
    <phoneticPr fontId="18" type="noConversion"/>
  </si>
  <si>
    <t>수입</t>
    <phoneticPr fontId="18" type="noConversion"/>
  </si>
  <si>
    <t>지출</t>
    <phoneticPr fontId="18" type="noConversion"/>
  </si>
  <si>
    <t>합 계</t>
    <phoneticPr fontId="18" type="noConversion"/>
  </si>
  <si>
    <t>합계</t>
    <phoneticPr fontId="18" type="noConversion"/>
  </si>
  <si>
    <t>Total</t>
    <phoneticPr fontId="18" type="noConversion"/>
  </si>
  <si>
    <t>23년계</t>
    <phoneticPr fontId="18" type="noConversion"/>
  </si>
  <si>
    <t>24년계</t>
    <phoneticPr fontId="18" type="noConversion"/>
  </si>
  <si>
    <t>25년계</t>
    <phoneticPr fontId="18" type="noConversion"/>
  </si>
  <si>
    <t>26년계</t>
    <phoneticPr fontId="18" type="noConversion"/>
  </si>
  <si>
    <t>[단위:천USD]</t>
    <phoneticPr fontId="18" type="noConversion"/>
  </si>
  <si>
    <t>THT
O&amp;M</t>
    <phoneticPr fontId="18" type="noConversion"/>
  </si>
  <si>
    <t>검증</t>
    <phoneticPr fontId="18" type="noConversion"/>
  </si>
  <si>
    <t>Total(C열)</t>
    <phoneticPr fontId="18" type="noConversion"/>
  </si>
  <si>
    <t>연도별합계</t>
    <phoneticPr fontId="18" type="noConversion"/>
  </si>
  <si>
    <t>잔액</t>
    <phoneticPr fontId="18" type="noConversion"/>
  </si>
  <si>
    <r>
      <rPr>
        <b/>
        <sz val="14"/>
        <color theme="1"/>
        <rFont val="KoPub돋움체 Medium"/>
        <family val="3"/>
        <charset val="129"/>
      </rPr>
      <t>▶</t>
    </r>
    <r>
      <rPr>
        <b/>
        <sz val="14"/>
        <color theme="1"/>
        <rFont val="맑은 고딕"/>
        <family val="3"/>
        <charset val="129"/>
      </rPr>
      <t xml:space="preserve"> </t>
    </r>
    <r>
      <rPr>
        <b/>
        <sz val="14"/>
        <color theme="1"/>
        <rFont val="맑은 고딕"/>
        <family val="3"/>
        <charset val="129"/>
        <scheme val="minor"/>
      </rPr>
      <t>DECV법인 자금수지 총괄(EPA입력)</t>
    </r>
    <phoneticPr fontId="18" type="noConversion"/>
  </si>
  <si>
    <t>타이빙</t>
    <phoneticPr fontId="18" type="noConversion"/>
  </si>
  <si>
    <t>용역
사업</t>
    <phoneticPr fontId="18" type="noConversion"/>
  </si>
  <si>
    <t>개발
사업</t>
    <phoneticPr fontId="18" type="noConversion"/>
  </si>
  <si>
    <t>본사판관비</t>
    <phoneticPr fontId="18" type="noConversion"/>
  </si>
  <si>
    <t>대여금</t>
    <phoneticPr fontId="18" type="noConversion"/>
  </si>
  <si>
    <t>대여이자</t>
    <phoneticPr fontId="18" type="noConversion"/>
  </si>
  <si>
    <t>차입/
상환금</t>
    <phoneticPr fontId="18" type="noConversion"/>
  </si>
  <si>
    <t>예금이자</t>
    <phoneticPr fontId="18" type="noConversion"/>
  </si>
  <si>
    <t>이자</t>
    <phoneticPr fontId="18" type="noConversion"/>
  </si>
  <si>
    <t>예금잔액</t>
    <phoneticPr fontId="18" type="noConversion"/>
  </si>
  <si>
    <t>대출이자</t>
    <phoneticPr fontId="18" type="noConversion"/>
  </si>
  <si>
    <t>대출잔액</t>
    <phoneticPr fontId="18" type="noConversion"/>
  </si>
  <si>
    <t>대출금액</t>
    <phoneticPr fontId="18" type="noConversion"/>
  </si>
  <si>
    <t>대여금액</t>
    <phoneticPr fontId="18" type="noConversion"/>
  </si>
  <si>
    <t>대여잔액</t>
    <phoneticPr fontId="18" type="noConversion"/>
  </si>
  <si>
    <t>2단계
인프라</t>
    <phoneticPr fontId="18" type="noConversion"/>
  </si>
  <si>
    <t>K5/K7
빌라</t>
    <phoneticPr fontId="18" type="noConversion"/>
  </si>
  <si>
    <t>B3CC1
인허가</t>
    <phoneticPr fontId="18" type="noConversion"/>
  </si>
  <si>
    <t>THT
인허가</t>
    <phoneticPr fontId="18" type="noConversion"/>
  </si>
  <si>
    <t>B1CC4
인허가</t>
    <phoneticPr fontId="18" type="noConversion"/>
  </si>
  <si>
    <t>H1HH1 
인허가</t>
    <phoneticPr fontId="18" type="noConversion"/>
  </si>
  <si>
    <t>K8HH1
프리콘</t>
    <phoneticPr fontId="18" type="noConversion"/>
  </si>
  <si>
    <t>K8CT1
프리콘</t>
    <phoneticPr fontId="18" type="noConversion"/>
  </si>
  <si>
    <t>K2CT1
프리콘</t>
    <phoneticPr fontId="18" type="noConversion"/>
  </si>
  <si>
    <t>K2HH1
프리콘</t>
    <phoneticPr fontId="18" type="noConversion"/>
  </si>
  <si>
    <t>법인합계</t>
    <phoneticPr fontId="18" type="noConversion"/>
  </si>
  <si>
    <r>
      <rPr>
        <b/>
        <sz val="26"/>
        <color theme="1"/>
        <rFont val="KoPub돋움체 Medium"/>
        <family val="3"/>
        <charset val="129"/>
      </rPr>
      <t>▶</t>
    </r>
    <r>
      <rPr>
        <b/>
        <sz val="26"/>
        <color theme="1"/>
        <rFont val="맑은 고딕"/>
        <family val="3"/>
        <charset val="129"/>
      </rPr>
      <t xml:space="preserve"> </t>
    </r>
    <r>
      <rPr>
        <b/>
        <sz val="26"/>
        <color theme="1"/>
        <rFont val="맑은 고딕"/>
        <family val="3"/>
        <charset val="129"/>
        <scheme val="minor"/>
      </rPr>
      <t>DECV법인 Cash Flow</t>
    </r>
    <phoneticPr fontId="18" type="noConversion"/>
  </si>
  <si>
    <t>전체 차입잔액</t>
    <phoneticPr fontId="18" type="noConversion"/>
  </si>
  <si>
    <t>전체 이자합계</t>
    <phoneticPr fontId="18" type="noConversion"/>
  </si>
  <si>
    <t>출자금</t>
    <phoneticPr fontId="18" type="noConversion"/>
  </si>
  <si>
    <t>용역비 등</t>
    <phoneticPr fontId="18" type="noConversion"/>
  </si>
  <si>
    <t>출자금</t>
  </si>
  <si>
    <t>용역비 등</t>
  </si>
  <si>
    <t>기타1
(출자/배당)</t>
    <phoneticPr fontId="18" type="noConversion"/>
  </si>
  <si>
    <t>기타2
(대여이자)</t>
    <phoneticPr fontId="18" type="noConversion"/>
  </si>
  <si>
    <t>기타4
(외환환차등)</t>
    <phoneticPr fontId="18" type="noConversion"/>
  </si>
  <si>
    <t>영업(출자
 / 배당 제외)</t>
    <phoneticPr fontId="18" type="noConversion"/>
  </si>
  <si>
    <t>사업전체</t>
    <phoneticPr fontId="18" type="noConversion"/>
  </si>
  <si>
    <t>27년계</t>
    <phoneticPr fontId="18" type="noConversion"/>
  </si>
  <si>
    <t>토지매입비</t>
    <phoneticPr fontId="18" type="noConversion"/>
  </si>
  <si>
    <t>공사비</t>
  </si>
  <si>
    <t>공사비</t>
    <phoneticPr fontId="18" type="noConversion"/>
  </si>
  <si>
    <t>년짝
('22.12심의)</t>
    <phoneticPr fontId="18" type="noConversion"/>
  </si>
  <si>
    <t>기성수금</t>
  </si>
  <si>
    <t>기성수금</t>
    <phoneticPr fontId="18" type="noConversion"/>
  </si>
  <si>
    <t>인건비 등</t>
  </si>
  <si>
    <t>인건비 등</t>
    <phoneticPr fontId="18" type="noConversion"/>
  </si>
  <si>
    <t>재무
/투자</t>
    <phoneticPr fontId="18" type="noConversion"/>
  </si>
  <si>
    <t>토지사용료</t>
    <phoneticPr fontId="18" type="noConversion"/>
  </si>
  <si>
    <t>28년이후</t>
    <phoneticPr fontId="18" type="noConversion"/>
  </si>
  <si>
    <t>[단위 U$ 1,000]</t>
    <phoneticPr fontId="18" type="noConversion"/>
  </si>
  <si>
    <t>Eq 회수
(사업수행 일정 미정)</t>
  </si>
  <si>
    <t>Eq 납입</t>
    <phoneticPr fontId="18" type="noConversion"/>
  </si>
  <si>
    <t xml:space="preserve"> JVC 설립 초기 자본금
(당 법인지분 70%)</t>
    <phoneticPr fontId="18" type="noConversion"/>
  </si>
  <si>
    <t>Eq. 납입
(지분율 70%)</t>
    <phoneticPr fontId="18" type="noConversion"/>
  </si>
  <si>
    <t>용역비
(투자협력컨설팅)</t>
    <phoneticPr fontId="18" type="noConversion"/>
  </si>
  <si>
    <t>2차 컨설팅 계약:
투자제안서 승인</t>
    <phoneticPr fontId="18" type="noConversion"/>
  </si>
  <si>
    <t>2차 컨설팅 계약:
토지 수용 PJ 승인</t>
    <phoneticPr fontId="18" type="noConversion"/>
  </si>
  <si>
    <t>2차 컨설팅 계약:
투자 정책 승인</t>
    <phoneticPr fontId="18" type="noConversion"/>
  </si>
  <si>
    <t>2차 컨설팅 계약:
투자자 선정 PJ 승인</t>
    <phoneticPr fontId="18" type="noConversion"/>
  </si>
  <si>
    <t xml:space="preserve">2차 컨설팅 계약:
적격 투자자 리스트 승인 </t>
    <phoneticPr fontId="18" type="noConversion"/>
  </si>
  <si>
    <t>2차 컨설팅 계약:
투자자 선정 계획 승인</t>
    <phoneticPr fontId="18" type="noConversion"/>
  </si>
  <si>
    <t>2차 컨설팅 계약:
입찰관련 서류 승인</t>
    <phoneticPr fontId="18" type="noConversion"/>
  </si>
  <si>
    <t>토지비</t>
    <phoneticPr fontId="18" type="noConversion"/>
  </si>
  <si>
    <t>THT 토지사용료 납부</t>
  </si>
  <si>
    <t>Eq 회수
(사업수행 일정 미정)</t>
    <phoneticPr fontId="18" type="noConversion"/>
  </si>
  <si>
    <t>Eq 납입</t>
  </si>
  <si>
    <t>Eq. 납입
(지분율 51%)</t>
    <phoneticPr fontId="18" type="noConversion"/>
  </si>
  <si>
    <t>용역비
(투자제안서)</t>
    <phoneticPr fontId="18" type="noConversion"/>
  </si>
  <si>
    <t>Eq 회수
(수행 일정 변동 가능)</t>
  </si>
  <si>
    <t>Eq. 납입
(지분율 51%)</t>
  </si>
  <si>
    <t>용역비
(설계)</t>
    <phoneticPr fontId="18" type="noConversion"/>
  </si>
  <si>
    <t>구분</t>
    <phoneticPr fontId="18" type="noConversion"/>
  </si>
  <si>
    <t>약정항목</t>
  </si>
  <si>
    <t>수입/지출</t>
  </si>
  <si>
    <t>금액</t>
  </si>
  <si>
    <t>비고</t>
  </si>
  <si>
    <t>대여금</t>
  </si>
  <si>
    <t>THT법인 대여</t>
    <phoneticPr fontId="18" type="noConversion"/>
  </si>
  <si>
    <t>년짝신도시</t>
  </si>
  <si>
    <t>1. 사업약정(Principle Agreement) 투자심의 승인
2. 지분인수계약(Equity Purchase Agreement)시 재심의 협의예정
(지분인수계약은, 년짝 신도시 PJ의 개발기한 승인 후(23.2Q) 진행)</t>
    <phoneticPr fontId="18" type="noConversion"/>
  </si>
  <si>
    <t>박뚜리엠</t>
  </si>
  <si>
    <t>투심 미실시</t>
    <phoneticPr fontId="18" type="noConversion"/>
  </si>
  <si>
    <t>타이빙</t>
  </si>
  <si>
    <t>차입금</t>
    <phoneticPr fontId="18" type="noConversion"/>
  </si>
  <si>
    <t>차입금</t>
  </si>
  <si>
    <t>수입(조달)</t>
  </si>
  <si>
    <t>1. SPC 설립 통한 개발사업 필요
2. 유무상 증자, 대본사 출자 등 사업비 조달 방식 추후 검토 필요하며 현 시점 대본사 유동성 고려하여 현지 조달로 계획</t>
    <phoneticPr fontId="18" type="noConversion"/>
  </si>
  <si>
    <t>기성수금 일자</t>
    <phoneticPr fontId="18" type="noConversion"/>
  </si>
  <si>
    <t>기타수입</t>
    <phoneticPr fontId="18" type="noConversion"/>
  </si>
  <si>
    <t>수입 계</t>
    <phoneticPr fontId="18" type="noConversion"/>
  </si>
  <si>
    <t>1차 집행일</t>
    <phoneticPr fontId="18" type="noConversion"/>
  </si>
  <si>
    <t>2차 집행일</t>
    <phoneticPr fontId="18" type="noConversion"/>
  </si>
  <si>
    <t>지출 계</t>
    <phoneticPr fontId="18" type="noConversion"/>
  </si>
  <si>
    <t>EPA 수입</t>
    <phoneticPr fontId="18" type="noConversion"/>
  </si>
  <si>
    <t>EPA 지출</t>
    <phoneticPr fontId="18" type="noConversion"/>
  </si>
  <si>
    <t xml:space="preserve">시트 검증 </t>
    <phoneticPr fontId="18" type="noConversion"/>
  </si>
  <si>
    <t>영업
(도급/용역사업)</t>
    <phoneticPr fontId="18" type="noConversion"/>
  </si>
  <si>
    <t>재무/투자
(대여,차입, 출자, 배당 등)</t>
    <phoneticPr fontId="18" type="noConversion"/>
  </si>
  <si>
    <t>기타3
(예금/대출이자)</t>
    <phoneticPr fontId="18" type="noConversion"/>
  </si>
  <si>
    <t>영업수익</t>
    <phoneticPr fontId="18" type="noConversion"/>
  </si>
  <si>
    <t>대여금</t>
    <phoneticPr fontId="18" type="noConversion"/>
  </si>
  <si>
    <t>기타지출</t>
    <phoneticPr fontId="18" type="noConversion"/>
  </si>
  <si>
    <t>도급
사업</t>
    <phoneticPr fontId="18" type="noConversion"/>
  </si>
  <si>
    <t>AS Center 
(Site 19)</t>
    <phoneticPr fontId="18" type="noConversion"/>
  </si>
  <si>
    <t>K8HH1
시험</t>
  </si>
  <si>
    <t>K8HH1</t>
    <phoneticPr fontId="18" type="noConversion"/>
  </si>
  <si>
    <t>수입</t>
    <phoneticPr fontId="18" type="noConversion"/>
  </si>
  <si>
    <t>선수금/기성금</t>
    <phoneticPr fontId="18" type="noConversion"/>
  </si>
  <si>
    <t>지출</t>
    <phoneticPr fontId="18" type="noConversion"/>
  </si>
  <si>
    <t>공사비</t>
    <phoneticPr fontId="18" type="noConversion"/>
  </si>
  <si>
    <t>지출</t>
    <phoneticPr fontId="18" type="noConversion"/>
  </si>
  <si>
    <t>K2HH1
프리콘</t>
    <phoneticPr fontId="18" type="noConversion"/>
  </si>
  <si>
    <t>THT사무실 
이전 용역</t>
  </si>
  <si>
    <t>출자금</t>
    <phoneticPr fontId="18" type="noConversion"/>
  </si>
  <si>
    <t>년짝 인프라</t>
    <phoneticPr fontId="18" type="noConversion"/>
  </si>
  <si>
    <t>기타5
(법인세)</t>
    <phoneticPr fontId="18" type="noConversion"/>
  </si>
  <si>
    <t>트엉깟</t>
    <phoneticPr fontId="18" type="noConversion"/>
  </si>
  <si>
    <t>K8CT1
사업비산출용역</t>
    <phoneticPr fontId="18" type="noConversion"/>
  </si>
  <si>
    <t>K8CT1
테스트파일</t>
    <phoneticPr fontId="18" type="noConversion"/>
  </si>
  <si>
    <t>K2HH1</t>
    <phoneticPr fontId="18" type="noConversion"/>
  </si>
  <si>
    <t>B1CC4</t>
    <phoneticPr fontId="18" type="noConversion"/>
  </si>
  <si>
    <t>H1HH1</t>
    <phoneticPr fontId="18" type="noConversion"/>
  </si>
  <si>
    <t>년짝 빌라
1단계</t>
    <phoneticPr fontId="18" type="noConversion"/>
  </si>
  <si>
    <t>년짝 빌라
2단계</t>
    <phoneticPr fontId="18" type="noConversion"/>
  </si>
  <si>
    <t>타이빙 신도시
인프라</t>
    <phoneticPr fontId="18" type="noConversion"/>
  </si>
  <si>
    <t>타이빙 빌라
1단계</t>
    <phoneticPr fontId="18" type="noConversion"/>
  </si>
  <si>
    <t>타이빙 빌라
2단계</t>
    <phoneticPr fontId="18" type="noConversion"/>
  </si>
  <si>
    <t>트엉깟 신도시
인프라</t>
    <phoneticPr fontId="18" type="noConversion"/>
  </si>
  <si>
    <t>트엉깟 빌라
1단계</t>
    <phoneticPr fontId="18" type="noConversion"/>
  </si>
  <si>
    <t>트엉깟 빌라
2단계</t>
    <phoneticPr fontId="18" type="noConversion"/>
  </si>
  <si>
    <t>THT 2단계
인프라</t>
    <phoneticPr fontId="18" type="noConversion"/>
  </si>
  <si>
    <t>K2CT1
테스트파일</t>
    <phoneticPr fontId="18" type="noConversion"/>
  </si>
  <si>
    <t>THT 사무실 및
MOCK-UP</t>
    <phoneticPr fontId="18" type="noConversion"/>
  </si>
  <si>
    <t>년짝</t>
    <phoneticPr fontId="18" type="noConversion"/>
  </si>
  <si>
    <t>28년계</t>
    <phoneticPr fontId="18" type="noConversion"/>
  </si>
  <si>
    <t>29년계</t>
    <phoneticPr fontId="18" type="noConversion"/>
  </si>
  <si>
    <t>25년3월</t>
  </si>
  <si>
    <t>25년4월</t>
  </si>
  <si>
    <t>25년5월</t>
  </si>
  <si>
    <t>25년6월</t>
  </si>
  <si>
    <t>25년7월</t>
  </si>
  <si>
    <t>25년8월</t>
  </si>
  <si>
    <t>25년9월</t>
  </si>
  <si>
    <t>25년10월</t>
  </si>
  <si>
    <t>25년11월</t>
  </si>
  <si>
    <t>25년12월</t>
  </si>
  <si>
    <t>26년2월</t>
  </si>
  <si>
    <t>26년3월</t>
  </si>
  <si>
    <t>26년4월</t>
  </si>
  <si>
    <t>26년5월</t>
  </si>
  <si>
    <t>26년6월</t>
  </si>
  <si>
    <t>26년7월</t>
  </si>
  <si>
    <t>26년8월</t>
  </si>
  <si>
    <t>26년9월</t>
  </si>
  <si>
    <t>26년10월</t>
  </si>
  <si>
    <t>26년11월</t>
  </si>
  <si>
    <t>26년12월</t>
  </si>
  <si>
    <t>27년2월</t>
  </si>
  <si>
    <t>27년3월</t>
  </si>
  <si>
    <t>27년4월</t>
  </si>
  <si>
    <t>27년5월</t>
  </si>
  <si>
    <t>27년6월</t>
  </si>
  <si>
    <t>27년7월</t>
  </si>
  <si>
    <t>27년8월</t>
  </si>
  <si>
    <t>27년9월</t>
  </si>
  <si>
    <t>27년10월</t>
  </si>
  <si>
    <t>27년11월</t>
  </si>
  <si>
    <t>27년12월</t>
  </si>
  <si>
    <t>28년2월</t>
  </si>
  <si>
    <t>28년3월</t>
  </si>
  <si>
    <t>28년4월</t>
  </si>
  <si>
    <t>28년5월</t>
  </si>
  <si>
    <t>28년6월</t>
  </si>
  <si>
    <t>28년7월</t>
  </si>
  <si>
    <t>28년8월</t>
  </si>
  <si>
    <t>28년9월</t>
  </si>
  <si>
    <t>28년10월</t>
  </si>
  <si>
    <t>28년11월</t>
  </si>
  <si>
    <t>28년12월</t>
  </si>
  <si>
    <t>29년2월</t>
  </si>
  <si>
    <t>29년3월</t>
  </si>
  <si>
    <t>29년4월</t>
  </si>
  <si>
    <t>29년5월</t>
  </si>
  <si>
    <t>29년6월</t>
  </si>
  <si>
    <t>29년7월</t>
  </si>
  <si>
    <t>29년8월</t>
  </si>
  <si>
    <t>29년9월</t>
  </si>
  <si>
    <t>29년10월</t>
  </si>
  <si>
    <t>29년11월</t>
  </si>
  <si>
    <t>29년12월</t>
  </si>
  <si>
    <t>선수금</t>
    <phoneticPr fontId="18" type="noConversion"/>
  </si>
  <si>
    <t>금융수입</t>
    <phoneticPr fontId="18" type="noConversion"/>
  </si>
  <si>
    <t>계</t>
    <phoneticPr fontId="18" type="noConversion"/>
  </si>
  <si>
    <t>금융비용</t>
    <phoneticPr fontId="18" type="noConversion"/>
  </si>
  <si>
    <t>시재누계</t>
    <phoneticPr fontId="18" type="noConversion"/>
  </si>
  <si>
    <t>24년12월</t>
  </si>
  <si>
    <t>25년1월</t>
  </si>
  <si>
    <t>25년2월</t>
  </si>
  <si>
    <t>26년1월</t>
  </si>
  <si>
    <t>27년1월</t>
  </si>
  <si>
    <t>28년1월</t>
  </si>
  <si>
    <t>29년1월</t>
  </si>
  <si>
    <t>25년상</t>
  </si>
  <si>
    <t>25년하</t>
  </si>
  <si>
    <t>26년상</t>
  </si>
  <si>
    <t>26년하</t>
  </si>
  <si>
    <t>27년상</t>
  </si>
  <si>
    <t>27년하</t>
  </si>
  <si>
    <t>28년상</t>
  </si>
  <si>
    <t>28년하</t>
  </si>
  <si>
    <t>29년상</t>
  </si>
  <si>
    <t>29년하</t>
  </si>
  <si>
    <t>25년1H</t>
    <phoneticPr fontId="18" type="noConversion"/>
  </si>
  <si>
    <t>25년2H</t>
    <phoneticPr fontId="18" type="noConversion"/>
  </si>
  <si>
    <t>24년2H</t>
    <phoneticPr fontId="18" type="noConversion"/>
  </si>
  <si>
    <t>26년1H</t>
    <phoneticPr fontId="18" type="noConversion"/>
  </si>
  <si>
    <t>25년상</t>
    <phoneticPr fontId="18" type="noConversion"/>
  </si>
  <si>
    <t>25년하</t>
    <phoneticPr fontId="18" type="noConversion"/>
  </si>
  <si>
    <t>26년상</t>
    <phoneticPr fontId="18" type="noConversion"/>
  </si>
  <si>
    <t>26년하</t>
    <phoneticPr fontId="18" type="noConversion"/>
  </si>
  <si>
    <t>27년상</t>
    <phoneticPr fontId="18" type="noConversion"/>
  </si>
  <si>
    <t>27년하</t>
    <phoneticPr fontId="18" type="noConversion"/>
  </si>
  <si>
    <t>28년상</t>
    <phoneticPr fontId="18" type="noConversion"/>
  </si>
  <si>
    <t>28년하</t>
    <phoneticPr fontId="18" type="noConversion"/>
  </si>
  <si>
    <t>29년상</t>
    <phoneticPr fontId="18" type="noConversion"/>
  </si>
  <si>
    <t>29년하</t>
    <phoneticPr fontId="18" type="noConversion"/>
  </si>
  <si>
    <t>구 분</t>
  </si>
  <si>
    <t>’26.2H</t>
    <phoneticPr fontId="18" type="noConversion"/>
  </si>
  <si>
    <t>’27.1H</t>
    <phoneticPr fontId="18" type="noConversion"/>
  </si>
  <si>
    <t>’27.2H</t>
    <phoneticPr fontId="18" type="noConversion"/>
  </si>
  <si>
    <t>’28.1H</t>
    <phoneticPr fontId="18" type="noConversion"/>
  </si>
  <si>
    <t>’28.2H</t>
    <phoneticPr fontId="18" type="noConversion"/>
  </si>
  <si>
    <t>’29.1H</t>
    <phoneticPr fontId="18" type="noConversion"/>
  </si>
  <si>
    <t>’29.2H</t>
    <phoneticPr fontId="18" type="noConversion"/>
  </si>
  <si>
    <t>선수금</t>
  </si>
  <si>
    <t>금융수입</t>
  </si>
  <si>
    <t>-</t>
  </si>
  <si>
    <r>
      <t>용역비</t>
    </r>
    <r>
      <rPr>
        <sz val="8"/>
        <color rgb="FF000000"/>
        <rFont val="Pretendard SemiBold"/>
        <family val="2"/>
      </rPr>
      <t xml:space="preserve"> 등</t>
    </r>
  </si>
  <si>
    <t>금융비용</t>
  </si>
  <si>
    <t>계</t>
  </si>
  <si>
    <r>
      <t xml:space="preserve">법인 시재 </t>
    </r>
    <r>
      <rPr>
        <b/>
        <sz val="9"/>
        <color rgb="FF000000"/>
        <rFont val="Pretendard SemiBold"/>
        <family val="2"/>
      </rPr>
      <t>(</t>
    </r>
    <r>
      <rPr>
        <b/>
        <sz val="9"/>
        <color rgb="FF000000"/>
        <rFont val="Pretendard Medium"/>
        <family val="2"/>
      </rPr>
      <t>누계</t>
    </r>
    <r>
      <rPr>
        <b/>
        <sz val="9"/>
        <color rgb="FF000000"/>
        <rFont val="Pretendard SemiBold"/>
        <family val="2"/>
      </rPr>
      <t>)</t>
    </r>
  </si>
  <si>
    <t>24.12</t>
    <phoneticPr fontId="18" type="noConversion"/>
  </si>
  <si>
    <t>25.3</t>
    <phoneticPr fontId="18" type="noConversion"/>
  </si>
  <si>
    <t>’24.12</t>
  </si>
  <si>
    <t>’25.1</t>
  </si>
  <si>
    <t>’25.2</t>
  </si>
  <si>
    <t>’25.3</t>
  </si>
  <si>
    <t>’25.4</t>
  </si>
  <si>
    <t>’25.5</t>
  </si>
  <si>
    <t>’25.6</t>
  </si>
  <si>
    <t>’25.7</t>
  </si>
  <si>
    <t>’25.8</t>
  </si>
  <si>
    <t>’25.9</t>
  </si>
  <si>
    <t>’25.10</t>
  </si>
  <si>
    <t>’25.11</t>
  </si>
  <si>
    <t>’25.12</t>
  </si>
  <si>
    <t>계('25년)</t>
    <phoneticPr fontId="18" type="noConversion"/>
  </si>
  <si>
    <t>수
입</t>
    <phoneticPr fontId="18" type="noConversion"/>
  </si>
  <si>
    <t>지
출</t>
    <phoneticPr fontId="18" type="noConversion"/>
  </si>
  <si>
    <t>K8HH1
분양대행</t>
    <phoneticPr fontId="18" type="noConversion"/>
  </si>
  <si>
    <t>K2블록
사업비 산출용역</t>
    <phoneticPr fontId="18" type="noConversion"/>
  </si>
  <si>
    <t>THT CIP
산출용역</t>
    <phoneticPr fontId="18" type="noConversion"/>
  </si>
  <si>
    <t>H9 Apartment
5년차 하자보수용역</t>
    <phoneticPr fontId="18" type="noConversion"/>
  </si>
  <si>
    <t>C3HH1</t>
    <phoneticPr fontId="18" type="noConversion"/>
  </si>
  <si>
    <t>C3HH2</t>
    <phoneticPr fontId="18" type="noConversion"/>
  </si>
  <si>
    <t>K2HH1
테스트파일</t>
    <phoneticPr fontId="18" type="noConversion"/>
  </si>
  <si>
    <t>H1HH1
테스트파일</t>
    <phoneticPr fontId="18" type="noConversion"/>
  </si>
  <si>
    <t>B1CC4
테스트파일</t>
    <phoneticPr fontId="18" type="noConversion"/>
  </si>
  <si>
    <t>30년계</t>
    <phoneticPr fontId="18" type="noConversion"/>
  </si>
  <si>
    <t>30년이후</t>
    <phoneticPr fontId="18" type="noConversion"/>
  </si>
  <si>
    <t>타이빙 빌라
3단계</t>
    <phoneticPr fontId="18" type="noConversion"/>
  </si>
  <si>
    <t>타이빙 빌라
4단계</t>
    <phoneticPr fontId="18" type="noConversion"/>
  </si>
  <si>
    <t>트엉깟 빌라
3단계</t>
    <phoneticPr fontId="18" type="noConversion"/>
  </si>
  <si>
    <t>트엉깟 빌라
4단계</t>
    <phoneticPr fontId="18" type="noConversion"/>
  </si>
  <si>
    <t>법인세</t>
    <phoneticPr fontId="18" type="noConversion"/>
  </si>
  <si>
    <t>년짝1단계
분양대행</t>
    <phoneticPr fontId="18" type="noConversion"/>
  </si>
  <si>
    <t>K8CT1
분양대행</t>
    <phoneticPr fontId="18" type="noConversion"/>
  </si>
  <si>
    <t>타이빙인프라</t>
    <phoneticPr fontId="18" type="noConversion"/>
  </si>
  <si>
    <t>재무/투자
(대여,차입,출자,배당 등)</t>
    <phoneticPr fontId="18" type="noConversion"/>
  </si>
  <si>
    <t>동남신도시</t>
    <phoneticPr fontId="18" type="noConversion"/>
  </si>
  <si>
    <t>기타3
(예금/차입이자)</t>
    <phoneticPr fontId="18" type="noConversion"/>
  </si>
  <si>
    <t>차입이자</t>
    <phoneticPr fontId="18" type="noConversion"/>
  </si>
  <si>
    <t>차입잔액</t>
    <phoneticPr fontId="18" type="noConversion"/>
  </si>
  <si>
    <t>출자금(대여)</t>
    <phoneticPr fontId="18" type="noConversion"/>
  </si>
  <si>
    <t>1분기</t>
    <phoneticPr fontId="18" type="noConversion"/>
  </si>
  <si>
    <t>2분기</t>
    <phoneticPr fontId="18" type="noConversion"/>
  </si>
  <si>
    <t>3분기</t>
    <phoneticPr fontId="18" type="noConversion"/>
  </si>
  <si>
    <t>4분기</t>
    <phoneticPr fontId="18" type="noConversion"/>
  </si>
  <si>
    <t>K8CT1
모델하우스</t>
    <phoneticPr fontId="18" type="noConversion"/>
  </si>
  <si>
    <t>사업경비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</si>
</sst>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yy\/mm"/>
    <numFmt numFmtId="178" formatCode="#,##0_);[Red]\(#,##0\)"/>
    <numFmt numFmtId="179" formatCode="0.0%"/>
    <numFmt numFmtId="180" formatCode="#,##0.0_);[Red]\(#,##0.0\)"/>
    <numFmt numFmtId="181" formatCode="_-* #,##0_-;\-* #,##0_-;_-* &quot;-&quot;??_-;_-@_-"/>
    <numFmt numFmtId="182" formatCode="yyyy/mm"/>
  </numFmts>
  <fonts count="6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2"/>
      <name val="宋体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2"/>
      <name val="함초롬돋움"/>
      <family val="3"/>
      <charset val="129"/>
    </font>
    <font>
      <b/>
      <sz val="9"/>
      <color indexed="81"/>
      <name val="돋움"/>
      <family val="3"/>
      <charset val="129"/>
    </font>
    <font>
      <sz val="12"/>
      <color theme="1"/>
      <name val="맑은 고딕"/>
      <family val="2"/>
      <charset val="129"/>
      <scheme val="minor"/>
    </font>
    <font>
      <sz val="11"/>
      <color theme="1"/>
      <name val="함초롬돋움"/>
      <family val="3"/>
      <charset val="129"/>
    </font>
    <font>
      <sz val="12"/>
      <color theme="1"/>
      <name val="함초롬돋움"/>
      <family val="3"/>
      <charset val="129"/>
    </font>
    <font>
      <sz val="12"/>
      <color rgb="FF333333"/>
      <name val="함초롬돋움"/>
      <family val="3"/>
      <charset val="129"/>
    </font>
    <font>
      <sz val="18"/>
      <color theme="1"/>
      <name val="함초롬돋움"/>
      <family val="3"/>
      <charset val="129"/>
    </font>
    <font>
      <sz val="16"/>
      <color theme="1"/>
      <name val="함초롬돋움"/>
      <family val="3"/>
      <charset val="129"/>
    </font>
    <font>
      <b/>
      <sz val="12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  <font>
      <b/>
      <sz val="11"/>
      <color rgb="FF333333"/>
      <name val="맑은 고딕"/>
      <family val="3"/>
      <charset val="129"/>
      <scheme val="minor"/>
    </font>
    <font>
      <sz val="10"/>
      <color rgb="FF607AA5"/>
      <name val="맑은 고딕"/>
      <family val="3"/>
      <charset val="129"/>
      <scheme val="minor"/>
    </font>
    <font>
      <sz val="10"/>
      <color rgb="FF333333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theme="1"/>
      <name val="KoPub돋움체 Medium"/>
      <family val="3"/>
      <charset val="129"/>
    </font>
    <font>
      <b/>
      <sz val="14"/>
      <color theme="1"/>
      <name val="맑은 고딕"/>
      <family val="3"/>
      <charset val="129"/>
    </font>
    <font>
      <b/>
      <sz val="9"/>
      <color indexed="81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rgb="FF607AA5"/>
      <name val="맑은 고딕"/>
      <family val="3"/>
      <charset val="129"/>
      <scheme val="minor"/>
    </font>
    <font>
      <b/>
      <sz val="11"/>
      <color rgb="FF607AA5"/>
      <name val="맑은 고딕"/>
      <family val="2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6"/>
      <color theme="1"/>
      <name val="KoPub돋움체 Medium"/>
      <family val="3"/>
      <charset val="129"/>
    </font>
    <font>
      <b/>
      <sz val="26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  <scheme val="minor"/>
    </font>
    <font>
      <sz val="9"/>
      <color indexed="8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9"/>
      <color rgb="FFFFFFFF"/>
      <name val="Pretendard Medium"/>
      <family val="2"/>
    </font>
    <font>
      <sz val="8"/>
      <color rgb="FF000000"/>
      <name val="Pretendard Medium"/>
      <family val="2"/>
    </font>
    <font>
      <sz val="9"/>
      <color rgb="FF000000"/>
      <name val="Pretendard Medium"/>
      <family val="2"/>
    </font>
    <font>
      <sz val="11"/>
      <name val="Arial"/>
      <family val="2"/>
    </font>
    <font>
      <sz val="18"/>
      <name val="Arial"/>
      <family val="2"/>
    </font>
    <font>
      <b/>
      <sz val="9"/>
      <name val="Arial"/>
      <family val="2"/>
    </font>
    <font>
      <b/>
      <sz val="9"/>
      <color rgb="FF000000"/>
      <name val="Pretendard Medium"/>
      <family val="2"/>
    </font>
    <font>
      <sz val="8"/>
      <color rgb="FF000000"/>
      <name val="Pretendard SemiBold"/>
      <family val="2"/>
    </font>
    <font>
      <sz val="9"/>
      <name val="Arial"/>
      <family val="2"/>
    </font>
    <font>
      <b/>
      <sz val="9"/>
      <color rgb="FF000000"/>
      <name val="Pretendard SemiBold"/>
      <family val="2"/>
    </font>
    <font>
      <sz val="9"/>
      <color rgb="FFFFFFFF"/>
      <name val="돋움"/>
      <family val="3"/>
      <charset val="129"/>
    </font>
  </fonts>
  <fills count="6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10253F"/>
        <bgColor indexed="64"/>
      </patternFill>
    </fill>
    <fill>
      <patternFill patternType="solid">
        <fgColor rgb="FFDBEEF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/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indexed="64"/>
      </left>
      <right/>
      <top style="thin">
        <color auto="1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hair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hair">
        <color rgb="FF7F7F7F"/>
      </right>
      <top style="thin">
        <color rgb="FF7F7F7F"/>
      </top>
      <bottom style="thin">
        <color rgb="FF7F7F7F"/>
      </bottom>
      <diagonal/>
    </border>
    <border>
      <left/>
      <right style="dotted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dotted">
        <color rgb="FF7F7F7F"/>
      </right>
      <top style="thin">
        <color rgb="FF7F7F7F"/>
      </top>
      <bottom style="thin">
        <color rgb="FF7F7F7F"/>
      </bottom>
      <diagonal/>
    </border>
    <border>
      <left/>
      <right style="dotted">
        <color rgb="FF7F7F7F"/>
      </right>
      <top style="thin">
        <color rgb="FF7F7F7F"/>
      </top>
      <bottom/>
      <diagonal/>
    </border>
    <border>
      <left style="dotted">
        <color rgb="FF7F7F7F"/>
      </left>
      <right style="thin">
        <color rgb="FF7F7F7F"/>
      </right>
      <top style="thin">
        <color rgb="FF7F7F7F"/>
      </top>
      <bottom style="dotted">
        <color rgb="FF7F7F7F"/>
      </bottom>
      <diagonal/>
    </border>
    <border>
      <left style="thin">
        <color rgb="FF7F7F7F"/>
      </left>
      <right style="hair">
        <color rgb="FF7F7F7F"/>
      </right>
      <top style="thin">
        <color rgb="FF7F7F7F"/>
      </top>
      <bottom style="dotted">
        <color rgb="FF7F7F7F"/>
      </bottom>
      <diagonal/>
    </border>
    <border>
      <left/>
      <right style="dotted">
        <color rgb="FF7F7F7F"/>
      </right>
      <top style="thin">
        <color rgb="FF7F7F7F"/>
      </top>
      <bottom style="dotted">
        <color rgb="FF7F7F7F"/>
      </bottom>
      <diagonal/>
    </border>
    <border>
      <left style="dotted">
        <color rgb="FF7F7F7F"/>
      </left>
      <right style="dotted">
        <color rgb="FF7F7F7F"/>
      </right>
      <top style="thin">
        <color rgb="FF7F7F7F"/>
      </top>
      <bottom style="dotted">
        <color rgb="FF7F7F7F"/>
      </bottom>
      <diagonal/>
    </border>
    <border>
      <left/>
      <right style="dotted">
        <color rgb="FF7F7F7F"/>
      </right>
      <top/>
      <bottom/>
      <diagonal/>
    </border>
    <border>
      <left style="dotted">
        <color rgb="FF7F7F7F"/>
      </left>
      <right style="thin">
        <color rgb="FF7F7F7F"/>
      </right>
      <top style="dotted">
        <color rgb="FF7F7F7F"/>
      </top>
      <bottom style="dotted">
        <color rgb="FF7F7F7F"/>
      </bottom>
      <diagonal/>
    </border>
    <border>
      <left style="thin">
        <color rgb="FF7F7F7F"/>
      </left>
      <right style="hair">
        <color rgb="FF7F7F7F"/>
      </right>
      <top style="dotted">
        <color rgb="FF7F7F7F"/>
      </top>
      <bottom style="dotted">
        <color rgb="FF7F7F7F"/>
      </bottom>
      <diagonal/>
    </border>
    <border>
      <left/>
      <right style="dotted">
        <color rgb="FF7F7F7F"/>
      </right>
      <top style="dotted">
        <color rgb="FF7F7F7F"/>
      </top>
      <bottom style="dotted">
        <color rgb="FF7F7F7F"/>
      </bottom>
      <diagonal/>
    </border>
    <border>
      <left style="dotted">
        <color rgb="FF7F7F7F"/>
      </left>
      <right style="dotted">
        <color rgb="FF7F7F7F"/>
      </right>
      <top style="dotted">
        <color rgb="FF7F7F7F"/>
      </top>
      <bottom style="dotted">
        <color rgb="FF7F7F7F"/>
      </bottom>
      <diagonal/>
    </border>
    <border>
      <left style="dotted">
        <color rgb="FF7F7F7F"/>
      </left>
      <right style="thin">
        <color rgb="FF7F7F7F"/>
      </right>
      <top style="dotted">
        <color rgb="FF7F7F7F"/>
      </top>
      <bottom style="thin">
        <color rgb="FF7F7F7F"/>
      </bottom>
      <diagonal/>
    </border>
    <border>
      <left style="thin">
        <color rgb="FF7F7F7F"/>
      </left>
      <right style="hair">
        <color rgb="FF7F7F7F"/>
      </right>
      <top style="dotted">
        <color rgb="FF7F7F7F"/>
      </top>
      <bottom style="thin">
        <color rgb="FF7F7F7F"/>
      </bottom>
      <diagonal/>
    </border>
    <border>
      <left/>
      <right style="dotted">
        <color rgb="FF7F7F7F"/>
      </right>
      <top style="dotted">
        <color rgb="FF7F7F7F"/>
      </top>
      <bottom style="thin">
        <color rgb="FF7F7F7F"/>
      </bottom>
      <diagonal/>
    </border>
    <border>
      <left style="dotted">
        <color rgb="FF7F7F7F"/>
      </left>
      <right style="dotted">
        <color rgb="FF7F7F7F"/>
      </right>
      <top style="dotted">
        <color rgb="FF7F7F7F"/>
      </top>
      <bottom style="thin">
        <color rgb="FF7F7F7F"/>
      </bottom>
      <diagonal/>
    </border>
    <border>
      <left/>
      <right style="dotted">
        <color rgb="FF7F7F7F"/>
      </right>
      <top/>
      <bottom style="thin">
        <color rgb="FF7F7F7F"/>
      </bottom>
      <diagonal/>
    </border>
    <border>
      <left style="dotted">
        <color rgb="FF7F7F7F"/>
      </left>
      <right style="dotted">
        <color rgb="FF7F7F7F"/>
      </right>
      <top style="thin">
        <color rgb="FF7F7F7F"/>
      </top>
      <bottom style="thin">
        <color rgb="FF7F7F7F"/>
      </bottom>
      <diagonal/>
    </border>
    <border>
      <left style="dotted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dotted">
        <color rgb="FF7F7F7F"/>
      </right>
      <top style="thin">
        <color rgb="FF7F7F7F"/>
      </top>
      <bottom style="dotted">
        <color rgb="FF7F7F7F"/>
      </bottom>
      <diagonal/>
    </border>
    <border>
      <left style="dotted">
        <color rgb="FF7F7F7F"/>
      </left>
      <right/>
      <top style="thin">
        <color rgb="FF7F7F7F"/>
      </top>
      <bottom style="dotted">
        <color rgb="FF7F7F7F"/>
      </bottom>
      <diagonal/>
    </border>
    <border>
      <left style="thin">
        <color rgb="FF7F7F7F"/>
      </left>
      <right style="dotted">
        <color rgb="FF7F7F7F"/>
      </right>
      <top style="dotted">
        <color rgb="FF7F7F7F"/>
      </top>
      <bottom style="dotted">
        <color rgb="FF7F7F7F"/>
      </bottom>
      <diagonal/>
    </border>
    <border>
      <left style="dotted">
        <color rgb="FF7F7F7F"/>
      </left>
      <right/>
      <top style="dotted">
        <color rgb="FF7F7F7F"/>
      </top>
      <bottom style="dotted">
        <color rgb="FF7F7F7F"/>
      </bottom>
      <diagonal/>
    </border>
    <border>
      <left style="thin">
        <color rgb="FF7F7F7F"/>
      </left>
      <right style="dotted">
        <color rgb="FF7F7F7F"/>
      </right>
      <top style="dotted">
        <color rgb="FF7F7F7F"/>
      </top>
      <bottom style="thin">
        <color rgb="FF7F7F7F"/>
      </bottom>
      <diagonal/>
    </border>
    <border>
      <left style="dotted">
        <color rgb="FF7F7F7F"/>
      </left>
      <right/>
      <top style="dotted">
        <color rgb="FF7F7F7F"/>
      </top>
      <bottom style="thin">
        <color rgb="FF7F7F7F"/>
      </bottom>
      <diagonal/>
    </border>
  </borders>
  <cellStyleXfs count="5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/>
    <xf numFmtId="41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675">
    <xf numFmtId="0" fontId="0" fillId="0" borderId="0" xfId="0">
      <alignment vertical="center"/>
    </xf>
    <xf numFmtId="0" fontId="26" fillId="0" borderId="0" xfId="0" applyFont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27" fillId="0" borderId="0" xfId="0" applyFont="1">
      <alignment vertical="center"/>
    </xf>
    <xf numFmtId="0" fontId="27" fillId="39" borderId="26" xfId="0" applyFont="1" applyFill="1" applyBorder="1" applyAlignment="1">
      <alignment horizontal="center" vertical="center"/>
    </xf>
    <xf numFmtId="0" fontId="27" fillId="39" borderId="15" xfId="0" applyFont="1" applyFill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4" fillId="40" borderId="18" xfId="0" applyFont="1" applyFill="1" applyBorder="1" applyAlignment="1">
      <alignment horizontal="centerContinuous" vertical="center"/>
    </xf>
    <xf numFmtId="0" fontId="24" fillId="40" borderId="18" xfId="49" quotePrefix="1" applyNumberFormat="1" applyFont="1" applyFill="1" applyBorder="1" applyAlignment="1">
      <alignment horizontal="center" vertical="center"/>
    </xf>
    <xf numFmtId="0" fontId="24" fillId="40" borderId="27" xfId="49" quotePrefix="1" applyNumberFormat="1" applyFont="1" applyFill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 wrapText="1"/>
    </xf>
    <xf numFmtId="0" fontId="24" fillId="40" borderId="19" xfId="0" applyFont="1" applyFill="1" applyBorder="1" applyAlignment="1">
      <alignment horizontal="centerContinuous" vertical="center"/>
    </xf>
    <xf numFmtId="0" fontId="24" fillId="40" borderId="19" xfId="0" applyFont="1" applyFill="1" applyBorder="1" applyAlignment="1">
      <alignment horizontal="center" vertical="center"/>
    </xf>
    <xf numFmtId="177" fontId="24" fillId="40" borderId="26" xfId="43" quotePrefix="1" applyNumberFormat="1" applyFont="1" applyFill="1" applyBorder="1" applyAlignment="1">
      <alignment horizontal="centerContinuous" vertical="center"/>
    </xf>
    <xf numFmtId="177" fontId="24" fillId="40" borderId="15" xfId="43" quotePrefix="1" applyNumberFormat="1" applyFont="1" applyFill="1" applyBorder="1" applyAlignment="1">
      <alignment horizontal="centerContinuous" vertical="center"/>
    </xf>
    <xf numFmtId="177" fontId="24" fillId="40" borderId="17" xfId="43" quotePrefix="1" applyNumberFormat="1" applyFont="1" applyFill="1" applyBorder="1" applyAlignment="1">
      <alignment horizontal="centerContinuous" vertical="center"/>
    </xf>
    <xf numFmtId="0" fontId="24" fillId="40" borderId="21" xfId="49" quotePrefix="1" applyNumberFormat="1" applyFont="1" applyFill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 wrapText="1"/>
    </xf>
    <xf numFmtId="49" fontId="29" fillId="38" borderId="19" xfId="43" applyNumberFormat="1" applyFont="1" applyFill="1" applyBorder="1" applyAlignment="1">
      <alignment horizontal="center" vertical="center" wrapText="1"/>
    </xf>
    <xf numFmtId="49" fontId="29" fillId="0" borderId="19" xfId="43" applyNumberFormat="1" applyFont="1" applyBorder="1" applyAlignment="1">
      <alignment horizontal="center" vertical="center" wrapText="1"/>
    </xf>
    <xf numFmtId="0" fontId="28" fillId="38" borderId="27" xfId="0" applyFont="1" applyFill="1" applyBorder="1" applyAlignment="1">
      <alignment horizontal="center" vertical="center"/>
    </xf>
    <xf numFmtId="0" fontId="28" fillId="38" borderId="18" xfId="0" applyFont="1" applyFill="1" applyBorder="1" applyAlignment="1">
      <alignment horizontal="center" vertical="center"/>
    </xf>
    <xf numFmtId="0" fontId="28" fillId="38" borderId="21" xfId="0" applyFont="1" applyFill="1" applyBorder="1" applyAlignment="1">
      <alignment horizontal="center" vertical="center"/>
    </xf>
    <xf numFmtId="0" fontId="26" fillId="38" borderId="0" xfId="0" applyFont="1" applyFill="1" applyAlignment="1">
      <alignment horizontal="center" vertical="center"/>
    </xf>
    <xf numFmtId="0" fontId="28" fillId="38" borderId="18" xfId="0" applyFont="1" applyFill="1" applyBorder="1" applyAlignment="1">
      <alignment horizontal="center" vertical="center" wrapText="1"/>
    </xf>
    <xf numFmtId="0" fontId="28" fillId="38" borderId="21" xfId="0" applyFont="1" applyFill="1" applyBorder="1" applyAlignment="1">
      <alignment horizontal="center" vertical="center" wrapText="1"/>
    </xf>
    <xf numFmtId="177" fontId="24" fillId="40" borderId="18" xfId="49" quotePrefix="1" applyNumberFormat="1" applyFont="1" applyFill="1" applyBorder="1" applyAlignment="1">
      <alignment horizontal="center" vertical="center"/>
    </xf>
    <xf numFmtId="177" fontId="24" fillId="40" borderId="21" xfId="49" quotePrefix="1" applyNumberFormat="1" applyFont="1" applyFill="1" applyBorder="1" applyAlignment="1">
      <alignment horizontal="center" vertical="center"/>
    </xf>
    <xf numFmtId="177" fontId="24" fillId="40" borderId="27" xfId="49" quotePrefix="1" applyNumberFormat="1" applyFont="1" applyFill="1" applyBorder="1" applyAlignment="1">
      <alignment horizontal="center" vertical="center"/>
    </xf>
    <xf numFmtId="177" fontId="24" fillId="40" borderId="16" xfId="43" quotePrefix="1" applyNumberFormat="1" applyFont="1" applyFill="1" applyBorder="1" applyAlignment="1">
      <alignment horizontal="centerContinuous" vertical="center"/>
    </xf>
    <xf numFmtId="0" fontId="24" fillId="40" borderId="20" xfId="49" quotePrefix="1" applyNumberFormat="1" applyFont="1" applyFill="1" applyBorder="1" applyAlignment="1">
      <alignment horizontal="center" vertical="center"/>
    </xf>
    <xf numFmtId="177" fontId="24" fillId="40" borderId="20" xfId="49" quotePrefix="1" applyNumberFormat="1" applyFont="1" applyFill="1" applyBorder="1" applyAlignment="1">
      <alignment horizontal="center" vertical="center"/>
    </xf>
    <xf numFmtId="0" fontId="28" fillId="38" borderId="20" xfId="0" applyFont="1" applyFill="1" applyBorder="1" applyAlignment="1">
      <alignment horizontal="center" vertical="center"/>
    </xf>
    <xf numFmtId="0" fontId="28" fillId="38" borderId="20" xfId="0" applyFont="1" applyFill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/>
    </xf>
    <xf numFmtId="0" fontId="28" fillId="38" borderId="27" xfId="0" applyFont="1" applyFill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/>
    </xf>
    <xf numFmtId="176" fontId="38" fillId="37" borderId="10" xfId="43" applyNumberFormat="1" applyFont="1" applyFill="1" applyBorder="1" applyAlignment="1">
      <alignment horizontal="right" vertical="center" wrapText="1"/>
    </xf>
    <xf numFmtId="0" fontId="34" fillId="0" borderId="0" xfId="0" applyFont="1">
      <alignment vertical="center"/>
    </xf>
    <xf numFmtId="177" fontId="37" fillId="33" borderId="10" xfId="43" applyNumberFormat="1" applyFont="1" applyFill="1" applyBorder="1" applyAlignment="1">
      <alignment horizontal="center" vertical="center"/>
    </xf>
    <xf numFmtId="49" fontId="37" fillId="33" borderId="10" xfId="43" applyNumberFormat="1" applyFont="1" applyFill="1" applyBorder="1" applyAlignment="1">
      <alignment horizontal="center" vertical="center" wrapText="1"/>
    </xf>
    <xf numFmtId="176" fontId="38" fillId="36" borderId="10" xfId="43" applyNumberFormat="1" applyFont="1" applyFill="1" applyBorder="1" applyAlignment="1">
      <alignment horizontal="right" vertical="center" wrapText="1"/>
    </xf>
    <xf numFmtId="176" fontId="38" fillId="0" borderId="10" xfId="43" applyNumberFormat="1" applyFont="1" applyBorder="1" applyAlignment="1">
      <alignment horizontal="right" vertical="center" wrapText="1"/>
    </xf>
    <xf numFmtId="0" fontId="33" fillId="0" borderId="0" xfId="0" applyFont="1">
      <alignment vertical="center"/>
    </xf>
    <xf numFmtId="176" fontId="38" fillId="37" borderId="11" xfId="43" applyNumberFormat="1" applyFont="1" applyFill="1" applyBorder="1" applyAlignment="1">
      <alignment horizontal="right" vertical="center" wrapText="1"/>
    </xf>
    <xf numFmtId="176" fontId="38" fillId="37" borderId="12" xfId="43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right" vertical="center"/>
    </xf>
    <xf numFmtId="49" fontId="37" fillId="33" borderId="13" xfId="43" applyNumberFormat="1" applyFont="1" applyFill="1" applyBorder="1" applyAlignment="1">
      <alignment horizontal="center" vertical="center" wrapText="1"/>
    </xf>
    <xf numFmtId="49" fontId="38" fillId="35" borderId="13" xfId="43" applyNumberFormat="1" applyFont="1" applyFill="1" applyBorder="1" applyAlignment="1">
      <alignment horizontal="left" vertical="center" wrapText="1"/>
    </xf>
    <xf numFmtId="49" fontId="38" fillId="36" borderId="13" xfId="43" applyNumberFormat="1" applyFont="1" applyFill="1" applyBorder="1" applyAlignment="1">
      <alignment horizontal="left" vertical="center" wrapText="1"/>
    </xf>
    <xf numFmtId="49" fontId="38" fillId="37" borderId="13" xfId="43" applyNumberFormat="1" applyFont="1" applyFill="1" applyBorder="1" applyAlignment="1">
      <alignment horizontal="left" vertical="center" wrapText="1"/>
    </xf>
    <xf numFmtId="49" fontId="38" fillId="37" borderId="11" xfId="43" applyNumberFormat="1" applyFont="1" applyFill="1" applyBorder="1" applyAlignment="1">
      <alignment horizontal="left" vertical="center" wrapText="1"/>
    </xf>
    <xf numFmtId="0" fontId="40" fillId="0" borderId="0" xfId="0" applyFont="1">
      <alignment vertical="center"/>
    </xf>
    <xf numFmtId="179" fontId="0" fillId="0" borderId="0" xfId="50" applyNumberFormat="1" applyFont="1">
      <alignment vertical="center"/>
    </xf>
    <xf numFmtId="0" fontId="44" fillId="0" borderId="0" xfId="0" applyFont="1">
      <alignment vertical="center"/>
    </xf>
    <xf numFmtId="0" fontId="44" fillId="0" borderId="0" xfId="0" applyFont="1" applyAlignment="1">
      <alignment horizontal="right" vertical="center"/>
    </xf>
    <xf numFmtId="0" fontId="39" fillId="0" borderId="0" xfId="0" applyFont="1" applyAlignment="1">
      <alignment horizontal="left" vertical="center"/>
    </xf>
    <xf numFmtId="177" fontId="37" fillId="33" borderId="47" xfId="43" applyNumberFormat="1" applyFont="1" applyFill="1" applyBorder="1" applyAlignment="1">
      <alignment horizontal="center" vertical="center"/>
    </xf>
    <xf numFmtId="176" fontId="38" fillId="0" borderId="47" xfId="43" applyNumberFormat="1" applyFont="1" applyBorder="1" applyAlignment="1">
      <alignment horizontal="right" vertical="center" wrapText="1"/>
    </xf>
    <xf numFmtId="176" fontId="38" fillId="36" borderId="47" xfId="43" applyNumberFormat="1" applyFont="1" applyFill="1" applyBorder="1" applyAlignment="1">
      <alignment horizontal="right" vertical="center" wrapText="1"/>
    </xf>
    <xf numFmtId="176" fontId="38" fillId="37" borderId="47" xfId="43" applyNumberFormat="1" applyFont="1" applyFill="1" applyBorder="1" applyAlignment="1">
      <alignment horizontal="right" vertical="center" wrapText="1"/>
    </xf>
    <xf numFmtId="176" fontId="38" fillId="37" borderId="29" xfId="43" applyNumberFormat="1" applyFont="1" applyFill="1" applyBorder="1" applyAlignment="1">
      <alignment horizontal="right" vertical="center" wrapText="1"/>
    </xf>
    <xf numFmtId="177" fontId="37" fillId="33" borderId="13" xfId="43" applyNumberFormat="1" applyFont="1" applyFill="1" applyBorder="1" applyAlignment="1">
      <alignment horizontal="center" vertical="center"/>
    </xf>
    <xf numFmtId="176" fontId="38" fillId="36" borderId="13" xfId="43" applyNumberFormat="1" applyFont="1" applyFill="1" applyBorder="1" applyAlignment="1">
      <alignment horizontal="right" vertical="center" wrapText="1"/>
    </xf>
    <xf numFmtId="176" fontId="38" fillId="37" borderId="13" xfId="43" applyNumberFormat="1" applyFont="1" applyFill="1" applyBorder="1" applyAlignment="1">
      <alignment horizontal="right" vertical="center" wrapText="1"/>
    </xf>
    <xf numFmtId="49" fontId="45" fillId="33" borderId="10" xfId="43" applyNumberFormat="1" applyFont="1" applyFill="1" applyBorder="1" applyAlignment="1">
      <alignment horizontal="center" vertical="center" wrapText="1"/>
    </xf>
    <xf numFmtId="177" fontId="46" fillId="33" borderId="40" xfId="43" applyNumberFormat="1" applyFont="1" applyFill="1" applyBorder="1" applyAlignment="1">
      <alignment horizontal="center" vertical="center"/>
    </xf>
    <xf numFmtId="177" fontId="45" fillId="33" borderId="42" xfId="43" applyNumberFormat="1" applyFont="1" applyFill="1" applyBorder="1" applyAlignment="1">
      <alignment horizontal="center" vertical="center"/>
    </xf>
    <xf numFmtId="177" fontId="45" fillId="37" borderId="10" xfId="43" applyNumberFormat="1" applyFont="1" applyFill="1" applyBorder="1" applyAlignment="1">
      <alignment horizontal="center" vertical="center"/>
    </xf>
    <xf numFmtId="177" fontId="45" fillId="33" borderId="44" xfId="43" applyNumberFormat="1" applyFont="1" applyFill="1" applyBorder="1" applyAlignment="1">
      <alignment horizontal="center" vertical="center"/>
    </xf>
    <xf numFmtId="177" fontId="45" fillId="33" borderId="40" xfId="43" applyNumberFormat="1" applyFont="1" applyFill="1" applyBorder="1" applyAlignment="1">
      <alignment horizontal="center" vertical="center"/>
    </xf>
    <xf numFmtId="0" fontId="33" fillId="42" borderId="26" xfId="0" applyFont="1" applyFill="1" applyBorder="1" applyAlignment="1">
      <alignment horizontal="center" vertical="center"/>
    </xf>
    <xf numFmtId="0" fontId="33" fillId="42" borderId="15" xfId="0" applyFont="1" applyFill="1" applyBorder="1" applyAlignment="1">
      <alignment horizontal="center" vertical="center"/>
    </xf>
    <xf numFmtId="0" fontId="33" fillId="42" borderId="17" xfId="0" applyFont="1" applyFill="1" applyBorder="1" applyAlignment="1">
      <alignment horizontal="center" vertical="center"/>
    </xf>
    <xf numFmtId="41" fontId="44" fillId="0" borderId="46" xfId="49" applyFont="1" applyBorder="1" applyAlignment="1">
      <alignment horizontal="right" vertical="center" wrapText="1"/>
    </xf>
    <xf numFmtId="41" fontId="36" fillId="0" borderId="33" xfId="49" applyFont="1" applyFill="1" applyBorder="1" applyAlignment="1">
      <alignment horizontal="right" vertical="center" wrapText="1"/>
    </xf>
    <xf numFmtId="178" fontId="35" fillId="0" borderId="33" xfId="49" applyNumberFormat="1" applyFont="1" applyFill="1" applyBorder="1" applyAlignment="1">
      <alignment horizontal="right" vertical="center" wrapText="1"/>
    </xf>
    <xf numFmtId="178" fontId="36" fillId="37" borderId="46" xfId="49" applyNumberFormat="1" applyFont="1" applyFill="1" applyBorder="1" applyAlignment="1">
      <alignment horizontal="right" vertical="center" wrapText="1"/>
    </xf>
    <xf numFmtId="178" fontId="35" fillId="0" borderId="45" xfId="49" applyNumberFormat="1" applyFont="1" applyFill="1" applyBorder="1" applyAlignment="1">
      <alignment horizontal="right" vertical="center" wrapText="1"/>
    </xf>
    <xf numFmtId="178" fontId="33" fillId="0" borderId="27" xfId="49" applyNumberFormat="1" applyFont="1" applyBorder="1">
      <alignment vertical="center"/>
    </xf>
    <xf numFmtId="178" fontId="33" fillId="0" borderId="18" xfId="49" applyNumberFormat="1" applyFont="1" applyBorder="1">
      <alignment vertical="center"/>
    </xf>
    <xf numFmtId="178" fontId="33" fillId="0" borderId="21" xfId="49" applyNumberFormat="1" applyFont="1" applyBorder="1">
      <alignment vertical="center"/>
    </xf>
    <xf numFmtId="41" fontId="44" fillId="0" borderId="38" xfId="49" applyFont="1" applyBorder="1" applyAlignment="1">
      <alignment horizontal="right" vertical="center" wrapText="1"/>
    </xf>
    <xf numFmtId="41" fontId="36" fillId="0" borderId="22" xfId="49" applyFont="1" applyFill="1" applyBorder="1" applyAlignment="1">
      <alignment horizontal="right" vertical="center" wrapText="1"/>
    </xf>
    <xf numFmtId="178" fontId="35" fillId="0" borderId="22" xfId="49" applyNumberFormat="1" applyFont="1" applyFill="1" applyBorder="1" applyAlignment="1">
      <alignment horizontal="right" vertical="center" wrapText="1"/>
    </xf>
    <xf numFmtId="178" fontId="35" fillId="0" borderId="23" xfId="49" applyNumberFormat="1" applyFont="1" applyFill="1" applyBorder="1" applyAlignment="1">
      <alignment horizontal="right" vertical="center" wrapText="1"/>
    </xf>
    <xf numFmtId="178" fontId="35" fillId="0" borderId="24" xfId="49" applyNumberFormat="1" applyFont="1" applyFill="1" applyBorder="1" applyAlignment="1">
      <alignment horizontal="right" vertical="center" wrapText="1"/>
    </xf>
    <xf numFmtId="178" fontId="33" fillId="0" borderId="28" xfId="49" applyNumberFormat="1" applyFont="1" applyBorder="1">
      <alignment vertical="center"/>
    </xf>
    <xf numFmtId="178" fontId="33" fillId="0" borderId="22" xfId="49" applyNumberFormat="1" applyFont="1" applyBorder="1">
      <alignment vertical="center"/>
    </xf>
    <xf numFmtId="178" fontId="33" fillId="0" borderId="25" xfId="49" applyNumberFormat="1" applyFont="1" applyBorder="1">
      <alignment vertical="center"/>
    </xf>
    <xf numFmtId="41" fontId="44" fillId="0" borderId="36" xfId="49" applyFont="1" applyBorder="1" applyAlignment="1">
      <alignment horizontal="right" vertical="center" wrapText="1"/>
    </xf>
    <xf numFmtId="41" fontId="36" fillId="0" borderId="15" xfId="49" applyFont="1" applyFill="1" applyBorder="1" applyAlignment="1">
      <alignment horizontal="right" vertical="center" wrapText="1"/>
    </xf>
    <xf numFmtId="178" fontId="35" fillId="0" borderId="15" xfId="49" applyNumberFormat="1" applyFont="1" applyFill="1" applyBorder="1" applyAlignment="1">
      <alignment horizontal="right" vertical="center" wrapText="1"/>
    </xf>
    <xf numFmtId="178" fontId="35" fillId="0" borderId="53" xfId="49" applyNumberFormat="1" applyFont="1" applyFill="1" applyBorder="1" applyAlignment="1">
      <alignment horizontal="right" vertical="center" wrapText="1"/>
    </xf>
    <xf numFmtId="178" fontId="35" fillId="0" borderId="16" xfId="49" applyNumberFormat="1" applyFont="1" applyFill="1" applyBorder="1" applyAlignment="1">
      <alignment horizontal="right" vertical="center" wrapText="1"/>
    </xf>
    <xf numFmtId="41" fontId="36" fillId="44" borderId="28" xfId="49" applyFont="1" applyFill="1" applyBorder="1" applyAlignment="1">
      <alignment horizontal="right" vertical="center" wrapText="1"/>
    </xf>
    <xf numFmtId="178" fontId="35" fillId="44" borderId="22" xfId="49" applyNumberFormat="1" applyFont="1" applyFill="1" applyBorder="1" applyAlignment="1">
      <alignment horizontal="right" vertical="center" wrapText="1"/>
    </xf>
    <xf numFmtId="178" fontId="35" fillId="44" borderId="23" xfId="49" applyNumberFormat="1" applyFont="1" applyFill="1" applyBorder="1" applyAlignment="1">
      <alignment horizontal="right" vertical="center" wrapText="1"/>
    </xf>
    <xf numFmtId="178" fontId="36" fillId="44" borderId="38" xfId="49" applyNumberFormat="1" applyFont="1" applyFill="1" applyBorder="1" applyAlignment="1">
      <alignment horizontal="right" vertical="center" wrapText="1"/>
    </xf>
    <xf numFmtId="178" fontId="35" fillId="44" borderId="24" xfId="49" applyNumberFormat="1" applyFont="1" applyFill="1" applyBorder="1" applyAlignment="1">
      <alignment horizontal="right" vertical="center" wrapText="1"/>
    </xf>
    <xf numFmtId="41" fontId="33" fillId="0" borderId="0" xfId="49" applyFont="1" applyBorder="1">
      <alignment vertical="center"/>
    </xf>
    <xf numFmtId="178" fontId="36" fillId="37" borderId="38" xfId="49" applyNumberFormat="1" applyFont="1" applyFill="1" applyBorder="1" applyAlignment="1">
      <alignment horizontal="right" vertical="center" wrapText="1"/>
    </xf>
    <xf numFmtId="41" fontId="44" fillId="0" borderId="32" xfId="49" applyFont="1" applyBorder="1" applyAlignment="1">
      <alignment horizontal="right" vertical="center" wrapText="1"/>
    </xf>
    <xf numFmtId="41" fontId="36" fillId="0" borderId="61" xfId="49" applyFont="1" applyFill="1" applyBorder="1" applyAlignment="1">
      <alignment horizontal="right" vertical="center" wrapText="1"/>
    </xf>
    <xf numFmtId="178" fontId="35" fillId="0" borderId="61" xfId="49" applyNumberFormat="1" applyFont="1" applyFill="1" applyBorder="1" applyAlignment="1">
      <alignment horizontal="right" vertical="center" wrapText="1"/>
    </xf>
    <xf numFmtId="178" fontId="35" fillId="0" borderId="62" xfId="49" applyNumberFormat="1" applyFont="1" applyFill="1" applyBorder="1" applyAlignment="1">
      <alignment horizontal="right" vertical="center" wrapText="1"/>
    </xf>
    <xf numFmtId="178" fontId="36" fillId="37" borderId="32" xfId="49" applyNumberFormat="1" applyFont="1" applyFill="1" applyBorder="1" applyAlignment="1">
      <alignment horizontal="right" vertical="center" wrapText="1"/>
    </xf>
    <xf numFmtId="178" fontId="35" fillId="0" borderId="59" xfId="49" applyNumberFormat="1" applyFont="1" applyFill="1" applyBorder="1" applyAlignment="1">
      <alignment horizontal="right" vertical="center" wrapText="1"/>
    </xf>
    <xf numFmtId="178" fontId="36" fillId="37" borderId="36" xfId="49" applyNumberFormat="1" applyFont="1" applyFill="1" applyBorder="1" applyAlignment="1">
      <alignment horizontal="right" vertical="center" wrapText="1"/>
    </xf>
    <xf numFmtId="41" fontId="33" fillId="0" borderId="0" xfId="49" applyFont="1">
      <alignment vertical="center"/>
    </xf>
    <xf numFmtId="49" fontId="45" fillId="45" borderId="42" xfId="43" applyNumberFormat="1" applyFont="1" applyFill="1" applyBorder="1" applyAlignment="1">
      <alignment horizontal="center" vertical="center" wrapText="1"/>
    </xf>
    <xf numFmtId="49" fontId="45" fillId="45" borderId="10" xfId="43" applyNumberFormat="1" applyFont="1" applyFill="1" applyBorder="1" applyAlignment="1">
      <alignment horizontal="center" vertical="center" wrapText="1"/>
    </xf>
    <xf numFmtId="177" fontId="45" fillId="33" borderId="39" xfId="43" applyNumberFormat="1" applyFont="1" applyFill="1" applyBorder="1" applyAlignment="1">
      <alignment horizontal="center" vertical="center"/>
    </xf>
    <xf numFmtId="177" fontId="45" fillId="41" borderId="10" xfId="43" applyNumberFormat="1" applyFont="1" applyFill="1" applyBorder="1" applyAlignment="1">
      <alignment horizontal="center" vertical="center"/>
    </xf>
    <xf numFmtId="0" fontId="44" fillId="42" borderId="26" xfId="0" applyFont="1" applyFill="1" applyBorder="1" applyAlignment="1">
      <alignment horizontal="center" vertical="center"/>
    </xf>
    <xf numFmtId="0" fontId="44" fillId="42" borderId="15" xfId="0" applyFont="1" applyFill="1" applyBorder="1" applyAlignment="1">
      <alignment horizontal="center" vertical="center"/>
    </xf>
    <xf numFmtId="0" fontId="44" fillId="42" borderId="17" xfId="0" applyFont="1" applyFill="1" applyBorder="1" applyAlignment="1">
      <alignment horizontal="center" vertical="center"/>
    </xf>
    <xf numFmtId="178" fontId="44" fillId="0" borderId="46" xfId="49" applyNumberFormat="1" applyFont="1" applyBorder="1" applyAlignment="1">
      <alignment horizontal="right" vertical="center" wrapText="1"/>
    </xf>
    <xf numFmtId="178" fontId="33" fillId="0" borderId="31" xfId="49" applyNumberFormat="1" applyFont="1" applyBorder="1" applyAlignment="1">
      <alignment horizontal="right" vertical="center" wrapText="1"/>
    </xf>
    <xf numFmtId="178" fontId="33" fillId="0" borderId="33" xfId="49" applyNumberFormat="1" applyFont="1" applyBorder="1" applyAlignment="1">
      <alignment horizontal="right" vertical="center" wrapText="1"/>
    </xf>
    <xf numFmtId="178" fontId="33" fillId="0" borderId="43" xfId="49" applyNumberFormat="1" applyFont="1" applyBorder="1" applyAlignment="1">
      <alignment horizontal="right" vertical="center" wrapText="1"/>
    </xf>
    <xf numFmtId="178" fontId="36" fillId="41" borderId="46" xfId="49" applyNumberFormat="1" applyFont="1" applyFill="1" applyBorder="1" applyAlignment="1">
      <alignment horizontal="right" vertical="center" wrapText="1"/>
    </xf>
    <xf numFmtId="178" fontId="33" fillId="0" borderId="45" xfId="49" applyNumberFormat="1" applyFont="1" applyBorder="1" applyAlignment="1">
      <alignment horizontal="right" vertical="center" wrapText="1"/>
    </xf>
    <xf numFmtId="178" fontId="0" fillId="0" borderId="0" xfId="0" applyNumberFormat="1">
      <alignment vertical="center"/>
    </xf>
    <xf numFmtId="0" fontId="33" fillId="41" borderId="19" xfId="0" applyFont="1" applyFill="1" applyBorder="1">
      <alignment vertical="center"/>
    </xf>
    <xf numFmtId="178" fontId="44" fillId="0" borderId="37" xfId="49" applyNumberFormat="1" applyFont="1" applyBorder="1" applyAlignment="1">
      <alignment horizontal="right" vertical="center" wrapText="1"/>
    </xf>
    <xf numFmtId="178" fontId="33" fillId="0" borderId="27" xfId="49" applyNumberFormat="1" applyFont="1" applyBorder="1" applyAlignment="1">
      <alignment horizontal="right" vertical="center" wrapText="1"/>
    </xf>
    <xf numFmtId="178" fontId="33" fillId="0" borderId="18" xfId="49" applyNumberFormat="1" applyFont="1" applyBorder="1" applyAlignment="1">
      <alignment horizontal="right" vertical="center" wrapText="1"/>
    </xf>
    <xf numFmtId="178" fontId="33" fillId="0" borderId="19" xfId="49" applyNumberFormat="1" applyFont="1" applyBorder="1" applyAlignment="1">
      <alignment horizontal="right" vertical="center" wrapText="1"/>
    </xf>
    <xf numFmtId="178" fontId="36" fillId="41" borderId="37" xfId="49" applyNumberFormat="1" applyFont="1" applyFill="1" applyBorder="1" applyAlignment="1">
      <alignment horizontal="right" vertical="center" wrapText="1"/>
    </xf>
    <xf numFmtId="178" fontId="33" fillId="0" borderId="20" xfId="49" applyNumberFormat="1" applyFont="1" applyBorder="1" applyAlignment="1">
      <alignment horizontal="right" vertical="center" wrapText="1"/>
    </xf>
    <xf numFmtId="0" fontId="33" fillId="41" borderId="50" xfId="0" applyFont="1" applyFill="1" applyBorder="1">
      <alignment vertical="center"/>
    </xf>
    <xf numFmtId="178" fontId="44" fillId="41" borderId="38" xfId="49" applyNumberFormat="1" applyFont="1" applyFill="1" applyBorder="1" applyAlignment="1">
      <alignment horizontal="right" vertical="center" wrapText="1"/>
    </xf>
    <xf numFmtId="178" fontId="36" fillId="41" borderId="22" xfId="49" applyNumberFormat="1" applyFont="1" applyFill="1" applyBorder="1" applyAlignment="1">
      <alignment horizontal="right" vertical="center" wrapText="1"/>
    </xf>
    <xf numFmtId="178" fontId="35" fillId="41" borderId="22" xfId="49" applyNumberFormat="1" applyFont="1" applyFill="1" applyBorder="1" applyAlignment="1">
      <alignment horizontal="right" vertical="center" wrapText="1"/>
    </xf>
    <xf numFmtId="178" fontId="35" fillId="41" borderId="23" xfId="49" applyNumberFormat="1" applyFont="1" applyFill="1" applyBorder="1" applyAlignment="1">
      <alignment horizontal="right" vertical="center" wrapText="1"/>
    </xf>
    <xf numFmtId="178" fontId="36" fillId="41" borderId="38" xfId="49" applyNumberFormat="1" applyFont="1" applyFill="1" applyBorder="1" applyAlignment="1">
      <alignment horizontal="right" vertical="center" wrapText="1"/>
    </xf>
    <xf numFmtId="178" fontId="35" fillId="41" borderId="24" xfId="49" applyNumberFormat="1" applyFont="1" applyFill="1" applyBorder="1" applyAlignment="1">
      <alignment horizontal="right" vertical="center" wrapText="1"/>
    </xf>
    <xf numFmtId="178" fontId="33" fillId="0" borderId="48" xfId="49" applyNumberFormat="1" applyFont="1" applyBorder="1">
      <alignment vertical="center"/>
    </xf>
    <xf numFmtId="178" fontId="33" fillId="0" borderId="49" xfId="49" applyNumberFormat="1" applyFont="1" applyBorder="1">
      <alignment vertical="center"/>
    </xf>
    <xf numFmtId="178" fontId="33" fillId="0" borderId="51" xfId="49" applyNumberFormat="1" applyFont="1" applyBorder="1">
      <alignment vertical="center"/>
    </xf>
    <xf numFmtId="0" fontId="33" fillId="41" borderId="53" xfId="0" applyFont="1" applyFill="1" applyBorder="1">
      <alignment vertical="center"/>
    </xf>
    <xf numFmtId="178" fontId="44" fillId="0" borderId="36" xfId="49" applyNumberFormat="1" applyFont="1" applyBorder="1" applyAlignment="1">
      <alignment horizontal="right" vertical="center" wrapText="1"/>
    </xf>
    <xf numFmtId="178" fontId="33" fillId="0" borderId="26" xfId="49" applyNumberFormat="1" applyFont="1" applyBorder="1" applyAlignment="1">
      <alignment horizontal="right" vertical="center" wrapText="1"/>
    </xf>
    <xf numFmtId="178" fontId="33" fillId="0" borderId="15" xfId="49" applyNumberFormat="1" applyFont="1" applyBorder="1" applyAlignment="1">
      <alignment horizontal="right" vertical="center" wrapText="1"/>
    </xf>
    <xf numFmtId="178" fontId="33" fillId="0" borderId="53" xfId="49" applyNumberFormat="1" applyFont="1" applyBorder="1" applyAlignment="1">
      <alignment horizontal="right" vertical="center" wrapText="1"/>
    </xf>
    <xf numFmtId="178" fontId="44" fillId="41" borderId="36" xfId="49" applyNumberFormat="1" applyFont="1" applyFill="1" applyBorder="1" applyAlignment="1">
      <alignment horizontal="right" vertical="center" wrapText="1"/>
    </xf>
    <xf numFmtId="178" fontId="33" fillId="0" borderId="16" xfId="49" applyNumberFormat="1" applyFont="1" applyBorder="1" applyAlignment="1">
      <alignment horizontal="right" vertical="center" wrapText="1"/>
    </xf>
    <xf numFmtId="178" fontId="33" fillId="0" borderId="26" xfId="49" applyNumberFormat="1" applyFont="1" applyBorder="1">
      <alignment vertical="center"/>
    </xf>
    <xf numFmtId="178" fontId="33" fillId="0" borderId="15" xfId="49" applyNumberFormat="1" applyFont="1" applyBorder="1">
      <alignment vertical="center"/>
    </xf>
    <xf numFmtId="178" fontId="33" fillId="0" borderId="17" xfId="49" applyNumberFormat="1" applyFont="1" applyBorder="1">
      <alignment vertical="center"/>
    </xf>
    <xf numFmtId="178" fontId="44" fillId="41" borderId="37" xfId="49" applyNumberFormat="1" applyFont="1" applyFill="1" applyBorder="1" applyAlignment="1">
      <alignment horizontal="right" vertical="center" wrapText="1"/>
    </xf>
    <xf numFmtId="178" fontId="44" fillId="41" borderId="46" xfId="49" applyNumberFormat="1" applyFont="1" applyFill="1" applyBorder="1" applyAlignment="1">
      <alignment horizontal="right" vertical="center" wrapText="1"/>
    </xf>
    <xf numFmtId="178" fontId="33" fillId="0" borderId="31" xfId="49" applyNumberFormat="1" applyFont="1" applyBorder="1">
      <alignment vertical="center"/>
    </xf>
    <xf numFmtId="178" fontId="33" fillId="0" borderId="33" xfId="49" applyNumberFormat="1" applyFont="1" applyBorder="1">
      <alignment vertical="center"/>
    </xf>
    <xf numFmtId="178" fontId="33" fillId="0" borderId="34" xfId="49" applyNumberFormat="1" applyFont="1" applyBorder="1">
      <alignment vertical="center"/>
    </xf>
    <xf numFmtId="178" fontId="33" fillId="0" borderId="17" xfId="49" applyNumberFormat="1" applyFont="1" applyBorder="1" applyAlignment="1">
      <alignment horizontal="right" vertical="center" wrapText="1"/>
    </xf>
    <xf numFmtId="178" fontId="33" fillId="0" borderId="21" xfId="49" applyNumberFormat="1" applyFont="1" applyBorder="1" applyAlignment="1">
      <alignment horizontal="right" vertical="center" wrapText="1"/>
    </xf>
    <xf numFmtId="178" fontId="44" fillId="42" borderId="38" xfId="49" applyNumberFormat="1" applyFont="1" applyFill="1" applyBorder="1" applyAlignment="1">
      <alignment horizontal="right" vertical="center" wrapText="1"/>
    </xf>
    <xf numFmtId="178" fontId="36" fillId="42" borderId="22" xfId="49" applyNumberFormat="1" applyFont="1" applyFill="1" applyBorder="1" applyAlignment="1">
      <alignment horizontal="right" vertical="center" wrapText="1"/>
    </xf>
    <xf numFmtId="178" fontId="35" fillId="42" borderId="22" xfId="49" applyNumberFormat="1" applyFont="1" applyFill="1" applyBorder="1" applyAlignment="1">
      <alignment horizontal="right" vertical="center" wrapText="1"/>
    </xf>
    <xf numFmtId="178" fontId="35" fillId="42" borderId="23" xfId="49" applyNumberFormat="1" applyFont="1" applyFill="1" applyBorder="1" applyAlignment="1">
      <alignment horizontal="right" vertical="center" wrapText="1"/>
    </xf>
    <xf numFmtId="178" fontId="36" fillId="42" borderId="38" xfId="49" applyNumberFormat="1" applyFont="1" applyFill="1" applyBorder="1" applyAlignment="1">
      <alignment horizontal="right" vertical="center" wrapText="1"/>
    </xf>
    <xf numFmtId="178" fontId="35" fillId="42" borderId="24" xfId="49" applyNumberFormat="1" applyFont="1" applyFill="1" applyBorder="1" applyAlignment="1">
      <alignment horizontal="right" vertical="center" wrapText="1"/>
    </xf>
    <xf numFmtId="0" fontId="33" fillId="0" borderId="14" xfId="0" applyFont="1" applyBorder="1" applyAlignment="1">
      <alignment horizontal="center" vertical="center"/>
    </xf>
    <xf numFmtId="0" fontId="33" fillId="0" borderId="14" xfId="0" applyFont="1" applyBorder="1">
      <alignment vertical="center"/>
    </xf>
    <xf numFmtId="178" fontId="44" fillId="0" borderId="14" xfId="49" applyNumberFormat="1" applyFont="1" applyBorder="1" applyAlignment="1">
      <alignment horizontal="right" vertical="center" wrapText="1"/>
    </xf>
    <xf numFmtId="178" fontId="33" fillId="0" borderId="14" xfId="49" applyNumberFormat="1" applyFont="1" applyBorder="1" applyAlignment="1">
      <alignment horizontal="right" vertical="center" wrapText="1"/>
    </xf>
    <xf numFmtId="178" fontId="33" fillId="0" borderId="14" xfId="49" applyNumberFormat="1" applyFont="1" applyBorder="1">
      <alignment vertical="center"/>
    </xf>
    <xf numFmtId="178" fontId="36" fillId="41" borderId="36" xfId="49" applyNumberFormat="1" applyFont="1" applyFill="1" applyBorder="1" applyAlignment="1">
      <alignment horizontal="right" vertical="center" wrapText="1"/>
    </xf>
    <xf numFmtId="178" fontId="33" fillId="0" borderId="34" xfId="49" applyNumberFormat="1" applyFont="1" applyBorder="1" applyAlignment="1">
      <alignment horizontal="right" vertical="center" wrapText="1"/>
    </xf>
    <xf numFmtId="0" fontId="0" fillId="0" borderId="14" xfId="0" applyBorder="1" applyAlignment="1">
      <alignment horizontal="center" vertical="center"/>
    </xf>
    <xf numFmtId="0" fontId="33" fillId="41" borderId="17" xfId="0" applyFont="1" applyFill="1" applyBorder="1">
      <alignment vertical="center"/>
    </xf>
    <xf numFmtId="0" fontId="33" fillId="41" borderId="21" xfId="0" applyFont="1" applyFill="1" applyBorder="1">
      <alignment vertical="center"/>
    </xf>
    <xf numFmtId="0" fontId="3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8" fontId="44" fillId="0" borderId="0" xfId="49" applyNumberFormat="1" applyFont="1" applyBorder="1" applyAlignment="1">
      <alignment horizontal="right" vertical="center" wrapText="1"/>
    </xf>
    <xf numFmtId="178" fontId="33" fillId="0" borderId="0" xfId="49" applyNumberFormat="1" applyFont="1" applyBorder="1" applyAlignment="1">
      <alignment horizontal="right" vertical="center" wrapText="1"/>
    </xf>
    <xf numFmtId="178" fontId="33" fillId="0" borderId="58" xfId="49" applyNumberFormat="1" applyFont="1" applyBorder="1">
      <alignment vertical="center"/>
    </xf>
    <xf numFmtId="178" fontId="44" fillId="42" borderId="10" xfId="49" applyNumberFormat="1" applyFont="1" applyFill="1" applyBorder="1" applyAlignment="1">
      <alignment horizontal="right" vertical="center" wrapText="1"/>
    </xf>
    <xf numFmtId="178" fontId="33" fillId="42" borderId="39" xfId="49" applyNumberFormat="1" applyFont="1" applyFill="1" applyBorder="1" applyAlignment="1">
      <alignment horizontal="right" vertical="center" wrapText="1"/>
    </xf>
    <xf numFmtId="178" fontId="33" fillId="42" borderId="44" xfId="49" applyNumberFormat="1" applyFont="1" applyFill="1" applyBorder="1" applyAlignment="1">
      <alignment horizontal="right" vertical="center" wrapText="1"/>
    </xf>
    <xf numFmtId="178" fontId="33" fillId="42" borderId="40" xfId="49" applyNumberFormat="1" applyFont="1" applyFill="1" applyBorder="1" applyAlignment="1">
      <alignment horizontal="right" vertical="center" wrapText="1"/>
    </xf>
    <xf numFmtId="178" fontId="33" fillId="42" borderId="41" xfId="49" applyNumberFormat="1" applyFont="1" applyFill="1" applyBorder="1" applyAlignment="1">
      <alignment horizontal="right" vertical="center" wrapText="1"/>
    </xf>
    <xf numFmtId="178" fontId="33" fillId="42" borderId="42" xfId="49" applyNumberFormat="1" applyFont="1" applyFill="1" applyBorder="1" applyAlignment="1">
      <alignment horizontal="right" vertical="center" wrapText="1"/>
    </xf>
    <xf numFmtId="178" fontId="33" fillId="0" borderId="39" xfId="49" applyNumberFormat="1" applyFont="1" applyBorder="1">
      <alignment vertical="center"/>
    </xf>
    <xf numFmtId="178" fontId="33" fillId="0" borderId="40" xfId="49" applyNumberFormat="1" applyFont="1" applyBorder="1">
      <alignment vertical="center"/>
    </xf>
    <xf numFmtId="178" fontId="33" fillId="0" borderId="41" xfId="49" applyNumberFormat="1" applyFont="1" applyBorder="1">
      <alignment vertical="center"/>
    </xf>
    <xf numFmtId="0" fontId="33" fillId="37" borderId="53" xfId="0" applyFont="1" applyFill="1" applyBorder="1">
      <alignment vertical="center"/>
    </xf>
    <xf numFmtId="0" fontId="33" fillId="37" borderId="19" xfId="0" applyFont="1" applyFill="1" applyBorder="1">
      <alignment vertical="center"/>
    </xf>
    <xf numFmtId="0" fontId="33" fillId="37" borderId="23" xfId="0" applyFont="1" applyFill="1" applyBorder="1">
      <alignment vertical="center"/>
    </xf>
    <xf numFmtId="178" fontId="44" fillId="37" borderId="38" xfId="49" applyNumberFormat="1" applyFont="1" applyFill="1" applyBorder="1" applyAlignment="1">
      <alignment horizontal="right" vertical="center" wrapText="1"/>
    </xf>
    <xf numFmtId="178" fontId="36" fillId="37" borderId="22" xfId="49" applyNumberFormat="1" applyFont="1" applyFill="1" applyBorder="1" applyAlignment="1">
      <alignment horizontal="right" vertical="center" wrapText="1"/>
    </xf>
    <xf numFmtId="178" fontId="35" fillId="37" borderId="22" xfId="49" applyNumberFormat="1" applyFont="1" applyFill="1" applyBorder="1" applyAlignment="1">
      <alignment horizontal="right" vertical="center" wrapText="1"/>
    </xf>
    <xf numFmtId="178" fontId="35" fillId="37" borderId="23" xfId="49" applyNumberFormat="1" applyFont="1" applyFill="1" applyBorder="1" applyAlignment="1">
      <alignment horizontal="right" vertical="center" wrapText="1"/>
    </xf>
    <xf numFmtId="178" fontId="35" fillId="37" borderId="24" xfId="49" applyNumberFormat="1" applyFont="1" applyFill="1" applyBorder="1" applyAlignment="1">
      <alignment horizontal="right" vertical="center" wrapText="1"/>
    </xf>
    <xf numFmtId="0" fontId="44" fillId="42" borderId="0" xfId="0" applyFont="1" applyFill="1" applyAlignment="1">
      <alignment horizontal="center" vertical="center" wrapText="1"/>
    </xf>
    <xf numFmtId="0" fontId="0" fillId="42" borderId="0" xfId="0" applyFill="1" applyAlignment="1">
      <alignment horizontal="center" vertical="center"/>
    </xf>
    <xf numFmtId="0" fontId="33" fillId="42" borderId="0" xfId="0" applyFont="1" applyFill="1">
      <alignment vertical="center"/>
    </xf>
    <xf numFmtId="178" fontId="44" fillId="42" borderId="0" xfId="49" applyNumberFormat="1" applyFont="1" applyFill="1" applyBorder="1" applyAlignment="1">
      <alignment horizontal="right" vertical="center" wrapText="1"/>
    </xf>
    <xf numFmtId="178" fontId="36" fillId="42" borderId="0" xfId="49" applyNumberFormat="1" applyFont="1" applyFill="1" applyBorder="1" applyAlignment="1">
      <alignment horizontal="right" vertical="center" wrapText="1"/>
    </xf>
    <xf numFmtId="178" fontId="35" fillId="42" borderId="0" xfId="49" applyNumberFormat="1" applyFont="1" applyFill="1" applyBorder="1" applyAlignment="1">
      <alignment horizontal="right" vertical="center" wrapText="1"/>
    </xf>
    <xf numFmtId="178" fontId="33" fillId="0" borderId="0" xfId="49" applyNumberFormat="1" applyFont="1" applyBorder="1">
      <alignment vertical="center"/>
    </xf>
    <xf numFmtId="178" fontId="0" fillId="0" borderId="0" xfId="0" applyNumberFormat="1" applyAlignment="1">
      <alignment horizontal="right" vertical="center"/>
    </xf>
    <xf numFmtId="178" fontId="0" fillId="0" borderId="0" xfId="49" applyNumberFormat="1" applyFont="1" applyAlignment="1">
      <alignment horizontal="right" vertical="center"/>
    </xf>
    <xf numFmtId="0" fontId="47" fillId="0" borderId="0" xfId="0" applyFont="1">
      <alignment vertical="center"/>
    </xf>
    <xf numFmtId="0" fontId="33" fillId="43" borderId="43" xfId="0" applyFont="1" applyFill="1" applyBorder="1">
      <alignment vertical="center"/>
    </xf>
    <xf numFmtId="0" fontId="33" fillId="43" borderId="19" xfId="0" applyFont="1" applyFill="1" applyBorder="1">
      <alignment vertical="center"/>
    </xf>
    <xf numFmtId="0" fontId="33" fillId="43" borderId="23" xfId="0" applyFont="1" applyFill="1" applyBorder="1">
      <alignment vertical="center"/>
    </xf>
    <xf numFmtId="178" fontId="44" fillId="43" borderId="38" xfId="49" applyNumberFormat="1" applyFont="1" applyFill="1" applyBorder="1" applyAlignment="1">
      <alignment horizontal="right" vertical="center" wrapText="1"/>
    </xf>
    <xf numFmtId="178" fontId="36" fillId="43" borderId="22" xfId="49" applyNumberFormat="1" applyFont="1" applyFill="1" applyBorder="1" applyAlignment="1">
      <alignment horizontal="right" vertical="center" wrapText="1"/>
    </xf>
    <xf numFmtId="178" fontId="35" fillId="43" borderId="22" xfId="49" applyNumberFormat="1" applyFont="1" applyFill="1" applyBorder="1" applyAlignment="1">
      <alignment horizontal="right" vertical="center" wrapText="1"/>
    </xf>
    <xf numFmtId="178" fontId="35" fillId="43" borderId="23" xfId="49" applyNumberFormat="1" applyFont="1" applyFill="1" applyBorder="1" applyAlignment="1">
      <alignment horizontal="right" vertical="center" wrapText="1"/>
    </xf>
    <xf numFmtId="178" fontId="36" fillId="43" borderId="38" xfId="49" applyNumberFormat="1" applyFont="1" applyFill="1" applyBorder="1" applyAlignment="1">
      <alignment horizontal="right" vertical="center" wrapText="1"/>
    </xf>
    <xf numFmtId="178" fontId="35" fillId="43" borderId="24" xfId="49" applyNumberFormat="1" applyFont="1" applyFill="1" applyBorder="1" applyAlignment="1">
      <alignment horizontal="right" vertical="center" wrapText="1"/>
    </xf>
    <xf numFmtId="178" fontId="36" fillId="37" borderId="57" xfId="49" applyNumberFormat="1" applyFont="1" applyFill="1" applyBorder="1" applyAlignment="1">
      <alignment horizontal="right" vertical="center" wrapText="1"/>
    </xf>
    <xf numFmtId="41" fontId="0" fillId="0" borderId="0" xfId="49" applyFont="1">
      <alignment vertical="center"/>
    </xf>
    <xf numFmtId="49" fontId="45" fillId="45" borderId="14" xfId="43" applyNumberFormat="1" applyFont="1" applyFill="1" applyBorder="1" applyAlignment="1">
      <alignment horizontal="center" vertical="center" wrapText="1"/>
    </xf>
    <xf numFmtId="0" fontId="33" fillId="41" borderId="63" xfId="0" applyFont="1" applyFill="1" applyBorder="1">
      <alignment vertical="center"/>
    </xf>
    <xf numFmtId="0" fontId="33" fillId="41" borderId="67" xfId="0" applyFont="1" applyFill="1" applyBorder="1">
      <alignment vertical="center"/>
    </xf>
    <xf numFmtId="0" fontId="33" fillId="41" borderId="68" xfId="0" applyFont="1" applyFill="1" applyBorder="1">
      <alignment vertical="center"/>
    </xf>
    <xf numFmtId="0" fontId="33" fillId="41" borderId="64" xfId="0" applyFont="1" applyFill="1" applyBorder="1">
      <alignment vertical="center"/>
    </xf>
    <xf numFmtId="0" fontId="33" fillId="41" borderId="69" xfId="0" applyFont="1" applyFill="1" applyBorder="1">
      <alignment vertical="center"/>
    </xf>
    <xf numFmtId="0" fontId="33" fillId="41" borderId="70" xfId="0" applyFont="1" applyFill="1" applyBorder="1">
      <alignment vertical="center"/>
    </xf>
    <xf numFmtId="0" fontId="33" fillId="41" borderId="65" xfId="0" applyFont="1" applyFill="1" applyBorder="1">
      <alignment vertical="center"/>
    </xf>
    <xf numFmtId="0" fontId="33" fillId="41" borderId="66" xfId="0" applyFont="1" applyFill="1" applyBorder="1">
      <alignment vertical="center"/>
    </xf>
    <xf numFmtId="0" fontId="33" fillId="37" borderId="64" xfId="0" applyFont="1" applyFill="1" applyBorder="1">
      <alignment vertical="center"/>
    </xf>
    <xf numFmtId="0" fontId="33" fillId="37" borderId="67" xfId="0" applyFont="1" applyFill="1" applyBorder="1">
      <alignment vertical="center"/>
    </xf>
    <xf numFmtId="0" fontId="33" fillId="37" borderId="52" xfId="0" applyFont="1" applyFill="1" applyBorder="1">
      <alignment vertical="center"/>
    </xf>
    <xf numFmtId="0" fontId="33" fillId="43" borderId="63" xfId="0" applyFont="1" applyFill="1" applyBorder="1">
      <alignment vertical="center"/>
    </xf>
    <xf numFmtId="0" fontId="33" fillId="43" borderId="67" xfId="0" applyFont="1" applyFill="1" applyBorder="1">
      <alignment vertical="center"/>
    </xf>
    <xf numFmtId="0" fontId="33" fillId="43" borderId="52" xfId="0" applyFont="1" applyFill="1" applyBorder="1">
      <alignment vertical="center"/>
    </xf>
    <xf numFmtId="41" fontId="44" fillId="44" borderId="38" xfId="49" applyFont="1" applyFill="1" applyBorder="1" applyAlignment="1">
      <alignment horizontal="right" vertical="center" wrapText="1"/>
    </xf>
    <xf numFmtId="0" fontId="33" fillId="41" borderId="43" xfId="0" applyFont="1" applyFill="1" applyBorder="1" applyAlignment="1">
      <alignment horizontal="center" vertical="center"/>
    </xf>
    <xf numFmtId="0" fontId="33" fillId="41" borderId="19" xfId="0" applyFont="1" applyFill="1" applyBorder="1" applyAlignment="1">
      <alignment horizontal="center" vertical="center"/>
    </xf>
    <xf numFmtId="0" fontId="33" fillId="41" borderId="53" xfId="0" applyFont="1" applyFill="1" applyBorder="1" applyAlignment="1">
      <alignment horizontal="center" vertical="center"/>
    </xf>
    <xf numFmtId="0" fontId="33" fillId="42" borderId="43" xfId="0" applyFont="1" applyFill="1" applyBorder="1" applyAlignment="1">
      <alignment horizontal="center" vertical="center"/>
    </xf>
    <xf numFmtId="0" fontId="33" fillId="42" borderId="19" xfId="0" applyFont="1" applyFill="1" applyBorder="1" applyAlignment="1">
      <alignment horizontal="center" vertical="center"/>
    </xf>
    <xf numFmtId="0" fontId="33" fillId="42" borderId="53" xfId="0" applyFont="1" applyFill="1" applyBorder="1" applyAlignment="1">
      <alignment horizontal="center" vertical="center"/>
    </xf>
    <xf numFmtId="0" fontId="33" fillId="41" borderId="46" xfId="0" applyFont="1" applyFill="1" applyBorder="1">
      <alignment vertical="center"/>
    </xf>
    <xf numFmtId="0" fontId="33" fillId="41" borderId="37" xfId="0" applyFont="1" applyFill="1" applyBorder="1">
      <alignment vertical="center"/>
    </xf>
    <xf numFmtId="0" fontId="0" fillId="0" borderId="0" xfId="0" applyAlignment="1">
      <alignment horizontal="left" vertical="center"/>
    </xf>
    <xf numFmtId="178" fontId="33" fillId="0" borderId="18" xfId="49" applyNumberFormat="1" applyFont="1" applyFill="1" applyBorder="1" applyAlignment="1">
      <alignment horizontal="right" vertical="center" wrapText="1"/>
    </xf>
    <xf numFmtId="0" fontId="33" fillId="42" borderId="46" xfId="0" applyFont="1" applyFill="1" applyBorder="1">
      <alignment vertical="center"/>
    </xf>
    <xf numFmtId="0" fontId="33" fillId="42" borderId="37" xfId="0" applyFont="1" applyFill="1" applyBorder="1">
      <alignment vertical="center"/>
    </xf>
    <xf numFmtId="178" fontId="36" fillId="0" borderId="0" xfId="49" applyNumberFormat="1" applyFont="1" applyFill="1" applyBorder="1" applyAlignment="1">
      <alignment horizontal="right" vertical="center" wrapText="1"/>
    </xf>
    <xf numFmtId="0" fontId="44" fillId="0" borderId="0" xfId="0" applyFont="1" applyAlignment="1">
      <alignment horizontal="center" vertical="center"/>
    </xf>
    <xf numFmtId="178" fontId="44" fillId="0" borderId="0" xfId="49" applyNumberFormat="1" applyFont="1" applyFill="1" applyBorder="1" applyAlignment="1">
      <alignment horizontal="right" vertical="center" wrapText="1"/>
    </xf>
    <xf numFmtId="178" fontId="35" fillId="0" borderId="0" xfId="49" applyNumberFormat="1" applyFont="1" applyFill="1" applyBorder="1" applyAlignment="1">
      <alignment horizontal="right" vertical="center" wrapText="1"/>
    </xf>
    <xf numFmtId="178" fontId="33" fillId="0" borderId="0" xfId="49" applyNumberFormat="1" applyFont="1" applyFill="1" applyBorder="1">
      <alignment vertical="center"/>
    </xf>
    <xf numFmtId="176" fontId="38" fillId="0" borderId="13" xfId="43" applyNumberFormat="1" applyFont="1" applyBorder="1" applyAlignment="1">
      <alignment horizontal="right" vertical="center" wrapText="1"/>
    </xf>
    <xf numFmtId="176" fontId="38" fillId="37" borderId="71" xfId="43" applyNumberFormat="1" applyFont="1" applyFill="1" applyBorder="1" applyAlignment="1">
      <alignment horizontal="right" vertical="center" wrapText="1"/>
    </xf>
    <xf numFmtId="41" fontId="33" fillId="0" borderId="27" xfId="49" applyFont="1" applyBorder="1">
      <alignment vertical="center"/>
    </xf>
    <xf numFmtId="176" fontId="38" fillId="37" borderId="72" xfId="43" applyNumberFormat="1" applyFont="1" applyFill="1" applyBorder="1" applyAlignment="1">
      <alignment horizontal="right" vertical="center" wrapText="1"/>
    </xf>
    <xf numFmtId="49" fontId="45" fillId="33" borderId="40" xfId="43" applyNumberFormat="1" applyFont="1" applyFill="1" applyBorder="1" applyAlignment="1">
      <alignment horizontal="center" vertical="center" wrapText="1"/>
    </xf>
    <xf numFmtId="0" fontId="33" fillId="0" borderId="60" xfId="0" applyFont="1" applyBorder="1">
      <alignment vertical="center"/>
    </xf>
    <xf numFmtId="0" fontId="33" fillId="42" borderId="17" xfId="0" applyFont="1" applyFill="1" applyBorder="1">
      <alignment vertical="center"/>
    </xf>
    <xf numFmtId="0" fontId="33" fillId="42" borderId="21" xfId="0" applyFont="1" applyFill="1" applyBorder="1">
      <alignment vertical="center"/>
    </xf>
    <xf numFmtId="0" fontId="33" fillId="0" borderId="60" xfId="0" applyFont="1" applyBorder="1" applyAlignment="1">
      <alignment horizontal="center" vertical="center"/>
    </xf>
    <xf numFmtId="0" fontId="33" fillId="42" borderId="34" xfId="0" applyFont="1" applyFill="1" applyBorder="1">
      <alignment vertical="center"/>
    </xf>
    <xf numFmtId="0" fontId="50" fillId="0" borderId="0" xfId="0" applyFont="1" applyAlignment="1">
      <alignment horizontal="left" vertical="center"/>
    </xf>
    <xf numFmtId="0" fontId="24" fillId="40" borderId="18" xfId="0" applyFont="1" applyFill="1" applyBorder="1" applyAlignment="1">
      <alignment horizontal="center" vertical="center"/>
    </xf>
    <xf numFmtId="177" fontId="45" fillId="37" borderId="40" xfId="43" applyNumberFormat="1" applyFont="1" applyFill="1" applyBorder="1" applyAlignment="1">
      <alignment horizontal="center" vertical="center"/>
    </xf>
    <xf numFmtId="178" fontId="35" fillId="37" borderId="33" xfId="49" applyNumberFormat="1" applyFont="1" applyFill="1" applyBorder="1" applyAlignment="1">
      <alignment horizontal="right" vertical="center" wrapText="1"/>
    </xf>
    <xf numFmtId="178" fontId="35" fillId="37" borderId="62" xfId="49" applyNumberFormat="1" applyFont="1" applyFill="1" applyBorder="1" applyAlignment="1">
      <alignment horizontal="right" vertical="center" wrapText="1"/>
    </xf>
    <xf numFmtId="178" fontId="35" fillId="37" borderId="53" xfId="49" applyNumberFormat="1" applyFont="1" applyFill="1" applyBorder="1" applyAlignment="1">
      <alignment horizontal="right" vertical="center" wrapText="1"/>
    </xf>
    <xf numFmtId="177" fontId="45" fillId="41" borderId="40" xfId="43" applyNumberFormat="1" applyFont="1" applyFill="1" applyBorder="1" applyAlignment="1">
      <alignment horizontal="center" vertical="center"/>
    </xf>
    <xf numFmtId="178" fontId="33" fillId="41" borderId="43" xfId="49" applyNumberFormat="1" applyFont="1" applyFill="1" applyBorder="1" applyAlignment="1">
      <alignment horizontal="right" vertical="center" wrapText="1"/>
    </xf>
    <xf numFmtId="178" fontId="33" fillId="41" borderId="19" xfId="49" applyNumberFormat="1" applyFont="1" applyFill="1" applyBorder="1" applyAlignment="1">
      <alignment horizontal="right" vertical="center" wrapText="1"/>
    </xf>
    <xf numFmtId="178" fontId="33" fillId="41" borderId="53" xfId="49" applyNumberFormat="1" applyFont="1" applyFill="1" applyBorder="1" applyAlignment="1">
      <alignment horizontal="right" vertical="center" wrapText="1"/>
    </xf>
    <xf numFmtId="178" fontId="33" fillId="41" borderId="14" xfId="49" applyNumberFormat="1" applyFont="1" applyFill="1" applyBorder="1" applyAlignment="1">
      <alignment horizontal="right" vertical="center" wrapText="1"/>
    </xf>
    <xf numFmtId="178" fontId="33" fillId="0" borderId="33" xfId="49" applyNumberFormat="1" applyFont="1" applyFill="1" applyBorder="1" applyAlignment="1">
      <alignment horizontal="right" vertical="center" wrapText="1"/>
    </xf>
    <xf numFmtId="178" fontId="33" fillId="0" borderId="15" xfId="49" applyNumberFormat="1" applyFont="1" applyFill="1" applyBorder="1" applyAlignment="1">
      <alignment horizontal="right" vertical="center" wrapText="1"/>
    </xf>
    <xf numFmtId="178" fontId="33" fillId="0" borderId="43" xfId="49" applyNumberFormat="1" applyFont="1" applyFill="1" applyBorder="1" applyAlignment="1">
      <alignment horizontal="right" vertical="center" wrapText="1"/>
    </xf>
    <xf numFmtId="178" fontId="33" fillId="0" borderId="53" xfId="49" applyNumberFormat="1" applyFont="1" applyFill="1" applyBorder="1" applyAlignment="1">
      <alignment horizontal="right" vertical="center" wrapText="1"/>
    </xf>
    <xf numFmtId="0" fontId="33" fillId="41" borderId="23" xfId="0" applyFont="1" applyFill="1" applyBorder="1">
      <alignment vertical="center"/>
    </xf>
    <xf numFmtId="178" fontId="36" fillId="37" borderId="10" xfId="49" applyNumberFormat="1" applyFont="1" applyFill="1" applyBorder="1" applyAlignment="1">
      <alignment horizontal="right" vertical="center" wrapText="1"/>
    </xf>
    <xf numFmtId="9" fontId="28" fillId="38" borderId="19" xfId="0" applyNumberFormat="1" applyFont="1" applyFill="1" applyBorder="1" applyAlignment="1">
      <alignment horizontal="center" vertical="center"/>
    </xf>
    <xf numFmtId="180" fontId="29" fillId="38" borderId="19" xfId="43" applyNumberFormat="1" applyFont="1" applyFill="1" applyBorder="1" applyAlignment="1">
      <alignment horizontal="center" vertical="center" wrapText="1"/>
    </xf>
    <xf numFmtId="180" fontId="28" fillId="38" borderId="27" xfId="0" applyNumberFormat="1" applyFont="1" applyFill="1" applyBorder="1" applyAlignment="1">
      <alignment horizontal="center" vertical="center"/>
    </xf>
    <xf numFmtId="180" fontId="28" fillId="38" borderId="18" xfId="0" applyNumberFormat="1" applyFont="1" applyFill="1" applyBorder="1" applyAlignment="1">
      <alignment horizontal="center" vertical="center" wrapText="1"/>
    </xf>
    <xf numFmtId="180" fontId="28" fillId="38" borderId="21" xfId="0" applyNumberFormat="1" applyFont="1" applyFill="1" applyBorder="1" applyAlignment="1">
      <alignment horizontal="center" vertical="center"/>
    </xf>
    <xf numFmtId="180" fontId="28" fillId="38" borderId="20" xfId="0" applyNumberFormat="1" applyFont="1" applyFill="1" applyBorder="1" applyAlignment="1">
      <alignment horizontal="center" vertical="center" wrapText="1"/>
    </xf>
    <xf numFmtId="180" fontId="28" fillId="38" borderId="18" xfId="0" applyNumberFormat="1" applyFont="1" applyFill="1" applyBorder="1" applyAlignment="1">
      <alignment horizontal="center" vertical="center"/>
    </xf>
    <xf numFmtId="180" fontId="28" fillId="38" borderId="27" xfId="0" applyNumberFormat="1" applyFont="1" applyFill="1" applyBorder="1" applyAlignment="1">
      <alignment horizontal="center" vertical="center" wrapText="1"/>
    </xf>
    <xf numFmtId="9" fontId="28" fillId="0" borderId="19" xfId="0" applyNumberFormat="1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 wrapText="1"/>
    </xf>
    <xf numFmtId="180" fontId="29" fillId="0" borderId="19" xfId="43" applyNumberFormat="1" applyFont="1" applyBorder="1" applyAlignment="1">
      <alignment horizontal="center" vertical="center" wrapText="1"/>
    </xf>
    <xf numFmtId="180" fontId="28" fillId="0" borderId="27" xfId="0" applyNumberFormat="1" applyFont="1" applyBorder="1" applyAlignment="1">
      <alignment horizontal="center" vertical="center"/>
    </xf>
    <xf numFmtId="180" fontId="28" fillId="0" borderId="18" xfId="0" applyNumberFormat="1" applyFont="1" applyBorder="1" applyAlignment="1">
      <alignment horizontal="center" vertical="center" wrapText="1"/>
    </xf>
    <xf numFmtId="180" fontId="28" fillId="0" borderId="21" xfId="0" applyNumberFormat="1" applyFont="1" applyBorder="1" applyAlignment="1">
      <alignment horizontal="center" vertical="center"/>
    </xf>
    <xf numFmtId="180" fontId="28" fillId="0" borderId="20" xfId="0" applyNumberFormat="1" applyFont="1" applyBorder="1" applyAlignment="1">
      <alignment horizontal="center" vertical="center" wrapText="1"/>
    </xf>
    <xf numFmtId="180" fontId="28" fillId="0" borderId="18" xfId="0" applyNumberFormat="1" applyFont="1" applyBorder="1" applyAlignment="1">
      <alignment horizontal="center" vertical="center"/>
    </xf>
    <xf numFmtId="180" fontId="28" fillId="0" borderId="27" xfId="0" applyNumberFormat="1" applyFont="1" applyBorder="1" applyAlignment="1">
      <alignment horizontal="center" vertical="center" wrapText="1"/>
    </xf>
    <xf numFmtId="9" fontId="27" fillId="38" borderId="19" xfId="0" applyNumberFormat="1" applyFont="1" applyFill="1" applyBorder="1" applyAlignment="1">
      <alignment horizontal="center" vertical="center" wrapText="1"/>
    </xf>
    <xf numFmtId="9" fontId="27" fillId="0" borderId="19" xfId="0" applyNumberFormat="1" applyFont="1" applyBorder="1" applyAlignment="1">
      <alignment horizontal="center" vertical="center" wrapText="1"/>
    </xf>
    <xf numFmtId="9" fontId="28" fillId="38" borderId="19" xfId="0" applyNumberFormat="1" applyFont="1" applyFill="1" applyBorder="1" applyAlignment="1">
      <alignment horizontal="center" vertical="center" wrapText="1"/>
    </xf>
    <xf numFmtId="9" fontId="28" fillId="0" borderId="19" xfId="0" applyNumberFormat="1" applyFont="1" applyBorder="1" applyAlignment="1">
      <alignment horizontal="center" vertical="center" wrapText="1"/>
    </xf>
    <xf numFmtId="0" fontId="53" fillId="46" borderId="15" xfId="0" applyFont="1" applyFill="1" applyBorder="1" applyAlignment="1">
      <alignment horizontal="center" vertical="center"/>
    </xf>
    <xf numFmtId="0" fontId="53" fillId="46" borderId="53" xfId="0" applyFont="1" applyFill="1" applyBorder="1" applyAlignment="1">
      <alignment horizontal="center" vertical="center"/>
    </xf>
    <xf numFmtId="0" fontId="53" fillId="35" borderId="18" xfId="0" applyFont="1" applyFill="1" applyBorder="1" applyAlignment="1">
      <alignment horizontal="center" vertical="center"/>
    </xf>
    <xf numFmtId="3" fontId="53" fillId="35" borderId="18" xfId="0" applyNumberFormat="1" applyFont="1" applyFill="1" applyBorder="1" applyAlignment="1">
      <alignment horizontal="right" vertical="center"/>
    </xf>
    <xf numFmtId="0" fontId="54" fillId="35" borderId="19" xfId="0" applyFont="1" applyFill="1" applyBorder="1" applyAlignment="1">
      <alignment horizontal="left" vertical="center"/>
    </xf>
    <xf numFmtId="0" fontId="33" fillId="35" borderId="19" xfId="0" applyFont="1" applyFill="1" applyBorder="1" applyAlignment="1">
      <alignment horizontal="left" vertical="center" wrapText="1"/>
    </xf>
    <xf numFmtId="0" fontId="53" fillId="35" borderId="22" xfId="0" applyFont="1" applyFill="1" applyBorder="1" applyAlignment="1">
      <alignment horizontal="center" vertical="center"/>
    </xf>
    <xf numFmtId="3" fontId="53" fillId="35" borderId="22" xfId="0" applyNumberFormat="1" applyFont="1" applyFill="1" applyBorder="1" applyAlignment="1">
      <alignment horizontal="right" vertical="center"/>
    </xf>
    <xf numFmtId="0" fontId="54" fillId="35" borderId="23" xfId="0" applyFont="1" applyFill="1" applyBorder="1" applyAlignment="1">
      <alignment horizontal="left" vertical="center" wrapText="1"/>
    </xf>
    <xf numFmtId="0" fontId="55" fillId="35" borderId="18" xfId="0" applyFont="1" applyFill="1" applyBorder="1" applyAlignment="1">
      <alignment horizontal="right" vertical="center"/>
    </xf>
    <xf numFmtId="0" fontId="34" fillId="0" borderId="15" xfId="0" applyFont="1" applyBorder="1">
      <alignment vertical="center"/>
    </xf>
    <xf numFmtId="0" fontId="34" fillId="0" borderId="53" xfId="0" applyFont="1" applyBorder="1">
      <alignment vertical="center"/>
    </xf>
    <xf numFmtId="0" fontId="34" fillId="0" borderId="18" xfId="0" applyFont="1" applyBorder="1">
      <alignment vertical="center"/>
    </xf>
    <xf numFmtId="176" fontId="34" fillId="47" borderId="18" xfId="0" applyNumberFormat="1" applyFont="1" applyFill="1" applyBorder="1">
      <alignment vertical="center"/>
    </xf>
    <xf numFmtId="0" fontId="34" fillId="0" borderId="22" xfId="0" applyFont="1" applyBorder="1">
      <alignment vertical="center"/>
    </xf>
    <xf numFmtId="176" fontId="34" fillId="0" borderId="22" xfId="0" applyNumberFormat="1" applyFont="1" applyBorder="1">
      <alignment vertical="center"/>
    </xf>
    <xf numFmtId="176" fontId="34" fillId="0" borderId="23" xfId="0" applyNumberFormat="1" applyFont="1" applyBorder="1">
      <alignment vertical="center"/>
    </xf>
    <xf numFmtId="1" fontId="34" fillId="47" borderId="18" xfId="0" applyNumberFormat="1" applyFont="1" applyFill="1" applyBorder="1">
      <alignment vertical="center"/>
    </xf>
    <xf numFmtId="1" fontId="34" fillId="0" borderId="18" xfId="0" applyNumberFormat="1" applyFont="1" applyBorder="1">
      <alignment vertical="center"/>
    </xf>
    <xf numFmtId="1" fontId="34" fillId="0" borderId="19" xfId="0" applyNumberFormat="1" applyFont="1" applyBorder="1">
      <alignment vertical="center"/>
    </xf>
    <xf numFmtId="0" fontId="34" fillId="48" borderId="0" xfId="0" applyFont="1" applyFill="1">
      <alignment vertical="center"/>
    </xf>
    <xf numFmtId="3" fontId="34" fillId="48" borderId="0" xfId="0" applyNumberFormat="1" applyFont="1" applyFill="1">
      <alignment vertical="center"/>
    </xf>
    <xf numFmtId="3" fontId="34" fillId="0" borderId="0" xfId="0" applyNumberFormat="1" applyFont="1">
      <alignment vertical="center"/>
    </xf>
    <xf numFmtId="0" fontId="34" fillId="37" borderId="0" xfId="0" applyFont="1" applyFill="1">
      <alignment vertical="center"/>
    </xf>
    <xf numFmtId="176" fontId="34" fillId="37" borderId="0" xfId="0" applyNumberFormat="1" applyFont="1" applyFill="1">
      <alignment vertical="center"/>
    </xf>
    <xf numFmtId="41" fontId="34" fillId="37" borderId="0" xfId="49" applyFont="1" applyFill="1">
      <alignment vertical="center"/>
    </xf>
    <xf numFmtId="0" fontId="34" fillId="0" borderId="49" xfId="0" applyFont="1" applyBorder="1">
      <alignment vertical="center"/>
    </xf>
    <xf numFmtId="1" fontId="34" fillId="0" borderId="49" xfId="0" applyNumberFormat="1" applyFont="1" applyBorder="1">
      <alignment vertical="center"/>
    </xf>
    <xf numFmtId="1" fontId="34" fillId="49" borderId="22" xfId="0" applyNumberFormat="1" applyFont="1" applyFill="1" applyBorder="1">
      <alignment vertical="center"/>
    </xf>
    <xf numFmtId="178" fontId="33" fillId="0" borderId="19" xfId="49" applyNumberFormat="1" applyFont="1" applyFill="1" applyBorder="1" applyAlignment="1">
      <alignment horizontal="right" vertical="center" wrapText="1"/>
    </xf>
    <xf numFmtId="178" fontId="57" fillId="50" borderId="33" xfId="49" applyNumberFormat="1" applyFont="1" applyFill="1" applyBorder="1" applyAlignment="1">
      <alignment horizontal="right" vertical="center" wrapText="1"/>
    </xf>
    <xf numFmtId="178" fontId="57" fillId="50" borderId="15" xfId="49" applyNumberFormat="1" applyFont="1" applyFill="1" applyBorder="1" applyAlignment="1">
      <alignment horizontal="right" vertical="center" wrapText="1"/>
    </xf>
    <xf numFmtId="178" fontId="57" fillId="50" borderId="18" xfId="49" applyNumberFormat="1" applyFont="1" applyFill="1" applyBorder="1" applyAlignment="1">
      <alignment horizontal="right" vertical="center" wrapText="1"/>
    </xf>
    <xf numFmtId="176" fontId="34" fillId="37" borderId="18" xfId="0" applyNumberFormat="1" applyFont="1" applyFill="1" applyBorder="1">
      <alignment vertical="center"/>
    </xf>
    <xf numFmtId="176" fontId="34" fillId="37" borderId="19" xfId="0" applyNumberFormat="1" applyFont="1" applyFill="1" applyBorder="1">
      <alignment vertical="center"/>
    </xf>
    <xf numFmtId="176" fontId="34" fillId="51" borderId="18" xfId="0" applyNumberFormat="1" applyFont="1" applyFill="1" applyBorder="1">
      <alignment vertical="center"/>
    </xf>
    <xf numFmtId="176" fontId="34" fillId="51" borderId="19" xfId="0" applyNumberFormat="1" applyFont="1" applyFill="1" applyBorder="1">
      <alignment vertical="center"/>
    </xf>
    <xf numFmtId="1" fontId="34" fillId="51" borderId="49" xfId="0" applyNumberFormat="1" applyFont="1" applyFill="1" applyBorder="1">
      <alignment vertical="center"/>
    </xf>
    <xf numFmtId="1" fontId="34" fillId="51" borderId="50" xfId="0" applyNumberFormat="1" applyFont="1" applyFill="1" applyBorder="1">
      <alignment vertical="center"/>
    </xf>
    <xf numFmtId="1" fontId="34" fillId="37" borderId="18" xfId="0" applyNumberFormat="1" applyFont="1" applyFill="1" applyBorder="1">
      <alignment vertical="center"/>
    </xf>
    <xf numFmtId="1" fontId="34" fillId="37" borderId="19" xfId="0" applyNumberFormat="1" applyFont="1" applyFill="1" applyBorder="1">
      <alignment vertical="center"/>
    </xf>
    <xf numFmtId="1" fontId="34" fillId="0" borderId="22" xfId="0" applyNumberFormat="1" applyFont="1" applyBorder="1">
      <alignment vertical="center"/>
    </xf>
    <xf numFmtId="178" fontId="56" fillId="0" borderId="18" xfId="49" applyNumberFormat="1" applyFont="1" applyFill="1" applyBorder="1" applyAlignment="1">
      <alignment horizontal="right" vertical="center" wrapText="1"/>
    </xf>
    <xf numFmtId="178" fontId="33" fillId="0" borderId="45" xfId="49" applyNumberFormat="1" applyFont="1" applyFill="1" applyBorder="1" applyAlignment="1">
      <alignment horizontal="right" vertical="center" wrapText="1"/>
    </xf>
    <xf numFmtId="178" fontId="33" fillId="0" borderId="20" xfId="49" applyNumberFormat="1" applyFont="1" applyFill="1" applyBorder="1" applyAlignment="1">
      <alignment horizontal="right" vertical="center" wrapText="1"/>
    </xf>
    <xf numFmtId="178" fontId="33" fillId="53" borderId="18" xfId="49" applyNumberFormat="1" applyFont="1" applyFill="1" applyBorder="1" applyAlignment="1">
      <alignment horizontal="right" vertical="center" wrapText="1"/>
    </xf>
    <xf numFmtId="178" fontId="33" fillId="52" borderId="33" xfId="49" applyNumberFormat="1" applyFont="1" applyFill="1" applyBorder="1" applyAlignment="1">
      <alignment horizontal="right" vertical="center" wrapText="1"/>
    </xf>
    <xf numFmtId="178" fontId="33" fillId="0" borderId="67" xfId="49" applyNumberFormat="1" applyFont="1" applyBorder="1" applyAlignment="1">
      <alignment horizontal="right" vertical="center" wrapText="1"/>
    </xf>
    <xf numFmtId="0" fontId="33" fillId="41" borderId="23" xfId="0" applyFont="1" applyFill="1" applyBorder="1" applyAlignment="1">
      <alignment horizontal="center" vertical="center"/>
    </xf>
    <xf numFmtId="0" fontId="33" fillId="41" borderId="66" xfId="0" applyFont="1" applyFill="1" applyBorder="1" applyAlignment="1">
      <alignment horizontal="center" vertical="center"/>
    </xf>
    <xf numFmtId="178" fontId="33" fillId="0" borderId="16" xfId="49" applyNumberFormat="1" applyFont="1" applyFill="1" applyBorder="1" applyAlignment="1">
      <alignment horizontal="right" vertical="center" wrapText="1"/>
    </xf>
    <xf numFmtId="0" fontId="34" fillId="37" borderId="53" xfId="0" applyFont="1" applyFill="1" applyBorder="1">
      <alignment vertical="center"/>
    </xf>
    <xf numFmtId="176" fontId="34" fillId="0" borderId="19" xfId="0" applyNumberFormat="1" applyFont="1" applyBorder="1">
      <alignment vertical="center"/>
    </xf>
    <xf numFmtId="1" fontId="34" fillId="0" borderId="50" xfId="0" applyNumberFormat="1" applyFont="1" applyBorder="1">
      <alignment vertical="center"/>
    </xf>
    <xf numFmtId="178" fontId="44" fillId="0" borderId="20" xfId="49" applyNumberFormat="1" applyFont="1" applyBorder="1" applyAlignment="1">
      <alignment horizontal="right" vertical="center" wrapText="1"/>
    </xf>
    <xf numFmtId="178" fontId="44" fillId="0" borderId="37" xfId="49" applyNumberFormat="1" applyFont="1" applyFill="1" applyBorder="1" applyAlignment="1">
      <alignment horizontal="right" vertical="center" wrapText="1"/>
    </xf>
    <xf numFmtId="178" fontId="33" fillId="53" borderId="33" xfId="49" applyNumberFormat="1" applyFont="1" applyFill="1" applyBorder="1" applyAlignment="1">
      <alignment horizontal="right" vertical="center" wrapText="1"/>
    </xf>
    <xf numFmtId="38" fontId="33" fillId="0" borderId="15" xfId="49" applyNumberFormat="1" applyFont="1" applyFill="1" applyBorder="1" applyAlignment="1">
      <alignment horizontal="right" vertical="center" wrapText="1"/>
    </xf>
    <xf numFmtId="38" fontId="33" fillId="0" borderId="53" xfId="49" applyNumberFormat="1" applyFont="1" applyFill="1" applyBorder="1" applyAlignment="1">
      <alignment horizontal="right" vertical="center" wrapText="1"/>
    </xf>
    <xf numFmtId="38" fontId="33" fillId="0" borderId="18" xfId="49" applyNumberFormat="1" applyFont="1" applyFill="1" applyBorder="1" applyAlignment="1">
      <alignment horizontal="right" vertical="center" wrapText="1"/>
    </xf>
    <xf numFmtId="38" fontId="33" fillId="0" borderId="19" xfId="49" applyNumberFormat="1" applyFont="1" applyFill="1" applyBorder="1" applyAlignment="1">
      <alignment horizontal="right" vertical="center" wrapText="1"/>
    </xf>
    <xf numFmtId="178" fontId="33" fillId="53" borderId="43" xfId="49" applyNumberFormat="1" applyFont="1" applyFill="1" applyBorder="1" applyAlignment="1">
      <alignment horizontal="right" vertical="center" wrapText="1"/>
    </xf>
    <xf numFmtId="178" fontId="33" fillId="53" borderId="19" xfId="49" applyNumberFormat="1" applyFont="1" applyFill="1" applyBorder="1" applyAlignment="1">
      <alignment horizontal="right" vertical="center" wrapText="1"/>
    </xf>
    <xf numFmtId="0" fontId="34" fillId="37" borderId="64" xfId="0" applyFont="1" applyFill="1" applyBorder="1">
      <alignment vertical="center"/>
    </xf>
    <xf numFmtId="178" fontId="35" fillId="54" borderId="45" xfId="49" applyNumberFormat="1" applyFont="1" applyFill="1" applyBorder="1" applyAlignment="1">
      <alignment horizontal="right" vertical="center" wrapText="1"/>
    </xf>
    <xf numFmtId="178" fontId="35" fillId="54" borderId="33" xfId="49" applyNumberFormat="1" applyFont="1" applyFill="1" applyBorder="1" applyAlignment="1">
      <alignment horizontal="right" vertical="center" wrapText="1"/>
    </xf>
    <xf numFmtId="178" fontId="35" fillId="54" borderId="24" xfId="49" applyNumberFormat="1" applyFont="1" applyFill="1" applyBorder="1" applyAlignment="1">
      <alignment horizontal="right" vertical="center" wrapText="1"/>
    </xf>
    <xf numFmtId="178" fontId="35" fillId="54" borderId="22" xfId="49" applyNumberFormat="1" applyFont="1" applyFill="1" applyBorder="1" applyAlignment="1">
      <alignment horizontal="right" vertical="center" wrapText="1"/>
    </xf>
    <xf numFmtId="178" fontId="35" fillId="54" borderId="15" xfId="49" applyNumberFormat="1" applyFont="1" applyFill="1" applyBorder="1" applyAlignment="1">
      <alignment horizontal="right" vertical="center" wrapText="1"/>
    </xf>
    <xf numFmtId="178" fontId="33" fillId="54" borderId="16" xfId="49" applyNumberFormat="1" applyFont="1" applyFill="1" applyBorder="1" applyAlignment="1">
      <alignment horizontal="right" vertical="center" wrapText="1"/>
    </xf>
    <xf numFmtId="178" fontId="33" fillId="54" borderId="33" xfId="49" applyNumberFormat="1" applyFont="1" applyFill="1" applyBorder="1" applyAlignment="1">
      <alignment horizontal="right" vertical="center" wrapText="1"/>
    </xf>
    <xf numFmtId="178" fontId="33" fillId="54" borderId="20" xfId="49" applyNumberFormat="1" applyFont="1" applyFill="1" applyBorder="1" applyAlignment="1">
      <alignment horizontal="right" vertical="center" wrapText="1"/>
    </xf>
    <xf numFmtId="178" fontId="33" fillId="54" borderId="18" xfId="49" applyNumberFormat="1" applyFont="1" applyFill="1" applyBorder="1" applyAlignment="1">
      <alignment horizontal="right" vertical="center" wrapText="1"/>
    </xf>
    <xf numFmtId="178" fontId="33" fillId="54" borderId="15" xfId="49" applyNumberFormat="1" applyFont="1" applyFill="1" applyBorder="1" applyAlignment="1">
      <alignment horizontal="right" vertical="center" wrapText="1"/>
    </xf>
    <xf numFmtId="178" fontId="33" fillId="54" borderId="26" xfId="49" applyNumberFormat="1" applyFont="1" applyFill="1" applyBorder="1" applyAlignment="1">
      <alignment horizontal="right" vertical="center" wrapText="1"/>
    </xf>
    <xf numFmtId="178" fontId="33" fillId="54" borderId="27" xfId="49" applyNumberFormat="1" applyFont="1" applyFill="1" applyBorder="1" applyAlignment="1">
      <alignment horizontal="right" vertical="center" wrapText="1"/>
    </xf>
    <xf numFmtId="178" fontId="33" fillId="54" borderId="45" xfId="49" applyNumberFormat="1" applyFont="1" applyFill="1" applyBorder="1" applyAlignment="1">
      <alignment horizontal="right" vertical="center" wrapText="1"/>
    </xf>
    <xf numFmtId="38" fontId="33" fillId="54" borderId="45" xfId="49" applyNumberFormat="1" applyFont="1" applyFill="1" applyBorder="1" applyAlignment="1">
      <alignment horizontal="right" vertical="center" wrapText="1"/>
    </xf>
    <xf numFmtId="38" fontId="33" fillId="54" borderId="33" xfId="49" applyNumberFormat="1" applyFont="1" applyFill="1" applyBorder="1" applyAlignment="1">
      <alignment horizontal="right" vertical="center" wrapText="1"/>
    </xf>
    <xf numFmtId="38" fontId="33" fillId="54" borderId="18" xfId="49" applyNumberFormat="1" applyFont="1" applyFill="1" applyBorder="1" applyAlignment="1">
      <alignment horizontal="right" vertical="center" wrapText="1"/>
    </xf>
    <xf numFmtId="38" fontId="33" fillId="54" borderId="15" xfId="49" applyNumberFormat="1" applyFont="1" applyFill="1" applyBorder="1" applyAlignment="1">
      <alignment horizontal="right" vertical="center" wrapText="1"/>
    </xf>
    <xf numFmtId="181" fontId="33" fillId="54" borderId="18" xfId="52" applyNumberFormat="1" applyFont="1" applyFill="1" applyBorder="1" applyAlignment="1">
      <alignment horizontal="right" vertical="center" wrapText="1"/>
    </xf>
    <xf numFmtId="178" fontId="33" fillId="54" borderId="31" xfId="49" applyNumberFormat="1" applyFont="1" applyFill="1" applyBorder="1" applyAlignment="1">
      <alignment horizontal="right" vertical="center" wrapText="1"/>
    </xf>
    <xf numFmtId="178" fontId="33" fillId="54" borderId="19" xfId="49" applyNumberFormat="1" applyFont="1" applyFill="1" applyBorder="1" applyAlignment="1">
      <alignment horizontal="right" vertical="center" wrapText="1"/>
    </xf>
    <xf numFmtId="178" fontId="35" fillId="41" borderId="28" xfId="49" applyNumberFormat="1" applyFont="1" applyFill="1" applyBorder="1" applyAlignment="1">
      <alignment horizontal="right" vertical="center" wrapText="1"/>
    </xf>
    <xf numFmtId="181" fontId="33" fillId="54" borderId="15" xfId="52" applyNumberFormat="1" applyFont="1" applyFill="1" applyBorder="1" applyAlignment="1">
      <alignment horizontal="right" vertical="center" wrapText="1"/>
    </xf>
    <xf numFmtId="38" fontId="33" fillId="54" borderId="19" xfId="53" applyNumberFormat="1" applyFont="1" applyFill="1" applyBorder="1" applyAlignment="1">
      <alignment horizontal="right" vertical="center" wrapText="1"/>
    </xf>
    <xf numFmtId="38" fontId="33" fillId="0" borderId="16" xfId="49" applyNumberFormat="1" applyFont="1" applyFill="1" applyBorder="1" applyAlignment="1">
      <alignment horizontal="right" vertical="center" wrapText="1"/>
    </xf>
    <xf numFmtId="177" fontId="45" fillId="37" borderId="81" xfId="43" applyNumberFormat="1" applyFont="1" applyFill="1" applyBorder="1" applyAlignment="1">
      <alignment horizontal="center" vertical="center"/>
    </xf>
    <xf numFmtId="178" fontId="36" fillId="37" borderId="82" xfId="49" applyNumberFormat="1" applyFont="1" applyFill="1" applyBorder="1" applyAlignment="1">
      <alignment horizontal="right" vertical="center" wrapText="1"/>
    </xf>
    <xf numFmtId="178" fontId="36" fillId="37" borderId="83" xfId="49" applyNumberFormat="1" applyFont="1" applyFill="1" applyBorder="1" applyAlignment="1">
      <alignment horizontal="right" vertical="center" wrapText="1"/>
    </xf>
    <xf numFmtId="178" fontId="36" fillId="37" borderId="84" xfId="49" applyNumberFormat="1" applyFont="1" applyFill="1" applyBorder="1" applyAlignment="1">
      <alignment horizontal="right" vertical="center" wrapText="1"/>
    </xf>
    <xf numFmtId="178" fontId="36" fillId="37" borderId="85" xfId="49" applyNumberFormat="1" applyFont="1" applyFill="1" applyBorder="1" applyAlignment="1">
      <alignment horizontal="right" vertical="center" wrapText="1"/>
    </xf>
    <xf numFmtId="178" fontId="36" fillId="37" borderId="86" xfId="49" applyNumberFormat="1" applyFont="1" applyFill="1" applyBorder="1" applyAlignment="1">
      <alignment horizontal="right" vertical="center" wrapText="1"/>
    </xf>
    <xf numFmtId="178" fontId="36" fillId="44" borderId="85" xfId="49" applyNumberFormat="1" applyFont="1" applyFill="1" applyBorder="1" applyAlignment="1">
      <alignment horizontal="right" vertical="center" wrapText="1"/>
    </xf>
    <xf numFmtId="0" fontId="44" fillId="0" borderId="87" xfId="0" applyFont="1" applyBorder="1">
      <alignment vertical="center"/>
    </xf>
    <xf numFmtId="177" fontId="45" fillId="41" borderId="81" xfId="43" applyNumberFormat="1" applyFont="1" applyFill="1" applyBorder="1" applyAlignment="1">
      <alignment horizontal="center" vertical="center"/>
    </xf>
    <xf numFmtId="178" fontId="36" fillId="41" borderId="82" xfId="49" applyNumberFormat="1" applyFont="1" applyFill="1" applyBorder="1" applyAlignment="1">
      <alignment horizontal="right" vertical="center" wrapText="1"/>
    </xf>
    <xf numFmtId="178" fontId="36" fillId="41" borderId="88" xfId="49" applyNumberFormat="1" applyFont="1" applyFill="1" applyBorder="1" applyAlignment="1">
      <alignment horizontal="right" vertical="center" wrapText="1"/>
    </xf>
    <xf numFmtId="178" fontId="36" fillId="41" borderId="85" xfId="49" applyNumberFormat="1" applyFont="1" applyFill="1" applyBorder="1" applyAlignment="1">
      <alignment horizontal="right" vertical="center" wrapText="1"/>
    </xf>
    <xf numFmtId="178" fontId="44" fillId="41" borderId="84" xfId="49" applyNumberFormat="1" applyFont="1" applyFill="1" applyBorder="1" applyAlignment="1">
      <alignment horizontal="right" vertical="center" wrapText="1"/>
    </xf>
    <xf numFmtId="178" fontId="44" fillId="41" borderId="88" xfId="49" applyNumberFormat="1" applyFont="1" applyFill="1" applyBorder="1" applyAlignment="1">
      <alignment horizontal="right" vertical="center" wrapText="1"/>
    </xf>
    <xf numFmtId="178" fontId="36" fillId="42" borderId="85" xfId="49" applyNumberFormat="1" applyFont="1" applyFill="1" applyBorder="1" applyAlignment="1">
      <alignment horizontal="right" vertical="center" wrapText="1"/>
    </xf>
    <xf numFmtId="178" fontId="44" fillId="0" borderId="80" xfId="49" applyNumberFormat="1" applyFont="1" applyBorder="1" applyAlignment="1">
      <alignment horizontal="right" vertical="center" wrapText="1"/>
    </xf>
    <xf numFmtId="178" fontId="36" fillId="41" borderId="84" xfId="49" applyNumberFormat="1" applyFont="1" applyFill="1" applyBorder="1" applyAlignment="1">
      <alignment horizontal="right" vertical="center" wrapText="1"/>
    </xf>
    <xf numFmtId="178" fontId="44" fillId="41" borderId="82" xfId="49" applyNumberFormat="1" applyFont="1" applyFill="1" applyBorder="1" applyAlignment="1">
      <alignment horizontal="right" vertical="center" wrapText="1"/>
    </xf>
    <xf numFmtId="178" fontId="44" fillId="0" borderId="87" xfId="49" applyNumberFormat="1" applyFont="1" applyBorder="1" applyAlignment="1">
      <alignment horizontal="right" vertical="center" wrapText="1"/>
    </xf>
    <xf numFmtId="178" fontId="44" fillId="42" borderId="81" xfId="49" applyNumberFormat="1" applyFont="1" applyFill="1" applyBorder="1" applyAlignment="1">
      <alignment horizontal="right" vertical="center" wrapText="1"/>
    </xf>
    <xf numFmtId="178" fontId="36" fillId="0" borderId="87" xfId="49" applyNumberFormat="1" applyFont="1" applyFill="1" applyBorder="1" applyAlignment="1">
      <alignment horizontal="right" vertical="center" wrapText="1"/>
    </xf>
    <xf numFmtId="178" fontId="36" fillId="43" borderId="85" xfId="49" applyNumberFormat="1" applyFont="1" applyFill="1" applyBorder="1" applyAlignment="1">
      <alignment horizontal="right" vertical="center" wrapText="1"/>
    </xf>
    <xf numFmtId="0" fontId="0" fillId="0" borderId="10" xfId="0" applyBorder="1">
      <alignment vertical="center"/>
    </xf>
    <xf numFmtId="0" fontId="44" fillId="0" borderId="10" xfId="0" applyFont="1" applyBorder="1">
      <alignment vertical="center"/>
    </xf>
    <xf numFmtId="178" fontId="0" fillId="0" borderId="0" xfId="49" applyNumberFormat="1" applyFont="1">
      <alignment vertical="center"/>
    </xf>
    <xf numFmtId="41" fontId="33" fillId="55" borderId="10" xfId="0" applyNumberFormat="1" applyFont="1" applyFill="1" applyBorder="1">
      <alignment vertical="center"/>
    </xf>
    <xf numFmtId="41" fontId="44" fillId="55" borderId="10" xfId="0" applyNumberFormat="1" applyFont="1" applyFill="1" applyBorder="1">
      <alignment vertical="center"/>
    </xf>
    <xf numFmtId="0" fontId="0" fillId="55" borderId="10" xfId="0" applyFill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3" fillId="55" borderId="10" xfId="0" applyFont="1" applyFill="1" applyBorder="1" applyAlignment="1">
      <alignment horizontal="center" vertical="center"/>
    </xf>
    <xf numFmtId="41" fontId="33" fillId="55" borderId="10" xfId="49" applyFont="1" applyFill="1" applyBorder="1">
      <alignment vertical="center"/>
    </xf>
    <xf numFmtId="41" fontId="33" fillId="0" borderId="10" xfId="49" applyFont="1" applyFill="1" applyBorder="1">
      <alignment vertical="center"/>
    </xf>
    <xf numFmtId="41" fontId="44" fillId="55" borderId="10" xfId="49" applyFont="1" applyFill="1" applyBorder="1">
      <alignment vertical="center"/>
    </xf>
    <xf numFmtId="41" fontId="44" fillId="0" borderId="10" xfId="49" applyFont="1" applyFill="1" applyBorder="1">
      <alignment vertical="center"/>
    </xf>
    <xf numFmtId="178" fontId="33" fillId="0" borderId="10" xfId="49" applyNumberFormat="1" applyFont="1" applyFill="1" applyBorder="1" applyAlignment="1">
      <alignment horizontal="right" vertical="center" wrapText="1"/>
    </xf>
    <xf numFmtId="0" fontId="33" fillId="55" borderId="0" xfId="0" applyFont="1" applyFill="1">
      <alignment vertical="center"/>
    </xf>
    <xf numFmtId="41" fontId="33" fillId="0" borderId="0" xfId="0" applyNumberFormat="1" applyFont="1">
      <alignment vertical="center"/>
    </xf>
    <xf numFmtId="0" fontId="58" fillId="56" borderId="96" xfId="0" applyFont="1" applyFill="1" applyBorder="1" applyAlignment="1">
      <alignment horizontal="center" vertical="center" wrapText="1"/>
    </xf>
    <xf numFmtId="0" fontId="59" fillId="0" borderId="98" xfId="0" applyFont="1" applyBorder="1" applyAlignment="1">
      <alignment horizontal="center" vertical="center" wrapText="1" readingOrder="1"/>
    </xf>
    <xf numFmtId="41" fontId="60" fillId="0" borderId="99" xfId="49" applyFont="1" applyBorder="1" applyAlignment="1">
      <alignment horizontal="right" vertical="center" wrapText="1" readingOrder="1"/>
    </xf>
    <xf numFmtId="41" fontId="60" fillId="0" borderId="100" xfId="49" applyFont="1" applyBorder="1" applyAlignment="1">
      <alignment horizontal="right" vertical="center" wrapText="1" readingOrder="1"/>
    </xf>
    <xf numFmtId="41" fontId="60" fillId="0" borderId="101" xfId="49" applyFont="1" applyBorder="1" applyAlignment="1">
      <alignment horizontal="right" vertical="center" wrapText="1" readingOrder="1"/>
    </xf>
    <xf numFmtId="0" fontId="59" fillId="0" borderId="103" xfId="0" applyFont="1" applyBorder="1" applyAlignment="1">
      <alignment horizontal="center" vertical="center" wrapText="1" readingOrder="1"/>
    </xf>
    <xf numFmtId="41" fontId="60" fillId="0" borderId="104" xfId="49" applyFont="1" applyBorder="1" applyAlignment="1">
      <alignment horizontal="right" vertical="center" wrapText="1" readingOrder="1"/>
    </xf>
    <xf numFmtId="41" fontId="60" fillId="0" borderId="105" xfId="49" applyFont="1" applyBorder="1" applyAlignment="1">
      <alignment horizontal="right" vertical="center" wrapText="1" readingOrder="1"/>
    </xf>
    <xf numFmtId="41" fontId="60" fillId="0" borderId="106" xfId="49" applyFont="1" applyBorder="1" applyAlignment="1">
      <alignment horizontal="right" vertical="center" wrapText="1" readingOrder="1"/>
    </xf>
    <xf numFmtId="0" fontId="59" fillId="0" borderId="107" xfId="0" applyFont="1" applyBorder="1" applyAlignment="1">
      <alignment horizontal="center" vertical="center" wrapText="1" readingOrder="1"/>
    </xf>
    <xf numFmtId="41" fontId="60" fillId="0" borderId="108" xfId="49" applyFont="1" applyBorder="1" applyAlignment="1">
      <alignment horizontal="right" vertical="center" wrapText="1" readingOrder="1"/>
    </xf>
    <xf numFmtId="41" fontId="60" fillId="0" borderId="109" xfId="49" applyFont="1" applyBorder="1" applyAlignment="1">
      <alignment horizontal="right" vertical="center" wrapText="1" readingOrder="1"/>
    </xf>
    <xf numFmtId="41" fontId="60" fillId="0" borderId="110" xfId="49" applyFont="1" applyBorder="1" applyAlignment="1">
      <alignment horizontal="right" vertical="center" wrapText="1" readingOrder="1"/>
    </xf>
    <xf numFmtId="0" fontId="62" fillId="57" borderId="93" xfId="0" applyFont="1" applyFill="1" applyBorder="1" applyAlignment="1">
      <alignment horizontal="center" vertical="center" wrapText="1"/>
    </xf>
    <xf numFmtId="41" fontId="63" fillId="57" borderId="94" xfId="49" applyFont="1" applyFill="1" applyBorder="1" applyAlignment="1">
      <alignment horizontal="right" vertical="center" wrapText="1"/>
    </xf>
    <xf numFmtId="41" fontId="64" fillId="57" borderId="95" xfId="49" applyFont="1" applyFill="1" applyBorder="1" applyAlignment="1">
      <alignment horizontal="right" vertical="center" wrapText="1" readingOrder="1"/>
    </xf>
    <xf numFmtId="41" fontId="64" fillId="57" borderId="112" xfId="49" applyFont="1" applyFill="1" applyBorder="1" applyAlignment="1">
      <alignment horizontal="right" vertical="center" wrapText="1" readingOrder="1"/>
    </xf>
    <xf numFmtId="41" fontId="66" fillId="0" borderId="106" xfId="49" applyFont="1" applyBorder="1" applyAlignment="1">
      <alignment horizontal="right" vertical="center" wrapText="1"/>
    </xf>
    <xf numFmtId="0" fontId="64" fillId="57" borderId="93" xfId="0" applyFont="1" applyFill="1" applyBorder="1" applyAlignment="1">
      <alignment horizontal="center" vertical="center" wrapText="1" readingOrder="1"/>
    </xf>
    <xf numFmtId="41" fontId="64" fillId="57" borderId="94" xfId="49" applyFont="1" applyFill="1" applyBorder="1" applyAlignment="1">
      <alignment horizontal="right" vertical="center" wrapText="1" readingOrder="1"/>
    </xf>
    <xf numFmtId="41" fontId="60" fillId="0" borderId="94" xfId="49" applyFont="1" applyBorder="1" applyAlignment="1">
      <alignment horizontal="center" vertical="center" wrapText="1" readingOrder="1"/>
    </xf>
    <xf numFmtId="41" fontId="60" fillId="0" borderId="95" xfId="49" applyFont="1" applyBorder="1" applyAlignment="1">
      <alignment horizontal="right" vertical="center" wrapText="1" readingOrder="1"/>
    </xf>
    <xf numFmtId="41" fontId="60" fillId="0" borderId="112" xfId="49" applyFont="1" applyBorder="1" applyAlignment="1">
      <alignment horizontal="right" vertical="center" wrapText="1" readingOrder="1"/>
    </xf>
    <xf numFmtId="49" fontId="58" fillId="56" borderId="94" xfId="0" quotePrefix="1" applyNumberFormat="1" applyFont="1" applyFill="1" applyBorder="1" applyAlignment="1">
      <alignment horizontal="center" vertical="center" wrapText="1"/>
    </xf>
    <xf numFmtId="49" fontId="58" fillId="56" borderId="95" xfId="0" applyNumberFormat="1" applyFont="1" applyFill="1" applyBorder="1" applyAlignment="1">
      <alignment horizontal="center" vertical="center" wrapText="1"/>
    </xf>
    <xf numFmtId="49" fontId="58" fillId="56" borderId="96" xfId="0" applyNumberFormat="1" applyFont="1" applyFill="1" applyBorder="1" applyAlignment="1">
      <alignment horizontal="center" vertical="center" wrapText="1"/>
    </xf>
    <xf numFmtId="0" fontId="58" fillId="56" borderId="112" xfId="0" applyFont="1" applyFill="1" applyBorder="1" applyAlignment="1">
      <alignment horizontal="center" vertical="center" wrapText="1"/>
    </xf>
    <xf numFmtId="0" fontId="58" fillId="56" borderId="113" xfId="0" applyFont="1" applyFill="1" applyBorder="1" applyAlignment="1">
      <alignment horizontal="center" vertical="center" wrapText="1"/>
    </xf>
    <xf numFmtId="3" fontId="60" fillId="0" borderId="114" xfId="0" applyNumberFormat="1" applyFont="1" applyBorder="1" applyAlignment="1">
      <alignment horizontal="right" vertical="center" wrapText="1" readingOrder="1"/>
    </xf>
    <xf numFmtId="3" fontId="60" fillId="0" borderId="116" xfId="0" applyNumberFormat="1" applyFont="1" applyBorder="1" applyAlignment="1">
      <alignment horizontal="right" vertical="center" wrapText="1" readingOrder="1"/>
    </xf>
    <xf numFmtId="0" fontId="60" fillId="0" borderId="116" xfId="0" applyFont="1" applyBorder="1" applyAlignment="1">
      <alignment horizontal="right" vertical="center" wrapText="1" readingOrder="1"/>
    </xf>
    <xf numFmtId="0" fontId="60" fillId="0" borderId="118" xfId="0" applyFont="1" applyBorder="1" applyAlignment="1">
      <alignment horizontal="right" vertical="center" wrapText="1" readingOrder="1"/>
    </xf>
    <xf numFmtId="3" fontId="64" fillId="57" borderId="96" xfId="0" applyNumberFormat="1" applyFont="1" applyFill="1" applyBorder="1" applyAlignment="1">
      <alignment horizontal="right" vertical="center" wrapText="1" readingOrder="1"/>
    </xf>
    <xf numFmtId="3" fontId="64" fillId="57" borderId="112" xfId="0" applyNumberFormat="1" applyFont="1" applyFill="1" applyBorder="1" applyAlignment="1">
      <alignment horizontal="right" vertical="center" wrapText="1" readingOrder="1"/>
    </xf>
    <xf numFmtId="3" fontId="64" fillId="57" borderId="113" xfId="0" applyNumberFormat="1" applyFont="1" applyFill="1" applyBorder="1" applyAlignment="1">
      <alignment horizontal="right" vertical="center" wrapText="1" readingOrder="1"/>
    </xf>
    <xf numFmtId="3" fontId="60" fillId="0" borderId="96" xfId="0" applyNumberFormat="1" applyFont="1" applyBorder="1" applyAlignment="1">
      <alignment horizontal="right" vertical="center" wrapText="1" readingOrder="1"/>
    </xf>
    <xf numFmtId="0" fontId="68" fillId="56" borderId="113" xfId="0" applyFont="1" applyFill="1" applyBorder="1" applyAlignment="1">
      <alignment horizontal="center" vertical="center" wrapText="1"/>
    </xf>
    <xf numFmtId="41" fontId="60" fillId="0" borderId="115" xfId="49" applyFont="1" applyBorder="1" applyAlignment="1">
      <alignment horizontal="right" vertical="center" wrapText="1" readingOrder="1"/>
    </xf>
    <xf numFmtId="41" fontId="60" fillId="0" borderId="117" xfId="49" applyFont="1" applyBorder="1" applyAlignment="1">
      <alignment horizontal="right" vertical="center" wrapText="1" readingOrder="1"/>
    </xf>
    <xf numFmtId="41" fontId="60" fillId="0" borderId="119" xfId="49" applyFont="1" applyBorder="1" applyAlignment="1">
      <alignment horizontal="right" vertical="center" wrapText="1" readingOrder="1"/>
    </xf>
    <xf numFmtId="41" fontId="60" fillId="0" borderId="113" xfId="49" applyFont="1" applyBorder="1" applyAlignment="1">
      <alignment horizontal="right" vertical="center" wrapText="1" readingOrder="1"/>
    </xf>
    <xf numFmtId="41" fontId="64" fillId="57" borderId="113" xfId="49" applyFont="1" applyFill="1" applyBorder="1" applyAlignment="1">
      <alignment horizontal="right" vertical="center" wrapText="1" readingOrder="1"/>
    </xf>
    <xf numFmtId="41" fontId="62" fillId="0" borderId="106" xfId="49" applyFont="1" applyBorder="1" applyAlignment="1">
      <alignment horizontal="right" vertical="center" wrapText="1"/>
    </xf>
    <xf numFmtId="41" fontId="34" fillId="0" borderId="0" xfId="49" applyFont="1">
      <alignment vertical="center"/>
    </xf>
    <xf numFmtId="178" fontId="35" fillId="54" borderId="53" xfId="49" applyNumberFormat="1" applyFont="1" applyFill="1" applyBorder="1" applyAlignment="1">
      <alignment horizontal="right" vertical="center" wrapText="1"/>
    </xf>
    <xf numFmtId="178" fontId="35" fillId="54" borderId="23" xfId="49" applyNumberFormat="1" applyFont="1" applyFill="1" applyBorder="1" applyAlignment="1">
      <alignment horizontal="right" vertical="center" wrapText="1"/>
    </xf>
    <xf numFmtId="178" fontId="33" fillId="54" borderId="43" xfId="49" applyNumberFormat="1" applyFont="1" applyFill="1" applyBorder="1" applyAlignment="1">
      <alignment horizontal="right" vertical="center" wrapText="1"/>
    </xf>
    <xf numFmtId="178" fontId="33" fillId="54" borderId="53" xfId="49" applyNumberFormat="1" applyFont="1" applyFill="1" applyBorder="1" applyAlignment="1">
      <alignment horizontal="right" vertical="center" wrapText="1"/>
    </xf>
    <xf numFmtId="38" fontId="33" fillId="54" borderId="53" xfId="49" applyNumberFormat="1" applyFont="1" applyFill="1" applyBorder="1" applyAlignment="1">
      <alignment horizontal="right" vertical="center" wrapText="1"/>
    </xf>
    <xf numFmtId="38" fontId="33" fillId="54" borderId="19" xfId="49" applyNumberFormat="1" applyFont="1" applyFill="1" applyBorder="1" applyAlignment="1">
      <alignment horizontal="right" vertical="center" wrapText="1"/>
    </xf>
    <xf numFmtId="178" fontId="56" fillId="54" borderId="15" xfId="49" applyNumberFormat="1" applyFont="1" applyFill="1" applyBorder="1" applyAlignment="1">
      <alignment horizontal="right" vertical="center" wrapText="1"/>
    </xf>
    <xf numFmtId="178" fontId="33" fillId="54" borderId="17" xfId="49" applyNumberFormat="1" applyFont="1" applyFill="1" applyBorder="1" applyAlignment="1">
      <alignment horizontal="right" vertical="center" wrapText="1"/>
    </xf>
    <xf numFmtId="178" fontId="33" fillId="54" borderId="21" xfId="49" applyNumberFormat="1" applyFont="1" applyFill="1" applyBorder="1" applyAlignment="1">
      <alignment horizontal="right" vertical="center" wrapText="1"/>
    </xf>
    <xf numFmtId="38" fontId="33" fillId="54" borderId="20" xfId="49" applyNumberFormat="1" applyFont="1" applyFill="1" applyBorder="1" applyAlignment="1">
      <alignment horizontal="right" vertical="center" wrapText="1"/>
    </xf>
    <xf numFmtId="38" fontId="33" fillId="54" borderId="43" xfId="49" applyNumberFormat="1" applyFont="1" applyFill="1" applyBorder="1" applyAlignment="1">
      <alignment horizontal="right" vertical="center" wrapText="1"/>
    </xf>
    <xf numFmtId="178" fontId="33" fillId="54" borderId="34" xfId="49" applyNumberFormat="1" applyFont="1" applyFill="1" applyBorder="1" applyAlignment="1">
      <alignment horizontal="right" vertical="center" wrapText="1"/>
    </xf>
    <xf numFmtId="178" fontId="33" fillId="42" borderId="28" xfId="49" applyNumberFormat="1" applyFont="1" applyFill="1" applyBorder="1" applyAlignment="1">
      <alignment horizontal="right" vertical="center" wrapText="1"/>
    </xf>
    <xf numFmtId="178" fontId="35" fillId="47" borderId="33" xfId="49" applyNumberFormat="1" applyFont="1" applyFill="1" applyBorder="1" applyAlignment="1">
      <alignment horizontal="right" vertical="center" wrapText="1"/>
    </xf>
    <xf numFmtId="178" fontId="35" fillId="47" borderId="22" xfId="49" applyNumberFormat="1" applyFont="1" applyFill="1" applyBorder="1" applyAlignment="1">
      <alignment horizontal="right" vertical="center" wrapText="1"/>
    </xf>
    <xf numFmtId="178" fontId="35" fillId="47" borderId="59" xfId="49" applyNumberFormat="1" applyFont="1" applyFill="1" applyBorder="1" applyAlignment="1">
      <alignment horizontal="right" vertical="center" wrapText="1"/>
    </xf>
    <xf numFmtId="178" fontId="35" fillId="47" borderId="15" xfId="49" applyNumberFormat="1" applyFont="1" applyFill="1" applyBorder="1" applyAlignment="1">
      <alignment horizontal="right" vertical="center" wrapText="1"/>
    </xf>
    <xf numFmtId="178" fontId="35" fillId="47" borderId="16" xfId="49" applyNumberFormat="1" applyFont="1" applyFill="1" applyBorder="1" applyAlignment="1">
      <alignment horizontal="right" vertical="center" wrapText="1"/>
    </xf>
    <xf numFmtId="178" fontId="33" fillId="47" borderId="31" xfId="49" applyNumberFormat="1" applyFont="1" applyFill="1" applyBorder="1" applyAlignment="1">
      <alignment horizontal="right" vertical="center" wrapText="1"/>
    </xf>
    <xf numFmtId="178" fontId="33" fillId="47" borderId="27" xfId="49" applyNumberFormat="1" applyFont="1" applyFill="1" applyBorder="1" applyAlignment="1">
      <alignment horizontal="right" vertical="center" wrapText="1"/>
    </xf>
    <xf numFmtId="178" fontId="33" fillId="47" borderId="26" xfId="49" applyNumberFormat="1" applyFont="1" applyFill="1" applyBorder="1" applyAlignment="1">
      <alignment horizontal="right" vertical="center" wrapText="1"/>
    </xf>
    <xf numFmtId="178" fontId="33" fillId="47" borderId="18" xfId="49" applyNumberFormat="1" applyFont="1" applyFill="1" applyBorder="1" applyAlignment="1">
      <alignment horizontal="right" vertical="center" wrapText="1"/>
    </xf>
    <xf numFmtId="178" fontId="33" fillId="47" borderId="16" xfId="49" applyNumberFormat="1" applyFont="1" applyFill="1" applyBorder="1" applyAlignment="1">
      <alignment horizontal="right" vertical="center" wrapText="1"/>
    </xf>
    <xf numFmtId="178" fontId="33" fillId="47" borderId="20" xfId="49" applyNumberFormat="1" applyFont="1" applyFill="1" applyBorder="1" applyAlignment="1">
      <alignment horizontal="right" vertical="center" wrapText="1"/>
    </xf>
    <xf numFmtId="178" fontId="56" fillId="47" borderId="18" xfId="49" applyNumberFormat="1" applyFont="1" applyFill="1" applyBorder="1" applyAlignment="1">
      <alignment horizontal="right" vertical="center" wrapText="1"/>
    </xf>
    <xf numFmtId="38" fontId="33" fillId="47" borderId="43" xfId="49" applyNumberFormat="1" applyFont="1" applyFill="1" applyBorder="1" applyAlignment="1">
      <alignment horizontal="right" vertical="center" wrapText="1"/>
    </xf>
    <xf numFmtId="38" fontId="33" fillId="47" borderId="18" xfId="49" applyNumberFormat="1" applyFont="1" applyFill="1" applyBorder="1" applyAlignment="1">
      <alignment horizontal="right" vertical="center" wrapText="1"/>
    </xf>
    <xf numFmtId="38" fontId="33" fillId="47" borderId="53" xfId="49" applyNumberFormat="1" applyFont="1" applyFill="1" applyBorder="1" applyAlignment="1">
      <alignment horizontal="right" vertical="center" wrapText="1"/>
    </xf>
    <xf numFmtId="38" fontId="33" fillId="47" borderId="27" xfId="49" applyNumberFormat="1" applyFont="1" applyFill="1" applyBorder="1" applyAlignment="1">
      <alignment horizontal="right" vertical="center" wrapText="1"/>
    </xf>
    <xf numFmtId="38" fontId="33" fillId="47" borderId="33" xfId="49" applyNumberFormat="1" applyFont="1" applyFill="1" applyBorder="1" applyAlignment="1">
      <alignment horizontal="right" vertical="center" wrapText="1"/>
    </xf>
    <xf numFmtId="38" fontId="33" fillId="47" borderId="19" xfId="49" applyNumberFormat="1" applyFont="1" applyFill="1" applyBorder="1" applyAlignment="1">
      <alignment horizontal="right" vertical="center" wrapText="1"/>
    </xf>
    <xf numFmtId="38" fontId="33" fillId="47" borderId="26" xfId="49" applyNumberFormat="1" applyFont="1" applyFill="1" applyBorder="1" applyAlignment="1">
      <alignment horizontal="right" vertical="center" wrapText="1"/>
    </xf>
    <xf numFmtId="178" fontId="33" fillId="47" borderId="33" xfId="49" applyNumberFormat="1" applyFont="1" applyFill="1" applyBorder="1" applyAlignment="1">
      <alignment horizontal="right" vertical="center" wrapText="1"/>
    </xf>
    <xf numFmtId="178" fontId="33" fillId="47" borderId="19" xfId="49" applyNumberFormat="1" applyFont="1" applyFill="1" applyBorder="1" applyAlignment="1">
      <alignment horizontal="right" vertical="center" wrapText="1"/>
    </xf>
    <xf numFmtId="178" fontId="33" fillId="47" borderId="53" xfId="49" applyNumberFormat="1" applyFont="1" applyFill="1" applyBorder="1" applyAlignment="1">
      <alignment horizontal="right" vertical="center" wrapText="1"/>
    </xf>
    <xf numFmtId="178" fontId="33" fillId="47" borderId="15" xfId="49" applyNumberFormat="1" applyFont="1" applyFill="1" applyBorder="1" applyAlignment="1">
      <alignment horizontal="right" vertical="center" wrapText="1"/>
    </xf>
    <xf numFmtId="38" fontId="33" fillId="47" borderId="15" xfId="49" applyNumberFormat="1" applyFont="1" applyFill="1" applyBorder="1" applyAlignment="1">
      <alignment horizontal="right" vertical="center" wrapText="1"/>
    </xf>
    <xf numFmtId="178" fontId="33" fillId="47" borderId="43" xfId="49" applyNumberFormat="1" applyFont="1" applyFill="1" applyBorder="1" applyAlignment="1">
      <alignment horizontal="right" vertical="center" wrapText="1"/>
    </xf>
    <xf numFmtId="178" fontId="33" fillId="47" borderId="45" xfId="49" applyNumberFormat="1" applyFont="1" applyFill="1" applyBorder="1" applyAlignment="1">
      <alignment horizontal="right" vertical="center" wrapText="1"/>
    </xf>
    <xf numFmtId="178" fontId="35" fillId="47" borderId="61" xfId="49" applyNumberFormat="1" applyFont="1" applyFill="1" applyBorder="1" applyAlignment="1">
      <alignment horizontal="right" vertical="center" wrapText="1"/>
    </xf>
    <xf numFmtId="41" fontId="33" fillId="47" borderId="18" xfId="49" applyFont="1" applyFill="1" applyBorder="1" applyAlignment="1">
      <alignment horizontal="right" vertical="center" wrapText="1"/>
    </xf>
    <xf numFmtId="38" fontId="33" fillId="47" borderId="16" xfId="49" applyNumberFormat="1" applyFont="1" applyFill="1" applyBorder="1" applyAlignment="1">
      <alignment horizontal="right" vertical="center" wrapText="1"/>
    </xf>
    <xf numFmtId="178" fontId="35" fillId="42" borderId="25" xfId="49" applyNumberFormat="1" applyFont="1" applyFill="1" applyBorder="1" applyAlignment="1">
      <alignment horizontal="right" vertical="center" wrapText="1"/>
    </xf>
    <xf numFmtId="43" fontId="0" fillId="0" borderId="0" xfId="0" applyNumberFormat="1">
      <alignment vertical="center"/>
    </xf>
    <xf numFmtId="178" fontId="35" fillId="47" borderId="62" xfId="49" applyNumberFormat="1" applyFont="1" applyFill="1" applyBorder="1" applyAlignment="1">
      <alignment horizontal="right" vertical="center" wrapText="1"/>
    </xf>
    <xf numFmtId="178" fontId="35" fillId="47" borderId="53" xfId="49" applyNumberFormat="1" applyFont="1" applyFill="1" applyBorder="1" applyAlignment="1">
      <alignment horizontal="right" vertical="center" wrapText="1"/>
    </xf>
    <xf numFmtId="178" fontId="35" fillId="47" borderId="23" xfId="49" applyNumberFormat="1" applyFont="1" applyFill="1" applyBorder="1" applyAlignment="1">
      <alignment horizontal="right" vertical="center" wrapText="1"/>
    </xf>
    <xf numFmtId="178" fontId="33" fillId="47" borderId="17" xfId="49" applyNumberFormat="1" applyFont="1" applyFill="1" applyBorder="1" applyAlignment="1">
      <alignment horizontal="right" vertical="center" wrapText="1"/>
    </xf>
    <xf numFmtId="178" fontId="33" fillId="47" borderId="21" xfId="49" applyNumberFormat="1" applyFont="1" applyFill="1" applyBorder="1" applyAlignment="1">
      <alignment horizontal="right" vertical="center" wrapText="1"/>
    </xf>
    <xf numFmtId="43" fontId="44" fillId="0" borderId="0" xfId="0" applyNumberFormat="1" applyFont="1">
      <alignment vertical="center"/>
    </xf>
    <xf numFmtId="38" fontId="33" fillId="47" borderId="20" xfId="49" applyNumberFormat="1" applyFont="1" applyFill="1" applyBorder="1" applyAlignment="1">
      <alignment horizontal="right" vertical="center" wrapText="1"/>
    </xf>
    <xf numFmtId="178" fontId="35" fillId="47" borderId="45" xfId="49" applyNumberFormat="1" applyFont="1" applyFill="1" applyBorder="1" applyAlignment="1">
      <alignment horizontal="right" vertical="center" wrapText="1"/>
    </xf>
    <xf numFmtId="178" fontId="35" fillId="47" borderId="24" xfId="49" applyNumberFormat="1" applyFont="1" applyFill="1" applyBorder="1" applyAlignment="1">
      <alignment horizontal="right" vertical="center" wrapText="1"/>
    </xf>
    <xf numFmtId="182" fontId="0" fillId="54" borderId="10" xfId="49" applyNumberFormat="1" applyFont="1" applyFill="1" applyBorder="1">
      <alignment vertical="center"/>
    </xf>
    <xf numFmtId="41" fontId="0" fillId="0" borderId="0" xfId="0" applyNumberFormat="1">
      <alignment vertical="center"/>
    </xf>
    <xf numFmtId="9" fontId="0" fillId="0" borderId="0" xfId="50" applyFont="1">
      <alignment vertical="center"/>
    </xf>
    <xf numFmtId="178" fontId="33" fillId="58" borderId="15" xfId="49" applyNumberFormat="1" applyFont="1" applyFill="1" applyBorder="1" applyAlignment="1">
      <alignment horizontal="right" vertical="center" wrapText="1"/>
    </xf>
    <xf numFmtId="178" fontId="33" fillId="58" borderId="33" xfId="49" applyNumberFormat="1" applyFont="1" applyFill="1" applyBorder="1" applyAlignment="1">
      <alignment horizontal="right" vertical="center" wrapText="1"/>
    </xf>
    <xf numFmtId="38" fontId="33" fillId="58" borderId="15" xfId="49" applyNumberFormat="1" applyFont="1" applyFill="1" applyBorder="1" applyAlignment="1">
      <alignment horizontal="right" vertical="center" wrapText="1"/>
    </xf>
    <xf numFmtId="178" fontId="33" fillId="59" borderId="15" xfId="49" applyNumberFormat="1" applyFont="1" applyFill="1" applyBorder="1" applyAlignment="1">
      <alignment horizontal="right" vertical="center" wrapText="1"/>
    </xf>
    <xf numFmtId="178" fontId="33" fillId="59" borderId="16" xfId="49" applyNumberFormat="1" applyFont="1" applyFill="1" applyBorder="1" applyAlignment="1">
      <alignment horizontal="right" vertical="center" wrapText="1"/>
    </xf>
    <xf numFmtId="178" fontId="33" fillId="59" borderId="33" xfId="49" applyNumberFormat="1" applyFont="1" applyFill="1" applyBorder="1" applyAlignment="1">
      <alignment horizontal="right" vertical="center" wrapText="1"/>
    </xf>
    <xf numFmtId="178" fontId="33" fillId="58" borderId="19" xfId="49" applyNumberFormat="1" applyFont="1" applyFill="1" applyBorder="1" applyAlignment="1">
      <alignment horizontal="right" vertical="center" wrapText="1"/>
    </xf>
    <xf numFmtId="178" fontId="33" fillId="60" borderId="33" xfId="49" applyNumberFormat="1" applyFont="1" applyFill="1" applyBorder="1" applyAlignment="1">
      <alignment horizontal="right" vertical="center" wrapText="1"/>
    </xf>
    <xf numFmtId="38" fontId="33" fillId="60" borderId="15" xfId="49" applyNumberFormat="1" applyFont="1" applyFill="1" applyBorder="1" applyAlignment="1">
      <alignment horizontal="right" vertical="center" wrapText="1"/>
    </xf>
    <xf numFmtId="178" fontId="33" fillId="60" borderId="15" xfId="49" applyNumberFormat="1" applyFont="1" applyFill="1" applyBorder="1" applyAlignment="1">
      <alignment horizontal="right" vertical="center" wrapText="1"/>
    </xf>
    <xf numFmtId="178" fontId="33" fillId="60" borderId="53" xfId="49" applyNumberFormat="1" applyFont="1" applyFill="1" applyBorder="1" applyAlignment="1">
      <alignment horizontal="right" vertical="center" wrapText="1"/>
    </xf>
    <xf numFmtId="178" fontId="56" fillId="60" borderId="18" xfId="49" applyNumberFormat="1" applyFont="1" applyFill="1" applyBorder="1" applyAlignment="1">
      <alignment horizontal="right" vertical="center" wrapText="1"/>
    </xf>
    <xf numFmtId="0" fontId="33" fillId="41" borderId="15" xfId="0" applyFont="1" applyFill="1" applyBorder="1" applyAlignment="1">
      <alignment horizontal="center" vertical="center"/>
    </xf>
    <xf numFmtId="0" fontId="33" fillId="41" borderId="33" xfId="0" applyFont="1" applyFill="1" applyBorder="1" applyAlignment="1">
      <alignment horizontal="center" vertical="center"/>
    </xf>
    <xf numFmtId="0" fontId="33" fillId="41" borderId="18" xfId="0" applyFont="1" applyFill="1" applyBorder="1" applyAlignment="1">
      <alignment horizontal="center" vertical="center"/>
    </xf>
    <xf numFmtId="0" fontId="33" fillId="41" borderId="22" xfId="0" applyFont="1" applyFill="1" applyBorder="1" applyAlignment="1">
      <alignment horizontal="center" vertical="center"/>
    </xf>
    <xf numFmtId="0" fontId="33" fillId="41" borderId="53" xfId="0" applyFont="1" applyFill="1" applyBorder="1" applyAlignment="1">
      <alignment horizontal="center" vertical="center"/>
    </xf>
    <xf numFmtId="0" fontId="33" fillId="41" borderId="65" xfId="0" applyFont="1" applyFill="1" applyBorder="1" applyAlignment="1">
      <alignment horizontal="center" vertical="center"/>
    </xf>
    <xf numFmtId="0" fontId="33" fillId="41" borderId="50" xfId="0" applyFont="1" applyFill="1" applyBorder="1" applyAlignment="1">
      <alignment horizontal="center" vertical="center"/>
    </xf>
    <xf numFmtId="0" fontId="33" fillId="41" borderId="43" xfId="0" applyFont="1" applyFill="1" applyBorder="1" applyAlignment="1">
      <alignment horizontal="center" vertical="center"/>
    </xf>
    <xf numFmtId="0" fontId="33" fillId="41" borderId="23" xfId="0" applyFont="1" applyFill="1" applyBorder="1" applyAlignment="1">
      <alignment horizontal="center" vertical="center"/>
    </xf>
    <xf numFmtId="0" fontId="33" fillId="41" borderId="66" xfId="0" applyFont="1" applyFill="1" applyBorder="1" applyAlignment="1">
      <alignment horizontal="center" vertical="center"/>
    </xf>
    <xf numFmtId="0" fontId="33" fillId="41" borderId="49" xfId="0" applyFont="1" applyFill="1" applyBorder="1" applyAlignment="1">
      <alignment horizontal="center" vertical="center"/>
    </xf>
    <xf numFmtId="0" fontId="33" fillId="41" borderId="61" xfId="0" applyFont="1" applyFill="1" applyBorder="1" applyAlignment="1">
      <alignment horizontal="center" vertical="center" wrapText="1"/>
    </xf>
    <xf numFmtId="0" fontId="33" fillId="41" borderId="75" xfId="0" applyFont="1" applyFill="1" applyBorder="1" applyAlignment="1">
      <alignment horizontal="center" vertical="center"/>
    </xf>
    <xf numFmtId="0" fontId="33" fillId="41" borderId="77" xfId="0" applyFont="1" applyFill="1" applyBorder="1" applyAlignment="1">
      <alignment horizontal="center" vertical="center"/>
    </xf>
    <xf numFmtId="0" fontId="33" fillId="41" borderId="75" xfId="0" applyFont="1" applyFill="1" applyBorder="1" applyAlignment="1">
      <alignment horizontal="center" vertical="center" wrapText="1"/>
    </xf>
    <xf numFmtId="0" fontId="33" fillId="41" borderId="77" xfId="0" applyFont="1" applyFill="1" applyBorder="1" applyAlignment="1">
      <alignment horizontal="center" vertical="center" wrapText="1"/>
    </xf>
    <xf numFmtId="49" fontId="45" fillId="45" borderId="39" xfId="43" applyNumberFormat="1" applyFont="1" applyFill="1" applyBorder="1" applyAlignment="1">
      <alignment horizontal="center" vertical="center" wrapText="1"/>
    </xf>
    <xf numFmtId="49" fontId="45" fillId="45" borderId="40" xfId="43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45" fillId="33" borderId="39" xfId="43" applyNumberFormat="1" applyFont="1" applyFill="1" applyBorder="1" applyAlignment="1">
      <alignment horizontal="center" vertical="center" wrapText="1"/>
    </xf>
    <xf numFmtId="49" fontId="45" fillId="33" borderId="40" xfId="43" applyNumberFormat="1" applyFont="1" applyFill="1" applyBorder="1" applyAlignment="1">
      <alignment horizontal="center" vertical="center" wrapText="1"/>
    </xf>
    <xf numFmtId="0" fontId="44" fillId="37" borderId="79" xfId="0" applyFont="1" applyFill="1" applyBorder="1" applyAlignment="1">
      <alignment horizontal="center" vertical="center" wrapText="1"/>
    </xf>
    <xf numFmtId="0" fontId="44" fillId="37" borderId="59" xfId="0" applyFont="1" applyFill="1" applyBorder="1" applyAlignment="1">
      <alignment horizontal="center" vertical="center"/>
    </xf>
    <xf numFmtId="0" fontId="44" fillId="37" borderId="78" xfId="0" applyFont="1" applyFill="1" applyBorder="1" applyAlignment="1">
      <alignment horizontal="center" vertical="center"/>
    </xf>
    <xf numFmtId="0" fontId="44" fillId="37" borderId="55" xfId="0" applyFont="1" applyFill="1" applyBorder="1" applyAlignment="1">
      <alignment horizontal="center" vertical="center"/>
    </xf>
    <xf numFmtId="0" fontId="44" fillId="37" borderId="89" xfId="0" applyFont="1" applyFill="1" applyBorder="1" applyAlignment="1">
      <alignment horizontal="center" vertical="center"/>
    </xf>
    <xf numFmtId="0" fontId="44" fillId="37" borderId="56" xfId="0" applyFont="1" applyFill="1" applyBorder="1" applyAlignment="1">
      <alignment horizontal="center" vertical="center"/>
    </xf>
    <xf numFmtId="49" fontId="45" fillId="33" borderId="42" xfId="43" applyNumberFormat="1" applyFont="1" applyFill="1" applyBorder="1" applyAlignment="1">
      <alignment horizontal="center" vertical="center" wrapText="1"/>
    </xf>
    <xf numFmtId="49" fontId="45" fillId="33" borderId="13" xfId="43" applyNumberFormat="1" applyFont="1" applyFill="1" applyBorder="1" applyAlignment="1">
      <alignment horizontal="center" vertical="center" wrapText="1"/>
    </xf>
    <xf numFmtId="49" fontId="35" fillId="37" borderId="53" xfId="43" applyNumberFormat="1" applyFont="1" applyFill="1" applyBorder="1" applyAlignment="1">
      <alignment horizontal="center" vertical="center" wrapText="1"/>
    </xf>
    <xf numFmtId="49" fontId="35" fillId="37" borderId="65" xfId="43" applyNumberFormat="1" applyFont="1" applyFill="1" applyBorder="1" applyAlignment="1">
      <alignment horizontal="center" vertical="center" wrapText="1"/>
    </xf>
    <xf numFmtId="49" fontId="35" fillId="37" borderId="42" xfId="43" applyNumberFormat="1" applyFont="1" applyFill="1" applyBorder="1" applyAlignment="1">
      <alignment horizontal="center" vertical="center" wrapText="1"/>
    </xf>
    <xf numFmtId="49" fontId="35" fillId="37" borderId="13" xfId="43" applyNumberFormat="1" applyFont="1" applyFill="1" applyBorder="1" applyAlignment="1">
      <alignment horizontal="center" vertical="center" wrapText="1"/>
    </xf>
    <xf numFmtId="49" fontId="35" fillId="37" borderId="23" xfId="43" applyNumberFormat="1" applyFont="1" applyFill="1" applyBorder="1" applyAlignment="1">
      <alignment horizontal="center" vertical="center" wrapText="1"/>
    </xf>
    <xf numFmtId="49" fontId="35" fillId="37" borderId="66" xfId="43" applyNumberFormat="1" applyFont="1" applyFill="1" applyBorder="1" applyAlignment="1">
      <alignment horizontal="center" vertical="center" wrapText="1"/>
    </xf>
    <xf numFmtId="49" fontId="35" fillId="44" borderId="23" xfId="43" applyNumberFormat="1" applyFont="1" applyFill="1" applyBorder="1" applyAlignment="1">
      <alignment horizontal="center" vertical="center" wrapText="1"/>
    </xf>
    <xf numFmtId="49" fontId="35" fillId="44" borderId="52" xfId="43" applyNumberFormat="1" applyFont="1" applyFill="1" applyBorder="1" applyAlignment="1">
      <alignment horizontal="center" vertical="center" wrapText="1"/>
    </xf>
    <xf numFmtId="0" fontId="44" fillId="0" borderId="0" xfId="0" applyFont="1" applyAlignment="1">
      <alignment horizontal="left" vertical="center"/>
    </xf>
    <xf numFmtId="0" fontId="0" fillId="42" borderId="33" xfId="0" applyFill="1" applyBorder="1" applyAlignment="1">
      <alignment horizontal="center" vertical="center"/>
    </xf>
    <xf numFmtId="0" fontId="0" fillId="42" borderId="18" xfId="0" applyFill="1" applyBorder="1" applyAlignment="1">
      <alignment horizontal="center" vertical="center"/>
    </xf>
    <xf numFmtId="0" fontId="0" fillId="42" borderId="22" xfId="0" applyFill="1" applyBorder="1" applyAlignment="1">
      <alignment horizontal="center" vertical="center"/>
    </xf>
    <xf numFmtId="0" fontId="44" fillId="37" borderId="26" xfId="0" applyFont="1" applyFill="1" applyBorder="1" applyAlignment="1">
      <alignment horizontal="center" vertical="center" wrapText="1"/>
    </xf>
    <xf numFmtId="0" fontId="44" fillId="37" borderId="15" xfId="0" applyFont="1" applyFill="1" applyBorder="1" applyAlignment="1">
      <alignment horizontal="center" vertical="center"/>
    </xf>
    <xf numFmtId="0" fontId="44" fillId="37" borderId="27" xfId="0" applyFont="1" applyFill="1" applyBorder="1" applyAlignment="1">
      <alignment horizontal="center" vertical="center"/>
    </xf>
    <xf numFmtId="0" fontId="44" fillId="37" borderId="18" xfId="0" applyFont="1" applyFill="1" applyBorder="1" applyAlignment="1">
      <alignment horizontal="center" vertical="center"/>
    </xf>
    <xf numFmtId="0" fontId="44" fillId="37" borderId="28" xfId="0" applyFont="1" applyFill="1" applyBorder="1" applyAlignment="1">
      <alignment horizontal="center" vertical="center"/>
    </xf>
    <xf numFmtId="0" fontId="44" fillId="37" borderId="22" xfId="0" applyFont="1" applyFill="1" applyBorder="1" applyAlignment="1">
      <alignment horizontal="center" vertical="center"/>
    </xf>
    <xf numFmtId="0" fontId="33" fillId="41" borderId="15" xfId="0" applyFont="1" applyFill="1" applyBorder="1" applyAlignment="1">
      <alignment horizontal="center" vertical="center" wrapText="1"/>
    </xf>
    <xf numFmtId="0" fontId="33" fillId="42" borderId="50" xfId="0" applyFont="1" applyFill="1" applyBorder="1" applyAlignment="1">
      <alignment horizontal="center" vertical="center"/>
    </xf>
    <xf numFmtId="0" fontId="33" fillId="42" borderId="43" xfId="0" applyFont="1" applyFill="1" applyBorder="1" applyAlignment="1">
      <alignment horizontal="center" vertical="center"/>
    </xf>
    <xf numFmtId="0" fontId="44" fillId="42" borderId="47" xfId="0" applyFont="1" applyFill="1" applyBorder="1" applyAlignment="1">
      <alignment horizontal="center" vertical="center"/>
    </xf>
    <xf numFmtId="0" fontId="44" fillId="42" borderId="44" xfId="0" applyFont="1" applyFill="1" applyBorder="1" applyAlignment="1">
      <alignment horizontal="center" vertical="center"/>
    </xf>
    <xf numFmtId="0" fontId="44" fillId="43" borderId="35" xfId="0" applyFont="1" applyFill="1" applyBorder="1" applyAlignment="1">
      <alignment horizontal="center" vertical="center" wrapText="1"/>
    </xf>
    <xf numFmtId="0" fontId="44" fillId="43" borderId="30" xfId="0" applyFont="1" applyFill="1" applyBorder="1" applyAlignment="1">
      <alignment horizontal="center" vertical="center" wrapText="1"/>
    </xf>
    <xf numFmtId="0" fontId="44" fillId="43" borderId="90" xfId="0" applyFont="1" applyFill="1" applyBorder="1" applyAlignment="1">
      <alignment horizontal="center" vertical="center" wrapText="1"/>
    </xf>
    <xf numFmtId="0" fontId="44" fillId="42" borderId="35" xfId="0" applyFont="1" applyFill="1" applyBorder="1" applyAlignment="1">
      <alignment horizontal="center" vertical="center" wrapText="1"/>
    </xf>
    <xf numFmtId="0" fontId="44" fillId="42" borderId="30" xfId="0" applyFont="1" applyFill="1" applyBorder="1" applyAlignment="1">
      <alignment horizontal="center" vertical="center" wrapText="1"/>
    </xf>
    <xf numFmtId="0" fontId="44" fillId="42" borderId="90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33" fillId="42" borderId="53" xfId="0" applyFont="1" applyFill="1" applyBorder="1" applyAlignment="1">
      <alignment horizontal="center" vertical="center"/>
    </xf>
    <xf numFmtId="0" fontId="33" fillId="42" borderId="65" xfId="0" applyFont="1" applyFill="1" applyBorder="1" applyAlignment="1">
      <alignment horizontal="center" vertical="center"/>
    </xf>
    <xf numFmtId="0" fontId="44" fillId="42" borderId="30" xfId="0" applyFont="1" applyFill="1" applyBorder="1" applyAlignment="1">
      <alignment horizontal="center" vertical="center"/>
    </xf>
    <xf numFmtId="0" fontId="44" fillId="42" borderId="90" xfId="0" applyFont="1" applyFill="1" applyBorder="1" applyAlignment="1">
      <alignment horizontal="center" vertical="center"/>
    </xf>
    <xf numFmtId="0" fontId="33" fillId="41" borderId="33" xfId="0" applyFont="1" applyFill="1" applyBorder="1" applyAlignment="1">
      <alignment horizontal="center" vertical="center" wrapText="1"/>
    </xf>
    <xf numFmtId="0" fontId="0" fillId="42" borderId="49" xfId="0" applyFill="1" applyBorder="1" applyAlignment="1">
      <alignment horizontal="center" vertical="center"/>
    </xf>
    <xf numFmtId="0" fontId="33" fillId="42" borderId="15" xfId="0" applyFont="1" applyFill="1" applyBorder="1" applyAlignment="1">
      <alignment horizontal="center" vertical="center"/>
    </xf>
    <xf numFmtId="0" fontId="33" fillId="42" borderId="18" xfId="0" applyFont="1" applyFill="1" applyBorder="1" applyAlignment="1">
      <alignment horizontal="center" vertical="center"/>
    </xf>
    <xf numFmtId="0" fontId="33" fillId="42" borderId="22" xfId="0" applyFont="1" applyFill="1" applyBorder="1" applyAlignment="1">
      <alignment horizontal="center" vertical="center"/>
    </xf>
    <xf numFmtId="0" fontId="0" fillId="43" borderId="33" xfId="0" applyFill="1" applyBorder="1" applyAlignment="1">
      <alignment horizontal="center" vertical="center"/>
    </xf>
    <xf numFmtId="0" fontId="0" fillId="43" borderId="18" xfId="0" applyFill="1" applyBorder="1" applyAlignment="1">
      <alignment horizontal="center" vertical="center"/>
    </xf>
    <xf numFmtId="0" fontId="0" fillId="43" borderId="22" xfId="0" applyFill="1" applyBorder="1" applyAlignment="1">
      <alignment horizontal="center" vertical="center"/>
    </xf>
    <xf numFmtId="0" fontId="33" fillId="42" borderId="23" xfId="0" applyFont="1" applyFill="1" applyBorder="1" applyAlignment="1">
      <alignment horizontal="center" vertical="center"/>
    </xf>
    <xf numFmtId="0" fontId="33" fillId="42" borderId="66" xfId="0" applyFont="1" applyFill="1" applyBorder="1" applyAlignment="1">
      <alignment horizontal="center" vertical="center"/>
    </xf>
    <xf numFmtId="0" fontId="33" fillId="41" borderId="61" xfId="0" applyFont="1" applyFill="1" applyBorder="1" applyAlignment="1">
      <alignment horizontal="center" vertical="center"/>
    </xf>
    <xf numFmtId="0" fontId="33" fillId="42" borderId="42" xfId="0" applyFont="1" applyFill="1" applyBorder="1" applyAlignment="1">
      <alignment horizontal="center" vertical="center"/>
    </xf>
    <xf numFmtId="0" fontId="33" fillId="42" borderId="13" xfId="0" applyFont="1" applyFill="1" applyBorder="1" applyAlignment="1">
      <alignment horizontal="center" vertical="center"/>
    </xf>
    <xf numFmtId="49" fontId="38" fillId="34" borderId="10" xfId="43" applyNumberFormat="1" applyFont="1" applyFill="1" applyBorder="1" applyAlignment="1">
      <alignment horizontal="center" vertical="center" wrapText="1"/>
    </xf>
    <xf numFmtId="49" fontId="38" fillId="37" borderId="10" xfId="43" applyNumberFormat="1" applyFont="1" applyFill="1" applyBorder="1" applyAlignment="1">
      <alignment horizontal="center" vertical="center" wrapText="1"/>
    </xf>
    <xf numFmtId="0" fontId="34" fillId="0" borderId="16" xfId="0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4" fillId="0" borderId="24" xfId="0" applyFont="1" applyBorder="1" applyAlignment="1">
      <alignment horizontal="center" vertical="center"/>
    </xf>
    <xf numFmtId="0" fontId="34" fillId="0" borderId="76" xfId="0" applyFont="1" applyBorder="1" applyAlignment="1">
      <alignment horizontal="center" vertical="center"/>
    </xf>
    <xf numFmtId="0" fontId="33" fillId="58" borderId="61" xfId="0" applyFont="1" applyFill="1" applyBorder="1" applyAlignment="1">
      <alignment horizontal="center" vertical="center" wrapText="1"/>
    </xf>
    <xf numFmtId="0" fontId="33" fillId="58" borderId="75" xfId="0" applyFont="1" applyFill="1" applyBorder="1" applyAlignment="1">
      <alignment horizontal="center" vertical="center" wrapText="1"/>
    </xf>
    <xf numFmtId="0" fontId="33" fillId="58" borderId="77" xfId="0" applyFont="1" applyFill="1" applyBorder="1" applyAlignment="1">
      <alignment horizontal="center" vertical="center" wrapText="1"/>
    </xf>
    <xf numFmtId="0" fontId="33" fillId="58" borderId="61" xfId="0" applyFont="1" applyFill="1" applyBorder="1" applyAlignment="1">
      <alignment horizontal="center" vertical="center"/>
    </xf>
    <xf numFmtId="0" fontId="33" fillId="58" borderId="75" xfId="0" applyFont="1" applyFill="1" applyBorder="1" applyAlignment="1">
      <alignment horizontal="center" vertical="center"/>
    </xf>
    <xf numFmtId="0" fontId="33" fillId="58" borderId="77" xfId="0" applyFont="1" applyFill="1" applyBorder="1" applyAlignment="1">
      <alignment horizontal="center" vertical="center"/>
    </xf>
    <xf numFmtId="0" fontId="33" fillId="58" borderId="15" xfId="0" applyFont="1" applyFill="1" applyBorder="1" applyAlignment="1">
      <alignment horizontal="center" vertical="center" wrapText="1"/>
    </xf>
    <xf numFmtId="0" fontId="33" fillId="58" borderId="18" xfId="0" applyFont="1" applyFill="1" applyBorder="1" applyAlignment="1">
      <alignment horizontal="center" vertical="center"/>
    </xf>
    <xf numFmtId="0" fontId="33" fillId="58" borderId="22" xfId="0" applyFont="1" applyFill="1" applyBorder="1" applyAlignment="1">
      <alignment horizontal="center" vertical="center"/>
    </xf>
    <xf numFmtId="0" fontId="44" fillId="43" borderId="59" xfId="0" applyFont="1" applyFill="1" applyBorder="1" applyAlignment="1">
      <alignment horizontal="center" vertical="center" wrapText="1"/>
    </xf>
    <xf numFmtId="0" fontId="44" fillId="43" borderId="55" xfId="0" applyFont="1" applyFill="1" applyBorder="1" applyAlignment="1">
      <alignment horizontal="center" vertical="center" wrapText="1"/>
    </xf>
    <xf numFmtId="0" fontId="44" fillId="43" borderId="56" xfId="0" applyFont="1" applyFill="1" applyBorder="1" applyAlignment="1">
      <alignment horizontal="center" vertical="center" wrapText="1"/>
    </xf>
    <xf numFmtId="0" fontId="33" fillId="42" borderId="73" xfId="0" applyFont="1" applyFill="1" applyBorder="1" applyAlignment="1">
      <alignment horizontal="center" vertical="center"/>
    </xf>
    <xf numFmtId="0" fontId="44" fillId="42" borderId="59" xfId="0" applyFont="1" applyFill="1" applyBorder="1" applyAlignment="1">
      <alignment horizontal="center" vertical="center" wrapText="1"/>
    </xf>
    <xf numFmtId="0" fontId="44" fillId="42" borderId="55" xfId="0" applyFont="1" applyFill="1" applyBorder="1" applyAlignment="1">
      <alignment horizontal="center" vertical="center" wrapText="1"/>
    </xf>
    <xf numFmtId="0" fontId="44" fillId="42" borderId="56" xfId="0" applyFont="1" applyFill="1" applyBorder="1" applyAlignment="1">
      <alignment horizontal="center" vertical="center" wrapText="1"/>
    </xf>
    <xf numFmtId="0" fontId="33" fillId="41" borderId="51" xfId="0" applyFont="1" applyFill="1" applyBorder="1" applyAlignment="1">
      <alignment horizontal="center" vertical="center"/>
    </xf>
    <xf numFmtId="0" fontId="33" fillId="41" borderId="34" xfId="0" applyFont="1" applyFill="1" applyBorder="1" applyAlignment="1">
      <alignment horizontal="center" vertical="center"/>
    </xf>
    <xf numFmtId="0" fontId="33" fillId="41" borderId="74" xfId="0" applyFont="1" applyFill="1" applyBorder="1" applyAlignment="1">
      <alignment horizontal="center" vertical="center"/>
    </xf>
    <xf numFmtId="0" fontId="44" fillId="42" borderId="54" xfId="0" applyFont="1" applyFill="1" applyBorder="1" applyAlignment="1">
      <alignment horizontal="center" vertical="center" wrapText="1"/>
    </xf>
    <xf numFmtId="0" fontId="44" fillId="42" borderId="55" xfId="0" applyFont="1" applyFill="1" applyBorder="1" applyAlignment="1">
      <alignment horizontal="center" vertical="center"/>
    </xf>
    <xf numFmtId="0" fontId="44" fillId="42" borderId="56" xfId="0" applyFont="1" applyFill="1" applyBorder="1" applyAlignment="1">
      <alignment horizontal="center" vertical="center"/>
    </xf>
    <xf numFmtId="0" fontId="44" fillId="37" borderId="58" xfId="0" applyFont="1" applyFill="1" applyBorder="1" applyAlignment="1">
      <alignment horizontal="center" vertical="center" wrapText="1"/>
    </xf>
    <xf numFmtId="0" fontId="44" fillId="37" borderId="0" xfId="0" applyFont="1" applyFill="1" applyAlignment="1">
      <alignment horizontal="center" vertical="center"/>
    </xf>
    <xf numFmtId="0" fontId="44" fillId="37" borderId="58" xfId="0" applyFont="1" applyFill="1" applyBorder="1" applyAlignment="1">
      <alignment horizontal="center" vertical="center"/>
    </xf>
    <xf numFmtId="0" fontId="44" fillId="37" borderId="60" xfId="0" applyFont="1" applyFill="1" applyBorder="1" applyAlignment="1">
      <alignment horizontal="center" vertical="center"/>
    </xf>
    <xf numFmtId="9" fontId="28" fillId="0" borderId="49" xfId="0" applyNumberFormat="1" applyFont="1" applyBorder="1" applyAlignment="1">
      <alignment horizontal="center" vertical="center"/>
    </xf>
    <xf numFmtId="9" fontId="28" fillId="0" borderId="75" xfId="0" applyNumberFormat="1" applyFont="1" applyBorder="1" applyAlignment="1">
      <alignment horizontal="center" vertical="center"/>
    </xf>
    <xf numFmtId="9" fontId="28" fillId="0" borderId="33" xfId="0" applyNumberFormat="1" applyFont="1" applyBorder="1" applyAlignment="1">
      <alignment horizontal="center" vertical="center"/>
    </xf>
    <xf numFmtId="9" fontId="27" fillId="0" borderId="49" xfId="0" applyNumberFormat="1" applyFont="1" applyBorder="1" applyAlignment="1">
      <alignment horizontal="center" vertical="center" wrapText="1"/>
    </xf>
    <xf numFmtId="9" fontId="27" fillId="0" borderId="75" xfId="0" applyNumberFormat="1" applyFont="1" applyBorder="1" applyAlignment="1">
      <alignment horizontal="center" vertical="center" wrapText="1"/>
    </xf>
    <xf numFmtId="9" fontId="27" fillId="0" borderId="33" xfId="0" applyNumberFormat="1" applyFont="1" applyBorder="1" applyAlignment="1">
      <alignment horizontal="center" vertical="center" wrapText="1"/>
    </xf>
    <xf numFmtId="9" fontId="28" fillId="0" borderId="49" xfId="0" applyNumberFormat="1" applyFont="1" applyBorder="1" applyAlignment="1">
      <alignment horizontal="center" vertical="center" wrapText="1"/>
    </xf>
    <xf numFmtId="9" fontId="28" fillId="0" borderId="75" xfId="0" applyNumberFormat="1" applyFont="1" applyBorder="1" applyAlignment="1">
      <alignment horizontal="center" vertical="center" wrapText="1"/>
    </xf>
    <xf numFmtId="9" fontId="28" fillId="0" borderId="33" xfId="0" applyNumberFormat="1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19" fillId="57" borderId="97" xfId="0" applyFont="1" applyFill="1" applyBorder="1" applyAlignment="1">
      <alignment horizontal="center" vertical="center" wrapText="1"/>
    </xf>
    <xf numFmtId="0" fontId="61" fillId="57" borderId="102" xfId="0" applyFont="1" applyFill="1" applyBorder="1" applyAlignment="1">
      <alignment horizontal="center" vertical="center" wrapText="1"/>
    </xf>
    <xf numFmtId="0" fontId="61" fillId="57" borderId="111" xfId="0" applyFont="1" applyFill="1" applyBorder="1" applyAlignment="1">
      <alignment horizontal="center" vertical="center" wrapText="1"/>
    </xf>
    <xf numFmtId="0" fontId="60" fillId="0" borderId="92" xfId="0" applyFont="1" applyBorder="1" applyAlignment="1">
      <alignment horizontal="center" vertical="center" wrapText="1" readingOrder="1"/>
    </xf>
    <xf numFmtId="0" fontId="60" fillId="0" borderId="93" xfId="0" applyFont="1" applyBorder="1" applyAlignment="1">
      <alignment horizontal="center" vertical="center" wrapText="1" readingOrder="1"/>
    </xf>
    <xf numFmtId="0" fontId="64" fillId="57" borderId="92" xfId="0" applyFont="1" applyFill="1" applyBorder="1" applyAlignment="1">
      <alignment horizontal="center" vertical="center" wrapText="1" readingOrder="1"/>
    </xf>
    <xf numFmtId="0" fontId="64" fillId="57" borderId="93" xfId="0" applyFont="1" applyFill="1" applyBorder="1" applyAlignment="1">
      <alignment horizontal="center" vertical="center" wrapText="1" readingOrder="1"/>
    </xf>
    <xf numFmtId="0" fontId="58" fillId="56" borderId="92" xfId="0" applyFont="1" applyFill="1" applyBorder="1" applyAlignment="1">
      <alignment horizontal="center" vertical="center" wrapText="1"/>
    </xf>
    <xf numFmtId="0" fontId="58" fillId="56" borderId="93" xfId="0" applyFont="1" applyFill="1" applyBorder="1" applyAlignment="1">
      <alignment horizontal="center" vertical="center" wrapText="1"/>
    </xf>
  </cellXfs>
  <cellStyles count="5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Comma [0] 3" xfId="53" xr:uid="{00000000-0005-0000-0000-000012000000}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백분율" xfId="50" builtinId="5"/>
    <cellStyle name="보통" xfId="8" builtinId="28" customBuiltin="1"/>
    <cellStyle name="설명 텍스트" xfId="16" builtinId="53" customBuiltin="1"/>
    <cellStyle name="셀 확인" xfId="13" builtinId="23" customBuiltin="1"/>
    <cellStyle name="쉼표" xfId="52" builtinId="3"/>
    <cellStyle name="쉼표 [0]" xfId="49" builtinId="6"/>
    <cellStyle name="쉼표 [0] 2" xfId="48" xr:uid="{00000000-0005-0000-0000-000023000000}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1" xr:uid="{00000000-0005-0000-0000-00002C000000}"/>
    <cellStyle name="좋음" xfId="6" builtinId="26" customBuiltin="1"/>
    <cellStyle name="출력" xfId="10" builtinId="21" customBuiltin="1"/>
    <cellStyle name="표준" xfId="0" builtinId="0"/>
    <cellStyle name="표준 10" xfId="46" xr:uid="{00000000-0005-0000-0000-000030000000}"/>
    <cellStyle name="표준 14" xfId="47" xr:uid="{00000000-0005-0000-0000-000031000000}"/>
    <cellStyle name="표준 2" xfId="43" xr:uid="{00000000-0005-0000-0000-000032000000}"/>
    <cellStyle name="표준 3" xfId="45" xr:uid="{00000000-0005-0000-0000-000033000000}"/>
    <cellStyle name="표준 4" xfId="42" xr:uid="{00000000-0005-0000-0000-000034000000}"/>
    <cellStyle name="표준 5" xfId="44" xr:uid="{00000000-0005-0000-0000-000035000000}"/>
  </cellStyles>
  <dxfs count="0"/>
  <tableStyles count="0" defaultTableStyle="TableStyleMedium9" defaultPivotStyle="PivotStyleLight16"/>
  <colors>
    <mruColors>
      <color rgb="FFFFF2CC"/>
      <color rgb="FF0000FF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AppData\Local\Temp\(2023.02.15)%20DECV&#48277;&#51064;_&#51088;&#44552;&#49688;&#51648;_&#49892;&#51201;&#51204;&#47581;_EPA_&#48277;&#51064;&#52712;&#54633;_R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V법인_취합"/>
      <sheetName val="사업별 스케쥴"/>
      <sheetName val="정기집행일"/>
    </sheetNames>
    <sheetDataSet>
      <sheetData sheetId="0">
        <row r="8">
          <cell r="N8">
            <v>44887</v>
          </cell>
          <cell r="O8">
            <v>44917</v>
          </cell>
          <cell r="P8">
            <v>44948</v>
          </cell>
          <cell r="Q8">
            <v>44979</v>
          </cell>
          <cell r="R8">
            <v>45007</v>
          </cell>
          <cell r="S8">
            <v>45038</v>
          </cell>
          <cell r="T8">
            <v>45068</v>
          </cell>
          <cell r="U8">
            <v>45099</v>
          </cell>
          <cell r="V8">
            <v>45129</v>
          </cell>
          <cell r="W8">
            <v>45160</v>
          </cell>
          <cell r="X8">
            <v>45191</v>
          </cell>
          <cell r="Y8">
            <v>45221</v>
          </cell>
          <cell r="Z8">
            <v>45252</v>
          </cell>
          <cell r="AA8">
            <v>45282</v>
          </cell>
          <cell r="AB8">
            <v>45313</v>
          </cell>
          <cell r="AC8">
            <v>45344</v>
          </cell>
          <cell r="AD8">
            <v>45373</v>
          </cell>
          <cell r="AE8">
            <v>45404</v>
          </cell>
          <cell r="AF8">
            <v>45434</v>
          </cell>
          <cell r="AG8">
            <v>45465</v>
          </cell>
          <cell r="AH8">
            <v>45495</v>
          </cell>
          <cell r="AI8">
            <v>45526</v>
          </cell>
          <cell r="AJ8">
            <v>45557</v>
          </cell>
          <cell r="AK8">
            <v>45587</v>
          </cell>
          <cell r="AL8">
            <v>45618</v>
          </cell>
          <cell r="AM8">
            <v>45648</v>
          </cell>
          <cell r="AN8">
            <v>45682</v>
          </cell>
          <cell r="AO8">
            <v>45713</v>
          </cell>
          <cell r="AP8">
            <v>45741</v>
          </cell>
          <cell r="AQ8">
            <v>45772</v>
          </cell>
          <cell r="AR8">
            <v>45802</v>
          </cell>
          <cell r="AS8">
            <v>45833</v>
          </cell>
          <cell r="AT8">
            <v>45863</v>
          </cell>
          <cell r="AU8">
            <v>45894</v>
          </cell>
          <cell r="AV8">
            <v>45925</v>
          </cell>
          <cell r="AW8">
            <v>45955</v>
          </cell>
          <cell r="AX8">
            <v>45986</v>
          </cell>
          <cell r="AY8">
            <v>46016</v>
          </cell>
          <cell r="AZ8">
            <v>46047</v>
          </cell>
          <cell r="BA8">
            <v>46078</v>
          </cell>
          <cell r="BB8">
            <v>46106</v>
          </cell>
          <cell r="BC8">
            <v>46137</v>
          </cell>
          <cell r="BD8">
            <v>46167</v>
          </cell>
          <cell r="BE8">
            <v>46198</v>
          </cell>
          <cell r="BF8">
            <v>46228</v>
          </cell>
          <cell r="BG8">
            <v>46259</v>
          </cell>
          <cell r="BH8">
            <v>46290</v>
          </cell>
          <cell r="BI8">
            <v>46320</v>
          </cell>
          <cell r="BJ8">
            <v>46351</v>
          </cell>
          <cell r="BK8">
            <v>46381</v>
          </cell>
          <cell r="BL8">
            <v>46412</v>
          </cell>
          <cell r="BM8">
            <v>46443</v>
          </cell>
          <cell r="BN8">
            <v>46471</v>
          </cell>
          <cell r="BO8">
            <v>46502</v>
          </cell>
          <cell r="BP8">
            <v>46532</v>
          </cell>
          <cell r="BQ8">
            <v>46563</v>
          </cell>
          <cell r="BR8">
            <v>46593</v>
          </cell>
          <cell r="BS8">
            <v>46624</v>
          </cell>
          <cell r="BT8">
            <v>46655</v>
          </cell>
          <cell r="BU8">
            <v>46685</v>
          </cell>
          <cell r="BV8">
            <v>46716</v>
          </cell>
          <cell r="BW8">
            <v>46746</v>
          </cell>
        </row>
        <row r="47">
          <cell r="BP47">
            <v>78600</v>
          </cell>
        </row>
        <row r="62">
          <cell r="Z62">
            <v>3517.7000000000003</v>
          </cell>
          <cell r="AM62">
            <v>14070.800000000001</v>
          </cell>
          <cell r="AY62">
            <v>17588.5</v>
          </cell>
          <cell r="BP62">
            <v>50538</v>
          </cell>
        </row>
        <row r="85">
          <cell r="X85">
            <v>70</v>
          </cell>
          <cell r="BE85">
            <v>120000</v>
          </cell>
        </row>
        <row r="86">
          <cell r="AC86">
            <v>1170</v>
          </cell>
          <cell r="AF86">
            <v>520</v>
          </cell>
          <cell r="AM86">
            <v>520</v>
          </cell>
          <cell r="AO86">
            <v>390</v>
          </cell>
          <cell r="AQ86">
            <v>390</v>
          </cell>
          <cell r="AT86">
            <v>390</v>
          </cell>
          <cell r="AW86">
            <v>520</v>
          </cell>
        </row>
        <row r="89">
          <cell r="T89">
            <v>600</v>
          </cell>
          <cell r="V89">
            <v>3900</v>
          </cell>
          <cell r="X89">
            <v>3900</v>
          </cell>
          <cell r="AE89">
            <v>62400</v>
          </cell>
          <cell r="AG89">
            <v>7800</v>
          </cell>
        </row>
        <row r="90">
          <cell r="T90">
            <v>100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37"/>
  <sheetViews>
    <sheetView zoomScale="85" zoomScaleNormal="85" workbookViewId="0">
      <pane xSplit="2" ySplit="4" topLeftCell="AM5" activePane="bottomRight" state="frozen"/>
      <selection pane="topRight" activeCell="C1" sqref="C1"/>
      <selection pane="bottomLeft" activeCell="A5" sqref="A5"/>
      <selection pane="bottomRight" activeCell="AV41" sqref="AV41"/>
    </sheetView>
  </sheetViews>
  <sheetFormatPr defaultColWidth="8.75" defaultRowHeight="13.5"/>
  <cols>
    <col min="1" max="1" width="8.75" style="49"/>
    <col min="2" max="2" width="14.75" style="49" customWidth="1"/>
    <col min="3" max="16" width="8.75" style="49" hidden="1" customWidth="1"/>
    <col min="17" max="38" width="0" style="49" hidden="1" customWidth="1"/>
    <col min="39" max="39" width="8.75" style="49"/>
    <col min="40" max="40" width="8.75" style="49" customWidth="1"/>
    <col min="41" max="42" width="8.75" style="49"/>
    <col min="43" max="43" width="8.75" style="49" customWidth="1"/>
    <col min="44" max="51" width="8.75" style="49"/>
    <col min="52" max="52" width="8.75" style="49" customWidth="1"/>
    <col min="53" max="54" width="8.75" style="49"/>
    <col min="55" max="55" width="8.75" style="49" customWidth="1"/>
    <col min="56" max="16384" width="8.75" style="49"/>
  </cols>
  <sheetData>
    <row r="1" spans="1:86" ht="20.25">
      <c r="A1" s="63" t="s">
        <v>77</v>
      </c>
    </row>
    <row r="2" spans="1:86" ht="20.25">
      <c r="A2" s="63"/>
    </row>
    <row r="3" spans="1:86">
      <c r="A3" s="67" t="s">
        <v>71</v>
      </c>
    </row>
    <row r="4" spans="1:86" ht="17.45" customHeight="1">
      <c r="A4" s="51" t="s">
        <v>4</v>
      </c>
      <c r="B4" s="58" t="s">
        <v>51</v>
      </c>
      <c r="C4" s="50">
        <v>44927</v>
      </c>
      <c r="D4" s="50">
        <v>44958</v>
      </c>
      <c r="E4" s="50">
        <v>44986</v>
      </c>
      <c r="F4" s="50">
        <v>45017</v>
      </c>
      <c r="G4" s="50">
        <v>45047</v>
      </c>
      <c r="H4" s="50">
        <v>45078</v>
      </c>
      <c r="I4" s="50">
        <v>45108</v>
      </c>
      <c r="J4" s="50">
        <v>45139</v>
      </c>
      <c r="K4" s="50">
        <v>45170</v>
      </c>
      <c r="L4" s="50">
        <v>45200</v>
      </c>
      <c r="M4" s="50">
        <v>45231</v>
      </c>
      <c r="N4" s="68">
        <v>45261</v>
      </c>
      <c r="O4" s="50">
        <v>45292</v>
      </c>
      <c r="P4" s="73">
        <v>45323</v>
      </c>
      <c r="Q4" s="50">
        <v>45352</v>
      </c>
      <c r="R4" s="50">
        <v>45383</v>
      </c>
      <c r="S4" s="50">
        <v>45413</v>
      </c>
      <c r="T4" s="50">
        <v>45444</v>
      </c>
      <c r="U4" s="50">
        <v>45474</v>
      </c>
      <c r="V4" s="50">
        <v>45505</v>
      </c>
      <c r="W4" s="50">
        <v>45536</v>
      </c>
      <c r="X4" s="50">
        <v>45566</v>
      </c>
      <c r="Y4" s="50">
        <v>45597</v>
      </c>
      <c r="Z4" s="50">
        <v>45627</v>
      </c>
      <c r="AA4" s="50">
        <v>45658</v>
      </c>
      <c r="AB4" s="50">
        <v>45689</v>
      </c>
      <c r="AC4" s="50">
        <v>45717</v>
      </c>
      <c r="AD4" s="50">
        <v>45748</v>
      </c>
      <c r="AE4" s="50">
        <v>45778</v>
      </c>
      <c r="AF4" s="50">
        <v>45809</v>
      </c>
      <c r="AG4" s="50">
        <v>45839</v>
      </c>
      <c r="AH4" s="50">
        <v>45870</v>
      </c>
      <c r="AI4" s="50">
        <v>45901</v>
      </c>
      <c r="AJ4" s="50">
        <v>45931</v>
      </c>
      <c r="AK4" s="50">
        <v>45962</v>
      </c>
      <c r="AL4" s="50">
        <v>45992</v>
      </c>
      <c r="AM4" s="50">
        <v>46023</v>
      </c>
      <c r="AN4" s="50">
        <v>46054</v>
      </c>
      <c r="AO4" s="50">
        <v>46082</v>
      </c>
      <c r="AP4" s="50">
        <v>46113</v>
      </c>
      <c r="AQ4" s="50">
        <v>46143</v>
      </c>
      <c r="AR4" s="50">
        <v>46174</v>
      </c>
      <c r="AS4" s="50">
        <v>46204</v>
      </c>
      <c r="AT4" s="50">
        <v>46235</v>
      </c>
      <c r="AU4" s="50">
        <v>46266</v>
      </c>
      <c r="AV4" s="50">
        <v>46296</v>
      </c>
      <c r="AW4" s="50">
        <v>46327</v>
      </c>
      <c r="AX4" s="50">
        <v>46357</v>
      </c>
      <c r="AY4" s="50">
        <v>46388</v>
      </c>
      <c r="AZ4" s="50">
        <v>46419</v>
      </c>
      <c r="BA4" s="50">
        <v>46447</v>
      </c>
      <c r="BB4" s="50">
        <v>46478</v>
      </c>
      <c r="BC4" s="50">
        <v>46508</v>
      </c>
      <c r="BD4" s="50">
        <v>46539</v>
      </c>
      <c r="BE4" s="50">
        <v>46569</v>
      </c>
      <c r="BF4" s="50">
        <v>46600</v>
      </c>
      <c r="BG4" s="50">
        <v>46631</v>
      </c>
      <c r="BH4" s="50">
        <v>46661</v>
      </c>
      <c r="BI4" s="50">
        <v>46692</v>
      </c>
      <c r="BJ4" s="50">
        <v>46722</v>
      </c>
      <c r="BK4" s="50">
        <v>46753</v>
      </c>
      <c r="BL4" s="50">
        <v>46784</v>
      </c>
      <c r="BM4" s="50">
        <v>46813</v>
      </c>
      <c r="BN4" s="50">
        <v>46844</v>
      </c>
      <c r="BO4" s="50">
        <v>46874</v>
      </c>
      <c r="BP4" s="50">
        <v>46905</v>
      </c>
      <c r="BQ4" s="50">
        <v>46935</v>
      </c>
      <c r="BR4" s="50">
        <v>46966</v>
      </c>
      <c r="BS4" s="50">
        <v>46997</v>
      </c>
      <c r="BT4" s="50">
        <v>47027</v>
      </c>
      <c r="BU4" s="50">
        <v>47058</v>
      </c>
      <c r="BV4" s="50">
        <v>47088</v>
      </c>
      <c r="BW4" s="50">
        <v>47119</v>
      </c>
      <c r="BX4" s="50">
        <v>47150</v>
      </c>
      <c r="BY4" s="50">
        <v>47178</v>
      </c>
      <c r="BZ4" s="50">
        <v>47209</v>
      </c>
      <c r="CA4" s="50">
        <v>47239</v>
      </c>
      <c r="CB4" s="50">
        <v>47270</v>
      </c>
      <c r="CC4" s="50">
        <v>47300</v>
      </c>
      <c r="CD4" s="50">
        <v>47331</v>
      </c>
      <c r="CE4" s="50">
        <v>47362</v>
      </c>
      <c r="CF4" s="50">
        <v>47392</v>
      </c>
      <c r="CG4" s="50">
        <v>47423</v>
      </c>
      <c r="CH4" s="50">
        <v>47453</v>
      </c>
    </row>
    <row r="5" spans="1:86" ht="17.45" customHeight="1">
      <c r="A5" s="622" t="s">
        <v>5</v>
      </c>
      <c r="B5" s="59" t="s">
        <v>52</v>
      </c>
      <c r="C5" s="53">
        <f>+'자금수지(FS)_작성시트'!G4</f>
        <v>2410.7997037403265</v>
      </c>
      <c r="D5" s="53">
        <f>+'자금수지(FS)_작성시트'!H4</f>
        <v>2585.0402174300257</v>
      </c>
      <c r="E5" s="53">
        <f>+'자금수지(FS)_작성시트'!I4</f>
        <v>1643.8650660652925</v>
      </c>
      <c r="F5" s="53">
        <f>+'자금수지(FS)_작성시트'!J4</f>
        <v>1095.5899310270734</v>
      </c>
      <c r="G5" s="53">
        <f>+'자금수지(FS)_작성시트'!K4</f>
        <v>938.78216480686694</v>
      </c>
      <c r="H5" s="53">
        <f>+'자금수지(FS)_작성시트'!L4</f>
        <v>2572.7344891643515</v>
      </c>
      <c r="I5" s="53">
        <f>+'자금수지(FS)_작성시트'!M4</f>
        <v>1109.6345537773993</v>
      </c>
      <c r="J5" s="53">
        <f>+'자금수지(FS)_작성시트'!N4</f>
        <v>640.46318077889441</v>
      </c>
      <c r="K5" s="53">
        <f>+'자금수지(FS)_작성시트'!O4</f>
        <v>824.97447008298764</v>
      </c>
      <c r="L5" s="53">
        <f>+'자금수지(FS)_작성시트'!P4</f>
        <v>856.31660008206813</v>
      </c>
      <c r="M5" s="53">
        <f>+'자금수지(FS)_작성시트'!Q4</f>
        <v>25858.929654424592</v>
      </c>
      <c r="N5" s="69">
        <f>+'자금수지(FS)_작성시트'!R4</f>
        <v>2951.7028231185031</v>
      </c>
      <c r="O5" s="53">
        <f>+'자금수지(FS)_작성시트'!T4</f>
        <v>2477.2539852692398</v>
      </c>
      <c r="P5" s="261">
        <f>+'자금수지(FS)_작성시트'!U4</f>
        <v>1158.4478215862637</v>
      </c>
      <c r="Q5" s="53">
        <f>+'자금수지(FS)_작성시트'!V4</f>
        <v>607.71864951259136</v>
      </c>
      <c r="R5" s="53">
        <f>+'자금수지(FS)_작성시트'!W4</f>
        <v>727.13063275937486</v>
      </c>
      <c r="S5" s="53">
        <f>+'자금수지(FS)_작성시트'!X4</f>
        <v>647.41927986050564</v>
      </c>
      <c r="T5" s="53">
        <f>+'자금수지(FS)_작성시트'!Y4</f>
        <v>849.28849815717513</v>
      </c>
      <c r="U5" s="53">
        <f>+'자금수지(FS)_작성시트'!Z4</f>
        <v>1210.0057627814306</v>
      </c>
      <c r="V5" s="53">
        <f>+'자금수지(FS)_작성시트'!AA4</f>
        <v>1798.5851877664281</v>
      </c>
      <c r="W5" s="53">
        <f>+'자금수지(FS)_작성시트'!AB4</f>
        <v>765.5901729152281</v>
      </c>
      <c r="X5" s="53">
        <f>+'자금수지(FS)_작성시트'!AC4</f>
        <v>793.43747415872508</v>
      </c>
      <c r="Y5" s="53">
        <f>+'자금수지(FS)_작성시트'!AD4</f>
        <v>4877.8477255698399</v>
      </c>
      <c r="Z5" s="69">
        <f>+'자금수지(FS)_작성시트'!AE4</f>
        <v>32193.420957294813</v>
      </c>
      <c r="AA5" s="53">
        <f>+'자금수지(FS)_작성시트'!AG4</f>
        <v>5306.9557683451512</v>
      </c>
      <c r="AB5" s="53">
        <f>+'자금수지(FS)_작성시트'!AH4</f>
        <v>1009.4704036434869</v>
      </c>
      <c r="AC5" s="53">
        <f>+'자금수지(FS)_작성시트'!AI4</f>
        <v>1334.4751844645016</v>
      </c>
      <c r="AD5" s="53">
        <f>+'자금수지(FS)_작성시트'!AJ4</f>
        <v>2825.3249903125361</v>
      </c>
      <c r="AE5" s="53">
        <f>+'자금수지(FS)_작성시트'!AK4</f>
        <v>4332.9033734384011</v>
      </c>
      <c r="AF5" s="53">
        <f>+'자금수지(FS)_작성시트'!AL4</f>
        <v>3324.7458981023528</v>
      </c>
      <c r="AG5" s="53">
        <f>+'자금수지(FS)_작성시트'!AM4</f>
        <v>3227.9172305372076</v>
      </c>
      <c r="AH5" s="53">
        <f>+'자금수지(FS)_작성시트'!AN4</f>
        <v>4322.3224102428121</v>
      </c>
      <c r="AI5" s="53">
        <f>+'자금수지(FS)_작성시트'!AO4</f>
        <v>2190.8426183208999</v>
      </c>
      <c r="AJ5" s="53">
        <f>+'자금수지(FS)_작성시트'!AP4</f>
        <v>1668.3271846656787</v>
      </c>
      <c r="AK5" s="53">
        <f>+'자금수지(FS)_작성시트'!AQ4</f>
        <v>3289.4399878376844</v>
      </c>
      <c r="AL5" s="69">
        <f>+'자금수지(FS)_작성시트'!AR4</f>
        <v>13048.982696689496</v>
      </c>
      <c r="AM5" s="53">
        <f>+'자금수지(FS)_작성시트'!AT4</f>
        <v>13475.459768014465</v>
      </c>
      <c r="AN5" s="53">
        <f>+'자금수지(FS)_작성시트'!AU4</f>
        <v>8369.8133273668082</v>
      </c>
      <c r="AO5" s="53">
        <f>+'자금수지(FS)_작성시트'!AV4</f>
        <v>4229.9637588181758</v>
      </c>
      <c r="AP5" s="53">
        <f>+'자금수지(FS)_작성시트'!AW4</f>
        <v>4720.3815977465001</v>
      </c>
      <c r="AQ5" s="53">
        <f>+'자금수지(FS)_작성시트'!AX4</f>
        <v>65.990112820512806</v>
      </c>
      <c r="AR5" s="53">
        <f>+'자금수지(FS)_작성시트'!AY4</f>
        <v>1989.0830464550479</v>
      </c>
      <c r="AS5" s="53">
        <f>+'자금수지(FS)_작성시트'!AZ4</f>
        <v>139.4</v>
      </c>
      <c r="AT5" s="53">
        <f>+'자금수지(FS)_작성시트'!BA4</f>
        <v>6836.1224825751242</v>
      </c>
      <c r="AU5" s="53">
        <f>+'자금수지(FS)_작성시트'!BB4</f>
        <v>5849.0150998039389</v>
      </c>
      <c r="AV5" s="53">
        <f>+'자금수지(FS)_작성시트'!BC4</f>
        <v>7607.8262977410504</v>
      </c>
      <c r="AW5" s="53">
        <f>+'자금수지(FS)_작성시트'!BD4</f>
        <v>13118.017984146145</v>
      </c>
      <c r="AX5" s="53">
        <f>+'자금수지(FS)_작성시트'!BE4</f>
        <v>16348.345789161944</v>
      </c>
      <c r="AY5" s="53">
        <f>+'자금수지(FS)_작성시트'!BG4</f>
        <v>18238.899762122695</v>
      </c>
      <c r="AZ5" s="53">
        <f>+'자금수지(FS)_작성시트'!BH4</f>
        <v>14945.131272846142</v>
      </c>
      <c r="BA5" s="53">
        <f>+'자금수지(FS)_작성시트'!BI4</f>
        <v>17865.55887609662</v>
      </c>
      <c r="BB5" s="53">
        <f>+'자금수지(FS)_작성시트'!BJ4</f>
        <v>34173.9600572493</v>
      </c>
      <c r="BC5" s="53">
        <f>+'자금수지(FS)_작성시트'!BK4</f>
        <v>24465.90823656262</v>
      </c>
      <c r="BD5" s="53">
        <f>+'자금수지(FS)_작성시트'!BL4</f>
        <v>26813.16964436238</v>
      </c>
      <c r="BE5" s="53">
        <f>+'자금수지(FS)_작성시트'!BM4</f>
        <v>104855.09550324635</v>
      </c>
      <c r="BF5" s="53">
        <f>+'자금수지(FS)_작성시트'!BN4</f>
        <v>26265.412495018416</v>
      </c>
      <c r="BG5" s="53">
        <f>+'자금수지(FS)_작성시트'!BO4</f>
        <v>26971.206053583443</v>
      </c>
      <c r="BH5" s="53">
        <f>+'자금수지(FS)_작성시트'!BP4</f>
        <v>24163.004703739643</v>
      </c>
      <c r="BI5" s="53">
        <f>+'자금수지(FS)_작성시트'!BQ4</f>
        <v>27861.258744695377</v>
      </c>
      <c r="BJ5" s="53">
        <f>+'자금수지(FS)_작성시트'!BR4</f>
        <v>31159.826179429019</v>
      </c>
      <c r="BK5" s="53">
        <f>+'자금수지(FS)_작성시트'!BT4</f>
        <v>31631.132516655631</v>
      </c>
      <c r="BL5" s="53">
        <f>+'자금수지(FS)_작성시트'!BU4</f>
        <v>30145.143450803331</v>
      </c>
      <c r="BM5" s="53">
        <f>+'자금수지(FS)_작성시트'!BV4</f>
        <v>26573.408732981061</v>
      </c>
      <c r="BN5" s="53">
        <f>+'자금수지(FS)_작성시트'!BW4</f>
        <v>27055.125352322797</v>
      </c>
      <c r="BO5" s="53">
        <f>+'자금수지(FS)_작성시트'!BX4</f>
        <v>26237.678964371931</v>
      </c>
      <c r="BP5" s="53">
        <f>+'자금수지(FS)_작성시트'!BY4</f>
        <v>26688.214642432707</v>
      </c>
      <c r="BQ5" s="53">
        <f>+'자금수지(FS)_작성시트'!BZ4</f>
        <v>27897.091393815281</v>
      </c>
      <c r="BR5" s="53">
        <f>+'자금수지(FS)_작성시트'!CA4</f>
        <v>27883.311430624875</v>
      </c>
      <c r="BS5" s="53">
        <f>+'자금수지(FS)_작성시트'!CB4</f>
        <v>26469.331188709148</v>
      </c>
      <c r="BT5" s="53">
        <f>+'자금수지(FS)_작성시트'!CC4</f>
        <v>27200.718804363347</v>
      </c>
      <c r="BU5" s="53">
        <f>+'자금수지(FS)_작성시트'!CD4</f>
        <v>27726.414859072534</v>
      </c>
      <c r="BV5" s="53">
        <f>+'자금수지(FS)_작성시트'!CE4</f>
        <v>28474.719225825396</v>
      </c>
      <c r="BW5" s="53">
        <f>+'자금수지(FS)_작성시트'!CG4</f>
        <v>26643.526202809189</v>
      </c>
      <c r="BX5" s="53">
        <f>+'자금수지(FS)_작성시트'!CH4</f>
        <v>27507.477920607758</v>
      </c>
      <c r="BY5" s="53">
        <f>+'자금수지(FS)_작성시트'!CI4</f>
        <v>28555.777063488327</v>
      </c>
      <c r="BZ5" s="53">
        <f>+'자금수지(FS)_작성시트'!CJ4</f>
        <v>27406.830474736944</v>
      </c>
      <c r="CA5" s="53">
        <f>+'자금수지(FS)_작성시트'!CK4</f>
        <v>28143.110366341876</v>
      </c>
      <c r="CB5" s="53">
        <f>+'자금수지(FS)_작성시트'!CL4</f>
        <v>28716.185162289668</v>
      </c>
      <c r="CC5" s="53">
        <f>+'자금수지(FS)_작성시트'!CM4</f>
        <v>27043.596550642309</v>
      </c>
      <c r="CD5" s="53">
        <f>+'자금수지(FS)_작성시트'!CN4</f>
        <v>24464.788619947536</v>
      </c>
      <c r="CE5" s="53">
        <f>+'자금수지(FS)_작성시트'!CO4</f>
        <v>24342.647434266823</v>
      </c>
      <c r="CF5" s="53">
        <f>+'자금수지(FS)_작성시트'!CP4</f>
        <v>25811.021490053878</v>
      </c>
      <c r="CG5" s="53">
        <f>+'자금수지(FS)_작성시트'!CQ4</f>
        <v>15225.352063609516</v>
      </c>
      <c r="CH5" s="53">
        <f>+'자금수지(FS)_작성시트'!CR4</f>
        <v>15832.975263992152</v>
      </c>
    </row>
    <row r="6" spans="1:86">
      <c r="A6" s="622"/>
      <c r="B6" s="59" t="s">
        <v>179</v>
      </c>
      <c r="C6" s="53">
        <f>+'자금수지(FS)_작성시트'!G222</f>
        <v>0</v>
      </c>
      <c r="D6" s="53">
        <f>+'자금수지(FS)_작성시트'!H222</f>
        <v>0</v>
      </c>
      <c r="E6" s="53">
        <f>+'자금수지(FS)_작성시트'!I222</f>
        <v>0</v>
      </c>
      <c r="F6" s="53">
        <f>+'자금수지(FS)_작성시트'!J222</f>
        <v>0</v>
      </c>
      <c r="G6" s="53">
        <f>+'자금수지(FS)_작성시트'!K222</f>
        <v>0</v>
      </c>
      <c r="H6" s="53">
        <f>+'자금수지(FS)_작성시트'!L222</f>
        <v>0</v>
      </c>
      <c r="I6" s="53">
        <f>+'자금수지(FS)_작성시트'!M222</f>
        <v>0</v>
      </c>
      <c r="J6" s="53">
        <f>+'자금수지(FS)_작성시트'!N222</f>
        <v>0</v>
      </c>
      <c r="K6" s="53">
        <f>+'자금수지(FS)_작성시트'!O222</f>
        <v>0</v>
      </c>
      <c r="L6" s="53">
        <f>+'자금수지(FS)_작성시트'!P222</f>
        <v>0</v>
      </c>
      <c r="M6" s="53">
        <f>+'자금수지(FS)_작성시트'!Q222</f>
        <v>0</v>
      </c>
      <c r="N6" s="69">
        <f>+'자금수지(FS)_작성시트'!R222</f>
        <v>0</v>
      </c>
      <c r="O6" s="53">
        <f>+'자금수지(FS)_작성시트'!T222</f>
        <v>0</v>
      </c>
      <c r="P6" s="261">
        <f>+'자금수지(FS)_작성시트'!U222</f>
        <v>0</v>
      </c>
      <c r="Q6" s="53">
        <f>+'자금수지(FS)_작성시트'!V222</f>
        <v>0</v>
      </c>
      <c r="R6" s="53">
        <f>+'자금수지(FS)_작성시트'!W222</f>
        <v>0</v>
      </c>
      <c r="S6" s="53">
        <f>+'자금수지(FS)_작성시트'!X222</f>
        <v>0</v>
      </c>
      <c r="T6" s="53">
        <f>+'자금수지(FS)_작성시트'!Y222</f>
        <v>0</v>
      </c>
      <c r="U6" s="53">
        <f>+'자금수지(FS)_작성시트'!Z222</f>
        <v>0</v>
      </c>
      <c r="V6" s="53">
        <f>+'자금수지(FS)_작성시트'!AA222</f>
        <v>0</v>
      </c>
      <c r="W6" s="53">
        <f>+'자금수지(FS)_작성시트'!AB222</f>
        <v>0</v>
      </c>
      <c r="X6" s="53">
        <f>+'자금수지(FS)_작성시트'!AC222</f>
        <v>0</v>
      </c>
      <c r="Y6" s="53">
        <f>+'자금수지(FS)_작성시트'!AD222</f>
        <v>0</v>
      </c>
      <c r="Z6" s="53">
        <f>+'자금수지(FS)_작성시트'!AE222</f>
        <v>0</v>
      </c>
      <c r="AA6" s="53">
        <f>+'자금수지(FS)_작성시트'!AG222</f>
        <v>0</v>
      </c>
      <c r="AB6" s="53">
        <f>+'자금수지(FS)_작성시트'!AH222</f>
        <v>0</v>
      </c>
      <c r="AC6" s="53">
        <f>+'자금수지(FS)_작성시트'!AI222</f>
        <v>0</v>
      </c>
      <c r="AD6" s="53">
        <f>+'자금수지(FS)_작성시트'!AJ222</f>
        <v>0</v>
      </c>
      <c r="AE6" s="53">
        <f>+'자금수지(FS)_작성시트'!AK222</f>
        <v>0</v>
      </c>
      <c r="AF6" s="53">
        <f>+'자금수지(FS)_작성시트'!AL222</f>
        <v>0</v>
      </c>
      <c r="AG6" s="53">
        <f>+'자금수지(FS)_작성시트'!AM222</f>
        <v>0</v>
      </c>
      <c r="AH6" s="53">
        <f>+'자금수지(FS)_작성시트'!AN222</f>
        <v>0</v>
      </c>
      <c r="AI6" s="53">
        <f>+'자금수지(FS)_작성시트'!AO222</f>
        <v>0</v>
      </c>
      <c r="AJ6" s="53">
        <f>+'자금수지(FS)_작성시트'!AP222</f>
        <v>0</v>
      </c>
      <c r="AK6" s="53">
        <f>+'자금수지(FS)_작성시트'!AQ222</f>
        <v>0</v>
      </c>
      <c r="AL6" s="53">
        <f>+'자금수지(FS)_작성시트'!AR222</f>
        <v>0</v>
      </c>
      <c r="AM6" s="53">
        <f>+'자금수지(FS)_작성시트'!AT222</f>
        <v>0</v>
      </c>
      <c r="AN6" s="53">
        <f>+'자금수지(FS)_작성시트'!AU222</f>
        <v>0</v>
      </c>
      <c r="AO6" s="53">
        <f>+'자금수지(FS)_작성시트'!AV222</f>
        <v>0</v>
      </c>
      <c r="AP6" s="53">
        <f>+'자금수지(FS)_작성시트'!AW222</f>
        <v>0</v>
      </c>
      <c r="AQ6" s="53">
        <f>+'자금수지(FS)_작성시트'!AX222</f>
        <v>0</v>
      </c>
      <c r="AR6" s="53">
        <f>+'자금수지(FS)_작성시트'!AY222</f>
        <v>0</v>
      </c>
      <c r="AS6" s="53">
        <f>+'자금수지(FS)_작성시트'!AZ222</f>
        <v>0</v>
      </c>
      <c r="AT6" s="53">
        <f>+'자금수지(FS)_작성시트'!BA222</f>
        <v>0</v>
      </c>
      <c r="AU6" s="53">
        <f>+'자금수지(FS)_작성시트'!BB222</f>
        <v>0</v>
      </c>
      <c r="AV6" s="53">
        <f>+'자금수지(FS)_작성시트'!BC222</f>
        <v>0</v>
      </c>
      <c r="AW6" s="53">
        <f>+'자금수지(FS)_작성시트'!BD222</f>
        <v>0</v>
      </c>
      <c r="AX6" s="53">
        <f>+'자금수지(FS)_작성시트'!BE222</f>
        <v>0</v>
      </c>
      <c r="AY6" s="53">
        <f>+'자금수지(FS)_작성시트'!BG222</f>
        <v>0</v>
      </c>
      <c r="AZ6" s="53">
        <f>+'자금수지(FS)_작성시트'!BH222</f>
        <v>0</v>
      </c>
      <c r="BA6" s="53">
        <f>+'자금수지(FS)_작성시트'!BI222</f>
        <v>0</v>
      </c>
      <c r="BB6" s="53">
        <f>+'자금수지(FS)_작성시트'!BJ222</f>
        <v>0</v>
      </c>
      <c r="BC6" s="53">
        <f>+'자금수지(FS)_작성시트'!BK222</f>
        <v>0</v>
      </c>
      <c r="BD6" s="53">
        <f>+'자금수지(FS)_작성시트'!BL222</f>
        <v>0</v>
      </c>
      <c r="BE6" s="53">
        <f>+'자금수지(FS)_작성시트'!BM222</f>
        <v>0</v>
      </c>
      <c r="BF6" s="53">
        <f>+'자금수지(FS)_작성시트'!BN222</f>
        <v>0</v>
      </c>
      <c r="BG6" s="53">
        <f>+'자금수지(FS)_작성시트'!BO222</f>
        <v>0</v>
      </c>
      <c r="BH6" s="53">
        <f>+'자금수지(FS)_작성시트'!BP222</f>
        <v>0</v>
      </c>
      <c r="BI6" s="53">
        <f>+'자금수지(FS)_작성시트'!BQ222</f>
        <v>0</v>
      </c>
      <c r="BJ6" s="53">
        <f>+'자금수지(FS)_작성시트'!BR222</f>
        <v>0</v>
      </c>
      <c r="BK6" s="53">
        <f>+'자금수지(FS)_작성시트'!BT222</f>
        <v>0</v>
      </c>
      <c r="BL6" s="53">
        <f>+'자금수지(FS)_작성시트'!BU222</f>
        <v>0</v>
      </c>
      <c r="BM6" s="53">
        <f>+'자금수지(FS)_작성시트'!BV222</f>
        <v>0</v>
      </c>
      <c r="BN6" s="53">
        <f>+'자금수지(FS)_작성시트'!BW222</f>
        <v>0</v>
      </c>
      <c r="BO6" s="53">
        <f>+'자금수지(FS)_작성시트'!BX222</f>
        <v>0</v>
      </c>
      <c r="BP6" s="53">
        <f>+'자금수지(FS)_작성시트'!BY222</f>
        <v>0</v>
      </c>
      <c r="BQ6" s="53">
        <v>27958</v>
      </c>
      <c r="BR6" s="53">
        <f>+'자금수지(FS)_작성시트'!CA222</f>
        <v>0</v>
      </c>
      <c r="BS6" s="53">
        <f>+'자금수지(FS)_작성시트'!CB222</f>
        <v>0</v>
      </c>
      <c r="BT6" s="53">
        <f>+'자금수지(FS)_작성시트'!CC222</f>
        <v>0</v>
      </c>
      <c r="BU6" s="53">
        <f>+'자금수지(FS)_작성시트'!CD222</f>
        <v>0</v>
      </c>
      <c r="BV6" s="53">
        <f>+'자금수지(FS)_작성시트'!CE222</f>
        <v>0</v>
      </c>
      <c r="BW6" s="53">
        <f>+'자금수지(FS)_작성시트'!CG222</f>
        <v>0</v>
      </c>
      <c r="BX6" s="53">
        <f>+'자금수지(FS)_작성시트'!CH222</f>
        <v>0</v>
      </c>
      <c r="BY6" s="53">
        <f>+'자금수지(FS)_작성시트'!CI222</f>
        <v>0</v>
      </c>
      <c r="BZ6" s="53">
        <f>+'자금수지(FS)_작성시트'!CJ222</f>
        <v>0</v>
      </c>
      <c r="CA6" s="53">
        <f>+'자금수지(FS)_작성시트'!CK222</f>
        <v>0</v>
      </c>
      <c r="CB6" s="53">
        <f>+'자금수지(FS)_작성시트'!CL222</f>
        <v>0</v>
      </c>
      <c r="CC6" s="53">
        <f>+'자금수지(FS)_작성시트'!CM222</f>
        <v>0</v>
      </c>
      <c r="CD6" s="53">
        <f>+'자금수지(FS)_작성시트'!CN222</f>
        <v>0</v>
      </c>
      <c r="CE6" s="53">
        <f>+'자금수지(FS)_작성시트'!CO222</f>
        <v>0</v>
      </c>
      <c r="CF6" s="53">
        <f>+'자금수지(FS)_작성시트'!CP222</f>
        <v>0</v>
      </c>
      <c r="CG6" s="53">
        <f>+'자금수지(FS)_작성시트'!CQ222</f>
        <v>0</v>
      </c>
      <c r="CH6" s="53">
        <f>+'자금수지(FS)_작성시트'!CR222</f>
        <v>0</v>
      </c>
    </row>
    <row r="7" spans="1:86">
      <c r="A7" s="622"/>
      <c r="B7" s="59" t="s">
        <v>6</v>
      </c>
      <c r="C7" s="53">
        <f>+'자금수지(FS)_작성시트'!G225</f>
        <v>0</v>
      </c>
      <c r="D7" s="53">
        <f>+'자금수지(FS)_작성시트'!H225</f>
        <v>0</v>
      </c>
      <c r="E7" s="53">
        <f>+'자금수지(FS)_작성시트'!I225</f>
        <v>0</v>
      </c>
      <c r="F7" s="53">
        <f>+'자금수지(FS)_작성시트'!J225</f>
        <v>0</v>
      </c>
      <c r="G7" s="53">
        <f>+'자금수지(FS)_작성시트'!K225</f>
        <v>0</v>
      </c>
      <c r="H7" s="53">
        <f>+'자금수지(FS)_작성시트'!L225</f>
        <v>0</v>
      </c>
      <c r="I7" s="53">
        <f>+'자금수지(FS)_작성시트'!M225</f>
        <v>0</v>
      </c>
      <c r="J7" s="53">
        <f>+'자금수지(FS)_작성시트'!N225</f>
        <v>0</v>
      </c>
      <c r="K7" s="53">
        <f>+'자금수지(FS)_작성시트'!O225</f>
        <v>0</v>
      </c>
      <c r="L7" s="53">
        <f>+'자금수지(FS)_작성시트'!P225</f>
        <v>0</v>
      </c>
      <c r="M7" s="53">
        <f>+'자금수지(FS)_작성시트'!Q225</f>
        <v>0</v>
      </c>
      <c r="N7" s="69">
        <f>+'자금수지(FS)_작성시트'!R225</f>
        <v>0</v>
      </c>
      <c r="O7" s="53">
        <f>+'자금수지(FS)_작성시트'!T225</f>
        <v>6.663915824221168</v>
      </c>
      <c r="P7" s="261">
        <f>+'자금수지(FS)_작성시트'!U225</f>
        <v>2.2228127555192101</v>
      </c>
      <c r="Q7" s="53">
        <f>+'자금수지(FS)_작성시트'!V225</f>
        <v>2.5554341998375301</v>
      </c>
      <c r="R7" s="53">
        <f>+'자금수지(FS)_작성시트'!W225</f>
        <v>4.7719409869964604</v>
      </c>
      <c r="S7" s="53">
        <f>+'자금수지(FS)_작성시트'!X225</f>
        <v>2.1795989537925022</v>
      </c>
      <c r="T7" s="53">
        <f>+'자금수지(FS)_작성시트'!Y225</f>
        <v>0</v>
      </c>
      <c r="U7" s="53">
        <f>+'자금수지(FS)_작성시트'!Z225</f>
        <v>0</v>
      </c>
      <c r="V7" s="53">
        <f>+'자금수지(FS)_작성시트'!AA225</f>
        <v>2.0075605244108399</v>
      </c>
      <c r="W7" s="53">
        <f>+'자금수지(FS)_작성시트'!AB225</f>
        <v>1.8644136642430642</v>
      </c>
      <c r="X7" s="53">
        <f>+'자금수지(FS)_작성시트'!AC225</f>
        <v>3.3216022776701331</v>
      </c>
      <c r="Y7" s="53">
        <f>+'자금수지(FS)_작성시트'!AD225</f>
        <v>0</v>
      </c>
      <c r="Z7" s="53">
        <f>+'자금수지(FS)_작성시트'!AE225</f>
        <v>0.65627821172037526</v>
      </c>
      <c r="AA7" s="53">
        <f>+'자금수지(FS)_작성시트'!AG225</f>
        <v>1.2634132738427217</v>
      </c>
      <c r="AB7" s="53">
        <f>+'자금수지(FS)_작성시트'!AH225</f>
        <v>0</v>
      </c>
      <c r="AC7" s="53">
        <f>+'자금수지(FS)_작성시트'!AI225</f>
        <v>3.0346188410893604</v>
      </c>
      <c r="AD7" s="53">
        <f>+'자금수지(FS)_작성시트'!AJ225</f>
        <v>2.9494099104294005</v>
      </c>
      <c r="AE7" s="53">
        <f>+'자금수지(FS)_작성시트'!AK225</f>
        <v>0</v>
      </c>
      <c r="AF7" s="53">
        <f>+'자금수지(FS)_작성시트'!AL225</f>
        <v>3.5652673950546299</v>
      </c>
      <c r="AG7" s="53">
        <f>+'자금수지(FS)_작성시트'!AM225</f>
        <v>0</v>
      </c>
      <c r="AH7" s="53">
        <f>+'자금수지(FS)_작성시트'!AN225</f>
        <v>0.71101178074927074</v>
      </c>
      <c r="AI7" s="53">
        <f>+'자금수지(FS)_작성시트'!AO225</f>
        <v>3.7016700117393118</v>
      </c>
      <c r="AJ7" s="53">
        <f>+'자금수지(FS)_작성시트'!AP225</f>
        <v>0</v>
      </c>
      <c r="AK7" s="53">
        <f>+'자금수지(FS)_작성시트'!AQ225</f>
        <v>1.288220361459478</v>
      </c>
      <c r="AL7" s="53">
        <f>+'자금수지(FS)_작성시트'!AR225</f>
        <v>1.7969178082191781</v>
      </c>
      <c r="AM7" s="53">
        <f>+'자금수지(FS)_작성시트'!AT225</f>
        <v>0</v>
      </c>
      <c r="AN7" s="53">
        <f>+'자금수지(FS)_작성시트'!AU225</f>
        <v>3.209083940206976</v>
      </c>
      <c r="AO7" s="53">
        <f>+'자금수지(FS)_작성시트'!AV225</f>
        <v>1.7441401805355381</v>
      </c>
      <c r="AP7" s="53">
        <f>+'자금수지(FS)_작성시트'!AW225</f>
        <v>0.22762623771766799</v>
      </c>
      <c r="AQ7" s="53">
        <f>+'자금수지(FS)_작성시트'!AX225</f>
        <v>0</v>
      </c>
      <c r="AR7" s="53">
        <f>+'자금수지(FS)_작성시트'!AY225</f>
        <v>0</v>
      </c>
      <c r="AS7" s="53">
        <f>+'자금수지(FS)_작성시트'!AZ225</f>
        <v>0</v>
      </c>
      <c r="AT7" s="53">
        <f>+'자금수지(FS)_작성시트'!BA225</f>
        <v>0</v>
      </c>
      <c r="AU7" s="53">
        <f>+'자금수지(FS)_작성시트'!BB225</f>
        <v>0</v>
      </c>
      <c r="AV7" s="53">
        <f>+'자금수지(FS)_작성시트'!BC225</f>
        <v>0</v>
      </c>
      <c r="AW7" s="53">
        <f>+'자금수지(FS)_작성시트'!BD225</f>
        <v>0</v>
      </c>
      <c r="AX7" s="53">
        <f>+'자금수지(FS)_작성시트'!BE225</f>
        <v>0</v>
      </c>
      <c r="AY7" s="53">
        <f>+'자금수지(FS)_작성시트'!BG225</f>
        <v>0</v>
      </c>
      <c r="AZ7" s="53">
        <f>+'자금수지(FS)_작성시트'!BH225</f>
        <v>0</v>
      </c>
      <c r="BA7" s="53">
        <f>+'자금수지(FS)_작성시트'!BI225</f>
        <v>0</v>
      </c>
      <c r="BB7" s="53">
        <f>+'자금수지(FS)_작성시트'!BJ225</f>
        <v>0</v>
      </c>
      <c r="BC7" s="53">
        <f>+'자금수지(FS)_작성시트'!BK225</f>
        <v>0</v>
      </c>
      <c r="BD7" s="53">
        <f>+'자금수지(FS)_작성시트'!BL225</f>
        <v>0</v>
      </c>
      <c r="BE7" s="53">
        <f>+'자금수지(FS)_작성시트'!BM225</f>
        <v>0</v>
      </c>
      <c r="BF7" s="53">
        <f>+'자금수지(FS)_작성시트'!BN225</f>
        <v>0</v>
      </c>
      <c r="BG7" s="53">
        <f>+'자금수지(FS)_작성시트'!BO225</f>
        <v>0</v>
      </c>
      <c r="BH7" s="53">
        <f>+'자금수지(FS)_작성시트'!BP225</f>
        <v>0</v>
      </c>
      <c r="BI7" s="53">
        <f>+'자금수지(FS)_작성시트'!BQ225</f>
        <v>0</v>
      </c>
      <c r="BJ7" s="53">
        <f>+'자금수지(FS)_작성시트'!BR225</f>
        <v>0</v>
      </c>
      <c r="BK7" s="53">
        <f>+'자금수지(FS)_작성시트'!BT225</f>
        <v>0</v>
      </c>
      <c r="BL7" s="53">
        <f>+'자금수지(FS)_작성시트'!BU225</f>
        <v>0</v>
      </c>
      <c r="BM7" s="53">
        <f>+'자금수지(FS)_작성시트'!BV225</f>
        <v>0</v>
      </c>
      <c r="BN7" s="53">
        <f>+'자금수지(FS)_작성시트'!BW225</f>
        <v>0</v>
      </c>
      <c r="BO7" s="53">
        <f>+'자금수지(FS)_작성시트'!BX225</f>
        <v>0</v>
      </c>
      <c r="BP7" s="53">
        <f>+'자금수지(FS)_작성시트'!BY225</f>
        <v>0</v>
      </c>
      <c r="BQ7" s="53">
        <f>+'자금수지(FS)_작성시트'!BZ225</f>
        <v>0</v>
      </c>
      <c r="BR7" s="53">
        <f>+'자금수지(FS)_작성시트'!CA225</f>
        <v>0</v>
      </c>
      <c r="BS7" s="53">
        <f>+'자금수지(FS)_작성시트'!CB225</f>
        <v>0</v>
      </c>
      <c r="BT7" s="53">
        <f>+'자금수지(FS)_작성시트'!CC225</f>
        <v>0</v>
      </c>
      <c r="BU7" s="53">
        <f>+'자금수지(FS)_작성시트'!CD225</f>
        <v>0</v>
      </c>
      <c r="BV7" s="53">
        <f>+'자금수지(FS)_작성시트'!CE225</f>
        <v>0</v>
      </c>
      <c r="BW7" s="53">
        <f>+'자금수지(FS)_작성시트'!CG225</f>
        <v>0</v>
      </c>
      <c r="BX7" s="53">
        <f>+'자금수지(FS)_작성시트'!CH225</f>
        <v>0</v>
      </c>
      <c r="BY7" s="53">
        <f>+'자금수지(FS)_작성시트'!CI225</f>
        <v>0</v>
      </c>
      <c r="BZ7" s="53">
        <f>+'자금수지(FS)_작성시트'!CJ225</f>
        <v>0</v>
      </c>
      <c r="CA7" s="53">
        <f>+'자금수지(FS)_작성시트'!CK225</f>
        <v>0</v>
      </c>
      <c r="CB7" s="53">
        <f>+'자금수지(FS)_작성시트'!CL225</f>
        <v>0</v>
      </c>
      <c r="CC7" s="53">
        <f>+'자금수지(FS)_작성시트'!CM225</f>
        <v>0</v>
      </c>
      <c r="CD7" s="53">
        <f>+'자금수지(FS)_작성시트'!CN225</f>
        <v>0</v>
      </c>
      <c r="CE7" s="53">
        <f>+'자금수지(FS)_작성시트'!CO225</f>
        <v>0</v>
      </c>
      <c r="CF7" s="53">
        <f>+'자금수지(FS)_작성시트'!CP225</f>
        <v>0</v>
      </c>
      <c r="CG7" s="53">
        <f>+'자금수지(FS)_작성시트'!CQ225</f>
        <v>0</v>
      </c>
      <c r="CH7" s="53">
        <f>+'자금수지(FS)_작성시트'!CR225</f>
        <v>0</v>
      </c>
    </row>
    <row r="8" spans="1:86">
      <c r="A8" s="622"/>
      <c r="B8" s="59" t="s">
        <v>53</v>
      </c>
      <c r="C8" s="53">
        <f>+'자금수지(FS)_작성시트'!G228</f>
        <v>0</v>
      </c>
      <c r="D8" s="53">
        <f>+'자금수지(FS)_작성시트'!H228</f>
        <v>0</v>
      </c>
      <c r="E8" s="53">
        <f>+'자금수지(FS)_작성시트'!I228</f>
        <v>0</v>
      </c>
      <c r="F8" s="53">
        <f>+'자금수지(FS)_작성시트'!J228</f>
        <v>0</v>
      </c>
      <c r="G8" s="53">
        <f>+'자금수지(FS)_작성시트'!K228</f>
        <v>0</v>
      </c>
      <c r="H8" s="53">
        <f>+'자금수지(FS)_작성시트'!L228</f>
        <v>0</v>
      </c>
      <c r="I8" s="53">
        <f>+'자금수지(FS)_작성시트'!M228</f>
        <v>0</v>
      </c>
      <c r="J8" s="53">
        <f>+'자금수지(FS)_작성시트'!N228</f>
        <v>0</v>
      </c>
      <c r="K8" s="53">
        <f>+'자금수지(FS)_작성시트'!O228</f>
        <v>0</v>
      </c>
      <c r="L8" s="53">
        <f>+'자금수지(FS)_작성시트'!P228</f>
        <v>0</v>
      </c>
      <c r="M8" s="53">
        <f>+'자금수지(FS)_작성시트'!Q228</f>
        <v>0</v>
      </c>
      <c r="N8" s="69">
        <f>+'자금수지(FS)_작성시트'!R228</f>
        <v>0</v>
      </c>
      <c r="O8" s="53">
        <f>+'자금수지(FS)_작성시트'!T228</f>
        <v>0</v>
      </c>
      <c r="P8" s="261">
        <f>+'자금수지(FS)_작성시트'!U228</f>
        <v>0</v>
      </c>
      <c r="Q8" s="53">
        <f>+'자금수지(FS)_작성시트'!V228</f>
        <v>0</v>
      </c>
      <c r="R8" s="53">
        <f>+'자금수지(FS)_작성시트'!W228</f>
        <v>0</v>
      </c>
      <c r="S8" s="53">
        <f>+'자금수지(FS)_작성시트'!X228</f>
        <v>0</v>
      </c>
      <c r="T8" s="53">
        <f>+'자금수지(FS)_작성시트'!Y228</f>
        <v>0</v>
      </c>
      <c r="U8" s="53">
        <f>+'자금수지(FS)_작성시트'!Z228</f>
        <v>0</v>
      </c>
      <c r="V8" s="53">
        <f>+'자금수지(FS)_작성시트'!AA228</f>
        <v>0</v>
      </c>
      <c r="W8" s="53">
        <f>+'자금수지(FS)_작성시트'!AB228</f>
        <v>0</v>
      </c>
      <c r="X8" s="53">
        <f>+'자금수지(FS)_작성시트'!AC228</f>
        <v>0</v>
      </c>
      <c r="Y8" s="53">
        <f>+'자금수지(FS)_작성시트'!AD228</f>
        <v>0</v>
      </c>
      <c r="Z8" s="53">
        <f>+'자금수지(FS)_작성시트'!AE228</f>
        <v>0</v>
      </c>
      <c r="AA8" s="53">
        <f>+'자금수지(FS)_작성시트'!AG228</f>
        <v>0</v>
      </c>
      <c r="AB8" s="53">
        <f>+'자금수지(FS)_작성시트'!AH228</f>
        <v>0</v>
      </c>
      <c r="AC8" s="53">
        <f>+'자금수지(FS)_작성시트'!AI228</f>
        <v>0</v>
      </c>
      <c r="AD8" s="53">
        <f>+'자금수지(FS)_작성시트'!AJ228</f>
        <v>0</v>
      </c>
      <c r="AE8" s="53">
        <f>+'자금수지(FS)_작성시트'!AK228</f>
        <v>0</v>
      </c>
      <c r="AF8" s="53">
        <f>+'자금수지(FS)_작성시트'!AL228</f>
        <v>0</v>
      </c>
      <c r="AG8" s="53">
        <f>+'자금수지(FS)_작성시트'!AM228</f>
        <v>0</v>
      </c>
      <c r="AH8" s="53">
        <f>+'자금수지(FS)_작성시트'!AN228</f>
        <v>0</v>
      </c>
      <c r="AI8" s="53">
        <f>+'자금수지(FS)_작성시트'!AO228</f>
        <v>0</v>
      </c>
      <c r="AJ8" s="53">
        <f>+'자금수지(FS)_작성시트'!AP228</f>
        <v>0</v>
      </c>
      <c r="AK8" s="53">
        <f>+'자금수지(FS)_작성시트'!AQ228</f>
        <v>0</v>
      </c>
      <c r="AL8" s="53">
        <f>+'자금수지(FS)_작성시트'!AR228</f>
        <v>0</v>
      </c>
      <c r="AM8" s="53">
        <f>+'자금수지(FS)_작성시트'!AT228</f>
        <v>0</v>
      </c>
      <c r="AN8" s="53">
        <f>+'자금수지(FS)_작성시트'!AU228</f>
        <v>0</v>
      </c>
      <c r="AO8" s="53">
        <f>+'자금수지(FS)_작성시트'!AV228</f>
        <v>0</v>
      </c>
      <c r="AP8" s="53">
        <f>+'자금수지(FS)_작성시트'!AW228</f>
        <v>0</v>
      </c>
      <c r="AQ8" s="53">
        <f>+'자금수지(FS)_작성시트'!AX228</f>
        <v>0</v>
      </c>
      <c r="AR8" s="53">
        <f>+'자금수지(FS)_작성시트'!AY228</f>
        <v>0</v>
      </c>
      <c r="AS8" s="53">
        <f>+'자금수지(FS)_작성시트'!AZ228</f>
        <v>0</v>
      </c>
      <c r="AT8" s="53">
        <f>+'자금수지(FS)_작성시트'!BA228</f>
        <v>0</v>
      </c>
      <c r="AU8" s="53">
        <f>+'자금수지(FS)_작성시트'!BB228</f>
        <v>0</v>
      </c>
      <c r="AV8" s="53">
        <f>+'자금수지(FS)_작성시트'!BC228</f>
        <v>0</v>
      </c>
      <c r="AW8" s="53">
        <f>+'자금수지(FS)_작성시트'!BD228</f>
        <v>0</v>
      </c>
      <c r="AX8" s="53">
        <f>+'자금수지(FS)_작성시트'!BE228</f>
        <v>0</v>
      </c>
      <c r="AY8" s="53">
        <f>+'자금수지(FS)_작성시트'!BG228</f>
        <v>0</v>
      </c>
      <c r="AZ8" s="53">
        <f>+'자금수지(FS)_작성시트'!BH228</f>
        <v>0</v>
      </c>
      <c r="BA8" s="53">
        <f>+'자금수지(FS)_작성시트'!BI228</f>
        <v>0</v>
      </c>
      <c r="BB8" s="53">
        <f>+'자금수지(FS)_작성시트'!BJ228</f>
        <v>0</v>
      </c>
      <c r="BC8" s="53">
        <f>+'자금수지(FS)_작성시트'!BK228</f>
        <v>0</v>
      </c>
      <c r="BD8" s="53">
        <f>+'자금수지(FS)_작성시트'!BL228</f>
        <v>0</v>
      </c>
      <c r="BE8" s="53">
        <f>+'자금수지(FS)_작성시트'!BM228</f>
        <v>0</v>
      </c>
      <c r="BF8" s="53">
        <f>+'자금수지(FS)_작성시트'!BN228</f>
        <v>0</v>
      </c>
      <c r="BG8" s="53">
        <f>+'자금수지(FS)_작성시트'!BO228</f>
        <v>0</v>
      </c>
      <c r="BH8" s="53">
        <f>+'자금수지(FS)_작성시트'!BP228</f>
        <v>0</v>
      </c>
      <c r="BI8" s="53">
        <f>+'자금수지(FS)_작성시트'!BQ228</f>
        <v>0</v>
      </c>
      <c r="BJ8" s="53">
        <f>+'자금수지(FS)_작성시트'!BR228</f>
        <v>0</v>
      </c>
      <c r="BK8" s="53">
        <f>+'자금수지(FS)_작성시트'!BT228</f>
        <v>0</v>
      </c>
      <c r="BL8" s="53">
        <f>+'자금수지(FS)_작성시트'!BU228</f>
        <v>0</v>
      </c>
      <c r="BM8" s="53">
        <f>+'자금수지(FS)_작성시트'!BV228</f>
        <v>0</v>
      </c>
      <c r="BN8" s="53">
        <f>+'자금수지(FS)_작성시트'!BW228</f>
        <v>0</v>
      </c>
      <c r="BO8" s="53">
        <f>+'자금수지(FS)_작성시트'!BX228</f>
        <v>0</v>
      </c>
      <c r="BP8" s="53">
        <f>+'자금수지(FS)_작성시트'!BY228</f>
        <v>0</v>
      </c>
      <c r="BQ8" s="53">
        <f>+'자금수지(FS)_작성시트'!BZ228</f>
        <v>0</v>
      </c>
      <c r="BR8" s="53">
        <f>+'자금수지(FS)_작성시트'!CA228</f>
        <v>0</v>
      </c>
      <c r="BS8" s="53">
        <f>+'자금수지(FS)_작성시트'!CB228</f>
        <v>0</v>
      </c>
      <c r="BT8" s="53">
        <f>+'자금수지(FS)_작성시트'!CC228</f>
        <v>0</v>
      </c>
      <c r="BU8" s="53">
        <f>+'자금수지(FS)_작성시트'!CD228</f>
        <v>0</v>
      </c>
      <c r="BV8" s="53">
        <f>+'자금수지(FS)_작성시트'!CE228</f>
        <v>0</v>
      </c>
      <c r="BW8" s="53">
        <f>+'자금수지(FS)_작성시트'!CG228</f>
        <v>0</v>
      </c>
      <c r="BX8" s="53">
        <f>+'자금수지(FS)_작성시트'!CH228</f>
        <v>0</v>
      </c>
      <c r="BY8" s="53">
        <f>+'자금수지(FS)_작성시트'!CI228</f>
        <v>0</v>
      </c>
      <c r="BZ8" s="53">
        <f>+'자금수지(FS)_작성시트'!CJ228</f>
        <v>0</v>
      </c>
      <c r="CA8" s="53">
        <f>+'자금수지(FS)_작성시트'!CK228</f>
        <v>0</v>
      </c>
      <c r="CB8" s="53">
        <f>+'자금수지(FS)_작성시트'!CL228</f>
        <v>0</v>
      </c>
      <c r="CC8" s="53">
        <f>+'자금수지(FS)_작성시트'!CM228</f>
        <v>0</v>
      </c>
      <c r="CD8" s="53">
        <f>+'자금수지(FS)_작성시트'!CN228</f>
        <v>0</v>
      </c>
      <c r="CE8" s="53">
        <f>+'자금수지(FS)_작성시트'!CO228</f>
        <v>0</v>
      </c>
      <c r="CF8" s="53">
        <f>+'자금수지(FS)_작성시트'!CP228</f>
        <v>0</v>
      </c>
      <c r="CG8" s="53">
        <f>+'자금수지(FS)_작성시트'!CQ228</f>
        <v>0</v>
      </c>
      <c r="CH8" s="53">
        <f>+'자금수지(FS)_작성시트'!CR228</f>
        <v>0</v>
      </c>
    </row>
    <row r="9" spans="1:86">
      <c r="A9" s="622"/>
      <c r="B9" s="59" t="s">
        <v>7</v>
      </c>
      <c r="C9" s="53">
        <f>+'자금수지(FS)_작성시트'!G231+'자금수지(FS)_작성시트'!G234+'자금수지(FS)_작성시트'!G237+'자금수지(FS)_작성시트'!G240</f>
        <v>267</v>
      </c>
      <c r="D9" s="53">
        <f>+'자금수지(FS)_작성시트'!H231+'자금수지(FS)_작성시트'!H234+'자금수지(FS)_작성시트'!H237+'자금수지(FS)_작성시트'!H240</f>
        <v>30</v>
      </c>
      <c r="E9" s="53">
        <f>+'자금수지(FS)_작성시트'!I231+'자금수지(FS)_작성시트'!I234+'자금수지(FS)_작성시트'!I237+'자금수지(FS)_작성시트'!I240</f>
        <v>31.690435910652898</v>
      </c>
      <c r="F9" s="53">
        <f>+'자금수지(FS)_작성시트'!J231+'자금수지(FS)_작성시트'!J234+'자금수지(FS)_작성시트'!J237+'자금수지(FS)_작성시트'!J240</f>
        <v>30.818565921787702</v>
      </c>
      <c r="G9" s="53">
        <f>+'자금수지(FS)_작성시트'!K231+'자금수지(FS)_작성시트'!K234+'자금수지(FS)_작성시트'!K237+'자금수지(FS)_작성시트'!K240</f>
        <v>27.487747982832619</v>
      </c>
      <c r="H9" s="53">
        <f>+'자금수지(FS)_작성시트'!L231+'자금수지(FS)_작성시트'!L234+'자금수지(FS)_작성시트'!L237+'자금수지(FS)_작성시트'!L240</f>
        <v>23.602976832656552</v>
      </c>
      <c r="I9" s="53">
        <f>+'자금수지(FS)_작성시트'!M231+'자금수지(FS)_작성시트'!M234+'자금수지(FS)_작성시트'!M237+'자금수지(FS)_작성시트'!M240</f>
        <v>725.21884549904235</v>
      </c>
      <c r="J9" s="53">
        <f>+'자금수지(FS)_작성시트'!N231+'자금수지(FS)_작성시트'!N234+'자금수지(FS)_작성시트'!N237+'자금수지(FS)_작성시트'!N240</f>
        <v>31.23327056113903</v>
      </c>
      <c r="K9" s="53">
        <f>+'자금수지(FS)_작성시트'!O231+'자금수지(FS)_작성시트'!O234+'자금수지(FS)_작성시트'!O237+'자금수지(FS)_작성시트'!O240</f>
        <v>15.518960995850623</v>
      </c>
      <c r="L9" s="53">
        <f>+'자금수지(FS)_작성시트'!P231+'자금수지(FS)_작성시트'!P234+'자금수지(FS)_작성시트'!P237+'자금수지(FS)_작성시트'!P240</f>
        <v>142.02183032416909</v>
      </c>
      <c r="M9" s="53">
        <f>+'자금수지(FS)_작성시트'!Q231+'자금수지(FS)_작성시트'!Q234+'자금수지(FS)_작성시트'!Q237+'자금수지(FS)_작성시트'!Q240</f>
        <v>58.7377421686747</v>
      </c>
      <c r="N9" s="69">
        <f>+'자금수지(FS)_작성시트'!R231+'자금수지(FS)_작성시트'!R234+'자금수지(FS)_작성시트'!R237+'자금수지(FS)_작성시트'!R240</f>
        <v>75.648699522248137</v>
      </c>
      <c r="O9" s="53">
        <f>+'자금수지(FS)_작성시트'!T231+'자금수지(FS)_작성시트'!T234+'자금수지(FS)_작성시트'!T237+'자금수지(FS)_작성시트'!T240+'자금수지(FS)_작성시트'!T243</f>
        <v>190.97098720858264</v>
      </c>
      <c r="P9" s="53">
        <f>+'자금수지(FS)_작성시트'!U231+'자금수지(FS)_작성시트'!U234+'자금수지(FS)_작성시트'!U237+'자금수지(FS)_작성시트'!U240+'자금수지(FS)_작성시트'!U243</f>
        <v>90.248600817661497</v>
      </c>
      <c r="Q9" s="53">
        <f>+'자금수지(FS)_작성시트'!V231+'자금수지(FS)_작성시트'!V234+'자금수지(FS)_작성시트'!V237+'자금수지(FS)_작성시트'!V240+'자금수지(FS)_작성시트'!V243</f>
        <v>20.484453371242889</v>
      </c>
      <c r="R9" s="53">
        <f>+'자금수지(FS)_작성시트'!W231+'자금수지(FS)_작성시트'!W234+'자금수지(FS)_작성시트'!W237+'자금수지(FS)_작성시트'!W240+'자금수지(FS)_작성시트'!W243</f>
        <v>19.163516164950092</v>
      </c>
      <c r="S9" s="53">
        <f>+'자금수지(FS)_작성시트'!X231+'자금수지(FS)_작성시트'!X234+'자금수지(FS)_작성시트'!X237+'자금수지(FS)_작성시트'!X240+'자금수지(FS)_작성시트'!X243</f>
        <v>329.98395494174531</v>
      </c>
      <c r="T9" s="53">
        <f>+'자금수지(FS)_작성시트'!Y231+'자금수지(FS)_작성시트'!Y234+'자금수지(FS)_작성시트'!Y237+'자금수지(FS)_작성시트'!Y240+'자금수지(FS)_작성시트'!Y243</f>
        <v>21.484912230008867</v>
      </c>
      <c r="U9" s="53">
        <f>+'자금수지(FS)_작성시트'!Z231+'자금수지(FS)_작성시트'!Z234+'자금수지(FS)_작성시트'!Z237+'자금수지(FS)_작성시트'!Z240+'자금수지(FS)_작성시트'!Z243</f>
        <v>80973.546918275417</v>
      </c>
      <c r="V9" s="53">
        <f>+'자금수지(FS)_작성시트'!AA231+'자금수지(FS)_작성시트'!AA234+'자금수지(FS)_작성시트'!AA237+'자금수지(FS)_작성시트'!AA240+'자금수지(FS)_작성시트'!AA243</f>
        <v>1222.261398771665</v>
      </c>
      <c r="W9" s="53">
        <f>+'자금수지(FS)_작성시트'!AB231+'자금수지(FS)_작성시트'!AB234+'자금수지(FS)_작성시트'!AB237+'자금수지(FS)_작성시트'!AB240+'자금수지(FS)_작성시트'!AB243</f>
        <v>1332.7324838233703</v>
      </c>
      <c r="X9" s="53">
        <f>+'자금수지(FS)_작성시트'!AC231+'자금수지(FS)_작성시트'!AC234+'자금수지(FS)_작성시트'!AC237+'자금수지(FS)_작성시트'!AC240+'자금수지(FS)_작성시트'!AC243</f>
        <v>93.095477678041831</v>
      </c>
      <c r="Y9" s="53">
        <f>+'자금수지(FS)_작성시트'!AD231+'자금수지(FS)_작성시트'!AD234+'자금수지(FS)_작성시트'!AD237+'자금수지(FS)_작성시트'!AD240+'자금수지(FS)_작성시트'!AD243</f>
        <v>354.9658781843994</v>
      </c>
      <c r="Z9" s="53">
        <f>+'자금수지(FS)_작성시트'!AE231+'자금수지(FS)_작성시트'!AE234+'자금수지(FS)_작성시트'!AE237+'자금수지(FS)_작성시트'!AE240+'자금수지(FS)_작성시트'!AE243</f>
        <v>94.16111857754052</v>
      </c>
      <c r="AA9" s="53">
        <f>+'자금수지(FS)_작성시트'!AG231+'자금수지(FS)_작성시트'!AG234+'자금수지(FS)_작성시트'!AG237+'자금수지(FS)_작성시트'!AG240+'자금수지(FS)_작성시트'!AG243</f>
        <v>2329.1353527564684</v>
      </c>
      <c r="AB9" s="53">
        <f>+'자금수지(FS)_작성시트'!AH231+'자금수지(FS)_작성시트'!AH234+'자금수지(FS)_작성시트'!AH237+'자금수지(FS)_작성시트'!AH240+'자금수지(FS)_작성시트'!AH243</f>
        <v>112.49558687561215</v>
      </c>
      <c r="AC9" s="53">
        <f>+'자금수지(FS)_작성시트'!AI231+'자금수지(FS)_작성시트'!AI234+'자금수지(FS)_작성시트'!AI237+'자금수지(FS)_작성시트'!AI240+'자금수지(FS)_작성시트'!AI243</f>
        <v>167.16807505958661</v>
      </c>
      <c r="AD9" s="53">
        <f>+'자금수지(FS)_작성시트'!AJ231+'자금수지(FS)_작성시트'!AJ234+'자금수지(FS)_작성시트'!AJ237+'자금수지(FS)_작성시트'!AJ240+'자금수지(FS)_작성시트'!AJ243</f>
        <v>112.25162983892668</v>
      </c>
      <c r="AE9" s="53">
        <f>+'자금수지(FS)_작성시트'!AK231+'자금수지(FS)_작성시트'!AK234+'자금수지(FS)_작성시트'!AK237+'자금수지(FS)_작성시트'!AK240+'자금수지(FS)_작성시트'!AK243</f>
        <v>2612.5066700749567</v>
      </c>
      <c r="AF9" s="53">
        <f>+'자금수지(FS)_작성시트'!AL231+'자금수지(FS)_작성시트'!AL234+'자금수지(FS)_작성시트'!AL237+'자금수지(FS)_작성시트'!AL240+'자금수지(FS)_작성시트'!AL243</f>
        <v>956.27385133218297</v>
      </c>
      <c r="AG9" s="53">
        <f>+'자금수지(FS)_작성시트'!AM231+'자금수지(FS)_작성시트'!AM234+'자금수지(FS)_작성시트'!AM237+'자금수지(FS)_작성시트'!AM240+'자금수지(FS)_작성시트'!AM243</f>
        <v>704.82279309686521</v>
      </c>
      <c r="AH9" s="53">
        <f>+'자금수지(FS)_작성시트'!AN231+'자금수지(FS)_작성시트'!AN234+'자금수지(FS)_작성시트'!AN237+'자금수지(FS)_작성시트'!AN240+'자금수지(FS)_작성시트'!AN243</f>
        <v>1519.5043554680101</v>
      </c>
      <c r="AI9" s="53">
        <f>+'자금수지(FS)_작성시트'!AO231+'자금수지(FS)_작성시트'!AO234+'자금수지(FS)_작성시트'!AO237+'자금수지(FS)_작성시트'!AO240+'자금수지(FS)_작성시트'!AO243</f>
        <v>559.03744457908897</v>
      </c>
      <c r="AJ9" s="53">
        <f>+'자금수지(FS)_작성시트'!AP231+'자금수지(FS)_작성시트'!AP234+'자금수지(FS)_작성시트'!AP237+'자금수지(FS)_작성시트'!AP240+'자금수지(FS)_작성시트'!AP243</f>
        <v>734.00783679957067</v>
      </c>
      <c r="AK9" s="53">
        <f>+'자금수지(FS)_작성시트'!AQ231+'자금수지(FS)_작성시트'!AQ234+'자금수지(FS)_작성시트'!AQ237+'자금수지(FS)_작성시트'!AQ240+'자금수지(FS)_작성시트'!AQ243</f>
        <v>770.68786500208387</v>
      </c>
      <c r="AL9" s="53">
        <f>+'자금수지(FS)_작성시트'!AR231+'자금수지(FS)_작성시트'!AR234+'자금수지(FS)_작성시트'!AR237+'자금수지(FS)_작성시트'!AR240+'자금수지(FS)_작성시트'!AR243</f>
        <v>4420.0203741250816</v>
      </c>
      <c r="AM9" s="53">
        <f>+'자금수지(FS)_작성시트'!AT231+'자금수지(FS)_작성시트'!AT234+'자금수지(FS)_작성시트'!AT237+'자금수지(FS)_작성시트'!AT240+'자금수지(FS)_작성시트'!AT243</f>
        <v>1019.9235519575764</v>
      </c>
      <c r="AN9" s="53">
        <f>+'자금수지(FS)_작성시트'!AU231+'자금수지(FS)_작성시트'!AU234+'자금수지(FS)_작성시트'!AU237+'자금수지(FS)_작성시트'!AU240+'자금수지(FS)_작성시트'!AU243</f>
        <v>270.22288075891146</v>
      </c>
      <c r="AO9" s="53">
        <f>+'자금수지(FS)_작성시트'!AV231+'자금수지(FS)_작성시트'!AV234+'자금수지(FS)_작성시트'!AV237+'자금수지(FS)_작성시트'!AV240+'자금수지(FS)_작성시트'!AV243</f>
        <v>520.04505089888494</v>
      </c>
      <c r="AP9" s="53">
        <f>+'자금수지(FS)_작성시트'!AW231+'자금수지(FS)_작성시트'!AW234+'자금수지(FS)_작성시트'!AW237+'자금수지(FS)_작성시트'!AW240+'자금수지(FS)_작성시트'!AW243</f>
        <v>301.55649846352298</v>
      </c>
      <c r="AQ9" s="53">
        <f>+'자금수지(FS)_작성시트'!AX231+'자금수지(FS)_작성시트'!AX234+'자금수지(FS)_작성시트'!AX237+'자금수지(FS)_작성시트'!AX240+'자금수지(FS)_작성시트'!AX243</f>
        <v>285.33103975336428</v>
      </c>
      <c r="AR9" s="53">
        <f>+'자금수지(FS)_작성시트'!AY231+'자금수지(FS)_작성시트'!AY234+'자금수지(FS)_작성시트'!AY237+'자금수지(FS)_작성시트'!AY240+'자금수지(FS)_작성시트'!AY243</f>
        <v>516.78927013640839</v>
      </c>
      <c r="AS9" s="53">
        <f>+'자금수지(FS)_작성시트'!AZ231+'자금수지(FS)_작성시트'!AZ234+'자금수지(FS)_작성시트'!AZ237+'자금수지(FS)_작성시트'!AZ240+'자금수지(FS)_작성시트'!AZ243</f>
        <v>222.90329023932296</v>
      </c>
      <c r="AT9" s="53">
        <f>+'자금수지(FS)_작성시트'!BA231+'자금수지(FS)_작성시트'!BA234+'자금수지(FS)_작성시트'!BA237+'자금수지(FS)_작성시트'!BA240+'자금수지(FS)_작성시트'!BA243</f>
        <v>125.00048659320299</v>
      </c>
      <c r="AU9" s="53">
        <f>+'자금수지(FS)_작성시트'!BB231+'자금수지(FS)_작성시트'!BB234+'자금수지(FS)_작성시트'!BB237+'자금수지(FS)_작성시트'!BB240+'자금수지(FS)_작성시트'!BB243</f>
        <v>120.77965033895406</v>
      </c>
      <c r="AV9" s="53">
        <f>+'자금수지(FS)_작성시트'!BC231+'자금수지(FS)_작성시트'!BC234+'자금수지(FS)_작성시트'!BC237+'자금수지(FS)_작성시트'!BC240+'자금수지(FS)_작성시트'!BC243</f>
        <v>86.957883017650047</v>
      </c>
      <c r="AW9" s="53">
        <f>+'자금수지(FS)_작성시트'!BD231+'자금수지(FS)_작성시트'!BD234+'자금수지(FS)_작성시트'!BD237+'자금수지(FS)_작성시트'!BD240+'자금수지(FS)_작성시트'!BD243</f>
        <v>82.762901414566997</v>
      </c>
      <c r="AX9" s="53">
        <f>+'자금수지(FS)_작성시트'!BE231+'자금수지(FS)_작성시트'!BE234+'자금수지(FS)_작성시트'!BE237+'자금수지(FS)_작성시트'!BE240+'자금수지(FS)_작성시트'!BE243</f>
        <v>80.760156842386849</v>
      </c>
      <c r="AY9" s="53">
        <f>+'자금수지(FS)_작성시트'!BG231+'자금수지(FS)_작성시트'!BG234+'자금수지(FS)_작성시트'!BG237+'자금수지(FS)_작성시트'!BG240+'자금수지(FS)_작성시트'!BG243</f>
        <v>78.602054231122523</v>
      </c>
      <c r="AZ9" s="53">
        <f>+'자금수지(FS)_작성시트'!BH231+'자금수지(FS)_작성시트'!BH234+'자금수지(FS)_작성시트'!BH237+'자금수지(FS)_작성시트'!BH240+'자금수지(FS)_작성시트'!BH243</f>
        <v>85.312997760720194</v>
      </c>
      <c r="BA9" s="53">
        <f>+'자금수지(FS)_작성시트'!BI231+'자금수지(FS)_작성시트'!BI234+'자금수지(FS)_작성시트'!BI237+'자금수지(FS)_작성시트'!BI240+'자금수지(FS)_작성시트'!BI243</f>
        <v>60.30095134104824</v>
      </c>
      <c r="BB9" s="53">
        <f>+'자금수지(FS)_작성시트'!BJ231+'자금수지(FS)_작성시트'!BJ234+'자금수지(FS)_작성시트'!BJ237+'자금수지(FS)_작성시트'!BJ240+'자금수지(FS)_작성시트'!BJ243</f>
        <v>46.440335522193628</v>
      </c>
      <c r="BC9" s="53">
        <f>+'자금수지(FS)_작성시트'!BK231+'자금수지(FS)_작성시트'!BK234+'자금수지(FS)_작성시트'!BK237+'자금수지(FS)_작성시트'!BK240+'자금수지(FS)_작성시트'!BK243</f>
        <v>65.658878662043577</v>
      </c>
      <c r="BD9" s="53">
        <f>+'자금수지(FS)_작성시트'!BL231+'자금수지(FS)_작성시트'!BL234+'자금수지(FS)_작성시트'!BL237+'자금수지(FS)_작성시트'!BL240+'자금수지(FS)_작성시트'!BL243</f>
        <v>56.069618240378126</v>
      </c>
      <c r="BE9" s="53">
        <f>+'자금수지(FS)_작성시트'!BM231+'자금수지(FS)_작성시트'!BM234+'자금수지(FS)_작성시트'!BM237+'자금수지(FS)_작성시트'!BM240+'자금수지(FS)_작성시트'!BM243</f>
        <v>53.086343659099761</v>
      </c>
      <c r="BF9" s="53">
        <f>+'자금수지(FS)_작성시트'!BN231+'자금수지(FS)_작성시트'!BN234+'자금수지(FS)_작성시트'!BN237+'자금수지(FS)_작성시트'!BN240+'자금수지(FS)_작성시트'!BN243</f>
        <v>65.428230797121088</v>
      </c>
      <c r="BG9" s="53">
        <f>+'자금수지(FS)_작성시트'!BO231+'자금수지(FS)_작성시트'!BO234+'자금수지(FS)_작성시트'!BO237+'자금수지(FS)_작성시트'!BO240+'자금수지(FS)_작성시트'!BO243</f>
        <v>66.984853058514815</v>
      </c>
      <c r="BH9" s="53">
        <f>+'자금수지(FS)_작성시트'!BP231+'자금수지(FS)_작성시트'!BP234+'자금수지(FS)_작성시트'!BP237+'자금수지(FS)_작성시트'!BP240+'자금수지(FS)_작성시트'!BP243</f>
        <v>47.734713985102978</v>
      </c>
      <c r="BI9" s="53">
        <f>+'자금수지(FS)_작성시트'!BQ231+'자금수지(FS)_작성시트'!BQ234+'자금수지(FS)_작성시트'!BQ237+'자금수지(FS)_작성시트'!BQ240+'자금수지(FS)_작성시트'!BQ243</f>
        <v>37.948018226860043</v>
      </c>
      <c r="BJ9" s="53">
        <f>+'자금수지(FS)_작성시트'!BR231+'자금수지(FS)_작성시트'!BR234+'자금수지(FS)_작성시트'!BR237+'자금수지(FS)_작성시트'!BR240+'자금수지(FS)_작성시트'!BR243</f>
        <v>48.072189229026925</v>
      </c>
      <c r="BK9" s="53">
        <f>+'자금수지(FS)_작성시트'!BT231+'자금수지(FS)_작성시트'!BT234+'자금수지(FS)_작성시트'!BT237+'자금수지(FS)_작성시트'!BT240+'자금수지(FS)_작성시트'!BT243</f>
        <v>67.544561703572256</v>
      </c>
      <c r="BL9" s="53">
        <f>+'자금수지(FS)_작성시트'!BU231+'자금수지(FS)_작성시트'!BU234+'자금수지(FS)_작성시트'!BU237+'자금수지(FS)_작성시트'!BU240+'자금수지(FS)_작성시트'!BU243</f>
        <v>86.597091013915573</v>
      </c>
      <c r="BM9" s="53">
        <f>+'자금수지(FS)_작성시트'!BV231+'자금수지(FS)_작성시트'!BV234+'자금수지(FS)_작성시트'!BV237+'자금수지(FS)_작성시트'!BV240+'자금수지(FS)_작성시트'!BV243</f>
        <v>96.698085840605756</v>
      </c>
      <c r="BN9" s="53">
        <f>+'자금수지(FS)_작성시트'!BW231+'자금수지(FS)_작성시트'!BW234+'자금수지(FS)_작성시트'!BW237+'자금수지(FS)_작성시트'!BW240+'자금수지(FS)_작성시트'!BW243</f>
        <v>88.690886768740071</v>
      </c>
      <c r="BO9" s="53">
        <f>+'자금수지(FS)_작성시트'!BX231+'자금수지(FS)_작성시트'!BX234+'자금수지(FS)_작성시트'!BX237+'자금수지(FS)_작성시트'!BX240+'자금수지(FS)_작성시트'!BX243</f>
        <v>80.34268326861438</v>
      </c>
      <c r="BP9" s="53">
        <f>+'자금수지(FS)_작성시트'!BY231+'자금수지(FS)_작성시트'!BY234+'자금수지(FS)_작성시트'!BY237+'자금수지(FS)_작성시트'!BY240+'자금수지(FS)_작성시트'!BY243</f>
        <v>83.596186057221402</v>
      </c>
      <c r="BQ9" s="53">
        <f>+'자금수지(FS)_작성시트'!BZ231+'자금수지(FS)_작성시트'!BZ234+'자금수지(FS)_작성시트'!BZ237+'자금수지(FS)_작성시트'!BZ240+'자금수지(FS)_작성시트'!BZ243-BQ6</f>
        <v>4254.1459096000144</v>
      </c>
      <c r="BR9" s="53">
        <f>+'자금수지(FS)_작성시트'!CA231+'자금수지(FS)_작성시트'!CA234+'자금수지(FS)_작성시트'!CA237+'자금수지(FS)_작성시트'!CA240+'자금수지(FS)_작성시트'!CA243</f>
        <v>164.58168548790002</v>
      </c>
      <c r="BS9" s="53">
        <f>+'자금수지(FS)_작성시트'!CB231+'자금수지(FS)_작성시트'!CB234+'자금수지(FS)_작성시트'!CB237+'자금수지(FS)_작성시트'!CB240+'자금수지(FS)_작성시트'!CB243</f>
        <v>129.24149458248033</v>
      </c>
      <c r="BT9" s="53">
        <f>+'자금수지(FS)_작성시트'!CC231+'자금수지(FS)_작성시트'!CC234+'자금수지(FS)_작성시트'!CC237+'자금수지(FS)_작성시트'!CC240+'자금수지(FS)_작성시트'!CC243</f>
        <v>133.89553615642259</v>
      </c>
      <c r="BU9" s="53">
        <f>+'자금수지(FS)_작성시트'!CD231+'자금수지(FS)_작성시트'!CD234+'자금수지(FS)_작성시트'!CD237+'자금수지(FS)_작성시트'!CD240+'자금수지(FS)_작성시트'!CD243</f>
        <v>127.5793786611182</v>
      </c>
      <c r="BV9" s="53">
        <f>+'자금수지(FS)_작성시트'!CE231+'자금수지(FS)_작성시트'!CE234+'자금수지(FS)_작성시트'!CE237+'자금수지(FS)_작성시트'!CE240+'자금수지(FS)_작성시트'!CE243</f>
        <v>132.52427740369862</v>
      </c>
      <c r="BW9" s="53">
        <f>+'자금수지(FS)_작성시트'!CG231+'자금수지(FS)_작성시트'!CG234+'자금수지(FS)_작성시트'!CG237+'자금수지(FS)_작성시트'!CG240+'자금수지(FS)_작성시트'!CG243</f>
        <v>139.71032553465503</v>
      </c>
      <c r="BX9" s="53">
        <f>+'자금수지(FS)_작성시트'!CH231+'자금수지(FS)_작성시트'!CH234+'자금수지(FS)_작성시트'!CH237+'자금수지(FS)_작성시트'!CH240+'자금수지(FS)_작성시트'!CH243</f>
        <v>145.04156577312625</v>
      </c>
      <c r="BY9" s="53">
        <f>+'자금수지(FS)_작성시트'!CI231+'자금수지(FS)_작성시트'!CI234+'자금수지(FS)_작성시트'!CI237+'자금수지(FS)_작성시트'!CI240+'자금수지(FS)_작성시트'!CI243</f>
        <v>127.87078966584552</v>
      </c>
      <c r="BZ9" s="53">
        <f>+'자금수지(FS)_작성시트'!CJ231+'자금수지(FS)_작성시트'!CJ234+'자금수지(FS)_작성시트'!CJ237+'자금수지(FS)_작성시트'!CJ240+'자금수지(FS)_작성시트'!CJ243</f>
        <v>128.34197678562748</v>
      </c>
      <c r="CA9" s="53">
        <f>+'자금수지(FS)_작성시트'!CK231+'자금수지(FS)_작성시트'!CK234+'자금수지(FS)_작성시트'!CK237+'자금수지(FS)_작성시트'!CK240+'자금수지(FS)_작성시트'!CK243</f>
        <v>133.86902118450283</v>
      </c>
      <c r="CB9" s="53">
        <f>+'자금수지(FS)_작성시트'!CL231+'자금수지(FS)_작성시트'!CL234+'자금수지(FS)_작성시트'!CL237+'자금수지(FS)_작성시트'!CL240+'자금수지(FS)_작성시트'!CL243</f>
        <v>140.2951666704902</v>
      </c>
      <c r="CC9" s="53">
        <f>+'자금수지(FS)_작성시트'!CM231+'자금수지(FS)_작성시트'!CM234+'자금수지(FS)_작성시트'!CM237+'자금수지(FS)_작성시트'!CM240+'자금수지(FS)_작성시트'!CM243</f>
        <v>113.5796022561276</v>
      </c>
      <c r="CD9" s="53">
        <f>+'자금수지(FS)_작성시트'!CN231+'자금수지(FS)_작성시트'!CN234+'자금수지(FS)_작성시트'!CN237+'자금수지(FS)_작성시트'!CN240+'자금수지(FS)_작성시트'!CN243</f>
        <v>120.01036157919953</v>
      </c>
      <c r="CE9" s="53">
        <f>+'자금수지(FS)_작성시트'!CO231+'자금수지(FS)_작성시트'!CO234+'자금수지(FS)_작성시트'!CO237+'자금수지(FS)_작성시트'!CO240+'자금수지(FS)_작성시트'!CO243</f>
        <v>125.93997994602864</v>
      </c>
      <c r="CF9" s="53">
        <f>+'자금수지(FS)_작성시트'!CP231+'자금수지(FS)_작성시트'!CP234+'자금수지(FS)_작성시트'!CP237+'자금수지(FS)_작성시트'!CP240+'자금수지(FS)_작성시트'!CP243</f>
        <v>132.39254503524253</v>
      </c>
      <c r="CG9" s="53">
        <f>+'자금수지(FS)_작성시트'!CQ231+'자금수지(FS)_작성시트'!CQ234+'자금수지(FS)_작성시트'!CQ237+'자금수지(FS)_작성시트'!CQ240+'자금수지(FS)_작성시트'!CQ243</f>
        <v>115.05694204392989</v>
      </c>
      <c r="CH9" s="53">
        <f>+'자금수지(FS)_작성시트'!CR231+'자금수지(FS)_작성시트'!CR234+'자금수지(FS)_작성시트'!CR237+'자금수지(FS)_작성시트'!CR240+'자금수지(FS)_작성시트'!CR243</f>
        <v>118.43411884624096</v>
      </c>
    </row>
    <row r="10" spans="1:86">
      <c r="A10" s="622"/>
      <c r="B10" s="60" t="s">
        <v>8</v>
      </c>
      <c r="C10" s="52">
        <f>SUM(C5:C9)</f>
        <v>2677.7997037403265</v>
      </c>
      <c r="D10" s="52">
        <f t="shared" ref="D10:AX10" si="0">SUM(D5:D9)</f>
        <v>2615.0402174300257</v>
      </c>
      <c r="E10" s="52">
        <f t="shared" si="0"/>
        <v>1675.5555019759454</v>
      </c>
      <c r="F10" s="52">
        <f t="shared" si="0"/>
        <v>1126.4084969488611</v>
      </c>
      <c r="G10" s="52">
        <f t="shared" si="0"/>
        <v>966.26991278969956</v>
      </c>
      <c r="H10" s="52">
        <f t="shared" si="0"/>
        <v>2596.3374659970082</v>
      </c>
      <c r="I10" s="52">
        <f t="shared" si="0"/>
        <v>1834.8533992764417</v>
      </c>
      <c r="J10" s="52">
        <f t="shared" si="0"/>
        <v>671.69645134003349</v>
      </c>
      <c r="K10" s="52">
        <f t="shared" si="0"/>
        <v>840.49343107883828</v>
      </c>
      <c r="L10" s="52">
        <f t="shared" si="0"/>
        <v>998.33843040623719</v>
      </c>
      <c r="M10" s="52">
        <f t="shared" si="0"/>
        <v>25917.667396593268</v>
      </c>
      <c r="N10" s="70">
        <f t="shared" si="0"/>
        <v>3027.3515226407512</v>
      </c>
      <c r="O10" s="52">
        <f t="shared" si="0"/>
        <v>2674.8888883020436</v>
      </c>
      <c r="P10" s="74">
        <f t="shared" si="0"/>
        <v>1250.9192351594445</v>
      </c>
      <c r="Q10" s="52">
        <f t="shared" si="0"/>
        <v>630.75853708367185</v>
      </c>
      <c r="R10" s="52">
        <f t="shared" si="0"/>
        <v>751.06608991132146</v>
      </c>
      <c r="S10" s="52">
        <f t="shared" si="0"/>
        <v>979.58283375604344</v>
      </c>
      <c r="T10" s="52">
        <f t="shared" si="0"/>
        <v>870.77341038718396</v>
      </c>
      <c r="U10" s="52">
        <f t="shared" si="0"/>
        <v>82183.552681056841</v>
      </c>
      <c r="V10" s="52">
        <f t="shared" si="0"/>
        <v>3022.8541470625041</v>
      </c>
      <c r="W10" s="52">
        <f t="shared" si="0"/>
        <v>2100.1870704028415</v>
      </c>
      <c r="X10" s="52">
        <f t="shared" si="0"/>
        <v>889.85455411443695</v>
      </c>
      <c r="Y10" s="52">
        <f t="shared" si="0"/>
        <v>5232.813603754239</v>
      </c>
      <c r="Z10" s="52">
        <f t="shared" si="0"/>
        <v>32288.238354084075</v>
      </c>
      <c r="AA10" s="52">
        <f t="shared" si="0"/>
        <v>7637.3545343754631</v>
      </c>
      <c r="AB10" s="52">
        <f t="shared" si="0"/>
        <v>1121.965990519099</v>
      </c>
      <c r="AC10" s="52">
        <f t="shared" si="0"/>
        <v>1504.6778783651775</v>
      </c>
      <c r="AD10" s="52">
        <f t="shared" si="0"/>
        <v>2940.5260300618925</v>
      </c>
      <c r="AE10" s="52">
        <f t="shared" si="0"/>
        <v>6945.4100435133578</v>
      </c>
      <c r="AF10" s="52">
        <f t="shared" si="0"/>
        <v>4284.5850168295901</v>
      </c>
      <c r="AG10" s="52">
        <f t="shared" si="0"/>
        <v>3932.7400236340727</v>
      </c>
      <c r="AH10" s="52">
        <f t="shared" si="0"/>
        <v>5842.5377774915723</v>
      </c>
      <c r="AI10" s="52">
        <f t="shared" si="0"/>
        <v>2753.5817329117281</v>
      </c>
      <c r="AJ10" s="52">
        <f t="shared" si="0"/>
        <v>2402.3350214652492</v>
      </c>
      <c r="AK10" s="52">
        <f t="shared" si="0"/>
        <v>4061.4160732012278</v>
      </c>
      <c r="AL10" s="52">
        <f t="shared" si="0"/>
        <v>17470.799988622795</v>
      </c>
      <c r="AM10" s="52">
        <f t="shared" si="0"/>
        <v>14495.383319972041</v>
      </c>
      <c r="AN10" s="52">
        <f t="shared" si="0"/>
        <v>8643.2452920659252</v>
      </c>
      <c r="AO10" s="52">
        <f t="shared" si="0"/>
        <v>4751.7529498975964</v>
      </c>
      <c r="AP10" s="52">
        <f t="shared" si="0"/>
        <v>5022.1657224477403</v>
      </c>
      <c r="AQ10" s="52">
        <f t="shared" si="0"/>
        <v>351.3211525738771</v>
      </c>
      <c r="AR10" s="52">
        <f t="shared" si="0"/>
        <v>2505.8723165914562</v>
      </c>
      <c r="AS10" s="52">
        <f t="shared" si="0"/>
        <v>362.30329023932296</v>
      </c>
      <c r="AT10" s="52">
        <f t="shared" si="0"/>
        <v>6961.1229691683275</v>
      </c>
      <c r="AU10" s="52">
        <f t="shared" si="0"/>
        <v>5969.7947501428926</v>
      </c>
      <c r="AV10" s="52">
        <f t="shared" si="0"/>
        <v>7694.7841807587001</v>
      </c>
      <c r="AW10" s="52">
        <f t="shared" si="0"/>
        <v>13200.780885560713</v>
      </c>
      <c r="AX10" s="52">
        <f t="shared" si="0"/>
        <v>16429.105946004329</v>
      </c>
      <c r="AY10" s="52">
        <f t="shared" ref="AY10:BJ10" si="1">SUM(AY5:AY9)</f>
        <v>18317.501816353819</v>
      </c>
      <c r="AZ10" s="52">
        <f t="shared" si="1"/>
        <v>15030.444270606862</v>
      </c>
      <c r="BA10" s="52">
        <f t="shared" si="1"/>
        <v>17925.859827437667</v>
      </c>
      <c r="BB10" s="52">
        <f t="shared" si="1"/>
        <v>34220.400392771495</v>
      </c>
      <c r="BC10" s="52">
        <f t="shared" si="1"/>
        <v>24531.567115224665</v>
      </c>
      <c r="BD10" s="52">
        <f t="shared" si="1"/>
        <v>26869.239262602758</v>
      </c>
      <c r="BE10" s="52">
        <f t="shared" si="1"/>
        <v>104908.18184690546</v>
      </c>
      <c r="BF10" s="52">
        <f t="shared" si="1"/>
        <v>26330.840725815538</v>
      </c>
      <c r="BG10" s="52">
        <f t="shared" si="1"/>
        <v>27038.190906641958</v>
      </c>
      <c r="BH10" s="52">
        <f t="shared" si="1"/>
        <v>24210.739417724748</v>
      </c>
      <c r="BI10" s="52">
        <f t="shared" si="1"/>
        <v>27899.206762922237</v>
      </c>
      <c r="BJ10" s="52">
        <f t="shared" si="1"/>
        <v>31207.898368658047</v>
      </c>
      <c r="BK10" s="52">
        <f t="shared" ref="BK10:BV10" si="2">SUM(BK5:BK9)</f>
        <v>31698.677078359204</v>
      </c>
      <c r="BL10" s="52">
        <f t="shared" si="2"/>
        <v>30231.740541817246</v>
      </c>
      <c r="BM10" s="52">
        <f t="shared" si="2"/>
        <v>26670.106818821667</v>
      </c>
      <c r="BN10" s="52">
        <f t="shared" si="2"/>
        <v>27143.816239091539</v>
      </c>
      <c r="BO10" s="52">
        <f t="shared" si="2"/>
        <v>26318.021647640544</v>
      </c>
      <c r="BP10" s="52">
        <f t="shared" si="2"/>
        <v>26771.810828489928</v>
      </c>
      <c r="BQ10" s="52">
        <f t="shared" si="2"/>
        <v>60109.237303415299</v>
      </c>
      <c r="BR10" s="52">
        <f t="shared" si="2"/>
        <v>28047.893116112777</v>
      </c>
      <c r="BS10" s="52">
        <f t="shared" si="2"/>
        <v>26598.57268329163</v>
      </c>
      <c r="BT10" s="52">
        <f t="shared" si="2"/>
        <v>27334.614340519769</v>
      </c>
      <c r="BU10" s="52">
        <f t="shared" si="2"/>
        <v>27853.994237733652</v>
      </c>
      <c r="BV10" s="52">
        <f t="shared" si="2"/>
        <v>28607.243503229096</v>
      </c>
      <c r="BW10" s="52">
        <f t="shared" ref="BW10" si="3">SUM(BW5:BW9)</f>
        <v>26783.236528343845</v>
      </c>
      <c r="BX10" s="52">
        <f t="shared" ref="BX10:CH10" si="4">SUM(BX5:BX9)</f>
        <v>27652.519486380883</v>
      </c>
      <c r="BY10" s="52">
        <f t="shared" si="4"/>
        <v>28683.647853154172</v>
      </c>
      <c r="BZ10" s="52">
        <f t="shared" si="4"/>
        <v>27535.172451522572</v>
      </c>
      <c r="CA10" s="52">
        <f t="shared" si="4"/>
        <v>28276.979387526379</v>
      </c>
      <c r="CB10" s="52">
        <f t="shared" si="4"/>
        <v>28856.480328960159</v>
      </c>
      <c r="CC10" s="52">
        <f t="shared" si="4"/>
        <v>27157.176152898435</v>
      </c>
      <c r="CD10" s="52">
        <f t="shared" si="4"/>
        <v>24584.798981526736</v>
      </c>
      <c r="CE10" s="52">
        <f t="shared" si="4"/>
        <v>24468.587414212852</v>
      </c>
      <c r="CF10" s="52">
        <f t="shared" si="4"/>
        <v>25943.414035089121</v>
      </c>
      <c r="CG10" s="52">
        <f t="shared" si="4"/>
        <v>15340.409005653446</v>
      </c>
      <c r="CH10" s="52">
        <f t="shared" si="4"/>
        <v>15951.409382838392</v>
      </c>
    </row>
    <row r="11" spans="1:86" ht="17.45" customHeight="1">
      <c r="A11" s="622" t="s">
        <v>9</v>
      </c>
      <c r="B11" s="59" t="s">
        <v>0</v>
      </c>
      <c r="C11" s="53">
        <f>+'자금수지(FS)_작성시트'!G5</f>
        <v>1884.9120027515046</v>
      </c>
      <c r="D11" s="53">
        <f>+'자금수지(FS)_작성시트'!H5</f>
        <v>1585.3505390024525</v>
      </c>
      <c r="E11" s="53">
        <f>+'자금수지(FS)_작성시트'!I5</f>
        <v>2036.3751054553261</v>
      </c>
      <c r="F11" s="53">
        <f>+'자금수지(FS)_작성시트'!J5</f>
        <v>1154.8133418564673</v>
      </c>
      <c r="G11" s="53">
        <f>+'자금수지(FS)_작성시트'!K5</f>
        <v>2062.1812125751076</v>
      </c>
      <c r="H11" s="53">
        <f>+'자금수지(FS)_작성시트'!L5</f>
        <v>1125.7988690745888</v>
      </c>
      <c r="I11" s="53">
        <f>+'자금수지(FS)_작성시트'!M5</f>
        <v>1483.1628414130669</v>
      </c>
      <c r="J11" s="53">
        <f>+'자금수지(FS)_작성시트'!N5</f>
        <v>884.48631561976549</v>
      </c>
      <c r="K11" s="53">
        <f>+'자금수지(FS)_작성시트'!O5</f>
        <v>977.93668809128633</v>
      </c>
      <c r="L11" s="53">
        <f>+'자금수지(FS)_작성시트'!P5</f>
        <v>1360.7161608945426</v>
      </c>
      <c r="M11" s="53">
        <f>+'자금수지(FS)_작성시트'!Q5</f>
        <v>1247.8338005400913</v>
      </c>
      <c r="N11" s="69">
        <f>+'자금수지(FS)_작성시트'!R5</f>
        <v>1552.2888624116426</v>
      </c>
      <c r="O11" s="53">
        <f>+'자금수지(FS)_작성시트'!T5</f>
        <v>2322.1344967608825</v>
      </c>
      <c r="P11" s="261">
        <f>+'자금수지(FS)_작성시트'!U5</f>
        <v>1117.9376727718725</v>
      </c>
      <c r="Q11" s="53">
        <f>+'자금수지(FS)_작성시트'!V5</f>
        <v>955.41010446791233</v>
      </c>
      <c r="R11" s="53">
        <f>+'자금수지(FS)_작성시트'!W5</f>
        <v>975.01553111703208</v>
      </c>
      <c r="S11" s="53">
        <f>+'자금수지(FS)_작성시트'!X5</f>
        <v>1021.295521677102</v>
      </c>
      <c r="T11" s="53">
        <f>+'자금수지(FS)_작성시트'!Y5</f>
        <v>1055.7001639915989</v>
      </c>
      <c r="U11" s="53">
        <f>+'자금수지(FS)_작성시트'!Z5</f>
        <v>1216.6466247459653</v>
      </c>
      <c r="V11" s="53">
        <f>+'자금수지(FS)_작성시트'!AA5</f>
        <v>1250.182130338615</v>
      </c>
      <c r="W11" s="53">
        <f>+'자금수지(FS)_작성시트'!AB5</f>
        <v>1107.0595875543279</v>
      </c>
      <c r="X11" s="53">
        <f>+'자금수지(FS)_작성시트'!AC5</f>
        <v>1428.7886644786272</v>
      </c>
      <c r="Y11" s="53">
        <f>+'자금수지(FS)_작성시트'!AD5</f>
        <v>3613.989787128322</v>
      </c>
      <c r="Z11" s="53">
        <f>+'자금수지(FS)_작성시트'!AE5</f>
        <v>6072.4212318954351</v>
      </c>
      <c r="AA11" s="53">
        <f>+'자금수지(FS)_작성시트'!AG5</f>
        <v>5420.811544179749</v>
      </c>
      <c r="AB11" s="53">
        <f>+'자금수지(FS)_작성시트'!AH5</f>
        <v>1242.4144172771794</v>
      </c>
      <c r="AC11" s="53">
        <f>+'자금수지(FS)_작성시트'!AI5</f>
        <v>1290.7705302231079</v>
      </c>
      <c r="AD11" s="53">
        <f>+'자금수지(FS)_작성시트'!AJ5</f>
        <v>2987.208075231616</v>
      </c>
      <c r="AE11" s="53">
        <f>+'자금수지(FS)_작성시트'!AK5</f>
        <v>3954.8912187968476</v>
      </c>
      <c r="AF11" s="53">
        <f>+'자금수지(FS)_작성시트'!AL5</f>
        <v>3456.3917148169458</v>
      </c>
      <c r="AG11" s="53">
        <f>+'자금수지(FS)_작성시트'!AM5</f>
        <v>2578.3890210759419</v>
      </c>
      <c r="AH11" s="53">
        <f>+'자금수지(FS)_작성시트'!AN5</f>
        <v>2865.3009390507214</v>
      </c>
      <c r="AI11" s="53">
        <f>+'자금수지(FS)_작성시트'!AO5</f>
        <v>2924.0599934487068</v>
      </c>
      <c r="AJ11" s="53">
        <f>+'자금수지(FS)_작성시트'!AP5</f>
        <v>2122.8536548447187</v>
      </c>
      <c r="AK11" s="53">
        <f>+'자금수지(FS)_작성시트'!AQ5</f>
        <v>4094.0278408290073</v>
      </c>
      <c r="AL11" s="53">
        <f>+'자금수지(FS)_작성시트'!AR5</f>
        <v>9966.0626624429206</v>
      </c>
      <c r="AM11" s="53">
        <f>+'자금수지(FS)_작성시트'!AT5</f>
        <v>9911.436309929597</v>
      </c>
      <c r="AN11" s="53">
        <f>+'자금수지(FS)_작성시트'!AU5</f>
        <v>5681.4822762361064</v>
      </c>
      <c r="AO11" s="53">
        <f>+'자금수지(FS)_작성시트'!AV5</f>
        <v>3514.9385276113176</v>
      </c>
      <c r="AP11" s="53">
        <f>+'자금수지(FS)_작성시트'!AW5</f>
        <v>5429.3869385788539</v>
      </c>
      <c r="AQ11" s="53">
        <f>+'자금수지(FS)_작성시트'!AX5</f>
        <v>7141.0439095156689</v>
      </c>
      <c r="AR11" s="53">
        <f>+'자금수지(FS)_작성시트'!AY5</f>
        <v>6836.5692690363057</v>
      </c>
      <c r="AS11" s="53">
        <f>+'자금수지(FS)_작성시트'!AZ5</f>
        <v>9997.1443840753127</v>
      </c>
      <c r="AT11" s="53">
        <f>+'자금수지(FS)_작성시트'!BA5</f>
        <v>8075.3438454430143</v>
      </c>
      <c r="AU11" s="53">
        <f>+'자금수지(FS)_작성시트'!BB5</f>
        <v>7241.3249465340905</v>
      </c>
      <c r="AV11" s="53">
        <f>+'자금수지(FS)_작성시트'!BC5</f>
        <v>7943.2786616836165</v>
      </c>
      <c r="AW11" s="53">
        <f>+'자금수지(FS)_작성시트'!BD5</f>
        <v>13649.574257214754</v>
      </c>
      <c r="AX11" s="53">
        <f>+'자금수지(FS)_작성시트'!BE5</f>
        <v>17076.536729383624</v>
      </c>
      <c r="AY11" s="53">
        <f>+'자금수지(FS)_작성시트'!BG5</f>
        <v>15669.218757474522</v>
      </c>
      <c r="AZ11" s="53">
        <f>+'자금수지(FS)_작성시트'!BH5</f>
        <v>19670.028196508447</v>
      </c>
      <c r="BA11" s="53">
        <f>+'자금수지(FS)_작성시트'!BI5</f>
        <v>21313.044573094052</v>
      </c>
      <c r="BB11" s="53">
        <f>+'자금수지(FS)_작성시트'!BJ5</f>
        <v>26631.417716753844</v>
      </c>
      <c r="BC11" s="53">
        <f>+'자금수지(FS)_작성시트'!BK5</f>
        <v>27256.3152417243</v>
      </c>
      <c r="BD11" s="53">
        <f>+'자금수지(FS)_작성시트'!BL5</f>
        <v>27764.221636986265</v>
      </c>
      <c r="BE11" s="53">
        <f>+'자금수지(FS)_작성시트'!BM5</f>
        <v>43480.360394177682</v>
      </c>
      <c r="BF11" s="53">
        <f>+'자금수지(FS)_작성시트'!BN5</f>
        <v>25711.824047397422</v>
      </c>
      <c r="BG11" s="53">
        <f>+'자금수지(FS)_작성시트'!BO5</f>
        <v>25355.232628665508</v>
      </c>
      <c r="BH11" s="53">
        <f>+'자금수지(FS)_작성시트'!BP5</f>
        <v>24068.832113410066</v>
      </c>
      <c r="BI11" s="53">
        <f>+'자금수지(FS)_작성시트'!BQ5</f>
        <v>24709.925462272171</v>
      </c>
      <c r="BJ11" s="53">
        <f>+'자금수지(FS)_작성시트'!BR5</f>
        <v>25366.18662629445</v>
      </c>
      <c r="BK11" s="53">
        <f>+'자금수지(FS)_작성시트'!BT5</f>
        <v>24960.918285256212</v>
      </c>
      <c r="BL11" s="53">
        <f>+'자금수지(FS)_작성시트'!BU5</f>
        <v>27049.412093810188</v>
      </c>
      <c r="BM11" s="53">
        <f>+'자금수지(FS)_작성시트'!BV5</f>
        <v>26932.266540381373</v>
      </c>
      <c r="BN11" s="53">
        <f>+'자금수지(FS)_작성시트'!BW5</f>
        <v>26799.36268608008</v>
      </c>
      <c r="BO11" s="53">
        <f>+'자금수지(FS)_작성시트'!BX5</f>
        <v>25189.940811058441</v>
      </c>
      <c r="BP11" s="53">
        <f>+'자금수지(FS)_작성시트'!BY5</f>
        <v>26126.89376565149</v>
      </c>
      <c r="BQ11" s="53">
        <f>+'자금수지(FS)_작성시트'!BZ5</f>
        <v>26474.482472558004</v>
      </c>
      <c r="BR11" s="53">
        <f>+'자금수지(FS)_작성시트'!CA5</f>
        <v>38497.920387738683</v>
      </c>
      <c r="BS11" s="53">
        <f>+'자금수지(FS)_작성시트'!CB5</f>
        <v>25202.360211108949</v>
      </c>
      <c r="BT11" s="53">
        <f>+'자금수지(FS)_작성시트'!CC5</f>
        <v>25796.49712798293</v>
      </c>
      <c r="BU11" s="53">
        <f>+'자금수지(FS)_작성시트'!CD5</f>
        <v>26218.494614959527</v>
      </c>
      <c r="BV11" s="53">
        <f>+'자금수지(FS)_작성시트'!CE5</f>
        <v>26451.429063942163</v>
      </c>
      <c r="BW11" s="53">
        <f>+'자금수지(FS)_작성시트'!CG5</f>
        <v>25100.864456802479</v>
      </c>
      <c r="BX11" s="53">
        <f>+'자금수지(FS)_작성시트'!CH5</f>
        <v>25871.722318565106</v>
      </c>
      <c r="BY11" s="53">
        <f>+'자금수지(FS)_작성시트'!CI5</f>
        <v>26807.291717219581</v>
      </c>
      <c r="BZ11" s="53">
        <f>+'자금수지(FS)_작성시트'!CJ5</f>
        <v>25544.911824335853</v>
      </c>
      <c r="CA11" s="53">
        <f>+'자금수지(FS)_작성시트'!CK5</f>
        <v>26197.105741730171</v>
      </c>
      <c r="CB11" s="53">
        <f>+'자금수지(FS)_작성시트'!CL5</f>
        <v>26701.149653268942</v>
      </c>
      <c r="CC11" s="53">
        <f>+'자금수지(FS)_작성시트'!CM5</f>
        <v>24742.40125459394</v>
      </c>
      <c r="CD11" s="53">
        <f>+'자금수지(FS)_작성시트'!CN5</f>
        <v>22653.883471478002</v>
      </c>
      <c r="CE11" s="53">
        <f>+'자금수지(FS)_작성시트'!CO5</f>
        <v>22532.817887448684</v>
      </c>
      <c r="CF11" s="53">
        <f>+'자금수지(FS)_작성시트'!CP5</f>
        <v>23941.717974796735</v>
      </c>
      <c r="CG11" s="53">
        <f>+'자금수지(FS)_작성시트'!CQ5</f>
        <v>14175.22596496012</v>
      </c>
      <c r="CH11" s="53">
        <f>+'자금수지(FS)_작성시트'!CR5</f>
        <v>14320.370864222734</v>
      </c>
    </row>
    <row r="12" spans="1:86">
      <c r="A12" s="622"/>
      <c r="B12" s="59" t="s">
        <v>1</v>
      </c>
      <c r="C12" s="53">
        <f>+'자금수지(FS)_작성시트'!G223</f>
        <v>0</v>
      </c>
      <c r="D12" s="53">
        <f>+'자금수지(FS)_작성시트'!H223</f>
        <v>0</v>
      </c>
      <c r="E12" s="53">
        <f>+'자금수지(FS)_작성시트'!I223</f>
        <v>0</v>
      </c>
      <c r="F12" s="53">
        <f>+'자금수지(FS)_작성시트'!J223</f>
        <v>0</v>
      </c>
      <c r="G12" s="53">
        <f>+'자금수지(FS)_작성시트'!K223</f>
        <v>0</v>
      </c>
      <c r="H12" s="53">
        <f>+'자금수지(FS)_작성시트'!L223</f>
        <v>0</v>
      </c>
      <c r="I12" s="53">
        <f>+'자금수지(FS)_작성시트'!M223</f>
        <v>0</v>
      </c>
      <c r="J12" s="53">
        <f>+'자금수지(FS)_작성시트'!N223</f>
        <v>0</v>
      </c>
      <c r="K12" s="53">
        <f>+'자금수지(FS)_작성시트'!O223</f>
        <v>0</v>
      </c>
      <c r="L12" s="53">
        <f>+'자금수지(FS)_작성시트'!P223</f>
        <v>0</v>
      </c>
      <c r="M12" s="53">
        <f>+'자금수지(FS)_작성시트'!Q223</f>
        <v>0</v>
      </c>
      <c r="N12" s="69">
        <f>+'자금수지(FS)_작성시트'!R223</f>
        <v>0</v>
      </c>
      <c r="O12" s="53">
        <f>+'자금수지(FS)_작성시트'!T223</f>
        <v>0</v>
      </c>
      <c r="P12" s="261">
        <f>+'자금수지(FS)_작성시트'!U223</f>
        <v>0</v>
      </c>
      <c r="Q12" s="53">
        <f>+'자금수지(FS)_작성시트'!V223</f>
        <v>0</v>
      </c>
      <c r="R12" s="53">
        <f>+'자금수지(FS)_작성시트'!W223</f>
        <v>0</v>
      </c>
      <c r="S12" s="53">
        <f>+'자금수지(FS)_작성시트'!X223</f>
        <v>0</v>
      </c>
      <c r="T12" s="53">
        <f>+'자금수지(FS)_작성시트'!Y223</f>
        <v>0</v>
      </c>
      <c r="U12" s="53">
        <f>+'자금수지(FS)_작성시트'!Z223</f>
        <v>0</v>
      </c>
      <c r="V12" s="53">
        <f>+'자금수지(FS)_작성시트'!AA223</f>
        <v>0</v>
      </c>
      <c r="W12" s="53">
        <f>+'자금수지(FS)_작성시트'!AB223</f>
        <v>0</v>
      </c>
      <c r="X12" s="53">
        <f>+'자금수지(FS)_작성시트'!AC223</f>
        <v>0</v>
      </c>
      <c r="Y12" s="53">
        <f>+'자금수지(FS)_작성시트'!AD223</f>
        <v>0</v>
      </c>
      <c r="Z12" s="53">
        <f>+'자금수지(FS)_작성시트'!AE223</f>
        <v>0</v>
      </c>
      <c r="AA12" s="53">
        <f>+'자금수지(FS)_작성시트'!AG223</f>
        <v>0</v>
      </c>
      <c r="AB12" s="53">
        <f>+'자금수지(FS)_작성시트'!AH223</f>
        <v>0</v>
      </c>
      <c r="AC12" s="53">
        <f>+'자금수지(FS)_작성시트'!AI223</f>
        <v>0</v>
      </c>
      <c r="AD12" s="53">
        <f>+'자금수지(FS)_작성시트'!AJ223</f>
        <v>0</v>
      </c>
      <c r="AE12" s="53">
        <f>+'자금수지(FS)_작성시트'!AK223</f>
        <v>0</v>
      </c>
      <c r="AF12" s="53">
        <f>+'자금수지(FS)_작성시트'!AL223</f>
        <v>0</v>
      </c>
      <c r="AG12" s="53">
        <f>+'자금수지(FS)_작성시트'!AM223</f>
        <v>0</v>
      </c>
      <c r="AH12" s="53">
        <f>+'자금수지(FS)_작성시트'!AN223</f>
        <v>3962.6919201484902</v>
      </c>
      <c r="AI12" s="53">
        <f>+'자금수지(FS)_작성시트'!AO223</f>
        <v>0</v>
      </c>
      <c r="AJ12" s="53">
        <f>+'자금수지(FS)_작성시트'!AP223</f>
        <v>0</v>
      </c>
      <c r="AK12" s="53">
        <f>+'자금수지(FS)_작성시트'!AQ223</f>
        <v>0</v>
      </c>
      <c r="AL12" s="53">
        <f>+'자금수지(FS)_작성시트'!AR223</f>
        <v>0</v>
      </c>
      <c r="AM12" s="53">
        <f>+'자금수지(FS)_작성시트'!AT223</f>
        <v>0</v>
      </c>
      <c r="AN12" s="53">
        <f>+'자금수지(FS)_작성시트'!AU223</f>
        <v>0</v>
      </c>
      <c r="AO12" s="53">
        <f>+'자금수지(FS)_작성시트'!AV223</f>
        <v>0</v>
      </c>
      <c r="AP12" s="53">
        <f>+'자금수지(FS)_작성시트'!AW223</f>
        <v>0</v>
      </c>
      <c r="AQ12" s="53">
        <f>'자금수지(FS)_작성시트'!AX188</f>
        <v>0</v>
      </c>
      <c r="AR12" s="53">
        <f>'자금수지(FS)_작성시트'!AY188</f>
        <v>0</v>
      </c>
      <c r="AS12" s="53">
        <f>+'자금수지(FS)_작성시트'!AZ223</f>
        <v>0</v>
      </c>
      <c r="AT12" s="53">
        <f>'자금수지(FS)_작성시트'!BA188</f>
        <v>0</v>
      </c>
      <c r="AU12" s="53">
        <f>+'자금수지(FS)_작성시트'!BB223</f>
        <v>0</v>
      </c>
      <c r="AV12" s="53">
        <f>+'자금수지(FS)_작성시트'!BC223</f>
        <v>0</v>
      </c>
      <c r="AW12" s="53">
        <f>+'자금수지(FS)_작성시트'!BD223</f>
        <v>0</v>
      </c>
      <c r="AX12" s="53">
        <f>+'자금수지(FS)_작성시트'!BE223</f>
        <v>0</v>
      </c>
      <c r="AY12" s="53">
        <f>+'자금수지(FS)_작성시트'!BG223</f>
        <v>0</v>
      </c>
      <c r="AZ12" s="53">
        <f>+'자금수지(FS)_작성시트'!BH223</f>
        <v>0</v>
      </c>
      <c r="BA12" s="53">
        <f>+'자금수지(FS)_작성시트'!BI223</f>
        <v>0</v>
      </c>
      <c r="BB12" s="53">
        <f>+'자금수지(FS)_작성시트'!BJ223</f>
        <v>0</v>
      </c>
      <c r="BC12" s="53">
        <f>+'자금수지(FS)_작성시트'!BK223</f>
        <v>0</v>
      </c>
      <c r="BD12" s="53">
        <f>+'자금수지(FS)_작성시트'!BL223</f>
        <v>0</v>
      </c>
      <c r="BE12" s="53">
        <f>+'자금수지(FS)_작성시트'!BM223</f>
        <v>0</v>
      </c>
      <c r="BF12" s="53">
        <f>+'자금수지(FS)_작성시트'!BN223</f>
        <v>0</v>
      </c>
      <c r="BG12" s="53">
        <f>+'자금수지(FS)_작성시트'!BO223</f>
        <v>0</v>
      </c>
      <c r="BH12" s="53">
        <f>+'자금수지(FS)_작성시트'!BP223</f>
        <v>0</v>
      </c>
      <c r="BI12" s="53">
        <f>+'자금수지(FS)_작성시트'!BQ223</f>
        <v>0</v>
      </c>
      <c r="BJ12" s="53">
        <f>+'자금수지(FS)_작성시트'!BR223</f>
        <v>0</v>
      </c>
      <c r="BK12" s="53">
        <f>+'자금수지(FS)_작성시트'!BT223</f>
        <v>0</v>
      </c>
      <c r="BL12" s="53">
        <f>+'자금수지(FS)_작성시트'!BU223</f>
        <v>0</v>
      </c>
      <c r="BM12" s="53">
        <f>+'자금수지(FS)_작성시트'!BV223</f>
        <v>0</v>
      </c>
      <c r="BN12" s="53">
        <f>+'자금수지(FS)_작성시트'!BW223</f>
        <v>0</v>
      </c>
      <c r="BO12" s="53">
        <f>+'자금수지(FS)_작성시트'!BX223</f>
        <v>0</v>
      </c>
      <c r="BP12" s="53">
        <f>+'자금수지(FS)_작성시트'!BY223</f>
        <v>0</v>
      </c>
      <c r="BQ12" s="53">
        <f>+'자금수지(FS)_작성시트'!BZ223</f>
        <v>0</v>
      </c>
      <c r="BR12" s="53">
        <f>+'자금수지(FS)_작성시트'!CA223</f>
        <v>0</v>
      </c>
      <c r="BS12" s="53">
        <f>+'자금수지(FS)_작성시트'!CB223</f>
        <v>0</v>
      </c>
      <c r="BT12" s="53">
        <f>+'자금수지(FS)_작성시트'!CC223</f>
        <v>0</v>
      </c>
      <c r="BU12" s="53">
        <f>+'자금수지(FS)_작성시트'!CD223</f>
        <v>0</v>
      </c>
      <c r="BV12" s="53">
        <f>+'자금수지(FS)_작성시트'!CE223</f>
        <v>0</v>
      </c>
      <c r="BW12" s="53">
        <f>+'자금수지(FS)_작성시트'!CG223</f>
        <v>0</v>
      </c>
      <c r="BX12" s="53">
        <f>+'자금수지(FS)_작성시트'!CH223</f>
        <v>0</v>
      </c>
      <c r="BY12" s="53">
        <f>+'자금수지(FS)_작성시트'!CI223</f>
        <v>0</v>
      </c>
      <c r="BZ12" s="53">
        <f>+'자금수지(FS)_작성시트'!CJ223</f>
        <v>0</v>
      </c>
      <c r="CA12" s="53">
        <f>+'자금수지(FS)_작성시트'!CK223</f>
        <v>0</v>
      </c>
      <c r="CB12" s="53">
        <f>+'자금수지(FS)_작성시트'!CL223</f>
        <v>0</v>
      </c>
      <c r="CC12" s="53">
        <f>+'자금수지(FS)_작성시트'!CM223</f>
        <v>0</v>
      </c>
      <c r="CD12" s="53">
        <f>+'자금수지(FS)_작성시트'!CN223</f>
        <v>0</v>
      </c>
      <c r="CE12" s="53">
        <f>+'자금수지(FS)_작성시트'!CO223</f>
        <v>0</v>
      </c>
      <c r="CF12" s="53">
        <f>+'자금수지(FS)_작성시트'!CP223</f>
        <v>0</v>
      </c>
      <c r="CG12" s="53">
        <f>+'자금수지(FS)_작성시트'!CQ223</f>
        <v>0</v>
      </c>
      <c r="CH12" s="53">
        <f>+'자금수지(FS)_작성시트'!CR223</f>
        <v>0</v>
      </c>
    </row>
    <row r="13" spans="1:86">
      <c r="A13" s="622"/>
      <c r="B13" s="59" t="s">
        <v>2</v>
      </c>
      <c r="C13" s="53">
        <f>+'자금수지(FS)_작성시트'!G226</f>
        <v>0</v>
      </c>
      <c r="D13" s="53">
        <f>+'자금수지(FS)_작성시트'!H226</f>
        <v>0</v>
      </c>
      <c r="E13" s="53">
        <f>+'자금수지(FS)_작성시트'!I226</f>
        <v>0</v>
      </c>
      <c r="F13" s="53">
        <f>+'자금수지(FS)_작성시트'!J226</f>
        <v>0</v>
      </c>
      <c r="G13" s="53">
        <f>+'자금수지(FS)_작성시트'!K226</f>
        <v>0</v>
      </c>
      <c r="H13" s="53">
        <f>+'자금수지(FS)_작성시트'!L226</f>
        <v>0</v>
      </c>
      <c r="I13" s="53">
        <f>+'자금수지(FS)_작성시트'!M226</f>
        <v>0</v>
      </c>
      <c r="J13" s="53">
        <f>+'자금수지(FS)_작성시트'!N226</f>
        <v>0</v>
      </c>
      <c r="K13" s="53">
        <f>+'자금수지(FS)_작성시트'!O226</f>
        <v>0</v>
      </c>
      <c r="L13" s="53">
        <f>+'자금수지(FS)_작성시트'!P226</f>
        <v>0</v>
      </c>
      <c r="M13" s="53">
        <f>+'자금수지(FS)_작성시트'!Q226</f>
        <v>0</v>
      </c>
      <c r="N13" s="69">
        <f>+'자금수지(FS)_작성시트'!R226</f>
        <v>0</v>
      </c>
      <c r="O13" s="53">
        <f>+'자금수지(FS)_작성시트'!T226</f>
        <v>0.20631318341242005</v>
      </c>
      <c r="P13" s="261">
        <f>+'자금수지(FS)_작성시트'!U226</f>
        <v>1.9691332788225675</v>
      </c>
      <c r="Q13" s="53">
        <f>+'자금수지(FS)_작성시트'!V226</f>
        <v>1.6043866774979691</v>
      </c>
      <c r="R13" s="53">
        <f>+'자금수지(FS)_작성시트'!W226</f>
        <v>0</v>
      </c>
      <c r="S13" s="53">
        <f>+'자금수지(FS)_작성시트'!X226</f>
        <v>0</v>
      </c>
      <c r="T13" s="53">
        <f>+'자금수지(FS)_작성시트'!Y226</f>
        <v>8.8756786747512706</v>
      </c>
      <c r="U13" s="53">
        <f>+'자금수지(FS)_작성시트'!Z226</f>
        <v>6.3456106794182103</v>
      </c>
      <c r="V13" s="53">
        <f>+'자금수지(FS)_작성시트'!AA226</f>
        <v>-14.506555135526421</v>
      </c>
      <c r="W13" s="53">
        <f>+'자금수지(FS)_작성시트'!AB226</f>
        <v>3.3510703115479914</v>
      </c>
      <c r="X13" s="53">
        <f>+'자금수지(FS)_작성시트'!AC226</f>
        <v>0</v>
      </c>
      <c r="Y13" s="53">
        <f>+'자금수지(FS)_작성시트'!AD226</f>
        <v>1.348686804953072</v>
      </c>
      <c r="Z13" s="53">
        <f>+'자금수지(FS)_작성시트'!AE226</f>
        <v>0.80559335871570403</v>
      </c>
      <c r="AA13" s="53">
        <f>+'자금수지(FS)_작성시트'!AG226</f>
        <v>4.1316628157118958</v>
      </c>
      <c r="AB13" s="53">
        <f>+'자금수지(FS)_작성시트'!AH226</f>
        <v>4.4599412340842308</v>
      </c>
      <c r="AC13" s="53">
        <f>+'자금수지(FS)_작성시트'!AI226</f>
        <v>38.411792286953499</v>
      </c>
      <c r="AD13" s="53">
        <f>+'자금수지(FS)_작성시트'!AJ226</f>
        <v>1.3070387882981587</v>
      </c>
      <c r="AE13" s="53">
        <f>+'자금수지(FS)_작성시트'!AK226</f>
        <v>1.9488756486642322</v>
      </c>
      <c r="AF13" s="53">
        <f>+'자금수지(FS)_작성시트'!AL226</f>
        <v>0</v>
      </c>
      <c r="AG13" s="53">
        <f>+'자금수지(FS)_작성시트'!AM226</f>
        <v>4.8858577373907064</v>
      </c>
      <c r="AH13" s="53">
        <f>+'자금수지(FS)_작성시트'!AN226</f>
        <v>1.8826470699647715</v>
      </c>
      <c r="AI13" s="53">
        <f>+'자금수지(FS)_작성시트'!AO226</f>
        <v>1.9023743704320826</v>
      </c>
      <c r="AJ13" s="53">
        <f>+'자금수지(FS)_작성시트'!AP226</f>
        <v>1.2924316721785076</v>
      </c>
      <c r="AK13" s="53">
        <f>+'자금수지(FS)_작성시트'!AQ226</f>
        <v>1.6879475618535218</v>
      </c>
      <c r="AL13" s="53">
        <f>+'자금수지(FS)_작성시트'!AR226</f>
        <v>1.9597945205479452</v>
      </c>
      <c r="AM13" s="53">
        <f>+'자금수지(FS)_작성시트'!AT226</f>
        <v>4.9429442542222901</v>
      </c>
      <c r="AN13" s="53">
        <f>+'자금수지(FS)_작성시트'!AU226</f>
        <v>0</v>
      </c>
      <c r="AO13" s="53">
        <f>+'자금수지(FS)_작성시트'!AV226</f>
        <v>0</v>
      </c>
      <c r="AP13" s="53">
        <f>+'자금수지(FS)_작성시트'!AW226</f>
        <v>0.66770363063849159</v>
      </c>
      <c r="AQ13" s="53">
        <f>+'자금수지(FS)_작성시트'!AX226</f>
        <v>2.4161994301994301</v>
      </c>
      <c r="AR13" s="53">
        <f>+'자금수지(FS)_작성시트'!AY226</f>
        <v>17.935905721345751</v>
      </c>
      <c r="AS13" s="53">
        <f>+'자금수지(FS)_작성시트'!AZ226</f>
        <v>0</v>
      </c>
      <c r="AT13" s="53">
        <f>+'자금수지(FS)_작성시트'!BA226</f>
        <v>0</v>
      </c>
      <c r="AU13" s="53">
        <f>+'자금수지(FS)_작성시트'!BB226</f>
        <v>0</v>
      </c>
      <c r="AV13" s="53">
        <f>+'자금수지(FS)_작성시트'!BC226</f>
        <v>0</v>
      </c>
      <c r="AW13" s="53">
        <f>+'자금수지(FS)_작성시트'!BD226</f>
        <v>0</v>
      </c>
      <c r="AX13" s="53">
        <f>+'자금수지(FS)_작성시트'!BE226</f>
        <v>0</v>
      </c>
      <c r="AY13" s="53">
        <f>+'자금수지(FS)_작성시트'!BG226</f>
        <v>0</v>
      </c>
      <c r="AZ13" s="53">
        <f>+'자금수지(FS)_작성시트'!BH226</f>
        <v>0</v>
      </c>
      <c r="BA13" s="53">
        <f>+'자금수지(FS)_작성시트'!BI226</f>
        <v>0</v>
      </c>
      <c r="BB13" s="53">
        <f>+'자금수지(FS)_작성시트'!BJ226</f>
        <v>0</v>
      </c>
      <c r="BC13" s="53">
        <f>+'자금수지(FS)_작성시트'!BK226</f>
        <v>0</v>
      </c>
      <c r="BD13" s="53">
        <f>+'자금수지(FS)_작성시트'!BL226</f>
        <v>0</v>
      </c>
      <c r="BE13" s="53">
        <f>+'자금수지(FS)_작성시트'!BM226</f>
        <v>0</v>
      </c>
      <c r="BF13" s="53">
        <f>+'자금수지(FS)_작성시트'!BN226</f>
        <v>0</v>
      </c>
      <c r="BG13" s="53">
        <f>+'자금수지(FS)_작성시트'!BO226</f>
        <v>0</v>
      </c>
      <c r="BH13" s="53">
        <f>+'자금수지(FS)_작성시트'!BP226</f>
        <v>0</v>
      </c>
      <c r="BI13" s="53">
        <f>+'자금수지(FS)_작성시트'!BQ226</f>
        <v>0</v>
      </c>
      <c r="BJ13" s="53">
        <f>+'자금수지(FS)_작성시트'!BR226</f>
        <v>0</v>
      </c>
      <c r="BK13" s="53">
        <f>+'자금수지(FS)_작성시트'!BT226</f>
        <v>0</v>
      </c>
      <c r="BL13" s="53">
        <f>+'자금수지(FS)_작성시트'!BU226</f>
        <v>0</v>
      </c>
      <c r="BM13" s="53">
        <f>+'자금수지(FS)_작성시트'!BV226</f>
        <v>0</v>
      </c>
      <c r="BN13" s="53">
        <f>+'자금수지(FS)_작성시트'!BW226</f>
        <v>0</v>
      </c>
      <c r="BO13" s="53">
        <f>+'자금수지(FS)_작성시트'!BX226</f>
        <v>0</v>
      </c>
      <c r="BP13" s="53">
        <f>+'자금수지(FS)_작성시트'!BY226</f>
        <v>0</v>
      </c>
      <c r="BQ13" s="53">
        <f>+'자금수지(FS)_작성시트'!BZ226</f>
        <v>0</v>
      </c>
      <c r="BR13" s="53">
        <f>+'자금수지(FS)_작성시트'!CA226</f>
        <v>0</v>
      </c>
      <c r="BS13" s="53">
        <f>+'자금수지(FS)_작성시트'!CB226</f>
        <v>0</v>
      </c>
      <c r="BT13" s="53">
        <f>+'자금수지(FS)_작성시트'!CC226</f>
        <v>0</v>
      </c>
      <c r="BU13" s="53">
        <f>+'자금수지(FS)_작성시트'!CD226</f>
        <v>0</v>
      </c>
      <c r="BV13" s="53">
        <f>+'자금수지(FS)_작성시트'!CE226</f>
        <v>0</v>
      </c>
      <c r="BW13" s="53">
        <f>+'자금수지(FS)_작성시트'!CG226</f>
        <v>0</v>
      </c>
      <c r="BX13" s="53">
        <f>+'자금수지(FS)_작성시트'!CH226</f>
        <v>0</v>
      </c>
      <c r="BY13" s="53">
        <f>+'자금수지(FS)_작성시트'!CI226</f>
        <v>0</v>
      </c>
      <c r="BZ13" s="53">
        <f>+'자금수지(FS)_작성시트'!CJ226</f>
        <v>0</v>
      </c>
      <c r="CA13" s="53">
        <f>+'자금수지(FS)_작성시트'!CK226</f>
        <v>0</v>
      </c>
      <c r="CB13" s="53">
        <f>+'자금수지(FS)_작성시트'!CL226</f>
        <v>0</v>
      </c>
      <c r="CC13" s="53">
        <f>+'자금수지(FS)_작성시트'!CM226</f>
        <v>0</v>
      </c>
      <c r="CD13" s="53">
        <f>+'자금수지(FS)_작성시트'!CN226</f>
        <v>0</v>
      </c>
      <c r="CE13" s="53">
        <f>+'자금수지(FS)_작성시트'!CO226</f>
        <v>0</v>
      </c>
      <c r="CF13" s="53">
        <f>+'자금수지(FS)_작성시트'!CP226</f>
        <v>0</v>
      </c>
      <c r="CG13" s="53">
        <f>+'자금수지(FS)_작성시트'!CQ226</f>
        <v>0</v>
      </c>
      <c r="CH13" s="53">
        <f>+'자금수지(FS)_작성시트'!CR226</f>
        <v>0</v>
      </c>
    </row>
    <row r="14" spans="1:86">
      <c r="A14" s="622"/>
      <c r="B14" s="59" t="s">
        <v>54</v>
      </c>
      <c r="C14" s="53">
        <f>+'자금수지(FS)_작성시트'!G229</f>
        <v>0</v>
      </c>
      <c r="D14" s="53">
        <f>+'자금수지(FS)_작성시트'!H229</f>
        <v>0</v>
      </c>
      <c r="E14" s="53">
        <f>+'자금수지(FS)_작성시트'!I229</f>
        <v>0</v>
      </c>
      <c r="F14" s="53">
        <f>+'자금수지(FS)_작성시트'!J229</f>
        <v>0</v>
      </c>
      <c r="G14" s="53">
        <f>+'자금수지(FS)_작성시트'!K229</f>
        <v>0</v>
      </c>
      <c r="H14" s="53">
        <f>+'자금수지(FS)_작성시트'!L229</f>
        <v>0</v>
      </c>
      <c r="I14" s="53">
        <f>+'자금수지(FS)_작성시트'!M229</f>
        <v>0</v>
      </c>
      <c r="J14" s="53">
        <f>+'자금수지(FS)_작성시트'!N229</f>
        <v>0</v>
      </c>
      <c r="K14" s="53">
        <f>+'자금수지(FS)_작성시트'!O229</f>
        <v>0</v>
      </c>
      <c r="L14" s="53">
        <f>+'자금수지(FS)_작성시트'!P229</f>
        <v>0</v>
      </c>
      <c r="M14" s="53">
        <f>+'자금수지(FS)_작성시트'!Q229</f>
        <v>0</v>
      </c>
      <c r="N14" s="69">
        <f>+'자금수지(FS)_작성시트'!R229</f>
        <v>0</v>
      </c>
      <c r="O14" s="53">
        <f>+'자금수지(FS)_작성시트'!T229</f>
        <v>0</v>
      </c>
      <c r="P14" s="261">
        <f>+'자금수지(FS)_작성시트'!U229</f>
        <v>0</v>
      </c>
      <c r="Q14" s="53">
        <f>+'자금수지(FS)_작성시트'!V229</f>
        <v>0</v>
      </c>
      <c r="R14" s="53">
        <f>+'자금수지(FS)_작성시트'!W229</f>
        <v>0</v>
      </c>
      <c r="S14" s="53">
        <f>+'자금수지(FS)_작성시트'!X229</f>
        <v>0</v>
      </c>
      <c r="T14" s="53">
        <f>+'자금수지(FS)_작성시트'!Y229</f>
        <v>0</v>
      </c>
      <c r="U14" s="53">
        <f>+'자금수지(FS)_작성시트'!Z229</f>
        <v>0</v>
      </c>
      <c r="V14" s="53">
        <f>+'자금수지(FS)_작성시트'!AA229</f>
        <v>0</v>
      </c>
      <c r="W14" s="53">
        <f>+'자금수지(FS)_작성시트'!AB229</f>
        <v>0</v>
      </c>
      <c r="X14" s="53">
        <f>+'자금수지(FS)_작성시트'!AC229</f>
        <v>0</v>
      </c>
      <c r="Y14" s="53">
        <f>+'자금수지(FS)_작성시트'!AD229</f>
        <v>0</v>
      </c>
      <c r="Z14" s="53">
        <f>+'자금수지(FS)_작성시트'!AE229</f>
        <v>0</v>
      </c>
      <c r="AA14" s="53">
        <f>+'자금수지(FS)_작성시트'!AG229</f>
        <v>0</v>
      </c>
      <c r="AB14" s="53">
        <f>+'자금수지(FS)_작성시트'!AH229</f>
        <v>0</v>
      </c>
      <c r="AC14" s="53">
        <f>+'자금수지(FS)_작성시트'!AI229</f>
        <v>0</v>
      </c>
      <c r="AD14" s="53">
        <f>+'자금수지(FS)_작성시트'!AJ229</f>
        <v>0</v>
      </c>
      <c r="AE14" s="53">
        <f>+'자금수지(FS)_작성시트'!AK229</f>
        <v>0</v>
      </c>
      <c r="AF14" s="53">
        <f>+'자금수지(FS)_작성시트'!AL229</f>
        <v>0</v>
      </c>
      <c r="AG14" s="53">
        <f>+'자금수지(FS)_작성시트'!AM229</f>
        <v>0</v>
      </c>
      <c r="AH14" s="53">
        <f>+'자금수지(FS)_작성시트'!AN229</f>
        <v>0</v>
      </c>
      <c r="AI14" s="53">
        <f>+'자금수지(FS)_작성시트'!AO229</f>
        <v>0</v>
      </c>
      <c r="AJ14" s="53">
        <f>+'자금수지(FS)_작성시트'!AP229</f>
        <v>0</v>
      </c>
      <c r="AK14" s="53">
        <f>+'자금수지(FS)_작성시트'!AQ229</f>
        <v>0</v>
      </c>
      <c r="AL14" s="53">
        <f>+'자금수지(FS)_작성시트'!AR229</f>
        <v>0</v>
      </c>
      <c r="AM14" s="53">
        <f>+'자금수지(FS)_작성시트'!AT229</f>
        <v>0</v>
      </c>
      <c r="AN14" s="53">
        <f>+'자금수지(FS)_작성시트'!AU229</f>
        <v>0</v>
      </c>
      <c r="AO14" s="53">
        <f>+'자금수지(FS)_작성시트'!AV229</f>
        <v>0</v>
      </c>
      <c r="AP14" s="53">
        <f>+'자금수지(FS)_작성시트'!AW229</f>
        <v>0</v>
      </c>
      <c r="AQ14" s="53">
        <f>+'자금수지(FS)_작성시트'!AX229</f>
        <v>0</v>
      </c>
      <c r="AR14" s="53">
        <f>+'자금수지(FS)_작성시트'!AY229</f>
        <v>0</v>
      </c>
      <c r="AS14" s="53">
        <f>+'자금수지(FS)_작성시트'!AZ229</f>
        <v>0</v>
      </c>
      <c r="AT14" s="53">
        <f>+'자금수지(FS)_작성시트'!BA229</f>
        <v>0</v>
      </c>
      <c r="AU14" s="53">
        <f>+'자금수지(FS)_작성시트'!BB229</f>
        <v>0</v>
      </c>
      <c r="AV14" s="53">
        <f>+'자금수지(FS)_작성시트'!BC229</f>
        <v>0</v>
      </c>
      <c r="AW14" s="53">
        <f>+'자금수지(FS)_작성시트'!BD229</f>
        <v>0</v>
      </c>
      <c r="AX14" s="53">
        <f>+'자금수지(FS)_작성시트'!BE229</f>
        <v>0</v>
      </c>
      <c r="AY14" s="53">
        <f>+'자금수지(FS)_작성시트'!BG229</f>
        <v>0</v>
      </c>
      <c r="AZ14" s="53">
        <f>+'자금수지(FS)_작성시트'!BH229</f>
        <v>0</v>
      </c>
      <c r="BA14" s="53">
        <f>+'자금수지(FS)_작성시트'!BI229</f>
        <v>0</v>
      </c>
      <c r="BB14" s="53">
        <f>+'자금수지(FS)_작성시트'!BJ229</f>
        <v>0</v>
      </c>
      <c r="BC14" s="53">
        <f>+'자금수지(FS)_작성시트'!BK229</f>
        <v>0</v>
      </c>
      <c r="BD14" s="53">
        <f>+'자금수지(FS)_작성시트'!BL229</f>
        <v>0</v>
      </c>
      <c r="BE14" s="53">
        <f>+'자금수지(FS)_작성시트'!BM229</f>
        <v>0</v>
      </c>
      <c r="BF14" s="53">
        <f>+'자금수지(FS)_작성시트'!BN229</f>
        <v>0</v>
      </c>
      <c r="BG14" s="53">
        <f>+'자금수지(FS)_작성시트'!BO229</f>
        <v>0</v>
      </c>
      <c r="BH14" s="53">
        <f>+'자금수지(FS)_작성시트'!BP229</f>
        <v>0</v>
      </c>
      <c r="BI14" s="53">
        <f>+'자금수지(FS)_작성시트'!BQ229</f>
        <v>0</v>
      </c>
      <c r="BJ14" s="53">
        <f>+'자금수지(FS)_작성시트'!BR229</f>
        <v>0</v>
      </c>
      <c r="BK14" s="53">
        <f>+'자금수지(FS)_작성시트'!BT229</f>
        <v>0</v>
      </c>
      <c r="BL14" s="53">
        <f>+'자금수지(FS)_작성시트'!BU229</f>
        <v>0</v>
      </c>
      <c r="BM14" s="53">
        <f>+'자금수지(FS)_작성시트'!BV229</f>
        <v>0</v>
      </c>
      <c r="BN14" s="53">
        <f>+'자금수지(FS)_작성시트'!BW229</f>
        <v>0</v>
      </c>
      <c r="BO14" s="53">
        <f>+'자금수지(FS)_작성시트'!BX229</f>
        <v>0</v>
      </c>
      <c r="BP14" s="53">
        <f>+'자금수지(FS)_작성시트'!BY229</f>
        <v>0</v>
      </c>
      <c r="BQ14" s="53">
        <f>+'자금수지(FS)_작성시트'!BZ229</f>
        <v>0</v>
      </c>
      <c r="BR14" s="53">
        <f>+'자금수지(FS)_작성시트'!CA229</f>
        <v>0</v>
      </c>
      <c r="BS14" s="53">
        <f>+'자금수지(FS)_작성시트'!CB229</f>
        <v>0</v>
      </c>
      <c r="BT14" s="53">
        <f>+'자금수지(FS)_작성시트'!CC229</f>
        <v>0</v>
      </c>
      <c r="BU14" s="53">
        <f>+'자금수지(FS)_작성시트'!CD229</f>
        <v>0</v>
      </c>
      <c r="BV14" s="53">
        <f>+'자금수지(FS)_작성시트'!CE229</f>
        <v>0</v>
      </c>
      <c r="BW14" s="53">
        <f>+'자금수지(FS)_작성시트'!CG229</f>
        <v>0</v>
      </c>
      <c r="BX14" s="53">
        <f>+'자금수지(FS)_작성시트'!CH229</f>
        <v>0</v>
      </c>
      <c r="BY14" s="53">
        <f>+'자금수지(FS)_작성시트'!CI229</f>
        <v>0</v>
      </c>
      <c r="BZ14" s="53">
        <f>+'자금수지(FS)_작성시트'!CJ229</f>
        <v>0</v>
      </c>
      <c r="CA14" s="53">
        <f>+'자금수지(FS)_작성시트'!CK229</f>
        <v>0</v>
      </c>
      <c r="CB14" s="53">
        <f>+'자금수지(FS)_작성시트'!CL229</f>
        <v>0</v>
      </c>
      <c r="CC14" s="53">
        <f>+'자금수지(FS)_작성시트'!CM229</f>
        <v>0</v>
      </c>
      <c r="CD14" s="53">
        <f>+'자금수지(FS)_작성시트'!CN229</f>
        <v>0</v>
      </c>
      <c r="CE14" s="53">
        <f>+'자금수지(FS)_작성시트'!CO229</f>
        <v>0</v>
      </c>
      <c r="CF14" s="53">
        <f>+'자금수지(FS)_작성시트'!CP229</f>
        <v>0</v>
      </c>
      <c r="CG14" s="53">
        <f>+'자금수지(FS)_작성시트'!CQ229</f>
        <v>0</v>
      </c>
      <c r="CH14" s="53">
        <f>+'자금수지(FS)_작성시트'!CR229</f>
        <v>0</v>
      </c>
    </row>
    <row r="15" spans="1:86">
      <c r="A15" s="622"/>
      <c r="B15" s="59" t="s">
        <v>3</v>
      </c>
      <c r="C15" s="53">
        <f>+'자금수지(FS)_작성시트'!G232+'자금수지(FS)_작성시트'!G235+'자금수지(FS)_작성시트'!G238+'자금수지(FS)_작성시트'!G241</f>
        <v>-120.045915808814</v>
      </c>
      <c r="D15" s="53">
        <f>+'자금수지(FS)_작성시트'!H232+'자금수지(FS)_작성시트'!H235+'자금수지(FS)_작성시트'!H238+'자금수지(FS)_작성시트'!H241</f>
        <v>303.87641176887001</v>
      </c>
      <c r="E15" s="53">
        <f>+'자금수지(FS)_작성시트'!I232+'자금수지(FS)_작성시트'!I235+'자금수지(FS)_작성시트'!I238+'자금수지(FS)_작성시트'!I241</f>
        <v>-297.896571884053</v>
      </c>
      <c r="F15" s="53">
        <f>+'자금수지(FS)_작성시트'!J232+'자금수지(FS)_작성시트'!J235+'자금수지(FS)_작성시트'!J238+'자금수지(FS)_작성시트'!J241</f>
        <v>-9.9071555421560298</v>
      </c>
      <c r="G15" s="53">
        <f>+'자금수지(FS)_작성시트'!K232+'자금수지(FS)_작성시트'!K235+'자금수지(FS)_작성시트'!K238+'자금수지(FS)_작성시트'!K241</f>
        <v>30.4</v>
      </c>
      <c r="H15" s="53">
        <f>+'자금수지(FS)_작성시트'!L232+'자금수지(FS)_작성시트'!L235+'자금수지(FS)_작성시트'!L238+'자금수지(FS)_작성시트'!L241</f>
        <v>88.969388530892999</v>
      </c>
      <c r="I15" s="53">
        <f>+'자금수지(FS)_작성시트'!M232+'자금수지(FS)_작성시트'!M235+'자금수지(FS)_작성시트'!M238+'자금수지(FS)_작성시트'!M241</f>
        <v>99.133653049455859</v>
      </c>
      <c r="J15" s="53">
        <f>+'자금수지(FS)_작성시트'!N232+'자금수지(FS)_작성시트'!N235+'자금수지(FS)_작성시트'!N238+'자금수지(FS)_작성시트'!N241</f>
        <v>380.02655681756585</v>
      </c>
      <c r="K15" s="53">
        <f>+'자금수지(FS)_작성시트'!O232+'자금수지(FS)_작성시트'!O235+'자금수지(FS)_작성시트'!O238+'자금수지(FS)_작성시트'!O241</f>
        <v>209.51374501584601</v>
      </c>
      <c r="L15" s="53">
        <f>+'자금수지(FS)_작성시트'!P232+'자금수지(FS)_작성시트'!P235+'자금수지(FS)_작성시트'!P238+'자금수지(FS)_작성시트'!P241</f>
        <v>250.43770151409601</v>
      </c>
      <c r="M15" s="53">
        <f>+'자금수지(FS)_작성시트'!Q232+'자금수지(FS)_작성시트'!Q235+'자금수지(FS)_작성시트'!Q238+'자금수지(FS)_작성시트'!Q241</f>
        <v>224.45152475382099</v>
      </c>
      <c r="N15" s="69">
        <f>+'자금수지(FS)_작성시트'!R232+'자금수지(FS)_작성시트'!R235+'자금수지(FS)_작성시트'!R238+'자금수지(FS)_작성시트'!R241</f>
        <v>0</v>
      </c>
      <c r="O15" s="53">
        <f>+'자금수지(FS)_작성시트'!T232+'자금수지(FS)_작성시트'!T235+'자금수지(FS)_작성시트'!T238+'자금수지(FS)_작성시트'!T241+'자금수지(FS)_작성시트'!T244</f>
        <v>645.82342363775138</v>
      </c>
      <c r="P15" s="53">
        <f>+'자금수지(FS)_작성시트'!U232+'자금수지(FS)_작성시트'!U235+'자금수지(FS)_작성시트'!U238+'자금수지(FS)_작성시트'!U241+'자금수지(FS)_작성시트'!U244</f>
        <v>438.92278399853228</v>
      </c>
      <c r="Q15" s="53">
        <f>+'자금수지(FS)_작성시트'!V232+'자금수지(FS)_작성시트'!V235+'자금수지(FS)_작성시트'!V238+'자금수지(FS)_작성시트'!V241+'자금수지(FS)_작성시트'!V244</f>
        <v>458.8060923107538</v>
      </c>
      <c r="R15" s="53">
        <f>+'자금수지(FS)_작성시트'!W232+'자금수지(FS)_작성시트'!W235+'자금수지(FS)_작성시트'!W238+'자금수지(FS)_작성시트'!W241+'자금수지(FS)_작성시트'!W244</f>
        <v>1033.5568091762909</v>
      </c>
      <c r="S15" s="53">
        <f>+'자금수지(FS)_작성시트'!X232+'자금수지(FS)_작성시트'!X235+'자금수지(FS)_작성시트'!X238+'자금수지(FS)_작성시트'!X241+'자금수지(FS)_작성시트'!X244</f>
        <v>156.41690105916507</v>
      </c>
      <c r="T15" s="53">
        <f>+'자금수지(FS)_작성시트'!Y232+'자금수지(FS)_작성시트'!Y235+'자금수지(FS)_작성시트'!Y238+'자금수지(FS)_작성시트'!Y241+'자금수지(FS)_작성시트'!Y244</f>
        <v>3617.1600681647051</v>
      </c>
      <c r="U15" s="53">
        <f>+'자금수지(FS)_작성시트'!Z232+'자금수지(FS)_작성시트'!Z235+'자금수지(FS)_작성시트'!Z238+'자금수지(FS)_작성시트'!Z241+'자금수지(FS)_작성시트'!Z244</f>
        <v>0.54991034070531974</v>
      </c>
      <c r="V15" s="53">
        <f>+'자금수지(FS)_작성시트'!AA232+'자금수지(FS)_작성시트'!AA235+'자금수지(FS)_작성시트'!AA238+'자금수지(FS)_작성시트'!AA241+'자금수지(FS)_작성시트'!AA244</f>
        <v>1.6287299927612</v>
      </c>
      <c r="W15" s="53">
        <f>+'자금수지(FS)_작성시트'!AB232+'자금수지(FS)_작성시트'!AB235+'자금수지(FS)_작성시트'!AB238+'자금수지(FS)_작성시트'!AB241+'자금수지(FS)_작성시트'!AB244</f>
        <v>0</v>
      </c>
      <c r="X15" s="53">
        <f>+'자금수지(FS)_작성시트'!AC232+'자금수지(FS)_작성시트'!AC235+'자금수지(FS)_작성시트'!AC238+'자금수지(FS)_작성시트'!AC241+'자금수지(FS)_작성시트'!AC244</f>
        <v>3313.5185956379701</v>
      </c>
      <c r="Y15" s="53">
        <f>+'자금수지(FS)_작성시트'!AD232+'자금수지(FS)_작성시트'!AD235+'자금수지(FS)_작성시트'!AD238+'자금수지(FS)_작성시트'!AD241+'자금수지(FS)_작성시트'!AD244</f>
        <v>329.900561559506</v>
      </c>
      <c r="Z15" s="53">
        <f>+'자금수지(FS)_작성시트'!AE232+'자금수지(FS)_작성시트'!AE235+'자금수지(FS)_작성시트'!AE238+'자금수지(FS)_작성시트'!AE241+'자금수지(FS)_작성시트'!AE244</f>
        <v>570.88685734243199</v>
      </c>
      <c r="AA15" s="53">
        <f>+'자금수지(FS)_작성시트'!AG232+'자금수지(FS)_작성시트'!AG235+'자금수지(FS)_작성시트'!AG238+'자금수지(FS)_작성시트'!AG241+'자금수지(FS)_작성시트'!AG244</f>
        <v>0</v>
      </c>
      <c r="AB15" s="53">
        <f>+'자금수지(FS)_작성시트'!AH232+'자금수지(FS)_작성시트'!AH235+'자금수지(FS)_작성시트'!AH238+'자금수지(FS)_작성시트'!AH241+'자금수지(FS)_작성시트'!AH244</f>
        <v>3136.5147738791361</v>
      </c>
      <c r="AC15" s="53">
        <f>+'자금수지(FS)_작성시트'!AI232+'자금수지(FS)_작성시트'!AI235+'자금수지(FS)_작성시트'!AI238+'자금수지(FS)_작성시트'!AI241+'자금수지(FS)_작성시트'!AI244</f>
        <v>594.13027609698474</v>
      </c>
      <c r="AD15" s="53">
        <f>+'자금수지(FS)_작성시트'!AJ232+'자금수지(FS)_작성시트'!AJ235+'자금수지(FS)_작성시트'!AJ238+'자금수지(FS)_작성시트'!AJ241+'자금수지(FS)_작성시트'!AJ244</f>
        <v>2368.7443612310008</v>
      </c>
      <c r="AE15" s="53">
        <f>+'자금수지(FS)_작성시트'!AK232+'자금수지(FS)_작성시트'!AK235+'자금수지(FS)_작성시트'!AK238+'자금수지(FS)_작성시트'!AK241+'자금수지(FS)_작성시트'!AK244</f>
        <v>4033.1724290592388</v>
      </c>
      <c r="AF15" s="53">
        <f>+'자금수지(FS)_작성시트'!AL232+'자금수지(FS)_작성시트'!AL235+'자금수지(FS)_작성시트'!AL238+'자금수지(FS)_작성시트'!AL241+'자금수지(FS)_작성시트'!AL244</f>
        <v>10412.820912234252</v>
      </c>
      <c r="AG15" s="53">
        <f>+'자금수지(FS)_작성시트'!AM232+'자금수지(FS)_작성시트'!AM235+'자금수지(FS)_작성시트'!AM238+'자금수지(FS)_작성시트'!AM241+'자금수지(FS)_작성시트'!AM244</f>
        <v>6532.1869608546476</v>
      </c>
      <c r="AH15" s="53">
        <f>+'자금수지(FS)_작성시트'!AN232+'자금수지(FS)_작성시트'!AN235+'자금수지(FS)_작성시트'!AN238+'자금수지(FS)_작성시트'!AN241+'자금수지(FS)_작성시트'!AN244</f>
        <v>1015.4111781504701</v>
      </c>
      <c r="AI15" s="53">
        <f>+'자금수지(FS)_작성시트'!AO232+'자금수지(FS)_작성시트'!AO235+'자금수지(FS)_작성시트'!AO238+'자금수지(FS)_작성시트'!AO241+'자금수지(FS)_작성시트'!AO244</f>
        <v>38.315473341412101</v>
      </c>
      <c r="AJ15" s="53">
        <f>+'자금수지(FS)_작성시트'!AP232+'자금수지(FS)_작성시트'!AP235+'자금수지(FS)_작성시트'!AP238+'자금수지(FS)_작성시트'!AP241+'자금수지(FS)_작성시트'!AP244</f>
        <v>0</v>
      </c>
      <c r="AK15" s="53">
        <f>+'자금수지(FS)_작성시트'!AQ232+'자금수지(FS)_작성시트'!AQ235+'자금수지(FS)_작성시트'!AQ238+'자금수지(FS)_작성시트'!AQ241+'자금수지(FS)_작성시트'!AQ244</f>
        <v>414</v>
      </c>
      <c r="AL15" s="53">
        <f>+'자금수지(FS)_작성시트'!AR232+'자금수지(FS)_작성시트'!AR235+'자금수지(FS)_작성시트'!AR238+'자금수지(FS)_작성시트'!AR241+'자금수지(FS)_작성시트'!AR244</f>
        <v>57261.803652968032</v>
      </c>
      <c r="AM15" s="53">
        <f>+'자금수지(FS)_작성시트'!AT232+'자금수지(FS)_작성시트'!AT235+'자금수지(FS)_작성시트'!AT238+'자금수지(FS)_작성시트'!AT241+'자금수지(FS)_작성시트'!AT244</f>
        <v>3237.6683547493553</v>
      </c>
      <c r="AN15" s="53">
        <f>+'자금수지(FS)_작성시트'!AU232+'자금수지(FS)_작성시트'!AU235+'자금수지(FS)_작성시트'!AU238+'자금수지(FS)_작성시트'!AU241+'자금수지(FS)_작성시트'!AU244</f>
        <v>288.79438826178375</v>
      </c>
      <c r="AO15" s="53">
        <f>+'자금수지(FS)_작성시트'!AV232+'자금수지(FS)_작성시트'!AV235+'자금수지(FS)_작성시트'!AV238+'자금수지(FS)_작성시트'!AV241+'자금수지(FS)_작성시트'!AV244</f>
        <v>1604.7330152696672</v>
      </c>
      <c r="AP15" s="53">
        <f>+'자금수지(FS)_작성시트'!AW232+'자금수지(FS)_작성시트'!AW235+'자금수지(FS)_작성시트'!AW238+'자금수지(FS)_작성시트'!AW241+'자금수지(FS)_작성시트'!AW244</f>
        <v>1403.6951325922835</v>
      </c>
      <c r="AQ15" s="53">
        <f>+'자금수지(FS)_작성시트'!AX232+'자금수지(FS)_작성시트'!AX235+'자금수지(FS)_작성시트'!AX238+'자금수지(FS)_작성시트'!AX241+'자금수지(FS)_작성시트'!AX244-AQ12</f>
        <v>157.86309344729344</v>
      </c>
      <c r="AR15" s="53">
        <f>+'자금수지(FS)_작성시트'!AY232+'자금수지(FS)_작성시트'!AY235+'자금수지(FS)_작성시트'!AY238+'자금수지(FS)_작성시트'!AY241+'자금수지(FS)_작성시트'!AY244-AR12</f>
        <v>0</v>
      </c>
      <c r="AS15" s="53">
        <f>+'자금수지(FS)_작성시트'!AZ232+'자금수지(FS)_작성시트'!AZ235+'자금수지(FS)_작성시트'!AZ238+'자금수지(FS)_작성시트'!AZ241+'자금수지(FS)_작성시트'!AZ244</f>
        <v>19736</v>
      </c>
      <c r="AT15" s="53">
        <f>+'자금수지(FS)_작성시트'!BA232+'자금수지(FS)_작성시트'!BA235+'자금수지(FS)_작성시트'!BA238+'자금수지(FS)_작성시트'!BA241+'자금수지(FS)_작성시트'!BA244-AT12</f>
        <v>152.03</v>
      </c>
      <c r="AU15" s="53">
        <f>+'자금수지(FS)_작성시트'!BB232+'자금수지(FS)_작성시트'!BB235+'자금수지(FS)_작성시트'!BB238+'자금수지(FS)_작성시트'!BB241+'자금수지(FS)_작성시트'!BB244</f>
        <v>8875</v>
      </c>
      <c r="AV15" s="53">
        <f>+'자금수지(FS)_작성시트'!BC232+'자금수지(FS)_작성시트'!BC235+'자금수지(FS)_작성시트'!BC238+'자금수지(FS)_작성시트'!BC241+'자금수지(FS)_작성시트'!BC244</f>
        <v>1010</v>
      </c>
      <c r="AW15" s="53">
        <f>+'자금수지(FS)_작성시트'!BD232+'자금수지(FS)_작성시트'!BD235+'자금수지(FS)_작성시트'!BD238+'자금수지(FS)_작성시트'!BD241+'자금수지(FS)_작성시트'!BD244</f>
        <v>152.03</v>
      </c>
      <c r="AX15" s="53">
        <f>+'자금수지(FS)_작성시트'!BE232+'자금수지(FS)_작성시트'!BE235+'자금수지(FS)_작성시트'!BE238+'자금수지(FS)_작성시트'!BE241+'자금수지(FS)_작성시트'!BE244</f>
        <v>0</v>
      </c>
      <c r="AY15" s="53">
        <f>+'자금수지(FS)_작성시트'!BG232+'자금수지(FS)_작성시트'!BG235+'자금수지(FS)_작성시트'!BG238+'자금수지(FS)_작성시트'!BG241+'자금수지(FS)_작성시트'!BG244</f>
        <v>635</v>
      </c>
      <c r="AZ15" s="53">
        <f>+'자금수지(FS)_작성시트'!BH232+'자금수지(FS)_작성시트'!BH235+'자금수지(FS)_작성시트'!BH238+'자금수지(FS)_작성시트'!BH241+'자금수지(FS)_작성시트'!BH244</f>
        <v>2864.03</v>
      </c>
      <c r="BA15" s="53">
        <f>+'자금수지(FS)_작성시트'!BI232+'자금수지(FS)_작성시트'!BI235+'자금수지(FS)_작성시트'!BI238+'자금수지(FS)_작성시트'!BI241+'자금수지(FS)_작성시트'!BI244</f>
        <v>771</v>
      </c>
      <c r="BB15" s="53">
        <f>+'자금수지(FS)_작성시트'!BJ232+'자금수지(FS)_작성시트'!BJ235+'자금수지(FS)_작성시트'!BJ238+'자금수지(FS)_작성시트'!BJ241+'자금수지(FS)_작성시트'!BJ244</f>
        <v>1823.4197340626658</v>
      </c>
      <c r="BC15" s="53">
        <f>+'자금수지(FS)_작성시트'!BK232+'자금수지(FS)_작성시트'!BK235+'자금수지(FS)_작성시트'!BK238+'자금수지(FS)_작성시트'!BK241+'자금수지(FS)_작성시트'!BK244</f>
        <v>152.03</v>
      </c>
      <c r="BD15" s="53">
        <f>+'자금수지(FS)_작성시트'!BL232+'자금수지(FS)_작성시트'!BL235+'자금수지(FS)_작성시트'!BL238+'자금수지(FS)_작성시트'!BL241+'자금수지(FS)_작성시트'!BL244</f>
        <v>0</v>
      </c>
      <c r="BE15" s="53">
        <f>+'자금수지(FS)_작성시트'!BM232+'자금수지(FS)_작성시트'!BM235+'자금수지(FS)_작성시트'!BM238+'자금수지(FS)_작성시트'!BM241+'자금수지(FS)_작성시트'!BM244</f>
        <v>57725.25531132138</v>
      </c>
      <c r="BF15" s="53">
        <f>+'자금수지(FS)_작성시트'!BN232+'자금수지(FS)_작성시트'!BN235+'자금수지(FS)_작성시트'!BN238+'자금수지(FS)_작성시트'!BN241+'자금수지(FS)_작성시트'!BN244</f>
        <v>152.03</v>
      </c>
      <c r="BG15" s="53">
        <f>+'자금수지(FS)_작성시트'!BO232+'자금수지(FS)_작성시트'!BO235+'자금수지(FS)_작성시트'!BO238+'자금수지(FS)_작성시트'!BO241+'자금수지(FS)_작성시트'!BO244</f>
        <v>7458</v>
      </c>
      <c r="BH15" s="53">
        <f>+'자금수지(FS)_작성시트'!BP232+'자금수지(FS)_작성시트'!BP235+'자금수지(FS)_작성시트'!BP238+'자금수지(FS)_작성시트'!BP241+'자금수지(FS)_작성시트'!BP244</f>
        <v>3077.9160317875608</v>
      </c>
      <c r="BI15" s="53">
        <f>+'자금수지(FS)_작성시트'!BQ232+'자금수지(FS)_작성시트'!BQ235+'자금수지(FS)_작성시트'!BQ238+'자금수지(FS)_작성시트'!BQ241+'자금수지(FS)_작성시트'!BQ244</f>
        <v>152.03</v>
      </c>
      <c r="BJ15" s="53">
        <f>+'자금수지(FS)_작성시트'!BR232+'자금수지(FS)_작성시트'!BR235+'자금수지(FS)_작성시트'!BR238+'자금수지(FS)_작성시트'!BR241+'자금수지(FS)_작성시트'!BR244</f>
        <v>0</v>
      </c>
      <c r="BK15" s="53">
        <f>+'자금수지(FS)_작성시트'!BT232+'자금수지(FS)_작성시트'!BT235+'자금수지(FS)_작성시트'!BT238+'자금수지(FS)_작성시트'!BT241+'자금수지(FS)_작성시트'!BT244</f>
        <v>1022</v>
      </c>
      <c r="BL15" s="53">
        <f>+'자금수지(FS)_작성시트'!BU232+'자금수지(FS)_작성시트'!BU235+'자금수지(FS)_작성시트'!BU238+'자금수지(FS)_작성시트'!BU241+'자금수지(FS)_작성시트'!BU244</f>
        <v>152.03</v>
      </c>
      <c r="BM15" s="53">
        <f>+'자금수지(FS)_작성시트'!BV232+'자금수지(FS)_작성시트'!BV235+'자금수지(FS)_작성시트'!BV238+'자금수지(FS)_작성시트'!BV241+'자금수지(FS)_작성시트'!BV244</f>
        <v>2140</v>
      </c>
      <c r="BN15" s="53">
        <f>+'자금수지(FS)_작성시트'!BW232+'자금수지(FS)_작성시트'!BW235+'자금수지(FS)_작성시트'!BW238+'자금수지(FS)_작성시트'!BW241+'자금수지(FS)_작성시트'!BW244</f>
        <v>2848.9146030491652</v>
      </c>
      <c r="BO15" s="53">
        <f>+'자금수지(FS)_작성시트'!BX232+'자금수지(FS)_작성시트'!BX235+'자금수지(FS)_작성시트'!BX238+'자금수지(FS)_작성시트'!BX241+'자금수지(FS)_작성시트'!BX244</f>
        <v>152.03</v>
      </c>
      <c r="BP15" s="53">
        <f>+'자금수지(FS)_작성시트'!BY232+'자금수지(FS)_작성시트'!BY235+'자금수지(FS)_작성시트'!BY238+'자금수지(FS)_작성시트'!BY241+'자금수지(FS)_작성시트'!BY244</f>
        <v>6780</v>
      </c>
      <c r="BQ15" s="53">
        <f>+'자금수지(FS)_작성시트'!BZ232+'자금수지(FS)_작성시트'!BZ235+'자금수지(FS)_작성시트'!BZ238+'자금수지(FS)_작성시트'!BZ241+'자금수지(FS)_작성시트'!BZ244</f>
        <v>3204.022064492146</v>
      </c>
      <c r="BR15" s="53">
        <f>+'자금수지(FS)_작성시트'!CA232+'자금수지(FS)_작성시트'!CA235+'자금수지(FS)_작성시트'!CA238+'자금수지(FS)_작성시트'!CA241+'자금수지(FS)_작성시트'!CA244</f>
        <v>152.03</v>
      </c>
      <c r="BS15" s="53">
        <f>+'자금수지(FS)_작성시트'!CB232+'자금수지(FS)_작성시트'!CB235+'자금수지(FS)_작성시트'!CB238+'자금수지(FS)_작성시트'!CB241+'자금수지(FS)_작성시트'!CB244</f>
        <v>0</v>
      </c>
      <c r="BT15" s="53">
        <f>+'자금수지(FS)_작성시트'!CC232+'자금수지(FS)_작성시트'!CC235+'자금수지(FS)_작성시트'!CC238+'자금수지(FS)_작성시트'!CC241+'자금수지(FS)_작성시트'!CC244</f>
        <v>3432.9644611281628</v>
      </c>
      <c r="BU15" s="53">
        <f>+'자금수지(FS)_작성시트'!CD232+'자금수지(FS)_작성시트'!CD235+'자금수지(FS)_작성시트'!CD238+'자금수지(FS)_작성시트'!CD241+'자금수지(FS)_작성시트'!CD244</f>
        <v>152.03</v>
      </c>
      <c r="BV15" s="53">
        <f>+'자금수지(FS)_작성시트'!CE232+'자금수지(FS)_작성시트'!CE235+'자금수지(FS)_작성시트'!CE238+'자금수지(FS)_작성시트'!CE241+'자금수지(FS)_작성시트'!CE244</f>
        <v>0</v>
      </c>
      <c r="BW15" s="53">
        <f>+'자금수지(FS)_작성시트'!CG232+'자금수지(FS)_작성시트'!CG235+'자금수지(FS)_작성시트'!CG238+'자금수지(FS)_작성시트'!CG241+'자금수지(FS)_작성시트'!CG244</f>
        <v>83</v>
      </c>
      <c r="BX15" s="53">
        <f>+'자금수지(FS)_작성시트'!CH232+'자금수지(FS)_작성시트'!CH235+'자금수지(FS)_작성시트'!CH238+'자금수지(FS)_작성시트'!CH241+'자금수지(FS)_작성시트'!CH244</f>
        <v>6932.03</v>
      </c>
      <c r="BY15" s="53">
        <f>+'자금수지(FS)_작성시트'!CI232+'자금수지(FS)_작성시트'!CI235+'자금수지(FS)_작성시트'!CI238+'자금수지(FS)_작성시트'!CI241+'자금수지(FS)_작성시트'!CI244</f>
        <v>1735</v>
      </c>
      <c r="BZ15" s="53">
        <f>+'자금수지(FS)_작성시트'!CJ232+'자금수지(FS)_작성시트'!CJ235+'자금수지(FS)_작성시트'!CJ238+'자금수지(FS)_작성시트'!CJ241+'자금수지(FS)_작성시트'!CJ244</f>
        <v>332.14730752411708</v>
      </c>
      <c r="CA15" s="53">
        <f>+'자금수지(FS)_작성시트'!CK232+'자금수지(FS)_작성시트'!CK235+'자금수지(FS)_작성시트'!CK238+'자금수지(FS)_작성시트'!CK241+'자금수지(FS)_작성시트'!CK244</f>
        <v>152.03</v>
      </c>
      <c r="CB15" s="53">
        <f>+'자금수지(FS)_작성시트'!CL232+'자금수지(FS)_작성시트'!CL235+'자금수지(FS)_작성시트'!CL238+'자금수지(FS)_작성시트'!CL241+'자금수지(FS)_작성시트'!CL244</f>
        <v>10170</v>
      </c>
      <c r="CC15" s="53">
        <f>+'자금수지(FS)_작성시트'!CM232+'자금수지(FS)_작성시트'!CM235+'자금수지(FS)_작성시트'!CM238+'자금수지(FS)_작성시트'!CM241+'자금수지(FS)_작성시트'!CM244</f>
        <v>485.54710138291853</v>
      </c>
      <c r="CD15" s="53">
        <f>+'자금수지(FS)_작성시트'!CN232+'자금수지(FS)_작성시트'!CN235+'자금수지(FS)_작성시트'!CN238+'자금수지(FS)_작성시트'!CN241+'자금수지(FS)_작성시트'!CN244</f>
        <v>152.03</v>
      </c>
      <c r="CE15" s="53">
        <f>+'자금수지(FS)_작성시트'!CO232+'자금수지(FS)_작성시트'!CO235+'자금수지(FS)_작성시트'!CO238+'자금수지(FS)_작성시트'!CO241+'자금수지(FS)_작성시트'!CO244</f>
        <v>0</v>
      </c>
      <c r="CF15" s="53">
        <f>+'자금수지(FS)_작성시트'!CP232+'자금수지(FS)_작성시트'!CP235+'자금수지(FS)_작성시트'!CP238+'자금수지(FS)_작성시트'!CP241+'자금수지(FS)_작성시트'!CP244</f>
        <v>7202.3769576861814</v>
      </c>
      <c r="CG15" s="53">
        <f>+'자금수지(FS)_작성시트'!CQ232+'자금수지(FS)_작성시트'!CQ235+'자금수지(FS)_작성시트'!CQ238+'자금수지(FS)_작성시트'!CQ241+'자금수지(FS)_작성시트'!CQ244</f>
        <v>152.03</v>
      </c>
      <c r="CH15" s="53">
        <f>+'자금수지(FS)_작성시트'!CR232+'자금수지(FS)_작성시트'!CR235+'자금수지(FS)_작성시트'!CR238+'자금수지(FS)_작성시트'!CR241+'자금수지(FS)_작성시트'!CR244</f>
        <v>0</v>
      </c>
    </row>
    <row r="16" spans="1:86">
      <c r="A16" s="622"/>
      <c r="B16" s="60" t="s">
        <v>10</v>
      </c>
      <c r="C16" s="52">
        <f>SUM(C11:C15)</f>
        <v>1764.8660869426906</v>
      </c>
      <c r="D16" s="52">
        <f t="shared" ref="D16:AX16" si="5">SUM(D11:D15)</f>
        <v>1889.2269507713224</v>
      </c>
      <c r="E16" s="52">
        <f t="shared" si="5"/>
        <v>1738.4785335712731</v>
      </c>
      <c r="F16" s="52">
        <f t="shared" si="5"/>
        <v>1144.9061863143113</v>
      </c>
      <c r="G16" s="52">
        <f t="shared" si="5"/>
        <v>2092.5812125751077</v>
      </c>
      <c r="H16" s="52">
        <f t="shared" si="5"/>
        <v>1214.7682576054817</v>
      </c>
      <c r="I16" s="52">
        <f t="shared" si="5"/>
        <v>1582.2964944625228</v>
      </c>
      <c r="J16" s="52">
        <f t="shared" si="5"/>
        <v>1264.5128724373312</v>
      </c>
      <c r="K16" s="52">
        <f t="shared" si="5"/>
        <v>1187.4504331071323</v>
      </c>
      <c r="L16" s="52">
        <f t="shared" si="5"/>
        <v>1611.1538624086386</v>
      </c>
      <c r="M16" s="52">
        <f t="shared" si="5"/>
        <v>1472.2853252939121</v>
      </c>
      <c r="N16" s="70">
        <f t="shared" si="5"/>
        <v>1552.2888624116426</v>
      </c>
      <c r="O16" s="52">
        <f t="shared" si="5"/>
        <v>2968.1642335820461</v>
      </c>
      <c r="P16" s="74">
        <f t="shared" si="5"/>
        <v>1558.8295900492271</v>
      </c>
      <c r="Q16" s="52">
        <f t="shared" si="5"/>
        <v>1415.8205834561641</v>
      </c>
      <c r="R16" s="52">
        <f t="shared" si="5"/>
        <v>2008.5723402933231</v>
      </c>
      <c r="S16" s="52">
        <f t="shared" si="5"/>
        <v>1177.7124227362669</v>
      </c>
      <c r="T16" s="52">
        <f t="shared" si="5"/>
        <v>4681.7359108310557</v>
      </c>
      <c r="U16" s="52">
        <f t="shared" si="5"/>
        <v>1223.5421457660889</v>
      </c>
      <c r="V16" s="52">
        <f t="shared" si="5"/>
        <v>1237.3043051958498</v>
      </c>
      <c r="W16" s="52">
        <f t="shared" si="5"/>
        <v>1110.4106578658759</v>
      </c>
      <c r="X16" s="52">
        <f t="shared" si="5"/>
        <v>4742.3072601165968</v>
      </c>
      <c r="Y16" s="52">
        <f t="shared" si="5"/>
        <v>3945.2390354927811</v>
      </c>
      <c r="Z16" s="52">
        <f t="shared" si="5"/>
        <v>6644.1136825965823</v>
      </c>
      <c r="AA16" s="52">
        <f t="shared" si="5"/>
        <v>5424.943206995461</v>
      </c>
      <c r="AB16" s="52">
        <f t="shared" si="5"/>
        <v>4383.3891323903999</v>
      </c>
      <c r="AC16" s="52">
        <f t="shared" si="5"/>
        <v>1923.3125986070461</v>
      </c>
      <c r="AD16" s="52">
        <f t="shared" si="5"/>
        <v>5357.2594752509149</v>
      </c>
      <c r="AE16" s="52">
        <f t="shared" si="5"/>
        <v>7990.0125235047508</v>
      </c>
      <c r="AF16" s="52">
        <f t="shared" si="5"/>
        <v>13869.212627051198</v>
      </c>
      <c r="AG16" s="52">
        <f t="shared" si="5"/>
        <v>9115.4618396679798</v>
      </c>
      <c r="AH16" s="52">
        <f t="shared" si="5"/>
        <v>7845.2866844196469</v>
      </c>
      <c r="AI16" s="52">
        <f t="shared" si="5"/>
        <v>2964.2778411605509</v>
      </c>
      <c r="AJ16" s="52">
        <f t="shared" si="5"/>
        <v>2124.146086516897</v>
      </c>
      <c r="AK16" s="52">
        <f t="shared" si="5"/>
        <v>4509.7157883908603</v>
      </c>
      <c r="AL16" s="52">
        <f t="shared" si="5"/>
        <v>67229.826109931499</v>
      </c>
      <c r="AM16" s="52">
        <f t="shared" si="5"/>
        <v>13154.047608933175</v>
      </c>
      <c r="AN16" s="52">
        <f t="shared" si="5"/>
        <v>5970.2766644978901</v>
      </c>
      <c r="AO16" s="52">
        <f t="shared" si="5"/>
        <v>5119.6715428809848</v>
      </c>
      <c r="AP16" s="52">
        <f t="shared" si="5"/>
        <v>6833.7497748017759</v>
      </c>
      <c r="AQ16" s="52">
        <f t="shared" si="5"/>
        <v>7301.3232023931614</v>
      </c>
      <c r="AR16" s="52">
        <f>SUM(AR11:AR15)</f>
        <v>6854.5051747576517</v>
      </c>
      <c r="AS16" s="52">
        <f t="shared" si="5"/>
        <v>29733.144384075313</v>
      </c>
      <c r="AT16" s="52">
        <f t="shared" si="5"/>
        <v>8227.3738454430149</v>
      </c>
      <c r="AU16" s="52">
        <f t="shared" si="5"/>
        <v>16116.32494653409</v>
      </c>
      <c r="AV16" s="52">
        <f t="shared" si="5"/>
        <v>8953.2786616836165</v>
      </c>
      <c r="AW16" s="52">
        <f t="shared" si="5"/>
        <v>13801.604257214754</v>
      </c>
      <c r="AX16" s="52">
        <f t="shared" si="5"/>
        <v>17076.536729383624</v>
      </c>
      <c r="AY16" s="52">
        <f t="shared" ref="AY16:BJ16" si="6">SUM(AY11:AY15)</f>
        <v>16304.218757474522</v>
      </c>
      <c r="AZ16" s="52">
        <f t="shared" si="6"/>
        <v>22534.058196508446</v>
      </c>
      <c r="BA16" s="52">
        <f t="shared" si="6"/>
        <v>22084.044573094052</v>
      </c>
      <c r="BB16" s="52">
        <f t="shared" si="6"/>
        <v>28454.837450816511</v>
      </c>
      <c r="BC16" s="52">
        <f t="shared" si="6"/>
        <v>27408.345241724299</v>
      </c>
      <c r="BD16" s="52">
        <f t="shared" si="6"/>
        <v>27764.221636986265</v>
      </c>
      <c r="BE16" s="52">
        <f t="shared" si="6"/>
        <v>101205.61570549906</v>
      </c>
      <c r="BF16" s="52">
        <f t="shared" si="6"/>
        <v>25863.854047397421</v>
      </c>
      <c r="BG16" s="52">
        <f t="shared" si="6"/>
        <v>32813.232628665508</v>
      </c>
      <c r="BH16" s="52">
        <f t="shared" si="6"/>
        <v>27146.748145197627</v>
      </c>
      <c r="BI16" s="52">
        <f t="shared" si="6"/>
        <v>24861.95546227217</v>
      </c>
      <c r="BJ16" s="52">
        <f t="shared" si="6"/>
        <v>25366.18662629445</v>
      </c>
      <c r="BK16" s="52">
        <f t="shared" ref="BK16:BV16" si="7">SUM(BK11:BK15)</f>
        <v>25982.918285256212</v>
      </c>
      <c r="BL16" s="52">
        <f t="shared" si="7"/>
        <v>27201.442093810187</v>
      </c>
      <c r="BM16" s="52">
        <f t="shared" si="7"/>
        <v>29072.266540381373</v>
      </c>
      <c r="BN16" s="52">
        <f t="shared" si="7"/>
        <v>29648.277289129244</v>
      </c>
      <c r="BO16" s="52">
        <f t="shared" si="7"/>
        <v>25341.97081105844</v>
      </c>
      <c r="BP16" s="52">
        <f t="shared" si="7"/>
        <v>32906.89376565149</v>
      </c>
      <c r="BQ16" s="52">
        <f t="shared" si="7"/>
        <v>29678.50453705015</v>
      </c>
      <c r="BR16" s="52">
        <f t="shared" si="7"/>
        <v>38649.950387738681</v>
      </c>
      <c r="BS16" s="52">
        <f t="shared" si="7"/>
        <v>25202.360211108949</v>
      </c>
      <c r="BT16" s="52">
        <f t="shared" si="7"/>
        <v>29229.461589111092</v>
      </c>
      <c r="BU16" s="52">
        <f t="shared" si="7"/>
        <v>26370.524614959526</v>
      </c>
      <c r="BV16" s="52">
        <f t="shared" si="7"/>
        <v>26451.429063942163</v>
      </c>
      <c r="BW16" s="52">
        <f t="shared" ref="BW16" si="8">SUM(BW11:BW15)</f>
        <v>25183.864456802479</v>
      </c>
      <c r="BX16" s="52">
        <f t="shared" ref="BX16:CH16" si="9">SUM(BX11:BX15)</f>
        <v>32803.752318565108</v>
      </c>
      <c r="BY16" s="52">
        <f t="shared" si="9"/>
        <v>28542.291717219581</v>
      </c>
      <c r="BZ16" s="52">
        <f t="shared" si="9"/>
        <v>25877.059131859969</v>
      </c>
      <c r="CA16" s="52">
        <f t="shared" si="9"/>
        <v>26349.13574173017</v>
      </c>
      <c r="CB16" s="52">
        <f t="shared" si="9"/>
        <v>36871.149653268942</v>
      </c>
      <c r="CC16" s="52">
        <f t="shared" si="9"/>
        <v>25227.94835597686</v>
      </c>
      <c r="CD16" s="52">
        <f t="shared" si="9"/>
        <v>22805.913471478001</v>
      </c>
      <c r="CE16" s="52">
        <f t="shared" si="9"/>
        <v>22532.817887448684</v>
      </c>
      <c r="CF16" s="52">
        <f t="shared" si="9"/>
        <v>31144.094932482916</v>
      </c>
      <c r="CG16" s="52">
        <f t="shared" si="9"/>
        <v>14327.255964960121</v>
      </c>
      <c r="CH16" s="52">
        <f t="shared" si="9"/>
        <v>14320.370864222734</v>
      </c>
    </row>
    <row r="17" spans="1:86" ht="17.45" customHeight="1">
      <c r="A17" s="623" t="s">
        <v>55</v>
      </c>
      <c r="B17" s="61" t="s">
        <v>56</v>
      </c>
      <c r="C17" s="48">
        <f>+C10-C16</f>
        <v>912.93361679763598</v>
      </c>
      <c r="D17" s="48">
        <f t="shared" ref="D17:AX17" si="10">+D10-D16</f>
        <v>725.81326665870324</v>
      </c>
      <c r="E17" s="48">
        <f t="shared" si="10"/>
        <v>-62.923031595327757</v>
      </c>
      <c r="F17" s="48">
        <f t="shared" si="10"/>
        <v>-18.497689365450242</v>
      </c>
      <c r="G17" s="48">
        <f t="shared" si="10"/>
        <v>-1126.3112997854082</v>
      </c>
      <c r="H17" s="48">
        <f t="shared" si="10"/>
        <v>1381.5692083915264</v>
      </c>
      <c r="I17" s="48">
        <f t="shared" si="10"/>
        <v>252.55690481391889</v>
      </c>
      <c r="J17" s="48">
        <f t="shared" si="10"/>
        <v>-592.81642109729773</v>
      </c>
      <c r="K17" s="48">
        <f t="shared" si="10"/>
        <v>-346.95700202829403</v>
      </c>
      <c r="L17" s="48">
        <f t="shared" si="10"/>
        <v>-612.81543200240139</v>
      </c>
      <c r="M17" s="48">
        <f t="shared" si="10"/>
        <v>24445.382071299355</v>
      </c>
      <c r="N17" s="71">
        <f t="shared" si="10"/>
        <v>1475.0626602291086</v>
      </c>
      <c r="O17" s="48">
        <f t="shared" si="10"/>
        <v>-293.27534528000251</v>
      </c>
      <c r="P17" s="75">
        <f t="shared" si="10"/>
        <v>-307.91035488978264</v>
      </c>
      <c r="Q17" s="48">
        <f t="shared" si="10"/>
        <v>-785.0620463724922</v>
      </c>
      <c r="R17" s="48">
        <f t="shared" si="10"/>
        <v>-1257.5062503820018</v>
      </c>
      <c r="S17" s="48">
        <f t="shared" si="10"/>
        <v>-198.1295889802235</v>
      </c>
      <c r="T17" s="48">
        <f t="shared" si="10"/>
        <v>-3810.9625004438717</v>
      </c>
      <c r="U17" s="48">
        <f t="shared" si="10"/>
        <v>80960.010535290756</v>
      </c>
      <c r="V17" s="48">
        <f t="shared" si="10"/>
        <v>1785.5498418666543</v>
      </c>
      <c r="W17" s="48">
        <f t="shared" si="10"/>
        <v>989.77641253696561</v>
      </c>
      <c r="X17" s="48">
        <f t="shared" si="10"/>
        <v>-3852.4527060021601</v>
      </c>
      <c r="Y17" s="48">
        <f t="shared" si="10"/>
        <v>1287.5745682614579</v>
      </c>
      <c r="Z17" s="48">
        <f t="shared" si="10"/>
        <v>25644.124671487494</v>
      </c>
      <c r="AA17" s="48">
        <f t="shared" si="10"/>
        <v>2212.4113273800021</v>
      </c>
      <c r="AB17" s="48">
        <f t="shared" si="10"/>
        <v>-3261.4231418713007</v>
      </c>
      <c r="AC17" s="48">
        <f t="shared" si="10"/>
        <v>-418.63472024186854</v>
      </c>
      <c r="AD17" s="48">
        <f t="shared" si="10"/>
        <v>-2416.7334451890224</v>
      </c>
      <c r="AE17" s="48">
        <f t="shared" si="10"/>
        <v>-1044.602479991393</v>
      </c>
      <c r="AF17" s="48">
        <f t="shared" si="10"/>
        <v>-9584.627610221607</v>
      </c>
      <c r="AG17" s="48">
        <f t="shared" si="10"/>
        <v>-5182.7218160339071</v>
      </c>
      <c r="AH17" s="48">
        <f t="shared" si="10"/>
        <v>-2002.7489069280746</v>
      </c>
      <c r="AI17" s="48">
        <f t="shared" si="10"/>
        <v>-210.69610824882284</v>
      </c>
      <c r="AJ17" s="48">
        <f t="shared" si="10"/>
        <v>278.1889349483522</v>
      </c>
      <c r="AK17" s="48">
        <f t="shared" si="10"/>
        <v>-448.29971518963248</v>
      </c>
      <c r="AL17" s="48">
        <f t="shared" si="10"/>
        <v>-49759.026121308707</v>
      </c>
      <c r="AM17" s="48">
        <f t="shared" si="10"/>
        <v>1341.3357110388661</v>
      </c>
      <c r="AN17" s="48">
        <f t="shared" si="10"/>
        <v>2672.9686275680351</v>
      </c>
      <c r="AO17" s="48">
        <f t="shared" si="10"/>
        <v>-367.91859298338841</v>
      </c>
      <c r="AP17" s="48">
        <f t="shared" si="10"/>
        <v>-1811.5840523540355</v>
      </c>
      <c r="AQ17" s="48">
        <f t="shared" si="10"/>
        <v>-6950.0020498192844</v>
      </c>
      <c r="AR17" s="48">
        <f t="shared" si="10"/>
        <v>-4348.6328581661955</v>
      </c>
      <c r="AS17" s="48">
        <f t="shared" si="10"/>
        <v>-29370.841093835988</v>
      </c>
      <c r="AT17" s="48">
        <f t="shared" si="10"/>
        <v>-1266.2508762746875</v>
      </c>
      <c r="AU17" s="48">
        <f t="shared" si="10"/>
        <v>-10146.530196391199</v>
      </c>
      <c r="AV17" s="48">
        <f t="shared" si="10"/>
        <v>-1258.4944809249164</v>
      </c>
      <c r="AW17" s="48">
        <f t="shared" si="10"/>
        <v>-600.82337165404169</v>
      </c>
      <c r="AX17" s="48">
        <f t="shared" si="10"/>
        <v>-647.43078337929546</v>
      </c>
      <c r="AY17" s="48">
        <f t="shared" ref="AY17:BJ17" si="11">+AY10-AY16</f>
        <v>2013.2830588792967</v>
      </c>
      <c r="AZ17" s="48">
        <f t="shared" si="11"/>
        <v>-7503.6139259015836</v>
      </c>
      <c r="BA17" s="48">
        <f t="shared" si="11"/>
        <v>-4158.1847456563846</v>
      </c>
      <c r="BB17" s="48">
        <f t="shared" si="11"/>
        <v>5765.5629419549841</v>
      </c>
      <c r="BC17" s="48">
        <f t="shared" si="11"/>
        <v>-2876.7781264996338</v>
      </c>
      <c r="BD17" s="48">
        <f t="shared" si="11"/>
        <v>-894.9823743835077</v>
      </c>
      <c r="BE17" s="48">
        <f t="shared" si="11"/>
        <v>3702.5661414063943</v>
      </c>
      <c r="BF17" s="48">
        <f t="shared" si="11"/>
        <v>466.98667841811766</v>
      </c>
      <c r="BG17" s="48">
        <f t="shared" si="11"/>
        <v>-5775.0417220235504</v>
      </c>
      <c r="BH17" s="48">
        <f t="shared" si="11"/>
        <v>-2936.0087274728794</v>
      </c>
      <c r="BI17" s="48">
        <f t="shared" si="11"/>
        <v>3037.2513006500667</v>
      </c>
      <c r="BJ17" s="48">
        <f t="shared" si="11"/>
        <v>5841.7117423635973</v>
      </c>
      <c r="BK17" s="48">
        <f t="shared" ref="BK17:BV17" si="12">+BK10-BK16</f>
        <v>5715.7587931029921</v>
      </c>
      <c r="BL17" s="48">
        <f t="shared" si="12"/>
        <v>3030.2984480070591</v>
      </c>
      <c r="BM17" s="48">
        <f t="shared" si="12"/>
        <v>-2402.1597215597067</v>
      </c>
      <c r="BN17" s="48">
        <f t="shared" si="12"/>
        <v>-2504.4610500377057</v>
      </c>
      <c r="BO17" s="48">
        <f t="shared" si="12"/>
        <v>976.05083658210424</v>
      </c>
      <c r="BP17" s="48">
        <f t="shared" si="12"/>
        <v>-6135.0829371615619</v>
      </c>
      <c r="BQ17" s="48">
        <f t="shared" si="12"/>
        <v>30430.732766365149</v>
      </c>
      <c r="BR17" s="48">
        <f t="shared" si="12"/>
        <v>-10602.057271625905</v>
      </c>
      <c r="BS17" s="48">
        <f t="shared" si="12"/>
        <v>1396.2124721826804</v>
      </c>
      <c r="BT17" s="48">
        <f t="shared" si="12"/>
        <v>-1894.8472485913226</v>
      </c>
      <c r="BU17" s="48">
        <f t="shared" si="12"/>
        <v>1483.469622774126</v>
      </c>
      <c r="BV17" s="48">
        <f t="shared" si="12"/>
        <v>2155.8144392869326</v>
      </c>
      <c r="BW17" s="48">
        <f t="shared" ref="BW17" si="13">+BW10-BW16</f>
        <v>1599.3720715413656</v>
      </c>
      <c r="BX17" s="48">
        <f t="shared" ref="BX17:CH17" si="14">+BX10-BX16</f>
        <v>-5151.2328321842251</v>
      </c>
      <c r="BY17" s="48">
        <f t="shared" si="14"/>
        <v>141.35613593459129</v>
      </c>
      <c r="BZ17" s="48">
        <f t="shared" si="14"/>
        <v>1658.1133196626033</v>
      </c>
      <c r="CA17" s="48">
        <f t="shared" si="14"/>
        <v>1927.8436457962089</v>
      </c>
      <c r="CB17" s="48">
        <f t="shared" si="14"/>
        <v>-8014.669324308783</v>
      </c>
      <c r="CC17" s="48">
        <f t="shared" si="14"/>
        <v>1929.2277969215756</v>
      </c>
      <c r="CD17" s="48">
        <f t="shared" si="14"/>
        <v>1778.8855100487344</v>
      </c>
      <c r="CE17" s="48">
        <f t="shared" si="14"/>
        <v>1935.7695267641684</v>
      </c>
      <c r="CF17" s="48">
        <f t="shared" si="14"/>
        <v>-5200.680897393795</v>
      </c>
      <c r="CG17" s="48">
        <f t="shared" si="14"/>
        <v>1013.1530406933252</v>
      </c>
      <c r="CH17" s="48">
        <f t="shared" si="14"/>
        <v>1631.0385186156582</v>
      </c>
    </row>
    <row r="18" spans="1:86">
      <c r="A18" s="623"/>
      <c r="B18" s="62" t="s">
        <v>57</v>
      </c>
      <c r="C18" s="56">
        <f>21579+C17</f>
        <v>22491.933616797636</v>
      </c>
      <c r="D18" s="56">
        <f>+C18+D17</f>
        <v>23217.746883456341</v>
      </c>
      <c r="E18" s="56">
        <f t="shared" ref="E18:N18" si="15">+D18+E17</f>
        <v>23154.823851861012</v>
      </c>
      <c r="F18" s="56">
        <f t="shared" si="15"/>
        <v>23136.326162495563</v>
      </c>
      <c r="G18" s="56">
        <f t="shared" si="15"/>
        <v>22010.014862710155</v>
      </c>
      <c r="H18" s="56">
        <f t="shared" si="15"/>
        <v>23391.584071101683</v>
      </c>
      <c r="I18" s="56">
        <f t="shared" si="15"/>
        <v>23644.140975915601</v>
      </c>
      <c r="J18" s="56">
        <f t="shared" si="15"/>
        <v>23051.324554818304</v>
      </c>
      <c r="K18" s="56">
        <f t="shared" si="15"/>
        <v>22704.367552790009</v>
      </c>
      <c r="L18" s="56">
        <f t="shared" si="15"/>
        <v>22091.552120787608</v>
      </c>
      <c r="M18" s="56">
        <f t="shared" si="15"/>
        <v>46536.934192086963</v>
      </c>
      <c r="N18" s="72">
        <f t="shared" si="15"/>
        <v>48011.996852316071</v>
      </c>
      <c r="O18" s="262">
        <f t="shared" ref="O18:AT18" si="16">+N18+O17</f>
        <v>47718.721507036069</v>
      </c>
      <c r="P18" s="55">
        <f t="shared" si="16"/>
        <v>47410.811152146285</v>
      </c>
      <c r="Q18" s="56">
        <f t="shared" si="16"/>
        <v>46625.749105773793</v>
      </c>
      <c r="R18" s="56">
        <f t="shared" si="16"/>
        <v>45368.242855391793</v>
      </c>
      <c r="S18" s="56">
        <f t="shared" si="16"/>
        <v>45170.113266411572</v>
      </c>
      <c r="T18" s="56">
        <f t="shared" si="16"/>
        <v>41359.150765967701</v>
      </c>
      <c r="U18" s="56">
        <f t="shared" si="16"/>
        <v>122319.16130125846</v>
      </c>
      <c r="V18" s="56">
        <f t="shared" si="16"/>
        <v>124104.71114312511</v>
      </c>
      <c r="W18" s="56">
        <f t="shared" si="16"/>
        <v>125094.48755566208</v>
      </c>
      <c r="X18" s="56">
        <f t="shared" si="16"/>
        <v>121242.03484965992</v>
      </c>
      <c r="Y18" s="56">
        <f t="shared" si="16"/>
        <v>122529.60941792137</v>
      </c>
      <c r="Z18" s="56">
        <f t="shared" si="16"/>
        <v>148173.73408940886</v>
      </c>
      <c r="AA18" s="56">
        <f t="shared" si="16"/>
        <v>150386.14541678884</v>
      </c>
      <c r="AB18" s="56">
        <f t="shared" si="16"/>
        <v>147124.72227491756</v>
      </c>
      <c r="AC18" s="56">
        <f t="shared" si="16"/>
        <v>146706.0875546757</v>
      </c>
      <c r="AD18" s="56">
        <f t="shared" si="16"/>
        <v>144289.35410948668</v>
      </c>
      <c r="AE18" s="56">
        <f t="shared" si="16"/>
        <v>143244.75162949529</v>
      </c>
      <c r="AF18" s="56">
        <f t="shared" si="16"/>
        <v>133660.12401927367</v>
      </c>
      <c r="AG18" s="56">
        <f t="shared" si="16"/>
        <v>128477.40220323976</v>
      </c>
      <c r="AH18" s="56">
        <f t="shared" si="16"/>
        <v>126474.65329631169</v>
      </c>
      <c r="AI18" s="56">
        <f t="shared" si="16"/>
        <v>126263.95718806286</v>
      </c>
      <c r="AJ18" s="56">
        <f t="shared" si="16"/>
        <v>126542.14612301122</v>
      </c>
      <c r="AK18" s="56">
        <f t="shared" si="16"/>
        <v>126093.84640782159</v>
      </c>
      <c r="AL18" s="56">
        <f t="shared" si="16"/>
        <v>76334.820286512884</v>
      </c>
      <c r="AM18" s="56">
        <f t="shared" si="16"/>
        <v>77676.155997551745</v>
      </c>
      <c r="AN18" s="56">
        <f t="shared" si="16"/>
        <v>80349.124625119774</v>
      </c>
      <c r="AO18" s="56">
        <f t="shared" si="16"/>
        <v>79981.206032136382</v>
      </c>
      <c r="AP18" s="56">
        <f t="shared" si="16"/>
        <v>78169.621979782343</v>
      </c>
      <c r="AQ18" s="56">
        <f t="shared" si="16"/>
        <v>71219.619929963053</v>
      </c>
      <c r="AR18" s="56">
        <f t="shared" si="16"/>
        <v>66870.987071796859</v>
      </c>
      <c r="AS18" s="56">
        <f t="shared" si="16"/>
        <v>37500.14597796087</v>
      </c>
      <c r="AT18" s="56">
        <f t="shared" si="16"/>
        <v>36233.895101686183</v>
      </c>
      <c r="AU18" s="56">
        <f t="shared" ref="AU18:BV18" si="17">+AT18+AU17</f>
        <v>26087.364905294984</v>
      </c>
      <c r="AV18" s="56">
        <f t="shared" si="17"/>
        <v>24828.870424370067</v>
      </c>
      <c r="AW18" s="56">
        <f t="shared" si="17"/>
        <v>24228.047052716025</v>
      </c>
      <c r="AX18" s="264">
        <f t="shared" si="17"/>
        <v>23580.61626933673</v>
      </c>
      <c r="AY18" s="56">
        <f t="shared" si="17"/>
        <v>25593.899328216026</v>
      </c>
      <c r="AZ18" s="56">
        <f t="shared" si="17"/>
        <v>18090.285402314443</v>
      </c>
      <c r="BA18" s="56">
        <f t="shared" si="17"/>
        <v>13932.100656658058</v>
      </c>
      <c r="BB18" s="56">
        <f t="shared" si="17"/>
        <v>19697.663598613042</v>
      </c>
      <c r="BC18" s="56">
        <f t="shared" si="17"/>
        <v>16820.885472113408</v>
      </c>
      <c r="BD18" s="56">
        <f t="shared" si="17"/>
        <v>15925.903097729901</v>
      </c>
      <c r="BE18" s="56">
        <f t="shared" si="17"/>
        <v>19628.469239136295</v>
      </c>
      <c r="BF18" s="56">
        <f t="shared" si="17"/>
        <v>20095.455917554413</v>
      </c>
      <c r="BG18" s="56">
        <f t="shared" si="17"/>
        <v>14320.414195530862</v>
      </c>
      <c r="BH18" s="56">
        <f t="shared" si="17"/>
        <v>11384.405468057983</v>
      </c>
      <c r="BI18" s="56">
        <f t="shared" si="17"/>
        <v>14421.65676870805</v>
      </c>
      <c r="BJ18" s="264">
        <f t="shared" si="17"/>
        <v>20263.368511071647</v>
      </c>
      <c r="BK18" s="56">
        <f t="shared" si="17"/>
        <v>25979.127304174639</v>
      </c>
      <c r="BL18" s="56">
        <f t="shared" si="17"/>
        <v>29009.425752181698</v>
      </c>
      <c r="BM18" s="56">
        <f t="shared" si="17"/>
        <v>26607.266030621991</v>
      </c>
      <c r="BN18" s="56">
        <f t="shared" si="17"/>
        <v>24102.804980584286</v>
      </c>
      <c r="BO18" s="56">
        <f t="shared" si="17"/>
        <v>25078.85581716639</v>
      </c>
      <c r="BP18" s="56">
        <f t="shared" si="17"/>
        <v>18943.772880004828</v>
      </c>
      <c r="BQ18" s="56">
        <f t="shared" si="17"/>
        <v>49374.505646369973</v>
      </c>
      <c r="BR18" s="56">
        <f t="shared" si="17"/>
        <v>38772.448374744068</v>
      </c>
      <c r="BS18" s="56">
        <f t="shared" si="17"/>
        <v>40168.660846926752</v>
      </c>
      <c r="BT18" s="56">
        <f t="shared" si="17"/>
        <v>38273.81359833543</v>
      </c>
      <c r="BU18" s="56">
        <f t="shared" si="17"/>
        <v>39757.283221109552</v>
      </c>
      <c r="BV18" s="264">
        <f t="shared" si="17"/>
        <v>41913.097660396481</v>
      </c>
      <c r="BW18" s="56">
        <f t="shared" ref="BW18" si="18">+BV18+BW17</f>
        <v>43512.469731937847</v>
      </c>
      <c r="BX18" s="56">
        <f t="shared" ref="BX18" si="19">+BW18+BX17</f>
        <v>38361.236899753625</v>
      </c>
      <c r="BY18" s="56">
        <f t="shared" ref="BY18" si="20">+BX18+BY17</f>
        <v>38502.593035688216</v>
      </c>
      <c r="BZ18" s="56">
        <f t="shared" ref="BZ18" si="21">+BY18+BZ17</f>
        <v>40160.70635535082</v>
      </c>
      <c r="CA18" s="56">
        <f t="shared" ref="CA18" si="22">+BZ18+CA17</f>
        <v>42088.550001147029</v>
      </c>
      <c r="CB18" s="56">
        <f t="shared" ref="CB18" si="23">+CA18+CB17</f>
        <v>34073.880676838249</v>
      </c>
      <c r="CC18" s="56">
        <f t="shared" ref="CC18" si="24">+CB18+CC17</f>
        <v>36003.108473759828</v>
      </c>
      <c r="CD18" s="56">
        <f t="shared" ref="CD18" si="25">+CC18+CD17</f>
        <v>37781.993983808563</v>
      </c>
      <c r="CE18" s="56">
        <f t="shared" ref="CE18" si="26">+CD18+CE17</f>
        <v>39717.763510572731</v>
      </c>
      <c r="CF18" s="56">
        <f t="shared" ref="CF18" si="27">+CE18+CF17</f>
        <v>34517.082613178936</v>
      </c>
      <c r="CG18" s="56">
        <f t="shared" ref="CG18" si="28">+CF18+CG17</f>
        <v>35530.23565387226</v>
      </c>
      <c r="CH18" s="56">
        <f t="shared" ref="CH18" si="29">+CG18+CH17</f>
        <v>37161.274172487916</v>
      </c>
    </row>
    <row r="19" spans="1:86">
      <c r="C19" s="49">
        <f>+'자금수지(FS)_작성시트'!G13</f>
        <v>22491.933616797636</v>
      </c>
      <c r="D19" s="49">
        <f>+'자금수지(FS)_작성시트'!H13</f>
        <v>23217.746883456341</v>
      </c>
      <c r="E19" s="49">
        <f>+'자금수지(FS)_작성시트'!I13</f>
        <v>23154.823851861012</v>
      </c>
      <c r="F19" s="49">
        <f>+'자금수지(FS)_작성시트'!J13</f>
        <v>23136.326162495563</v>
      </c>
      <c r="G19" s="49">
        <f>+'자금수지(FS)_작성시트'!K13</f>
        <v>22010.014862710155</v>
      </c>
      <c r="H19" s="49">
        <f>+'자금수지(FS)_작성시트'!L13</f>
        <v>23391.584071101683</v>
      </c>
      <c r="I19" s="49">
        <f>+'자금수지(FS)_작성시트'!M13</f>
        <v>23644.140975915601</v>
      </c>
      <c r="J19" s="49">
        <f>+'자금수지(FS)_작성시트'!N13</f>
        <v>23051.324554818304</v>
      </c>
      <c r="K19" s="49">
        <f>+'자금수지(FS)_작성시트'!O13</f>
        <v>22704.367552790009</v>
      </c>
      <c r="L19" s="49">
        <f>+'자금수지(FS)_작성시트'!P13</f>
        <v>22091.552120787608</v>
      </c>
      <c r="M19" s="49">
        <f>+'자금수지(FS)_작성시트'!Q13</f>
        <v>46536.934192086963</v>
      </c>
      <c r="N19" s="49">
        <f>+'자금수지(FS)_작성시트'!R13</f>
        <v>48011.996852316071</v>
      </c>
      <c r="O19" s="49">
        <f>+'자금수지(FS)_작성시트'!T13</f>
        <v>47718.721507036069</v>
      </c>
      <c r="P19" s="49">
        <f>+'자금수지(FS)_작성시트'!U13</f>
        <v>47410.811152146285</v>
      </c>
      <c r="Q19" s="49">
        <f>+'자금수지(FS)_작성시트'!V13</f>
        <v>46625.749105773793</v>
      </c>
      <c r="R19" s="49">
        <f>+'자금수지(FS)_작성시트'!W13</f>
        <v>45368.242855391793</v>
      </c>
      <c r="S19" s="49">
        <f>+'자금수지(FS)_작성시트'!X13</f>
        <v>45170.113266411572</v>
      </c>
      <c r="T19" s="49">
        <f>+'자금수지(FS)_작성시트'!Y13</f>
        <v>41359.150765967701</v>
      </c>
      <c r="U19" s="477">
        <f>+'자금수지(FS)_작성시트'!Z13</f>
        <v>122319.16130125846</v>
      </c>
      <c r="V19" s="477">
        <f>+'자금수지(FS)_작성시트'!AA13</f>
        <v>124104.71114312511</v>
      </c>
      <c r="W19" s="477">
        <f>+'자금수지(FS)_작성시트'!AB13</f>
        <v>125094.48755566208</v>
      </c>
      <c r="X19" s="477">
        <f>+'자금수지(FS)_작성시트'!AC13</f>
        <v>121242.03484965992</v>
      </c>
      <c r="Y19" s="477">
        <f>+'자금수지(FS)_작성시트'!AD13</f>
        <v>122529.60941792137</v>
      </c>
      <c r="Z19" s="477">
        <f>+'자금수지(FS)_작성시트'!AE13</f>
        <v>148173.73408940886</v>
      </c>
      <c r="AA19" s="477">
        <f>+'자금수지(FS)_작성시트'!AG13</f>
        <v>150386.14541678884</v>
      </c>
      <c r="AB19" s="477">
        <f>+'자금수지(FS)_작성시트'!AH13</f>
        <v>147124.72227491756</v>
      </c>
      <c r="AC19" s="477">
        <f>+'자금수지(FS)_작성시트'!AI13</f>
        <v>146706.0875546757</v>
      </c>
      <c r="AD19" s="477">
        <f>+'자금수지(FS)_작성시트'!AJ13</f>
        <v>144289.35410948668</v>
      </c>
      <c r="AE19" s="477">
        <f>+'자금수지(FS)_작성시트'!AK13</f>
        <v>143244.75162949529</v>
      </c>
      <c r="AF19" s="477">
        <f>+'자금수지(FS)_작성시트'!AL13</f>
        <v>133660.12401927367</v>
      </c>
      <c r="AG19" s="477">
        <f>+'자금수지(FS)_작성시트'!AM13</f>
        <v>128477.40220323976</v>
      </c>
      <c r="AH19" s="477">
        <f>+'자금수지(FS)_작성시트'!AN13</f>
        <v>126474.65329631169</v>
      </c>
      <c r="AI19" s="477">
        <f>+'자금수지(FS)_작성시트'!AO13</f>
        <v>126263.95718806286</v>
      </c>
      <c r="AJ19" s="477">
        <f>+'자금수지(FS)_작성시트'!AP13</f>
        <v>126542.14612301122</v>
      </c>
      <c r="AK19" s="477">
        <f>+'자금수지(FS)_작성시트'!AQ13</f>
        <v>126093.84640782159</v>
      </c>
      <c r="AL19" s="477">
        <f>+'자금수지(FS)_작성시트'!AR13</f>
        <v>76334.820286512899</v>
      </c>
      <c r="AM19" s="477">
        <f>+'자금수지(FS)_작성시트'!AT13</f>
        <v>77676.155997551759</v>
      </c>
      <c r="AN19" s="477">
        <f>+'자금수지(FS)_작성시트'!AU13</f>
        <v>80349.124625119803</v>
      </c>
      <c r="AO19" s="477">
        <f>+'자금수지(FS)_작성시트'!AV13</f>
        <v>79981.206032136412</v>
      </c>
      <c r="AP19" s="477">
        <f>+'자금수지(FS)_작성시트'!AW13</f>
        <v>78169.621979782372</v>
      </c>
      <c r="AQ19" s="477">
        <f>+'자금수지(FS)_작성시트'!AX13</f>
        <v>71219.619929963083</v>
      </c>
      <c r="AR19" s="477">
        <f>+'자금수지(FS)_작성시트'!AY13</f>
        <v>66870.987071796888</v>
      </c>
      <c r="AS19" s="477">
        <f>+'자금수지(FS)_작성시트'!AZ13</f>
        <v>37500.145977960899</v>
      </c>
      <c r="AT19" s="477">
        <f>+'자금수지(FS)_작성시트'!BA13</f>
        <v>36233.895101686212</v>
      </c>
      <c r="AU19" s="477">
        <f>+'자금수지(FS)_작성시트'!BB13</f>
        <v>26087.364905295013</v>
      </c>
      <c r="AV19" s="477">
        <f>+'자금수지(FS)_작성시트'!BC13</f>
        <v>24828.870424370096</v>
      </c>
      <c r="AW19" s="477">
        <f>+'자금수지(FS)_작성시트'!BD13</f>
        <v>24228.047052716054</v>
      </c>
      <c r="AX19" s="477">
        <f>+'자금수지(FS)_작성시트'!BE13</f>
        <v>23580.616269336759</v>
      </c>
      <c r="AY19" s="477">
        <f>+'자금수지(FS)_작성시트'!BG13</f>
        <v>25593.899328216055</v>
      </c>
      <c r="AZ19" s="477">
        <f>+'자금수지(FS)_작성시트'!BH13</f>
        <v>18090.285402314472</v>
      </c>
      <c r="BA19" s="477">
        <f>+'자금수지(FS)_작성시트'!BI13</f>
        <v>13932.100656658087</v>
      </c>
      <c r="BB19" s="477">
        <f>+'자금수지(FS)_작성시트'!BJ13</f>
        <v>19697.663598613071</v>
      </c>
      <c r="BC19" s="477">
        <f>+'자금수지(FS)_작성시트'!BK13</f>
        <v>16820.885472113438</v>
      </c>
      <c r="BD19" s="477">
        <f>+'자금수지(FS)_작성시트'!BL13</f>
        <v>15925.90309772993</v>
      </c>
      <c r="BE19" s="477">
        <f>+'자금수지(FS)_작성시트'!BM13</f>
        <v>19628.469239136324</v>
      </c>
      <c r="BF19" s="477">
        <f>+'자금수지(FS)_작성시트'!BN13</f>
        <v>20095.455917554442</v>
      </c>
      <c r="BG19" s="477">
        <f>+'자금수지(FS)_작성시트'!BO13</f>
        <v>14320.414195530891</v>
      </c>
      <c r="BH19" s="477">
        <f>+'자금수지(FS)_작성시트'!BP13</f>
        <v>11384.405468058012</v>
      </c>
      <c r="BI19" s="477">
        <f>+'자금수지(FS)_작성시트'!BQ13</f>
        <v>14421.656768708079</v>
      </c>
      <c r="BJ19" s="477">
        <f>+'자금수지(FS)_작성시트'!BR13</f>
        <v>20263.368511071676</v>
      </c>
      <c r="BK19" s="477">
        <f>+'자금수지(FS)_작성시트'!BT13</f>
        <v>25979.127304174668</v>
      </c>
      <c r="BL19" s="477">
        <f>+'자금수지(FS)_작성시트'!BU13</f>
        <v>29009.425752181727</v>
      </c>
      <c r="BM19" s="477">
        <f>+'자금수지(FS)_작성시트'!BV13</f>
        <v>26607.26603062202</v>
      </c>
      <c r="BN19" s="477">
        <f>+'자금수지(FS)_작성시트'!BW13</f>
        <v>24102.804980584315</v>
      </c>
      <c r="BO19" s="477">
        <f>+'자금수지(FS)_작성시트'!BX13</f>
        <v>25078.855817166419</v>
      </c>
      <c r="BP19" s="477">
        <f>+'자금수지(FS)_작성시트'!BY13</f>
        <v>18943.772880004857</v>
      </c>
      <c r="BQ19" s="477">
        <f>+'자금수지(FS)_작성시트'!BZ13</f>
        <v>49374.505646370002</v>
      </c>
      <c r="BR19" s="477">
        <f>+'자금수지(FS)_작성시트'!CA13</f>
        <v>38772.448374744097</v>
      </c>
      <c r="BS19" s="477">
        <f>+'자금수지(FS)_작성시트'!CB13</f>
        <v>40168.660846926781</v>
      </c>
      <c r="BT19" s="477">
        <f>+'자금수지(FS)_작성시트'!CC13</f>
        <v>38273.813598335459</v>
      </c>
      <c r="BU19" s="477">
        <f>+'자금수지(FS)_작성시트'!CD13</f>
        <v>39757.283221109581</v>
      </c>
      <c r="BV19" s="477">
        <f>+'자금수지(FS)_작성시트'!CE13</f>
        <v>41913.09766039651</v>
      </c>
      <c r="BW19" s="477">
        <f>+'자금수지(FS)_작성시트'!CG13</f>
        <v>43512.469731937876</v>
      </c>
      <c r="BX19" s="477">
        <f>+'자금수지(FS)_작성시트'!CH13</f>
        <v>38361.236899753654</v>
      </c>
      <c r="BY19" s="477">
        <f>+'자금수지(FS)_작성시트'!CI13</f>
        <v>38502.593035688245</v>
      </c>
      <c r="BZ19" s="477">
        <f>+'자금수지(FS)_작성시트'!CJ13</f>
        <v>40160.706355350849</v>
      </c>
      <c r="CA19" s="477">
        <f>+'자금수지(FS)_작성시트'!CK13</f>
        <v>42088.550001147058</v>
      </c>
      <c r="CB19" s="477">
        <f>+'자금수지(FS)_작성시트'!CL13</f>
        <v>34073.880676838278</v>
      </c>
      <c r="CC19" s="477">
        <f>+'자금수지(FS)_작성시트'!CM13</f>
        <v>36003.108473759858</v>
      </c>
      <c r="CD19" s="477">
        <f>+'자금수지(FS)_작성시트'!CN13</f>
        <v>37781.993983808592</v>
      </c>
      <c r="CE19" s="477">
        <f>+'자금수지(FS)_작성시트'!CO13</f>
        <v>39717.76351057276</v>
      </c>
      <c r="CF19" s="477">
        <f>+'자금수지(FS)_작성시트'!CP13</f>
        <v>34517.082613178965</v>
      </c>
      <c r="CG19" s="477">
        <f>+'자금수지(FS)_작성시트'!CQ13</f>
        <v>35530.235653872289</v>
      </c>
      <c r="CH19" s="477">
        <f>+'자금수지(FS)_작성시트'!CR13</f>
        <v>37161.274172487945</v>
      </c>
    </row>
    <row r="20" spans="1:86">
      <c r="A20" s="624" t="s">
        <v>62</v>
      </c>
      <c r="B20" s="319" t="s">
        <v>166</v>
      </c>
      <c r="C20" s="319"/>
      <c r="D20" s="319">
        <v>23</v>
      </c>
      <c r="E20" s="319">
        <v>23</v>
      </c>
      <c r="F20" s="319">
        <v>20</v>
      </c>
      <c r="G20" s="319">
        <v>25</v>
      </c>
      <c r="H20" s="319">
        <v>22</v>
      </c>
      <c r="I20" s="319">
        <v>20</v>
      </c>
      <c r="J20" s="319">
        <v>24</v>
      </c>
      <c r="K20" s="319">
        <v>21</v>
      </c>
      <c r="L20" s="319">
        <v>26</v>
      </c>
      <c r="M20" s="319">
        <v>23</v>
      </c>
      <c r="N20" s="320">
        <v>21</v>
      </c>
      <c r="O20" s="360">
        <v>25</v>
      </c>
      <c r="P20" s="360">
        <v>22</v>
      </c>
      <c r="Q20" s="360">
        <v>28</v>
      </c>
      <c r="R20" s="360">
        <v>25</v>
      </c>
      <c r="S20" s="360">
        <v>23</v>
      </c>
      <c r="T20" s="360">
        <v>20</v>
      </c>
      <c r="U20" s="360">
        <v>25</v>
      </c>
      <c r="V20" s="360">
        <v>29</v>
      </c>
      <c r="W20" s="360">
        <v>26</v>
      </c>
      <c r="X20" s="332">
        <v>24</v>
      </c>
      <c r="Y20" s="332">
        <v>28</v>
      </c>
      <c r="Z20" s="332">
        <v>26</v>
      </c>
      <c r="AA20" s="332">
        <v>23</v>
      </c>
      <c r="AB20" s="332">
        <v>27</v>
      </c>
      <c r="AC20" s="332">
        <v>27</v>
      </c>
      <c r="AD20" s="332">
        <v>24</v>
      </c>
      <c r="AE20" s="332">
        <v>29</v>
      </c>
      <c r="AF20" s="332">
        <v>26</v>
      </c>
      <c r="AG20" s="332">
        <v>25</v>
      </c>
      <c r="AH20" s="332">
        <v>28</v>
      </c>
      <c r="AI20" s="332">
        <v>25</v>
      </c>
      <c r="AJ20" s="332">
        <v>23</v>
      </c>
      <c r="AK20" s="332">
        <v>27</v>
      </c>
      <c r="AL20" s="332">
        <v>26</v>
      </c>
      <c r="AM20" s="332">
        <v>23</v>
      </c>
      <c r="AN20" s="332">
        <v>26</v>
      </c>
      <c r="AO20" s="332">
        <v>26</v>
      </c>
      <c r="AP20" s="332">
        <v>28</v>
      </c>
      <c r="AQ20" s="332">
        <v>29</v>
      </c>
      <c r="AR20" s="332">
        <v>26</v>
      </c>
      <c r="AS20" s="332">
        <v>30</v>
      </c>
      <c r="AT20" s="332">
        <v>28</v>
      </c>
      <c r="AU20" s="332">
        <v>30</v>
      </c>
      <c r="AV20" s="332">
        <v>29</v>
      </c>
      <c r="AW20" s="332">
        <v>27</v>
      </c>
      <c r="AX20" s="332">
        <v>25</v>
      </c>
      <c r="AY20" s="332">
        <v>28</v>
      </c>
    </row>
    <row r="21" spans="1:86">
      <c r="A21" s="625"/>
      <c r="B21" s="321" t="s">
        <v>178</v>
      </c>
      <c r="C21" s="321"/>
      <c r="D21" s="322">
        <f>D5</f>
        <v>2585.0402174300257</v>
      </c>
      <c r="E21" s="322">
        <f t="shared" ref="E21:N21" si="30">E5</f>
        <v>1643.8650660652925</v>
      </c>
      <c r="F21" s="322">
        <f t="shared" si="30"/>
        <v>1095.5899310270734</v>
      </c>
      <c r="G21" s="342">
        <f t="shared" si="30"/>
        <v>938.78216480686694</v>
      </c>
      <c r="H21" s="342">
        <f t="shared" si="30"/>
        <v>2572.7344891643515</v>
      </c>
      <c r="I21" s="342">
        <f t="shared" si="30"/>
        <v>1109.6345537773993</v>
      </c>
      <c r="J21" s="342">
        <f t="shared" si="30"/>
        <v>640.46318077889441</v>
      </c>
      <c r="K21" s="342">
        <f t="shared" si="30"/>
        <v>824.97447008298764</v>
      </c>
      <c r="L21" s="342">
        <f t="shared" si="30"/>
        <v>856.31660008206813</v>
      </c>
      <c r="M21" s="342">
        <f t="shared" si="30"/>
        <v>25858.929654424592</v>
      </c>
      <c r="N21" s="343">
        <f t="shared" si="30"/>
        <v>2951.7028231185031</v>
      </c>
      <c r="O21" s="361">
        <f>O5</f>
        <v>2477.2539852692398</v>
      </c>
      <c r="P21" s="361">
        <f>P5</f>
        <v>1158.4478215862637</v>
      </c>
      <c r="Q21" s="361">
        <f t="shared" ref="Q21:V21" si="31">Q5</f>
        <v>607.71864951259136</v>
      </c>
      <c r="R21" s="361">
        <f t="shared" si="31"/>
        <v>727.13063275937486</v>
      </c>
      <c r="S21" s="361">
        <f t="shared" si="31"/>
        <v>647.41927986050564</v>
      </c>
      <c r="T21" s="361">
        <f t="shared" si="31"/>
        <v>849.28849815717513</v>
      </c>
      <c r="U21" s="361">
        <f t="shared" si="31"/>
        <v>1210.0057627814306</v>
      </c>
      <c r="V21" s="361">
        <f t="shared" si="31"/>
        <v>1798.5851877664281</v>
      </c>
      <c r="W21" s="361">
        <f t="shared" ref="W21:AO21" si="32">W5</f>
        <v>765.5901729152281</v>
      </c>
      <c r="X21" s="361">
        <f t="shared" si="32"/>
        <v>793.43747415872508</v>
      </c>
      <c r="Y21" s="361">
        <f t="shared" si="32"/>
        <v>4877.8477255698399</v>
      </c>
      <c r="Z21" s="361">
        <f t="shared" si="32"/>
        <v>32193.420957294813</v>
      </c>
      <c r="AA21" s="361">
        <f t="shared" si="32"/>
        <v>5306.9557683451512</v>
      </c>
      <c r="AB21" s="361">
        <f t="shared" si="32"/>
        <v>1009.4704036434869</v>
      </c>
      <c r="AC21" s="361">
        <f t="shared" si="32"/>
        <v>1334.4751844645016</v>
      </c>
      <c r="AD21" s="361">
        <f t="shared" si="32"/>
        <v>2825.3249903125361</v>
      </c>
      <c r="AE21" s="361">
        <f t="shared" si="32"/>
        <v>4332.9033734384011</v>
      </c>
      <c r="AF21" s="361">
        <f t="shared" si="32"/>
        <v>3324.7458981023528</v>
      </c>
      <c r="AG21" s="361">
        <f t="shared" si="32"/>
        <v>3227.9172305372076</v>
      </c>
      <c r="AH21" s="361">
        <f t="shared" si="32"/>
        <v>4322.3224102428121</v>
      </c>
      <c r="AI21" s="361">
        <f t="shared" si="32"/>
        <v>2190.8426183208999</v>
      </c>
      <c r="AJ21" s="361">
        <f t="shared" si="32"/>
        <v>1668.3271846656787</v>
      </c>
      <c r="AK21" s="361">
        <f t="shared" si="32"/>
        <v>3289.4399878376844</v>
      </c>
      <c r="AL21" s="361">
        <f t="shared" si="32"/>
        <v>13048.982696689496</v>
      </c>
      <c r="AM21" s="361">
        <f t="shared" si="32"/>
        <v>13475.459768014465</v>
      </c>
      <c r="AN21" s="361">
        <f t="shared" si="32"/>
        <v>8369.8133273668082</v>
      </c>
      <c r="AO21" s="361">
        <f t="shared" si="32"/>
        <v>4229.9637588181758</v>
      </c>
      <c r="AP21" s="361">
        <f t="shared" ref="AP21:AS21" si="33">AP5</f>
        <v>4720.3815977465001</v>
      </c>
      <c r="AQ21" s="361">
        <f t="shared" si="33"/>
        <v>65.990112820512806</v>
      </c>
      <c r="AR21" s="361">
        <f t="shared" si="33"/>
        <v>1989.0830464550479</v>
      </c>
      <c r="AS21" s="361">
        <f t="shared" si="33"/>
        <v>139.4</v>
      </c>
      <c r="AT21" s="361">
        <f t="shared" ref="AT21:AV21" si="34">AT5</f>
        <v>6836.1224825751242</v>
      </c>
      <c r="AU21" s="361">
        <f t="shared" si="34"/>
        <v>5849.0150998039389</v>
      </c>
      <c r="AV21" s="361">
        <f t="shared" si="34"/>
        <v>7607.8262977410504</v>
      </c>
      <c r="AW21" s="361">
        <f t="shared" ref="AW21:AX21" si="35">AW5</f>
        <v>13118.017984146145</v>
      </c>
      <c r="AX21" s="361">
        <f t="shared" si="35"/>
        <v>16348.345789161944</v>
      </c>
      <c r="AY21" s="361">
        <f t="shared" ref="AY21" si="36">AY5</f>
        <v>18238.899762122695</v>
      </c>
    </row>
    <row r="22" spans="1:86">
      <c r="A22" s="625"/>
      <c r="B22" s="321" t="s">
        <v>167</v>
      </c>
      <c r="C22" s="321"/>
      <c r="D22" s="322">
        <f>D9</f>
        <v>30</v>
      </c>
      <c r="E22" s="322">
        <f t="shared" ref="E22:N22" si="37">E9</f>
        <v>31.690435910652898</v>
      </c>
      <c r="F22" s="322">
        <f t="shared" si="37"/>
        <v>30.818565921787702</v>
      </c>
      <c r="G22" s="344">
        <f t="shared" si="37"/>
        <v>27.487747982832619</v>
      </c>
      <c r="H22" s="344">
        <f t="shared" si="37"/>
        <v>23.602976832656552</v>
      </c>
      <c r="I22" s="344">
        <f t="shared" si="37"/>
        <v>725.21884549904235</v>
      </c>
      <c r="J22" s="344">
        <f t="shared" si="37"/>
        <v>31.23327056113903</v>
      </c>
      <c r="K22" s="344">
        <f t="shared" si="37"/>
        <v>15.518960995850623</v>
      </c>
      <c r="L22" s="344">
        <f t="shared" si="37"/>
        <v>142.02183032416909</v>
      </c>
      <c r="M22" s="344">
        <f t="shared" si="37"/>
        <v>58.7377421686747</v>
      </c>
      <c r="N22" s="345">
        <f t="shared" si="37"/>
        <v>75.648699522248137</v>
      </c>
      <c r="O22" s="361">
        <f t="shared" ref="O22:AO22" si="38">O9</f>
        <v>190.97098720858264</v>
      </c>
      <c r="P22" s="361">
        <f t="shared" si="38"/>
        <v>90.248600817661497</v>
      </c>
      <c r="Q22" s="361">
        <f t="shared" si="38"/>
        <v>20.484453371242889</v>
      </c>
      <c r="R22" s="361">
        <f t="shared" si="38"/>
        <v>19.163516164950092</v>
      </c>
      <c r="S22" s="361">
        <f t="shared" si="38"/>
        <v>329.98395494174531</v>
      </c>
      <c r="T22" s="361">
        <f t="shared" si="38"/>
        <v>21.484912230008867</v>
      </c>
      <c r="U22" s="361">
        <f t="shared" si="38"/>
        <v>80973.546918275417</v>
      </c>
      <c r="V22" s="361">
        <f t="shared" si="38"/>
        <v>1222.261398771665</v>
      </c>
      <c r="W22" s="361">
        <f t="shared" si="38"/>
        <v>1332.7324838233703</v>
      </c>
      <c r="X22" s="361">
        <f t="shared" si="38"/>
        <v>93.095477678041831</v>
      </c>
      <c r="Y22" s="361">
        <f t="shared" si="38"/>
        <v>354.9658781843994</v>
      </c>
      <c r="Z22" s="361">
        <f t="shared" si="38"/>
        <v>94.16111857754052</v>
      </c>
      <c r="AA22" s="361">
        <f t="shared" si="38"/>
        <v>2329.1353527564684</v>
      </c>
      <c r="AB22" s="361">
        <f t="shared" si="38"/>
        <v>112.49558687561215</v>
      </c>
      <c r="AC22" s="361">
        <f t="shared" si="38"/>
        <v>167.16807505958661</v>
      </c>
      <c r="AD22" s="361">
        <f t="shared" si="38"/>
        <v>112.25162983892668</v>
      </c>
      <c r="AE22" s="361">
        <f t="shared" si="38"/>
        <v>2612.5066700749567</v>
      </c>
      <c r="AF22" s="361">
        <f t="shared" si="38"/>
        <v>956.27385133218297</v>
      </c>
      <c r="AG22" s="361">
        <f t="shared" si="38"/>
        <v>704.82279309686521</v>
      </c>
      <c r="AH22" s="361">
        <f t="shared" si="38"/>
        <v>1519.5043554680101</v>
      </c>
      <c r="AI22" s="361">
        <f t="shared" si="38"/>
        <v>559.03744457908897</v>
      </c>
      <c r="AJ22" s="361">
        <f t="shared" si="38"/>
        <v>734.00783679957067</v>
      </c>
      <c r="AK22" s="361">
        <f t="shared" si="38"/>
        <v>770.68786500208387</v>
      </c>
      <c r="AL22" s="361">
        <f t="shared" si="38"/>
        <v>4420.0203741250816</v>
      </c>
      <c r="AM22" s="361">
        <f t="shared" si="38"/>
        <v>1019.9235519575764</v>
      </c>
      <c r="AN22" s="361">
        <f t="shared" si="38"/>
        <v>270.22288075891146</v>
      </c>
      <c r="AO22" s="361">
        <f t="shared" si="38"/>
        <v>520.04505089888494</v>
      </c>
      <c r="AP22" s="361">
        <f t="shared" ref="AP22:AS22" si="39">AP9</f>
        <v>301.55649846352298</v>
      </c>
      <c r="AQ22" s="361">
        <f t="shared" si="39"/>
        <v>285.33103975336428</v>
      </c>
      <c r="AR22" s="361">
        <f t="shared" si="39"/>
        <v>516.78927013640839</v>
      </c>
      <c r="AS22" s="361">
        <f t="shared" si="39"/>
        <v>222.90329023932296</v>
      </c>
      <c r="AT22" s="361">
        <f t="shared" ref="AT22:AV22" si="40">AT9</f>
        <v>125.00048659320299</v>
      </c>
      <c r="AU22" s="361">
        <f t="shared" si="40"/>
        <v>120.77965033895406</v>
      </c>
      <c r="AV22" s="361">
        <f t="shared" si="40"/>
        <v>86.957883017650047</v>
      </c>
      <c r="AW22" s="361">
        <f t="shared" ref="AW22:AX22" si="41">AW9</f>
        <v>82.762901414566997</v>
      </c>
      <c r="AX22" s="361">
        <f t="shared" si="41"/>
        <v>80.760156842386849</v>
      </c>
      <c r="AY22" s="361">
        <f t="shared" ref="AY22" si="42">AY9</f>
        <v>78.602054231122523</v>
      </c>
    </row>
    <row r="23" spans="1:86">
      <c r="A23" s="626"/>
      <c r="B23" s="323" t="s">
        <v>168</v>
      </c>
      <c r="C23" s="323"/>
      <c r="D23" s="324">
        <f>D21+D22</f>
        <v>2615.0402174300257</v>
      </c>
      <c r="E23" s="324">
        <f t="shared" ref="E23:N23" si="43">E21+E22</f>
        <v>1675.5555019759454</v>
      </c>
      <c r="F23" s="324">
        <f t="shared" si="43"/>
        <v>1126.4084969488611</v>
      </c>
      <c r="G23" s="324">
        <f t="shared" si="43"/>
        <v>966.26991278969956</v>
      </c>
      <c r="H23" s="324">
        <f t="shared" si="43"/>
        <v>2596.3374659970082</v>
      </c>
      <c r="I23" s="324">
        <f t="shared" si="43"/>
        <v>1834.8533992764417</v>
      </c>
      <c r="J23" s="324">
        <f t="shared" si="43"/>
        <v>671.69645134003349</v>
      </c>
      <c r="K23" s="324">
        <f t="shared" si="43"/>
        <v>840.49343107883828</v>
      </c>
      <c r="L23" s="324">
        <f t="shared" si="43"/>
        <v>998.33843040623719</v>
      </c>
      <c r="M23" s="324">
        <f t="shared" si="43"/>
        <v>25917.667396593268</v>
      </c>
      <c r="N23" s="325">
        <f t="shared" si="43"/>
        <v>3027.3515226407512</v>
      </c>
      <c r="O23" s="325">
        <f t="shared" ref="O23:AO23" si="44">O21+O22</f>
        <v>2668.2249724778226</v>
      </c>
      <c r="P23" s="325">
        <f t="shared" si="44"/>
        <v>1248.6964224039252</v>
      </c>
      <c r="Q23" s="325">
        <f t="shared" si="44"/>
        <v>628.20310288383428</v>
      </c>
      <c r="R23" s="325">
        <f t="shared" si="44"/>
        <v>746.29414892432499</v>
      </c>
      <c r="S23" s="325">
        <f t="shared" si="44"/>
        <v>977.40323480225095</v>
      </c>
      <c r="T23" s="325">
        <f t="shared" si="44"/>
        <v>870.77341038718396</v>
      </c>
      <c r="U23" s="325">
        <f t="shared" si="44"/>
        <v>82183.552681056841</v>
      </c>
      <c r="V23" s="325">
        <f t="shared" si="44"/>
        <v>3020.8465865380931</v>
      </c>
      <c r="W23" s="325">
        <f t="shared" si="44"/>
        <v>2098.3226567385982</v>
      </c>
      <c r="X23" s="325">
        <f t="shared" si="44"/>
        <v>886.53295183676687</v>
      </c>
      <c r="Y23" s="325">
        <f t="shared" si="44"/>
        <v>5232.813603754239</v>
      </c>
      <c r="Z23" s="325">
        <f t="shared" si="44"/>
        <v>32287.582075872353</v>
      </c>
      <c r="AA23" s="325">
        <f t="shared" si="44"/>
        <v>7636.0911211016191</v>
      </c>
      <c r="AB23" s="325">
        <f t="shared" si="44"/>
        <v>1121.965990519099</v>
      </c>
      <c r="AC23" s="325">
        <f t="shared" si="44"/>
        <v>1501.6432595240881</v>
      </c>
      <c r="AD23" s="325">
        <f t="shared" si="44"/>
        <v>2937.576620151463</v>
      </c>
      <c r="AE23" s="325">
        <f t="shared" si="44"/>
        <v>6945.4100435133578</v>
      </c>
      <c r="AF23" s="325">
        <f t="shared" si="44"/>
        <v>4281.0197494345357</v>
      </c>
      <c r="AG23" s="325">
        <f t="shared" si="44"/>
        <v>3932.7400236340727</v>
      </c>
      <c r="AH23" s="325">
        <f t="shared" si="44"/>
        <v>5841.8267657108227</v>
      </c>
      <c r="AI23" s="325">
        <f t="shared" si="44"/>
        <v>2749.8800628999888</v>
      </c>
      <c r="AJ23" s="325">
        <f t="shared" si="44"/>
        <v>2402.3350214652492</v>
      </c>
      <c r="AK23" s="325">
        <f t="shared" si="44"/>
        <v>4060.1278528397684</v>
      </c>
      <c r="AL23" s="325">
        <f t="shared" si="44"/>
        <v>17469.003070814579</v>
      </c>
      <c r="AM23" s="325">
        <f t="shared" si="44"/>
        <v>14495.383319972041</v>
      </c>
      <c r="AN23" s="325">
        <f t="shared" si="44"/>
        <v>8640.036208125719</v>
      </c>
      <c r="AO23" s="325">
        <f t="shared" si="44"/>
        <v>4750.008809717061</v>
      </c>
      <c r="AP23" s="325">
        <f t="shared" ref="AP23:AS23" si="45">AP21+AP22</f>
        <v>5021.9380962100231</v>
      </c>
      <c r="AQ23" s="325">
        <f t="shared" si="45"/>
        <v>351.3211525738771</v>
      </c>
      <c r="AR23" s="325">
        <f t="shared" si="45"/>
        <v>2505.8723165914562</v>
      </c>
      <c r="AS23" s="325">
        <f t="shared" si="45"/>
        <v>362.30329023932296</v>
      </c>
      <c r="AT23" s="325">
        <f t="shared" ref="AT23:AV23" si="46">AT21+AT22</f>
        <v>6961.1229691683275</v>
      </c>
      <c r="AU23" s="325">
        <f t="shared" si="46"/>
        <v>5969.7947501428926</v>
      </c>
      <c r="AV23" s="325">
        <f t="shared" si="46"/>
        <v>7694.7841807587001</v>
      </c>
      <c r="AW23" s="325">
        <f t="shared" ref="AW23:AX23" si="47">AW21+AW22</f>
        <v>13200.780885560713</v>
      </c>
      <c r="AX23" s="325">
        <f t="shared" si="47"/>
        <v>16429.105946004329</v>
      </c>
      <c r="AY23" s="325">
        <f t="shared" ref="AY23" si="48">AY21+AY22</f>
        <v>18317.501816353819</v>
      </c>
    </row>
    <row r="24" spans="1:86">
      <c r="AM24" s="477">
        <f>AM10-AM23</f>
        <v>0</v>
      </c>
      <c r="AN24" s="477">
        <v>0</v>
      </c>
      <c r="AO24" s="477">
        <v>0</v>
      </c>
      <c r="AP24" s="477">
        <v>0</v>
      </c>
      <c r="AQ24" s="477">
        <v>0</v>
      </c>
      <c r="AR24" s="477">
        <v>0</v>
      </c>
      <c r="AS24" s="477">
        <v>0</v>
      </c>
      <c r="AT24" s="477">
        <v>0</v>
      </c>
      <c r="AU24" s="477">
        <v>0</v>
      </c>
      <c r="AV24" s="477">
        <v>0</v>
      </c>
      <c r="AW24" s="477">
        <v>0</v>
      </c>
      <c r="AX24" s="477">
        <v>0</v>
      </c>
      <c r="AY24" s="477">
        <v>0</v>
      </c>
    </row>
    <row r="25" spans="1:86">
      <c r="A25" s="624" t="s">
        <v>63</v>
      </c>
      <c r="B25" s="319" t="s">
        <v>169</v>
      </c>
      <c r="C25" s="319"/>
      <c r="D25" s="319">
        <v>10</v>
      </c>
      <c r="E25" s="319">
        <v>17</v>
      </c>
      <c r="F25" s="319">
        <v>14</v>
      </c>
      <c r="G25" s="319">
        <v>12</v>
      </c>
      <c r="H25" s="319">
        <v>16</v>
      </c>
      <c r="I25" s="319">
        <v>14</v>
      </c>
      <c r="J25" s="319">
        <v>11</v>
      </c>
      <c r="K25" s="319">
        <v>15</v>
      </c>
      <c r="L25" s="319">
        <v>13</v>
      </c>
      <c r="M25" s="319">
        <v>17</v>
      </c>
      <c r="N25" s="320">
        <v>15</v>
      </c>
      <c r="O25" s="360">
        <v>15</v>
      </c>
      <c r="P25" s="360">
        <v>15</v>
      </c>
      <c r="Q25" s="360">
        <v>15</v>
      </c>
      <c r="R25" s="360">
        <v>12</v>
      </c>
      <c r="S25" s="360">
        <v>17</v>
      </c>
      <c r="T25" s="360">
        <v>10</v>
      </c>
      <c r="U25" s="360">
        <v>12</v>
      </c>
      <c r="V25" s="360">
        <v>9</v>
      </c>
      <c r="W25" s="360">
        <v>13</v>
      </c>
      <c r="X25" s="372">
        <v>11</v>
      </c>
      <c r="Y25" s="372">
        <v>15</v>
      </c>
      <c r="Z25" s="372">
        <v>13</v>
      </c>
      <c r="AA25" s="372">
        <v>10</v>
      </c>
      <c r="AB25" s="372">
        <v>14</v>
      </c>
      <c r="AC25" s="372">
        <v>14</v>
      </c>
      <c r="AD25" s="372">
        <v>11</v>
      </c>
      <c r="AE25" s="372">
        <v>16</v>
      </c>
      <c r="AF25" s="372">
        <v>13</v>
      </c>
      <c r="AG25" s="372">
        <v>19</v>
      </c>
      <c r="AH25" s="372">
        <v>15</v>
      </c>
      <c r="AI25" s="372">
        <v>12</v>
      </c>
      <c r="AJ25" s="372">
        <v>17</v>
      </c>
      <c r="AK25" s="372">
        <v>14</v>
      </c>
      <c r="AL25" s="372">
        <v>12</v>
      </c>
      <c r="AM25" s="372">
        <v>16</v>
      </c>
      <c r="AN25" s="372">
        <v>13</v>
      </c>
      <c r="AO25" s="372">
        <v>13</v>
      </c>
      <c r="AP25" s="372">
        <v>15</v>
      </c>
      <c r="AQ25" s="372">
        <v>15</v>
      </c>
      <c r="AR25" s="372">
        <v>12</v>
      </c>
      <c r="AS25" s="372">
        <v>15</v>
      </c>
      <c r="AT25" s="372">
        <v>14</v>
      </c>
      <c r="AU25" s="372">
        <v>15</v>
      </c>
      <c r="AV25" s="372">
        <v>15</v>
      </c>
      <c r="AW25" s="372">
        <v>13</v>
      </c>
      <c r="AX25" s="372">
        <v>15</v>
      </c>
      <c r="AY25" s="372">
        <v>15</v>
      </c>
    </row>
    <row r="26" spans="1:86">
      <c r="A26" s="625"/>
      <c r="B26" s="321"/>
      <c r="C26" s="321"/>
      <c r="D26" s="326">
        <f>D11*0.2</f>
        <v>317.07010780049052</v>
      </c>
      <c r="E26" s="326">
        <f t="shared" ref="E26:N26" si="49">E11*0.2</f>
        <v>407.27502109106524</v>
      </c>
      <c r="F26" s="326">
        <f t="shared" si="49"/>
        <v>230.96266837129349</v>
      </c>
      <c r="G26" s="348">
        <f t="shared" si="49"/>
        <v>412.43624251502155</v>
      </c>
      <c r="H26" s="348">
        <f t="shared" si="49"/>
        <v>225.15977381491777</v>
      </c>
      <c r="I26" s="348">
        <f t="shared" si="49"/>
        <v>296.63256828261336</v>
      </c>
      <c r="J26" s="348">
        <f t="shared" si="49"/>
        <v>176.89726312395311</v>
      </c>
      <c r="K26" s="348">
        <f t="shared" si="49"/>
        <v>195.58733761825727</v>
      </c>
      <c r="L26" s="348">
        <f t="shared" si="49"/>
        <v>272.14323217890853</v>
      </c>
      <c r="M26" s="348">
        <f t="shared" si="49"/>
        <v>249.56676010801826</v>
      </c>
      <c r="N26" s="349">
        <f t="shared" si="49"/>
        <v>310.45777248232855</v>
      </c>
      <c r="O26" s="328">
        <f t="shared" ref="O26:AO26" si="50">O11*0.2</f>
        <v>464.42689935217652</v>
      </c>
      <c r="P26" s="328">
        <f t="shared" si="50"/>
        <v>223.58753455437451</v>
      </c>
      <c r="Q26" s="328">
        <f t="shared" si="50"/>
        <v>191.08202089358247</v>
      </c>
      <c r="R26" s="328">
        <f t="shared" si="50"/>
        <v>195.00310622340643</v>
      </c>
      <c r="S26" s="328">
        <f t="shared" si="50"/>
        <v>204.2591043354204</v>
      </c>
      <c r="T26" s="328">
        <f t="shared" si="50"/>
        <v>211.14003279831979</v>
      </c>
      <c r="U26" s="328">
        <f t="shared" si="50"/>
        <v>243.32932494919305</v>
      </c>
      <c r="V26" s="328">
        <f t="shared" si="50"/>
        <v>250.03642606772303</v>
      </c>
      <c r="W26" s="328">
        <f t="shared" si="50"/>
        <v>221.41191751086558</v>
      </c>
      <c r="X26" s="328">
        <f t="shared" si="50"/>
        <v>285.75773289572544</v>
      </c>
      <c r="Y26" s="328">
        <f t="shared" si="50"/>
        <v>722.79795742566444</v>
      </c>
      <c r="Z26" s="328">
        <f t="shared" si="50"/>
        <v>1214.4842463790872</v>
      </c>
      <c r="AA26" s="328">
        <f t="shared" si="50"/>
        <v>1084.1623088359499</v>
      </c>
      <c r="AB26" s="328">
        <f t="shared" si="50"/>
        <v>248.48288345543588</v>
      </c>
      <c r="AC26" s="328">
        <f t="shared" si="50"/>
        <v>258.15410604462159</v>
      </c>
      <c r="AD26" s="328">
        <f t="shared" si="50"/>
        <v>597.44161504632325</v>
      </c>
      <c r="AE26" s="328">
        <f t="shared" si="50"/>
        <v>790.97824375936955</v>
      </c>
      <c r="AF26" s="328">
        <f t="shared" si="50"/>
        <v>691.27834296338915</v>
      </c>
      <c r="AG26" s="328">
        <f t="shared" si="50"/>
        <v>515.67780421518842</v>
      </c>
      <c r="AH26" s="328">
        <f t="shared" si="50"/>
        <v>573.06018781014427</v>
      </c>
      <c r="AI26" s="328">
        <f t="shared" si="50"/>
        <v>584.81199868974136</v>
      </c>
      <c r="AJ26" s="328">
        <f t="shared" si="50"/>
        <v>424.57073096894374</v>
      </c>
      <c r="AK26" s="328">
        <f t="shared" si="50"/>
        <v>818.80556816580156</v>
      </c>
      <c r="AL26" s="328">
        <f t="shared" si="50"/>
        <v>1993.2125324885842</v>
      </c>
      <c r="AM26" s="328">
        <f t="shared" si="50"/>
        <v>1982.2872619859195</v>
      </c>
      <c r="AN26" s="328">
        <f t="shared" si="50"/>
        <v>1136.2964552472213</v>
      </c>
      <c r="AO26" s="328">
        <f t="shared" si="50"/>
        <v>702.98770552226358</v>
      </c>
      <c r="AP26" s="328">
        <f t="shared" ref="AP26:AS26" si="51">AP11*0.2</f>
        <v>1085.8773877157707</v>
      </c>
      <c r="AQ26" s="328">
        <f t="shared" si="51"/>
        <v>1428.208781903134</v>
      </c>
      <c r="AR26" s="328">
        <f t="shared" si="51"/>
        <v>1367.3138538072612</v>
      </c>
      <c r="AS26" s="328">
        <f t="shared" si="51"/>
        <v>1999.4288768150627</v>
      </c>
      <c r="AT26" s="328">
        <f t="shared" ref="AT26:AV26" si="52">AT11*0.2</f>
        <v>1615.0687690886029</v>
      </c>
      <c r="AU26" s="328">
        <f t="shared" si="52"/>
        <v>1448.2649893068183</v>
      </c>
      <c r="AV26" s="328">
        <f t="shared" si="52"/>
        <v>1588.6557323367233</v>
      </c>
      <c r="AW26" s="328">
        <f t="shared" ref="AW26:AX26" si="53">AW11*0.2</f>
        <v>2729.9148514429507</v>
      </c>
      <c r="AX26" s="328">
        <f t="shared" si="53"/>
        <v>3415.3073458767249</v>
      </c>
      <c r="AY26" s="328">
        <f t="shared" ref="AY26" si="54">AY11*0.2</f>
        <v>3133.8437514949046</v>
      </c>
    </row>
    <row r="27" spans="1:86">
      <c r="A27" s="625"/>
      <c r="B27" s="321" t="s">
        <v>170</v>
      </c>
      <c r="C27" s="321"/>
      <c r="D27" s="327">
        <v>28</v>
      </c>
      <c r="E27" s="327">
        <v>31</v>
      </c>
      <c r="F27" s="327">
        <v>28</v>
      </c>
      <c r="G27" s="327">
        <v>31</v>
      </c>
      <c r="H27" s="327">
        <v>30</v>
      </c>
      <c r="I27" s="327">
        <v>31</v>
      </c>
      <c r="J27" s="327">
        <v>31</v>
      </c>
      <c r="K27" s="327">
        <v>29</v>
      </c>
      <c r="L27" s="327">
        <v>31</v>
      </c>
      <c r="M27" s="327">
        <v>30</v>
      </c>
      <c r="N27" s="328">
        <v>29</v>
      </c>
      <c r="O27" s="349">
        <v>29</v>
      </c>
      <c r="P27" s="349">
        <v>29</v>
      </c>
      <c r="Q27" s="349">
        <v>29</v>
      </c>
      <c r="R27" s="349">
        <v>30</v>
      </c>
      <c r="S27" s="349">
        <v>31</v>
      </c>
      <c r="T27" s="349">
        <v>28</v>
      </c>
      <c r="U27" s="349">
        <v>31</v>
      </c>
      <c r="V27" s="349">
        <v>30</v>
      </c>
      <c r="W27" s="349">
        <v>30</v>
      </c>
      <c r="X27" s="332">
        <v>30</v>
      </c>
      <c r="Y27" s="332">
        <v>29</v>
      </c>
      <c r="Z27" s="332">
        <v>27</v>
      </c>
      <c r="AA27" s="332">
        <v>24</v>
      </c>
      <c r="AB27" s="332">
        <v>28</v>
      </c>
      <c r="AC27" s="332">
        <v>31</v>
      </c>
      <c r="AD27" s="332">
        <v>30</v>
      </c>
      <c r="AE27" s="332">
        <v>30</v>
      </c>
      <c r="AF27" s="332">
        <v>27</v>
      </c>
      <c r="AG27" s="332">
        <v>31</v>
      </c>
      <c r="AH27" s="332">
        <v>29</v>
      </c>
      <c r="AI27" s="332">
        <v>30</v>
      </c>
      <c r="AJ27" s="332">
        <v>31</v>
      </c>
      <c r="AK27" s="332">
        <v>28</v>
      </c>
      <c r="AL27" s="332">
        <v>31</v>
      </c>
      <c r="AM27" s="332">
        <v>30</v>
      </c>
      <c r="AN27" s="332">
        <v>27</v>
      </c>
      <c r="AO27" s="332">
        <v>27</v>
      </c>
      <c r="AP27" s="332">
        <v>29</v>
      </c>
      <c r="AQ27" s="332">
        <v>29</v>
      </c>
      <c r="AR27" s="332">
        <v>30</v>
      </c>
      <c r="AS27" s="332">
        <v>31</v>
      </c>
      <c r="AT27" s="332">
        <v>28</v>
      </c>
      <c r="AU27" s="332">
        <v>30</v>
      </c>
      <c r="AV27" s="332">
        <v>30</v>
      </c>
      <c r="AW27" s="332">
        <v>30</v>
      </c>
      <c r="AX27" s="332">
        <v>31</v>
      </c>
      <c r="AY27" s="332">
        <v>29</v>
      </c>
    </row>
    <row r="28" spans="1:86">
      <c r="A28" s="625"/>
      <c r="B28" s="321"/>
      <c r="C28" s="321"/>
      <c r="D28" s="326">
        <f>D11*0.8</f>
        <v>1268.2804312019621</v>
      </c>
      <c r="E28" s="326">
        <f t="shared" ref="E28:N28" si="55">E11*0.8</f>
        <v>1629.100084364261</v>
      </c>
      <c r="F28" s="326">
        <f t="shared" si="55"/>
        <v>923.85067348517396</v>
      </c>
      <c r="G28" s="348">
        <f t="shared" si="55"/>
        <v>1649.7449700600862</v>
      </c>
      <c r="H28" s="348">
        <f t="shared" si="55"/>
        <v>900.63909525967108</v>
      </c>
      <c r="I28" s="348">
        <f t="shared" si="55"/>
        <v>1186.5302731304535</v>
      </c>
      <c r="J28" s="348">
        <f t="shared" si="55"/>
        <v>707.58905249581244</v>
      </c>
      <c r="K28" s="348">
        <f t="shared" si="55"/>
        <v>782.34935047302906</v>
      </c>
      <c r="L28" s="348">
        <f t="shared" si="55"/>
        <v>1088.5729287156341</v>
      </c>
      <c r="M28" s="348">
        <f t="shared" si="55"/>
        <v>998.26704043207303</v>
      </c>
      <c r="N28" s="349">
        <f t="shared" si="55"/>
        <v>1241.8310899293142</v>
      </c>
      <c r="O28" s="328">
        <f t="shared" ref="O28:AO28" si="56">O11*0.8</f>
        <v>1857.7075974087061</v>
      </c>
      <c r="P28" s="328">
        <f t="shared" si="56"/>
        <v>894.35013821749806</v>
      </c>
      <c r="Q28" s="328">
        <f t="shared" si="56"/>
        <v>764.32808357432987</v>
      </c>
      <c r="R28" s="328">
        <f t="shared" si="56"/>
        <v>780.01242489362573</v>
      </c>
      <c r="S28" s="328">
        <f t="shared" si="56"/>
        <v>817.03641734168161</v>
      </c>
      <c r="T28" s="328">
        <f t="shared" si="56"/>
        <v>844.56013119327918</v>
      </c>
      <c r="U28" s="328">
        <f t="shared" si="56"/>
        <v>973.3172997967722</v>
      </c>
      <c r="V28" s="328">
        <f t="shared" si="56"/>
        <v>1000.1457042708921</v>
      </c>
      <c r="W28" s="328">
        <f t="shared" si="56"/>
        <v>885.64767004346231</v>
      </c>
      <c r="X28" s="328">
        <f t="shared" si="56"/>
        <v>1143.0309315829018</v>
      </c>
      <c r="Y28" s="328">
        <f t="shared" si="56"/>
        <v>2891.1918297026577</v>
      </c>
      <c r="Z28" s="328">
        <f t="shared" si="56"/>
        <v>4857.9369855163486</v>
      </c>
      <c r="AA28" s="328">
        <f t="shared" si="56"/>
        <v>4336.6492353437998</v>
      </c>
      <c r="AB28" s="328">
        <f t="shared" si="56"/>
        <v>993.93153382174353</v>
      </c>
      <c r="AC28" s="328">
        <f t="shared" si="56"/>
        <v>1032.6164241784863</v>
      </c>
      <c r="AD28" s="328">
        <f t="shared" si="56"/>
        <v>2389.766460185293</v>
      </c>
      <c r="AE28" s="328">
        <f t="shared" si="56"/>
        <v>3163.9129750374782</v>
      </c>
      <c r="AF28" s="328">
        <f t="shared" si="56"/>
        <v>2765.1133718535566</v>
      </c>
      <c r="AG28" s="328">
        <f t="shared" si="56"/>
        <v>2062.7112168607537</v>
      </c>
      <c r="AH28" s="328">
        <f t="shared" si="56"/>
        <v>2292.2407512405771</v>
      </c>
      <c r="AI28" s="328">
        <f t="shared" si="56"/>
        <v>2339.2479947589654</v>
      </c>
      <c r="AJ28" s="328">
        <f t="shared" si="56"/>
        <v>1698.2829238757749</v>
      </c>
      <c r="AK28" s="328">
        <f t="shared" si="56"/>
        <v>3275.2222726632062</v>
      </c>
      <c r="AL28" s="328">
        <f t="shared" si="56"/>
        <v>7972.8501299543368</v>
      </c>
      <c r="AM28" s="328">
        <f t="shared" si="56"/>
        <v>7929.1490479436779</v>
      </c>
      <c r="AN28" s="328">
        <f t="shared" si="56"/>
        <v>4545.1858209888851</v>
      </c>
      <c r="AO28" s="328">
        <f t="shared" si="56"/>
        <v>2811.9508220890543</v>
      </c>
      <c r="AP28" s="328">
        <f t="shared" ref="AP28:AS28" si="57">AP11*0.8</f>
        <v>4343.5095508630829</v>
      </c>
      <c r="AQ28" s="328">
        <f t="shared" si="57"/>
        <v>5712.8351276125359</v>
      </c>
      <c r="AR28" s="328">
        <f t="shared" si="57"/>
        <v>5469.255415229045</v>
      </c>
      <c r="AS28" s="328">
        <f t="shared" si="57"/>
        <v>7997.7155072602509</v>
      </c>
      <c r="AT28" s="328">
        <f t="shared" ref="AT28:AV28" si="58">AT11*0.8</f>
        <v>6460.2750763544118</v>
      </c>
      <c r="AU28" s="328">
        <f t="shared" si="58"/>
        <v>5793.0599572272731</v>
      </c>
      <c r="AV28" s="328">
        <f t="shared" si="58"/>
        <v>6354.6229293468932</v>
      </c>
      <c r="AW28" s="328">
        <f t="shared" ref="AW28:AX28" si="59">AW11*0.8</f>
        <v>10919.659405771803</v>
      </c>
      <c r="AX28" s="328">
        <f t="shared" si="59"/>
        <v>13661.229383506899</v>
      </c>
      <c r="AY28" s="328">
        <f t="shared" ref="AY28" si="60">AY11*0.8</f>
        <v>12535.375005979618</v>
      </c>
    </row>
    <row r="29" spans="1:86">
      <c r="A29" s="627"/>
      <c r="B29" s="335" t="s">
        <v>180</v>
      </c>
      <c r="C29" s="335"/>
      <c r="D29" s="336">
        <f>D15</f>
        <v>303.87641176887001</v>
      </c>
      <c r="E29" s="336">
        <f t="shared" ref="E29:N29" si="61">E15</f>
        <v>-297.896571884053</v>
      </c>
      <c r="F29" s="336">
        <f t="shared" si="61"/>
        <v>-9.9071555421560298</v>
      </c>
      <c r="G29" s="346">
        <f t="shared" si="61"/>
        <v>30.4</v>
      </c>
      <c r="H29" s="346">
        <f t="shared" si="61"/>
        <v>88.969388530892999</v>
      </c>
      <c r="I29" s="346">
        <f t="shared" si="61"/>
        <v>99.133653049455859</v>
      </c>
      <c r="J29" s="346">
        <f t="shared" si="61"/>
        <v>380.02655681756585</v>
      </c>
      <c r="K29" s="346">
        <f t="shared" si="61"/>
        <v>209.51374501584601</v>
      </c>
      <c r="L29" s="346">
        <f t="shared" si="61"/>
        <v>250.43770151409601</v>
      </c>
      <c r="M29" s="346">
        <f t="shared" si="61"/>
        <v>224.45152475382099</v>
      </c>
      <c r="N29" s="347">
        <f t="shared" si="61"/>
        <v>0</v>
      </c>
      <c r="O29" s="362">
        <f t="shared" ref="O29:AO29" si="62">O15</f>
        <v>645.82342363775138</v>
      </c>
      <c r="P29" s="362">
        <f t="shared" si="62"/>
        <v>438.92278399853228</v>
      </c>
      <c r="Q29" s="362">
        <f t="shared" si="62"/>
        <v>458.8060923107538</v>
      </c>
      <c r="R29" s="362">
        <f t="shared" si="62"/>
        <v>1033.5568091762909</v>
      </c>
      <c r="S29" s="362">
        <f t="shared" si="62"/>
        <v>156.41690105916507</v>
      </c>
      <c r="T29" s="362">
        <f t="shared" si="62"/>
        <v>3617.1600681647051</v>
      </c>
      <c r="U29" s="362">
        <f t="shared" si="62"/>
        <v>0.54991034070531974</v>
      </c>
      <c r="V29" s="362">
        <f t="shared" si="62"/>
        <v>1.6287299927612</v>
      </c>
      <c r="W29" s="362">
        <f t="shared" si="62"/>
        <v>0</v>
      </c>
      <c r="X29" s="362">
        <f t="shared" si="62"/>
        <v>3313.5185956379701</v>
      </c>
      <c r="Y29" s="362">
        <f t="shared" si="62"/>
        <v>329.900561559506</v>
      </c>
      <c r="Z29" s="362">
        <f t="shared" si="62"/>
        <v>570.88685734243199</v>
      </c>
      <c r="AA29" s="362">
        <f t="shared" si="62"/>
        <v>0</v>
      </c>
      <c r="AB29" s="362">
        <f t="shared" si="62"/>
        <v>3136.5147738791361</v>
      </c>
      <c r="AC29" s="362">
        <f t="shared" si="62"/>
        <v>594.13027609698474</v>
      </c>
      <c r="AD29" s="362">
        <f t="shared" si="62"/>
        <v>2368.7443612310008</v>
      </c>
      <c r="AE29" s="362">
        <f t="shared" si="62"/>
        <v>4033.1724290592388</v>
      </c>
      <c r="AF29" s="362">
        <f t="shared" si="62"/>
        <v>10412.820912234252</v>
      </c>
      <c r="AG29" s="362">
        <f t="shared" si="62"/>
        <v>6532.1869608546476</v>
      </c>
      <c r="AH29" s="362">
        <f t="shared" si="62"/>
        <v>1015.4111781504701</v>
      </c>
      <c r="AI29" s="362">
        <f t="shared" si="62"/>
        <v>38.315473341412101</v>
      </c>
      <c r="AJ29" s="362">
        <f t="shared" si="62"/>
        <v>0</v>
      </c>
      <c r="AK29" s="362">
        <f t="shared" si="62"/>
        <v>414</v>
      </c>
      <c r="AL29" s="362">
        <f t="shared" si="62"/>
        <v>57261.803652968032</v>
      </c>
      <c r="AM29" s="362">
        <f t="shared" si="62"/>
        <v>3237.6683547493553</v>
      </c>
      <c r="AN29" s="362">
        <f t="shared" si="62"/>
        <v>288.79438826178375</v>
      </c>
      <c r="AO29" s="362">
        <f t="shared" si="62"/>
        <v>1604.7330152696672</v>
      </c>
      <c r="AP29" s="362">
        <f t="shared" ref="AP29:AS29" si="63">AP15</f>
        <v>1403.6951325922835</v>
      </c>
      <c r="AQ29" s="362">
        <f t="shared" si="63"/>
        <v>157.86309344729344</v>
      </c>
      <c r="AR29" s="362">
        <f>AR12</f>
        <v>0</v>
      </c>
      <c r="AS29" s="362">
        <f t="shared" si="63"/>
        <v>19736</v>
      </c>
      <c r="AT29" s="362">
        <f>AT15+AT12</f>
        <v>152.03</v>
      </c>
      <c r="AU29" s="362">
        <f t="shared" ref="AU29:AV29" si="64">AU15</f>
        <v>8875</v>
      </c>
      <c r="AV29" s="362">
        <f t="shared" si="64"/>
        <v>1010</v>
      </c>
      <c r="AW29" s="362">
        <f t="shared" ref="AW29:AX29" si="65">AW15</f>
        <v>152.03</v>
      </c>
      <c r="AX29" s="362">
        <f t="shared" si="65"/>
        <v>0</v>
      </c>
      <c r="AY29" s="362">
        <f t="shared" ref="AY29" si="66">AY15</f>
        <v>635</v>
      </c>
    </row>
    <row r="30" spans="1:86">
      <c r="A30" s="626"/>
      <c r="B30" s="323" t="s">
        <v>171</v>
      </c>
      <c r="C30" s="323"/>
      <c r="D30" s="337">
        <f>D28+D26+D29</f>
        <v>1889.2269507713224</v>
      </c>
      <c r="E30" s="337">
        <f>E28+E26+E29</f>
        <v>1738.4785335712734</v>
      </c>
      <c r="F30" s="337">
        <f>F28+F26+F29</f>
        <v>1144.9061863143115</v>
      </c>
      <c r="G30" s="350">
        <f>G28+G26+G29</f>
        <v>2092.5812125751077</v>
      </c>
      <c r="H30" s="350">
        <f t="shared" ref="H30:N30" si="67">H28+H26+H29</f>
        <v>1214.7682576054817</v>
      </c>
      <c r="I30" s="350">
        <f t="shared" si="67"/>
        <v>1582.2964944625228</v>
      </c>
      <c r="J30" s="350">
        <f t="shared" si="67"/>
        <v>1264.5128724373312</v>
      </c>
      <c r="K30" s="350">
        <f t="shared" si="67"/>
        <v>1187.4504331071323</v>
      </c>
      <c r="L30" s="350">
        <f t="shared" si="67"/>
        <v>1611.1538624086386</v>
      </c>
      <c r="M30" s="350">
        <f t="shared" si="67"/>
        <v>1472.2853252939121</v>
      </c>
      <c r="N30" s="350">
        <f t="shared" si="67"/>
        <v>1552.2888624116426</v>
      </c>
      <c r="O30" s="350">
        <f t="shared" ref="O30:AO30" si="68">O28+O26+O29</f>
        <v>2967.9579203986341</v>
      </c>
      <c r="P30" s="350">
        <f t="shared" si="68"/>
        <v>1556.8604567704047</v>
      </c>
      <c r="Q30" s="350">
        <f t="shared" si="68"/>
        <v>1414.216196778666</v>
      </c>
      <c r="R30" s="350">
        <f t="shared" si="68"/>
        <v>2008.5723402933231</v>
      </c>
      <c r="S30" s="350">
        <f t="shared" si="68"/>
        <v>1177.7124227362669</v>
      </c>
      <c r="T30" s="350">
        <f t="shared" si="68"/>
        <v>4672.8602321563039</v>
      </c>
      <c r="U30" s="350">
        <f t="shared" si="68"/>
        <v>1217.1965350866706</v>
      </c>
      <c r="V30" s="350">
        <f t="shared" si="68"/>
        <v>1251.8108603313763</v>
      </c>
      <c r="W30" s="350">
        <f t="shared" si="68"/>
        <v>1107.0595875543279</v>
      </c>
      <c r="X30" s="350">
        <f t="shared" si="68"/>
        <v>4742.3072601165968</v>
      </c>
      <c r="Y30" s="350">
        <f t="shared" si="68"/>
        <v>3943.890348687828</v>
      </c>
      <c r="Z30" s="350">
        <f t="shared" si="68"/>
        <v>6643.3080892378675</v>
      </c>
      <c r="AA30" s="350">
        <f t="shared" si="68"/>
        <v>5420.8115441797499</v>
      </c>
      <c r="AB30" s="350">
        <f t="shared" si="68"/>
        <v>4378.9291911563159</v>
      </c>
      <c r="AC30" s="350">
        <f t="shared" si="68"/>
        <v>1884.9008063200927</v>
      </c>
      <c r="AD30" s="350">
        <f t="shared" si="68"/>
        <v>5355.9524364626168</v>
      </c>
      <c r="AE30" s="350">
        <f t="shared" si="68"/>
        <v>7988.0636478560864</v>
      </c>
      <c r="AF30" s="350">
        <f t="shared" si="68"/>
        <v>13869.212627051198</v>
      </c>
      <c r="AG30" s="350">
        <f t="shared" si="68"/>
        <v>9110.5759819305895</v>
      </c>
      <c r="AH30" s="350">
        <f t="shared" si="68"/>
        <v>3880.7121172011912</v>
      </c>
      <c r="AI30" s="350">
        <f t="shared" si="68"/>
        <v>2962.3754667901189</v>
      </c>
      <c r="AJ30" s="350">
        <f t="shared" si="68"/>
        <v>2122.8536548447187</v>
      </c>
      <c r="AK30" s="350">
        <f t="shared" si="68"/>
        <v>4508.0278408290078</v>
      </c>
      <c r="AL30" s="350">
        <f t="shared" si="68"/>
        <v>67227.866315410953</v>
      </c>
      <c r="AM30" s="350">
        <f t="shared" si="68"/>
        <v>13149.104664678953</v>
      </c>
      <c r="AN30" s="350">
        <f t="shared" si="68"/>
        <v>5970.2766644978901</v>
      </c>
      <c r="AO30" s="350">
        <f t="shared" si="68"/>
        <v>5119.6715428809857</v>
      </c>
      <c r="AP30" s="350">
        <f t="shared" ref="AP30:AS30" si="69">AP28+AP26+AP29</f>
        <v>6833.0820711711376</v>
      </c>
      <c r="AQ30" s="350">
        <f t="shared" si="69"/>
        <v>7298.9070029629629</v>
      </c>
      <c r="AR30" s="350">
        <f t="shared" si="69"/>
        <v>6836.5692690363067</v>
      </c>
      <c r="AS30" s="350">
        <f t="shared" si="69"/>
        <v>29733.144384075313</v>
      </c>
      <c r="AT30" s="350">
        <f t="shared" ref="AT30:AV30" si="70">AT28+AT26+AT29</f>
        <v>8227.3738454430149</v>
      </c>
      <c r="AU30" s="350">
        <f t="shared" si="70"/>
        <v>16116.324946534092</v>
      </c>
      <c r="AV30" s="350">
        <f t="shared" si="70"/>
        <v>8953.2786616836165</v>
      </c>
      <c r="AW30" s="350">
        <f t="shared" ref="AW30:AX30" si="71">AW28+AW26+AW29</f>
        <v>13801.604257214754</v>
      </c>
      <c r="AX30" s="350">
        <f t="shared" si="71"/>
        <v>17076.536729383624</v>
      </c>
      <c r="AY30" s="350">
        <f t="shared" ref="AY30" si="72">AY28+AY26+AY29</f>
        <v>16304.218757474522</v>
      </c>
    </row>
    <row r="31" spans="1:86">
      <c r="AM31" s="477">
        <f>AM16-AM30</f>
        <v>4.9429442542223114</v>
      </c>
      <c r="AN31" s="477">
        <f t="shared" ref="AN31:AW31" si="73">AN16-AN30</f>
        <v>0</v>
      </c>
      <c r="AO31" s="477">
        <f t="shared" si="73"/>
        <v>0</v>
      </c>
      <c r="AP31" s="477">
        <f t="shared" si="73"/>
        <v>0.66770363063824334</v>
      </c>
      <c r="AQ31" s="477">
        <f t="shared" si="73"/>
        <v>2.4161994301985033</v>
      </c>
      <c r="AR31" s="477">
        <f t="shared" si="73"/>
        <v>17.93590572134508</v>
      </c>
      <c r="AS31" s="477">
        <f t="shared" si="73"/>
        <v>0</v>
      </c>
      <c r="AT31" s="477">
        <f t="shared" si="73"/>
        <v>0</v>
      </c>
      <c r="AU31" s="477">
        <f t="shared" si="73"/>
        <v>0</v>
      </c>
      <c r="AV31" s="477">
        <f t="shared" si="73"/>
        <v>0</v>
      </c>
      <c r="AW31" s="477">
        <f t="shared" si="73"/>
        <v>0</v>
      </c>
    </row>
    <row r="32" spans="1:86">
      <c r="B32" s="329" t="s">
        <v>172</v>
      </c>
      <c r="C32" s="329"/>
      <c r="D32" s="329"/>
      <c r="E32" s="330">
        <v>1369</v>
      </c>
      <c r="F32" s="330">
        <v>895</v>
      </c>
      <c r="G32" s="330">
        <v>858</v>
      </c>
      <c r="H32" s="330">
        <v>2037</v>
      </c>
      <c r="I32" s="330">
        <v>1719</v>
      </c>
      <c r="J32" s="330">
        <v>24980</v>
      </c>
      <c r="K32" s="330">
        <v>25015</v>
      </c>
      <c r="L32" s="330">
        <v>1100</v>
      </c>
      <c r="M32" s="330">
        <v>25665</v>
      </c>
      <c r="N32" s="330">
        <v>3044</v>
      </c>
      <c r="O32" s="330"/>
      <c r="P32" s="330"/>
      <c r="Q32" s="330">
        <v>993</v>
      </c>
      <c r="R32" s="330"/>
      <c r="S32" s="330"/>
      <c r="T32" s="330">
        <v>870.77341038718396</v>
      </c>
      <c r="U32" s="330">
        <v>82183.552681056841</v>
      </c>
      <c r="V32" s="330">
        <v>3022.8541470625041</v>
      </c>
      <c r="W32" s="330">
        <v>2100.1870704028415</v>
      </c>
      <c r="X32" s="331">
        <v>889.85455411443706</v>
      </c>
      <c r="Y32" s="331">
        <v>5232.813603754239</v>
      </c>
      <c r="Z32" s="331">
        <v>32086.175013304564</v>
      </c>
      <c r="AA32" s="331">
        <v>7637.3545343754622</v>
      </c>
      <c r="AB32" s="331">
        <v>1121.965990519099</v>
      </c>
      <c r="AC32" s="331">
        <v>1504.6778783651775</v>
      </c>
      <c r="AD32" s="331">
        <v>2940.526030061892</v>
      </c>
      <c r="AE32" s="331">
        <v>6945.4100435133578</v>
      </c>
      <c r="AF32" s="331">
        <v>4284.5850168295901</v>
      </c>
      <c r="AG32" s="331">
        <v>3932.7400236340727</v>
      </c>
      <c r="AH32" s="331">
        <v>5842.5377774915714</v>
      </c>
      <c r="AI32" s="331">
        <v>2753.5817329117281</v>
      </c>
      <c r="AJ32" s="331">
        <v>2402.3350214652492</v>
      </c>
      <c r="AK32" s="331">
        <v>4061.4160732012278</v>
      </c>
      <c r="AL32" s="331">
        <v>17470.799988622799</v>
      </c>
      <c r="AM32" s="331">
        <v>14495.383319972041</v>
      </c>
      <c r="AN32" s="331">
        <v>8643.2452920659271</v>
      </c>
      <c r="AO32" s="331">
        <v>4751.7529498975964</v>
      </c>
      <c r="AP32" s="331">
        <v>5022.1657224477403</v>
      </c>
      <c r="AQ32" s="331">
        <v>351.3211525738771</v>
      </c>
      <c r="AR32" s="331">
        <v>2505.8723165914562</v>
      </c>
      <c r="AS32" s="331">
        <v>362.30329023932296</v>
      </c>
      <c r="AT32" s="331">
        <v>6961.1229691683275</v>
      </c>
      <c r="AU32" s="331">
        <v>5969.7947501428926</v>
      </c>
      <c r="AV32" s="331">
        <v>7694.7841807587001</v>
      </c>
      <c r="AW32" s="331">
        <v>13200.780885560713</v>
      </c>
      <c r="AX32" s="331">
        <v>16429.105946004329</v>
      </c>
      <c r="AY32" s="331">
        <v>18317.501816353819</v>
      </c>
      <c r="AZ32" s="331">
        <v>15030.444270606862</v>
      </c>
      <c r="BA32" s="331">
        <v>17925.859827437667</v>
      </c>
      <c r="BB32" s="331">
        <v>34220.400392771495</v>
      </c>
      <c r="BC32" s="331">
        <v>24531.567115224665</v>
      </c>
      <c r="BD32" s="331">
        <v>26869.239262602758</v>
      </c>
      <c r="BE32" s="331">
        <v>104908.18184690546</v>
      </c>
      <c r="BF32" s="477">
        <v>26330.840725815538</v>
      </c>
      <c r="BG32" s="477">
        <v>27038.190906641958</v>
      </c>
      <c r="BH32" s="477">
        <v>24210.739417724748</v>
      </c>
      <c r="BI32" s="477">
        <v>27899.206762922237</v>
      </c>
      <c r="BJ32" s="477">
        <v>31207.898368658047</v>
      </c>
      <c r="BK32" s="477">
        <v>31698.677078359204</v>
      </c>
      <c r="BL32" s="477">
        <v>30231.740541817246</v>
      </c>
      <c r="BM32" s="477">
        <v>26670.106818821667</v>
      </c>
      <c r="BN32" s="477">
        <v>27143.816239091539</v>
      </c>
      <c r="BO32" s="477">
        <v>26318.021647640544</v>
      </c>
      <c r="BP32" s="477">
        <v>26771.810828489928</v>
      </c>
      <c r="BQ32" s="477">
        <v>60109.237303415299</v>
      </c>
      <c r="BR32" s="477">
        <v>28047.893116112777</v>
      </c>
      <c r="BS32" s="477">
        <v>26598.57268329163</v>
      </c>
      <c r="BT32" s="477">
        <v>27334.614340519769</v>
      </c>
      <c r="BU32" s="477">
        <v>27853.994237733652</v>
      </c>
      <c r="BV32" s="477">
        <v>28607.243503229096</v>
      </c>
      <c r="BW32" s="49">
        <v>26783.236528343845</v>
      </c>
      <c r="BX32" s="49">
        <v>27652.519486380883</v>
      </c>
      <c r="BY32" s="49">
        <v>28683.647853154172</v>
      </c>
      <c r="BZ32" s="49">
        <v>27535.172451522572</v>
      </c>
      <c r="CA32" s="49">
        <v>28276.979387526379</v>
      </c>
      <c r="CB32" s="49">
        <v>28856.480328960159</v>
      </c>
      <c r="CC32" s="49">
        <v>27157.176152898435</v>
      </c>
      <c r="CD32" s="49">
        <v>24584.798981526736</v>
      </c>
      <c r="CE32" s="49">
        <v>24468.587414212852</v>
      </c>
      <c r="CF32" s="49">
        <v>25943.414035089121</v>
      </c>
      <c r="CG32" s="49">
        <v>15340.409005653446</v>
      </c>
      <c r="CH32" s="49">
        <v>15951.409382838392</v>
      </c>
    </row>
    <row r="33" spans="1:86">
      <c r="B33" s="329" t="s">
        <v>173</v>
      </c>
      <c r="C33" s="329"/>
      <c r="D33" s="329"/>
      <c r="E33" s="330">
        <v>1533</v>
      </c>
      <c r="F33" s="330">
        <v>1243</v>
      </c>
      <c r="G33" s="330">
        <v>1130</v>
      </c>
      <c r="H33" s="330">
        <v>1096</v>
      </c>
      <c r="I33" s="330">
        <v>1725</v>
      </c>
      <c r="J33" s="330">
        <v>1356</v>
      </c>
      <c r="K33" s="330">
        <v>1365</v>
      </c>
      <c r="L33" s="330">
        <v>1306</v>
      </c>
      <c r="M33" s="330">
        <v>2204</v>
      </c>
      <c r="N33" s="330">
        <v>1962</v>
      </c>
      <c r="O33" s="330"/>
      <c r="P33" s="330"/>
      <c r="Q33" s="330">
        <v>5206</v>
      </c>
      <c r="R33" s="330"/>
      <c r="S33" s="330"/>
      <c r="T33" s="330">
        <v>4681.7359108310538</v>
      </c>
      <c r="U33" s="330">
        <v>1223.5421457660889</v>
      </c>
      <c r="V33" s="330">
        <v>1237.3043051958498</v>
      </c>
      <c r="W33" s="330">
        <v>1110.4106578658759</v>
      </c>
      <c r="X33" s="331">
        <v>4742.3072601165968</v>
      </c>
      <c r="Y33" s="331">
        <v>3945.2390354927811</v>
      </c>
      <c r="Z33" s="331">
        <v>6220.4563422675401</v>
      </c>
      <c r="AA33" s="331">
        <v>5424.943206995461</v>
      </c>
      <c r="AB33" s="331">
        <v>4383.3891323903999</v>
      </c>
      <c r="AC33" s="331">
        <v>1923.3125986070463</v>
      </c>
      <c r="AD33" s="331">
        <v>5357.2594752509149</v>
      </c>
      <c r="AE33" s="331">
        <v>7990.0125235047508</v>
      </c>
      <c r="AF33" s="331">
        <v>13869.212627051198</v>
      </c>
      <c r="AG33" s="331">
        <v>9115.4618396679798</v>
      </c>
      <c r="AH33" s="331">
        <v>7845.286684419646</v>
      </c>
      <c r="AI33" s="331">
        <v>2964.2778411605509</v>
      </c>
      <c r="AJ33" s="331">
        <v>2124.146086516897</v>
      </c>
      <c r="AK33" s="331">
        <v>4509.7157883908612</v>
      </c>
      <c r="AL33" s="331">
        <v>67229.826109931513</v>
      </c>
      <c r="AM33" s="331">
        <v>13154.047608933175</v>
      </c>
      <c r="AN33" s="331">
        <v>5970.2766644978901</v>
      </c>
      <c r="AO33" s="331">
        <v>5119.6715428809848</v>
      </c>
      <c r="AP33" s="331">
        <v>6833.7497748017759</v>
      </c>
      <c r="AQ33" s="331">
        <v>7301.3232023931614</v>
      </c>
      <c r="AR33" s="331">
        <v>6854.5051747576517</v>
      </c>
      <c r="AS33" s="331">
        <v>29733.144384075313</v>
      </c>
      <c r="AT33" s="331">
        <v>8227.3738454430149</v>
      </c>
      <c r="AU33" s="331">
        <v>16116.32494653409</v>
      </c>
      <c r="AV33" s="331">
        <v>8953.2786616836165</v>
      </c>
      <c r="AW33" s="331">
        <v>13801.604257214754</v>
      </c>
      <c r="AX33" s="331">
        <v>17076.536729383624</v>
      </c>
      <c r="AY33" s="331">
        <v>16304.218757474522</v>
      </c>
      <c r="AZ33" s="331">
        <v>22534.058196508446</v>
      </c>
      <c r="BA33" s="331">
        <v>22084.044573094052</v>
      </c>
      <c r="BB33" s="331">
        <v>28454.837450816511</v>
      </c>
      <c r="BC33" s="331">
        <v>27408.345241724299</v>
      </c>
      <c r="BD33" s="331">
        <v>27764.221636986265</v>
      </c>
      <c r="BE33" s="331">
        <v>101205.61570549906</v>
      </c>
      <c r="BF33" s="477">
        <v>25863.854047397421</v>
      </c>
      <c r="BG33" s="477">
        <v>32813.232628665508</v>
      </c>
      <c r="BH33" s="477">
        <v>27146.748145197627</v>
      </c>
      <c r="BI33" s="477">
        <v>24861.95546227217</v>
      </c>
      <c r="BJ33" s="477">
        <v>25366.18662629445</v>
      </c>
      <c r="BK33" s="477">
        <v>25982.918285256212</v>
      </c>
      <c r="BL33" s="477">
        <v>27201.442093810187</v>
      </c>
      <c r="BM33" s="477">
        <v>29072.266540381373</v>
      </c>
      <c r="BN33" s="477">
        <v>29648.277289129244</v>
      </c>
      <c r="BO33" s="477">
        <v>25341.97081105844</v>
      </c>
      <c r="BP33" s="477">
        <v>32906.89376565149</v>
      </c>
      <c r="BQ33" s="477">
        <v>29678.50453705015</v>
      </c>
      <c r="BR33" s="477">
        <v>38649.950387738681</v>
      </c>
      <c r="BS33" s="477">
        <v>25202.360211108949</v>
      </c>
      <c r="BT33" s="477">
        <v>29229.461589111092</v>
      </c>
      <c r="BU33" s="477">
        <v>26370.524614959526</v>
      </c>
      <c r="BV33" s="477">
        <v>26451.429063942163</v>
      </c>
      <c r="BW33" s="49">
        <v>25183.864456802479</v>
      </c>
      <c r="BX33" s="49">
        <v>32803.752318565108</v>
      </c>
      <c r="BY33" s="49">
        <v>28542.291717219581</v>
      </c>
      <c r="BZ33" s="49">
        <v>25877.059131859969</v>
      </c>
      <c r="CA33" s="49">
        <v>26349.13574173017</v>
      </c>
      <c r="CB33" s="49">
        <v>36871.149653268942</v>
      </c>
      <c r="CC33" s="49">
        <v>25227.94835597686</v>
      </c>
      <c r="CD33" s="49">
        <v>22805.913471478001</v>
      </c>
      <c r="CE33" s="49">
        <v>22532.817887448684</v>
      </c>
      <c r="CF33" s="49">
        <v>31144.094932482916</v>
      </c>
      <c r="CG33" s="49">
        <v>14327.255964960121</v>
      </c>
      <c r="CH33" s="49">
        <v>14320.370864222734</v>
      </c>
    </row>
    <row r="34" spans="1:86">
      <c r="B34" s="332" t="s">
        <v>73</v>
      </c>
      <c r="D34" s="333">
        <f>D23-D32</f>
        <v>2615.0402174300257</v>
      </c>
      <c r="E34" s="333">
        <f t="shared" ref="E34:N34" si="74">E23-E32</f>
        <v>306.55550197594539</v>
      </c>
      <c r="F34" s="333">
        <f t="shared" si="74"/>
        <v>231.40849694886106</v>
      </c>
      <c r="G34" s="333">
        <f t="shared" si="74"/>
        <v>108.26991278969956</v>
      </c>
      <c r="H34" s="333">
        <f t="shared" si="74"/>
        <v>559.33746599700817</v>
      </c>
      <c r="I34" s="333">
        <f t="shared" si="74"/>
        <v>115.85339927644168</v>
      </c>
      <c r="J34" s="333">
        <f t="shared" si="74"/>
        <v>-24308.303548659966</v>
      </c>
      <c r="K34" s="333">
        <f t="shared" si="74"/>
        <v>-24174.506568921162</v>
      </c>
      <c r="L34" s="333">
        <f t="shared" si="74"/>
        <v>-101.66156959376281</v>
      </c>
      <c r="M34" s="333">
        <f t="shared" si="74"/>
        <v>252.66739659326777</v>
      </c>
      <c r="N34" s="333">
        <f t="shared" si="74"/>
        <v>-16.648477359248773</v>
      </c>
      <c r="O34" s="333"/>
      <c r="P34" s="333">
        <f t="shared" ref="P34:AN34" si="75">P10-P32</f>
        <v>1250.9192351594445</v>
      </c>
      <c r="Q34" s="333">
        <f t="shared" si="75"/>
        <v>-362.24146291632815</v>
      </c>
      <c r="R34" s="333">
        <f t="shared" si="75"/>
        <v>751.06608991132146</v>
      </c>
      <c r="S34" s="333">
        <f t="shared" si="75"/>
        <v>979.58283375604344</v>
      </c>
      <c r="T34" s="333">
        <f t="shared" si="75"/>
        <v>0</v>
      </c>
      <c r="U34" s="333">
        <f t="shared" si="75"/>
        <v>0</v>
      </c>
      <c r="V34" s="333">
        <f t="shared" si="75"/>
        <v>0</v>
      </c>
      <c r="W34" s="333">
        <f t="shared" si="75"/>
        <v>0</v>
      </c>
      <c r="X34" s="333">
        <f t="shared" si="75"/>
        <v>0</v>
      </c>
      <c r="Y34" s="333">
        <f t="shared" si="75"/>
        <v>0</v>
      </c>
      <c r="Z34" s="333">
        <f t="shared" si="75"/>
        <v>202.06334077951033</v>
      </c>
      <c r="AA34" s="333">
        <f t="shared" si="75"/>
        <v>0</v>
      </c>
      <c r="AB34" s="333">
        <f t="shared" si="75"/>
        <v>0</v>
      </c>
      <c r="AC34" s="333">
        <f t="shared" si="75"/>
        <v>0</v>
      </c>
      <c r="AD34" s="333">
        <f t="shared" si="75"/>
        <v>0</v>
      </c>
      <c r="AE34" s="333">
        <f t="shared" si="75"/>
        <v>0</v>
      </c>
      <c r="AF34" s="333">
        <f t="shared" si="75"/>
        <v>0</v>
      </c>
      <c r="AG34" s="333">
        <f t="shared" si="75"/>
        <v>0</v>
      </c>
      <c r="AH34" s="333">
        <f t="shared" si="75"/>
        <v>0</v>
      </c>
      <c r="AI34" s="333">
        <f t="shared" si="75"/>
        <v>0</v>
      </c>
      <c r="AJ34" s="333">
        <f t="shared" si="75"/>
        <v>0</v>
      </c>
      <c r="AK34" s="333">
        <f t="shared" si="75"/>
        <v>0</v>
      </c>
      <c r="AL34" s="333">
        <f t="shared" si="75"/>
        <v>0</v>
      </c>
      <c r="AM34" s="333">
        <f t="shared" si="75"/>
        <v>0</v>
      </c>
      <c r="AN34" s="333">
        <f t="shared" si="75"/>
        <v>0</v>
      </c>
      <c r="AO34" s="333">
        <f t="shared" ref="AO34:BC34" si="76">AO10-AO32</f>
        <v>0</v>
      </c>
      <c r="AP34" s="333">
        <f t="shared" si="76"/>
        <v>0</v>
      </c>
      <c r="AQ34" s="333">
        <f t="shared" si="76"/>
        <v>0</v>
      </c>
      <c r="AR34" s="333">
        <f t="shared" si="76"/>
        <v>0</v>
      </c>
      <c r="AS34" s="333">
        <f t="shared" si="76"/>
        <v>0</v>
      </c>
      <c r="AT34" s="333">
        <f t="shared" si="76"/>
        <v>0</v>
      </c>
      <c r="AU34" s="333">
        <f t="shared" si="76"/>
        <v>0</v>
      </c>
      <c r="AV34" s="333">
        <f t="shared" si="76"/>
        <v>0</v>
      </c>
      <c r="AW34" s="333">
        <f t="shared" si="76"/>
        <v>0</v>
      </c>
      <c r="AX34" s="333">
        <f t="shared" si="76"/>
        <v>0</v>
      </c>
      <c r="AY34" s="333">
        <f t="shared" si="76"/>
        <v>0</v>
      </c>
      <c r="AZ34" s="333">
        <f t="shared" si="76"/>
        <v>0</v>
      </c>
      <c r="BA34" s="333">
        <f t="shared" si="76"/>
        <v>0</v>
      </c>
      <c r="BB34" s="333">
        <f t="shared" si="76"/>
        <v>0</v>
      </c>
      <c r="BC34" s="333">
        <f t="shared" si="76"/>
        <v>0</v>
      </c>
      <c r="BD34" s="333">
        <f t="shared" ref="BD34:BJ34" si="77">BD10-BD32</f>
        <v>0</v>
      </c>
      <c r="BE34" s="333">
        <f t="shared" si="77"/>
        <v>0</v>
      </c>
      <c r="BF34" s="333">
        <f t="shared" si="77"/>
        <v>0</v>
      </c>
      <c r="BG34" s="333">
        <f t="shared" si="77"/>
        <v>0</v>
      </c>
      <c r="BH34" s="333">
        <f t="shared" si="77"/>
        <v>0</v>
      </c>
      <c r="BI34" s="333">
        <f t="shared" si="77"/>
        <v>0</v>
      </c>
      <c r="BJ34" s="333">
        <f t="shared" si="77"/>
        <v>0</v>
      </c>
      <c r="BK34" s="333">
        <f t="shared" ref="BK34:BV34" si="78">BK10-BK32</f>
        <v>0</v>
      </c>
      <c r="BL34" s="333">
        <f t="shared" si="78"/>
        <v>0</v>
      </c>
      <c r="BM34" s="333">
        <f t="shared" si="78"/>
        <v>0</v>
      </c>
      <c r="BN34" s="333">
        <f t="shared" si="78"/>
        <v>0</v>
      </c>
      <c r="BO34" s="333">
        <f t="shared" si="78"/>
        <v>0</v>
      </c>
      <c r="BP34" s="333">
        <f t="shared" si="78"/>
        <v>0</v>
      </c>
      <c r="BQ34" s="333">
        <f t="shared" si="78"/>
        <v>0</v>
      </c>
      <c r="BR34" s="333">
        <f t="shared" si="78"/>
        <v>0</v>
      </c>
      <c r="BS34" s="333">
        <f t="shared" si="78"/>
        <v>0</v>
      </c>
      <c r="BT34" s="333">
        <f t="shared" si="78"/>
        <v>0</v>
      </c>
      <c r="BU34" s="333">
        <f t="shared" si="78"/>
        <v>0</v>
      </c>
      <c r="BV34" s="333">
        <f t="shared" si="78"/>
        <v>0</v>
      </c>
      <c r="BW34" s="333">
        <f t="shared" ref="BW34:CH34" si="79">BW10-BW32</f>
        <v>0</v>
      </c>
      <c r="BX34" s="333">
        <f t="shared" si="79"/>
        <v>0</v>
      </c>
      <c r="BY34" s="333">
        <f t="shared" si="79"/>
        <v>0</v>
      </c>
      <c r="BZ34" s="333">
        <f t="shared" si="79"/>
        <v>0</v>
      </c>
      <c r="CA34" s="333">
        <f t="shared" si="79"/>
        <v>0</v>
      </c>
      <c r="CB34" s="333">
        <f t="shared" si="79"/>
        <v>0</v>
      </c>
      <c r="CC34" s="333">
        <f t="shared" si="79"/>
        <v>0</v>
      </c>
      <c r="CD34" s="333">
        <f t="shared" si="79"/>
        <v>0</v>
      </c>
      <c r="CE34" s="333">
        <f t="shared" si="79"/>
        <v>0</v>
      </c>
      <c r="CF34" s="333">
        <f t="shared" si="79"/>
        <v>0</v>
      </c>
      <c r="CG34" s="333">
        <f t="shared" si="79"/>
        <v>0</v>
      </c>
      <c r="CH34" s="333">
        <f t="shared" si="79"/>
        <v>0</v>
      </c>
    </row>
    <row r="35" spans="1:86">
      <c r="D35" s="334">
        <f>D30-D33</f>
        <v>1889.2269507713224</v>
      </c>
      <c r="E35" s="334">
        <f t="shared" ref="E35:N35" si="80">E30-E33</f>
        <v>205.47853357127337</v>
      </c>
      <c r="F35" s="334">
        <f t="shared" si="80"/>
        <v>-98.093813685688474</v>
      </c>
      <c r="G35" s="334">
        <f t="shared" si="80"/>
        <v>962.58121257510766</v>
      </c>
      <c r="H35" s="334">
        <f t="shared" si="80"/>
        <v>118.76825760548172</v>
      </c>
      <c r="I35" s="334">
        <f t="shared" si="80"/>
        <v>-142.70350553747721</v>
      </c>
      <c r="J35" s="334">
        <f t="shared" si="80"/>
        <v>-91.487127562668775</v>
      </c>
      <c r="K35" s="334">
        <f t="shared" si="80"/>
        <v>-177.54956689286769</v>
      </c>
      <c r="L35" s="334">
        <f t="shared" si="80"/>
        <v>305.15386240863859</v>
      </c>
      <c r="M35" s="334">
        <f t="shared" si="80"/>
        <v>-731.71467470608786</v>
      </c>
      <c r="N35" s="334">
        <f t="shared" si="80"/>
        <v>-409.71113758835736</v>
      </c>
      <c r="O35" s="334"/>
      <c r="P35" s="334">
        <f t="shared" ref="P35:AN35" si="81">P16-P33</f>
        <v>1558.8295900492271</v>
      </c>
      <c r="Q35" s="334">
        <f t="shared" si="81"/>
        <v>-3790.1794165438359</v>
      </c>
      <c r="R35" s="334">
        <f t="shared" si="81"/>
        <v>2008.5723402933231</v>
      </c>
      <c r="S35" s="334">
        <f t="shared" si="81"/>
        <v>1177.7124227362669</v>
      </c>
      <c r="T35" s="334">
        <f t="shared" si="81"/>
        <v>0</v>
      </c>
      <c r="U35" s="334">
        <f t="shared" si="81"/>
        <v>0</v>
      </c>
      <c r="V35" s="334">
        <f t="shared" si="81"/>
        <v>0</v>
      </c>
      <c r="W35" s="334">
        <f t="shared" si="81"/>
        <v>0</v>
      </c>
      <c r="X35" s="334">
        <f t="shared" si="81"/>
        <v>0</v>
      </c>
      <c r="Y35" s="334">
        <f t="shared" si="81"/>
        <v>0</v>
      </c>
      <c r="Z35" s="334">
        <f t="shared" si="81"/>
        <v>423.6573403290422</v>
      </c>
      <c r="AA35" s="334">
        <f t="shared" si="81"/>
        <v>0</v>
      </c>
      <c r="AB35" s="334">
        <f t="shared" si="81"/>
        <v>0</v>
      </c>
      <c r="AC35" s="334">
        <f t="shared" si="81"/>
        <v>0</v>
      </c>
      <c r="AD35" s="334">
        <f t="shared" si="81"/>
        <v>0</v>
      </c>
      <c r="AE35" s="334">
        <f t="shared" si="81"/>
        <v>0</v>
      </c>
      <c r="AF35" s="334">
        <f t="shared" si="81"/>
        <v>0</v>
      </c>
      <c r="AG35" s="334">
        <f t="shared" si="81"/>
        <v>0</v>
      </c>
      <c r="AH35" s="334">
        <f t="shared" si="81"/>
        <v>0</v>
      </c>
      <c r="AI35" s="334">
        <f t="shared" si="81"/>
        <v>0</v>
      </c>
      <c r="AJ35" s="334">
        <f t="shared" si="81"/>
        <v>0</v>
      </c>
      <c r="AK35" s="334">
        <f t="shared" si="81"/>
        <v>0</v>
      </c>
      <c r="AL35" s="334">
        <f t="shared" si="81"/>
        <v>0</v>
      </c>
      <c r="AM35" s="334">
        <f t="shared" si="81"/>
        <v>0</v>
      </c>
      <c r="AN35" s="334">
        <f t="shared" si="81"/>
        <v>0</v>
      </c>
      <c r="AO35" s="334">
        <f t="shared" ref="AO35:BC35" si="82">AO16-AO33</f>
        <v>0</v>
      </c>
      <c r="AP35" s="334">
        <f t="shared" si="82"/>
        <v>0</v>
      </c>
      <c r="AQ35" s="334">
        <f t="shared" si="82"/>
        <v>0</v>
      </c>
      <c r="AR35" s="334">
        <f t="shared" si="82"/>
        <v>0</v>
      </c>
      <c r="AS35" s="334">
        <f t="shared" si="82"/>
        <v>0</v>
      </c>
      <c r="AT35" s="334">
        <f t="shared" si="82"/>
        <v>0</v>
      </c>
      <c r="AU35" s="334">
        <f t="shared" si="82"/>
        <v>0</v>
      </c>
      <c r="AV35" s="334">
        <f t="shared" si="82"/>
        <v>0</v>
      </c>
      <c r="AW35" s="334">
        <f t="shared" si="82"/>
        <v>0</v>
      </c>
      <c r="AX35" s="334">
        <f t="shared" si="82"/>
        <v>0</v>
      </c>
      <c r="AY35" s="334">
        <f t="shared" si="82"/>
        <v>0</v>
      </c>
      <c r="AZ35" s="334">
        <f t="shared" si="82"/>
        <v>0</v>
      </c>
      <c r="BA35" s="334">
        <f t="shared" si="82"/>
        <v>0</v>
      </c>
      <c r="BB35" s="334">
        <f t="shared" si="82"/>
        <v>0</v>
      </c>
      <c r="BC35" s="334">
        <f t="shared" si="82"/>
        <v>0</v>
      </c>
      <c r="BD35" s="334">
        <f t="shared" ref="BD35:BJ35" si="83">BD16-BD33</f>
        <v>0</v>
      </c>
      <c r="BE35" s="334">
        <f t="shared" si="83"/>
        <v>0</v>
      </c>
      <c r="BF35" s="334">
        <f t="shared" si="83"/>
        <v>0</v>
      </c>
      <c r="BG35" s="334">
        <f t="shared" si="83"/>
        <v>0</v>
      </c>
      <c r="BH35" s="334">
        <f t="shared" si="83"/>
        <v>0</v>
      </c>
      <c r="BI35" s="334">
        <f t="shared" si="83"/>
        <v>0</v>
      </c>
      <c r="BJ35" s="334">
        <f t="shared" si="83"/>
        <v>0</v>
      </c>
      <c r="BK35" s="334">
        <f t="shared" ref="BK35:BV35" si="84">BK16-BK33</f>
        <v>0</v>
      </c>
      <c r="BL35" s="334">
        <f t="shared" si="84"/>
        <v>0</v>
      </c>
      <c r="BM35" s="334">
        <f t="shared" si="84"/>
        <v>0</v>
      </c>
      <c r="BN35" s="334">
        <f t="shared" si="84"/>
        <v>0</v>
      </c>
      <c r="BO35" s="334">
        <f t="shared" si="84"/>
        <v>0</v>
      </c>
      <c r="BP35" s="334">
        <f t="shared" si="84"/>
        <v>0</v>
      </c>
      <c r="BQ35" s="334">
        <f t="shared" si="84"/>
        <v>0</v>
      </c>
      <c r="BR35" s="334">
        <f t="shared" si="84"/>
        <v>0</v>
      </c>
      <c r="BS35" s="334">
        <f t="shared" si="84"/>
        <v>0</v>
      </c>
      <c r="BT35" s="334">
        <f t="shared" si="84"/>
        <v>0</v>
      </c>
      <c r="BU35" s="334">
        <f>BU16-BU33</f>
        <v>0</v>
      </c>
      <c r="BV35" s="334">
        <f t="shared" si="84"/>
        <v>0</v>
      </c>
      <c r="BW35" s="334">
        <f t="shared" ref="BW35:CH35" si="85">BW16-BW33</f>
        <v>0</v>
      </c>
      <c r="BX35" s="334">
        <f t="shared" si="85"/>
        <v>0</v>
      </c>
      <c r="BY35" s="334">
        <f t="shared" si="85"/>
        <v>0</v>
      </c>
      <c r="BZ35" s="334">
        <f t="shared" si="85"/>
        <v>0</v>
      </c>
      <c r="CA35" s="334">
        <f t="shared" si="85"/>
        <v>0</v>
      </c>
      <c r="CB35" s="334">
        <f t="shared" si="85"/>
        <v>0</v>
      </c>
      <c r="CC35" s="334">
        <f t="shared" si="85"/>
        <v>0</v>
      </c>
      <c r="CD35" s="334">
        <f t="shared" si="85"/>
        <v>0</v>
      </c>
      <c r="CE35" s="334">
        <f t="shared" si="85"/>
        <v>0</v>
      </c>
      <c r="CF35" s="334">
        <f t="shared" si="85"/>
        <v>0</v>
      </c>
      <c r="CG35" s="334">
        <f t="shared" si="85"/>
        <v>0</v>
      </c>
      <c r="CH35" s="334">
        <f t="shared" si="85"/>
        <v>0</v>
      </c>
    </row>
    <row r="37" spans="1:86" s="332" customFormat="1">
      <c r="A37" s="49"/>
      <c r="B37" s="332" t="s">
        <v>174</v>
      </c>
      <c r="C37" s="333">
        <f>C18-C19</f>
        <v>0</v>
      </c>
      <c r="D37" s="333">
        <f t="shared" ref="D37:N37" si="86">D18-D19</f>
        <v>0</v>
      </c>
      <c r="E37" s="333">
        <f t="shared" si="86"/>
        <v>0</v>
      </c>
      <c r="F37" s="333">
        <f t="shared" si="86"/>
        <v>0</v>
      </c>
      <c r="G37" s="333">
        <f t="shared" si="86"/>
        <v>0</v>
      </c>
      <c r="H37" s="333">
        <f t="shared" si="86"/>
        <v>0</v>
      </c>
      <c r="I37" s="333">
        <f t="shared" si="86"/>
        <v>0</v>
      </c>
      <c r="J37" s="333">
        <f t="shared" si="86"/>
        <v>0</v>
      </c>
      <c r="K37" s="333">
        <f t="shared" si="86"/>
        <v>0</v>
      </c>
      <c r="L37" s="333">
        <f t="shared" si="86"/>
        <v>0</v>
      </c>
      <c r="M37" s="333">
        <f t="shared" si="86"/>
        <v>0</v>
      </c>
      <c r="N37" s="333">
        <f t="shared" si="86"/>
        <v>0</v>
      </c>
      <c r="O37" s="333">
        <f>O18-O19</f>
        <v>0</v>
      </c>
      <c r="P37" s="333">
        <f t="shared" ref="P37:BJ37" si="87">P18-P19</f>
        <v>0</v>
      </c>
      <c r="Q37" s="333">
        <f t="shared" si="87"/>
        <v>0</v>
      </c>
      <c r="R37" s="333">
        <f t="shared" si="87"/>
        <v>0</v>
      </c>
      <c r="S37" s="333">
        <f t="shared" si="87"/>
        <v>0</v>
      </c>
      <c r="T37" s="333">
        <f t="shared" si="87"/>
        <v>0</v>
      </c>
      <c r="U37" s="333">
        <f t="shared" si="87"/>
        <v>0</v>
      </c>
      <c r="V37" s="333">
        <f t="shared" si="87"/>
        <v>0</v>
      </c>
      <c r="W37" s="333">
        <f t="shared" si="87"/>
        <v>0</v>
      </c>
      <c r="X37" s="333">
        <f t="shared" si="87"/>
        <v>0</v>
      </c>
      <c r="Y37" s="333">
        <f t="shared" si="87"/>
        <v>0</v>
      </c>
      <c r="Z37" s="333">
        <f t="shared" si="87"/>
        <v>0</v>
      </c>
      <c r="AA37" s="333">
        <f t="shared" si="87"/>
        <v>0</v>
      </c>
      <c r="AB37" s="333">
        <f t="shared" si="87"/>
        <v>0</v>
      </c>
      <c r="AC37" s="333">
        <f t="shared" si="87"/>
        <v>0</v>
      </c>
      <c r="AD37" s="333">
        <f t="shared" si="87"/>
        <v>0</v>
      </c>
      <c r="AE37" s="333">
        <f t="shared" si="87"/>
        <v>0</v>
      </c>
      <c r="AF37" s="333">
        <f t="shared" si="87"/>
        <v>0</v>
      </c>
      <c r="AG37" s="333">
        <f t="shared" si="87"/>
        <v>0</v>
      </c>
      <c r="AH37" s="333">
        <f t="shared" si="87"/>
        <v>0</v>
      </c>
      <c r="AI37" s="333">
        <f t="shared" si="87"/>
        <v>0</v>
      </c>
      <c r="AJ37" s="333">
        <f t="shared" si="87"/>
        <v>0</v>
      </c>
      <c r="AK37" s="333">
        <f t="shared" si="87"/>
        <v>0</v>
      </c>
      <c r="AL37" s="333">
        <f t="shared" si="87"/>
        <v>0</v>
      </c>
      <c r="AM37" s="333">
        <f t="shared" si="87"/>
        <v>0</v>
      </c>
      <c r="AN37" s="333">
        <f t="shared" si="87"/>
        <v>0</v>
      </c>
      <c r="AO37" s="333">
        <f t="shared" si="87"/>
        <v>0</v>
      </c>
      <c r="AP37" s="333">
        <f t="shared" si="87"/>
        <v>0</v>
      </c>
      <c r="AQ37" s="333">
        <f t="shared" si="87"/>
        <v>0</v>
      </c>
      <c r="AR37" s="333">
        <f t="shared" si="87"/>
        <v>0</v>
      </c>
      <c r="AS37" s="333">
        <f t="shared" si="87"/>
        <v>0</v>
      </c>
      <c r="AT37" s="333">
        <f t="shared" si="87"/>
        <v>0</v>
      </c>
      <c r="AU37" s="333">
        <f t="shared" si="87"/>
        <v>-2.9103830456733704E-11</v>
      </c>
      <c r="AV37" s="333">
        <f t="shared" si="87"/>
        <v>-2.9103830456733704E-11</v>
      </c>
      <c r="AW37" s="333">
        <f t="shared" si="87"/>
        <v>-2.9103830456733704E-11</v>
      </c>
      <c r="AX37" s="333">
        <f t="shared" si="87"/>
        <v>-2.9103830456733704E-11</v>
      </c>
      <c r="AY37" s="333">
        <f t="shared" si="87"/>
        <v>-2.9103830456733704E-11</v>
      </c>
      <c r="AZ37" s="333">
        <f t="shared" si="87"/>
        <v>-2.9103830456733704E-11</v>
      </c>
      <c r="BA37" s="333">
        <f t="shared" si="87"/>
        <v>-2.9103830456733704E-11</v>
      </c>
      <c r="BB37" s="333">
        <f t="shared" si="87"/>
        <v>-2.9103830456733704E-11</v>
      </c>
      <c r="BC37" s="333">
        <f t="shared" si="87"/>
        <v>-2.9103830456733704E-11</v>
      </c>
      <c r="BD37" s="333">
        <f t="shared" si="87"/>
        <v>-2.9103830456733704E-11</v>
      </c>
      <c r="BE37" s="333">
        <f t="shared" si="87"/>
        <v>-2.9103830456733704E-11</v>
      </c>
      <c r="BF37" s="333">
        <f t="shared" si="87"/>
        <v>-2.9103830456733704E-11</v>
      </c>
      <c r="BG37" s="333">
        <f t="shared" si="87"/>
        <v>-2.9103830456733704E-11</v>
      </c>
      <c r="BH37" s="333">
        <f t="shared" si="87"/>
        <v>-2.9103830456733704E-11</v>
      </c>
      <c r="BI37" s="333">
        <f t="shared" si="87"/>
        <v>-2.9103830456733704E-11</v>
      </c>
      <c r="BJ37" s="333">
        <f t="shared" si="87"/>
        <v>-2.9103830456733704E-11</v>
      </c>
      <c r="BK37" s="333">
        <f t="shared" ref="BK37:CH37" si="88">BK18-BK19</f>
        <v>-2.9103830456733704E-11</v>
      </c>
      <c r="BL37" s="333">
        <f t="shared" si="88"/>
        <v>-2.9103830456733704E-11</v>
      </c>
      <c r="BM37" s="333">
        <f t="shared" si="88"/>
        <v>-2.9103830456733704E-11</v>
      </c>
      <c r="BN37" s="333">
        <f t="shared" si="88"/>
        <v>-2.9103830456733704E-11</v>
      </c>
      <c r="BO37" s="333">
        <f t="shared" si="88"/>
        <v>-2.9103830456733704E-11</v>
      </c>
      <c r="BP37" s="333">
        <f t="shared" si="88"/>
        <v>-2.9103830456733704E-11</v>
      </c>
      <c r="BQ37" s="333">
        <f t="shared" si="88"/>
        <v>0</v>
      </c>
      <c r="BR37" s="333">
        <f t="shared" si="88"/>
        <v>0</v>
      </c>
      <c r="BS37" s="333">
        <f t="shared" si="88"/>
        <v>0</v>
      </c>
      <c r="BT37" s="333">
        <f t="shared" si="88"/>
        <v>0</v>
      </c>
      <c r="BU37" s="333">
        <f t="shared" si="88"/>
        <v>0</v>
      </c>
      <c r="BV37" s="333">
        <f t="shared" si="88"/>
        <v>0</v>
      </c>
      <c r="BW37" s="333">
        <f t="shared" si="88"/>
        <v>0</v>
      </c>
      <c r="BX37" s="333">
        <f t="shared" si="88"/>
        <v>0</v>
      </c>
      <c r="BY37" s="333">
        <f t="shared" si="88"/>
        <v>0</v>
      </c>
      <c r="BZ37" s="333">
        <f t="shared" si="88"/>
        <v>0</v>
      </c>
      <c r="CA37" s="333">
        <f t="shared" si="88"/>
        <v>0</v>
      </c>
      <c r="CB37" s="333">
        <f t="shared" si="88"/>
        <v>0</v>
      </c>
      <c r="CC37" s="333">
        <f t="shared" si="88"/>
        <v>0</v>
      </c>
      <c r="CD37" s="333">
        <f t="shared" si="88"/>
        <v>0</v>
      </c>
      <c r="CE37" s="333">
        <f t="shared" si="88"/>
        <v>0</v>
      </c>
      <c r="CF37" s="333">
        <f t="shared" si="88"/>
        <v>0</v>
      </c>
      <c r="CG37" s="333">
        <f t="shared" si="88"/>
        <v>0</v>
      </c>
      <c r="CH37" s="333">
        <f t="shared" si="88"/>
        <v>0</v>
      </c>
    </row>
  </sheetData>
  <mergeCells count="5">
    <mergeCell ref="A5:A10"/>
    <mergeCell ref="A11:A16"/>
    <mergeCell ref="A17:A18"/>
    <mergeCell ref="A20:A23"/>
    <mergeCell ref="A25:A30"/>
  </mergeCells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  <pageSetUpPr fitToPage="1"/>
  </sheetPr>
  <dimension ref="A1:DN291"/>
  <sheetViews>
    <sheetView tabSelected="1" view="pageBreakPreview" zoomScale="70" zoomScaleNormal="100" zoomScaleSheetLayoutView="70" workbookViewId="0">
      <pane xSplit="6" ySplit="15" topLeftCell="AS16" activePane="bottomRight" state="frozen"/>
      <selection activeCell="BI29" sqref="BI29"/>
      <selection pane="topRight" activeCell="BI29" sqref="BI29"/>
      <selection pane="bottomLeft" activeCell="BI29" sqref="BI29"/>
      <selection pane="bottomRight" activeCell="AX31" sqref="AX31"/>
    </sheetView>
  </sheetViews>
  <sheetFormatPr defaultColWidth="8.75" defaultRowHeight="16.5" outlineLevelRow="1" outlineLevelCol="1"/>
  <cols>
    <col min="1" max="1" width="6.125" customWidth="1"/>
    <col min="2" max="2" width="17.125" customWidth="1"/>
    <col min="3" max="4" width="12.375" customWidth="1"/>
    <col min="5" max="5" width="12" style="65" customWidth="1"/>
    <col min="6" max="6" width="12.375" style="66" hidden="1" customWidth="1"/>
    <col min="7" max="18" width="8.75" hidden="1" customWidth="1" outlineLevel="1"/>
    <col min="19" max="19" width="8.75" style="65" hidden="1" customWidth="1" outlineLevel="1"/>
    <col min="20" max="22" width="8.75" hidden="1" customWidth="1" outlineLevel="1"/>
    <col min="23" max="23" width="8.75" hidden="1" customWidth="1" collapsed="1"/>
    <col min="24" max="31" width="8.75" hidden="1" customWidth="1"/>
    <col min="32" max="32" width="10.25" style="65" hidden="1" customWidth="1"/>
    <col min="33" max="44" width="8.75" hidden="1" customWidth="1"/>
    <col min="45" max="45" width="10.625" style="65" customWidth="1"/>
    <col min="46" max="57" width="10.75" customWidth="1"/>
    <col min="58" max="58" width="10.25" style="65" customWidth="1"/>
    <col min="59" max="70" width="10.75" customWidth="1"/>
    <col min="71" max="71" width="10.25" style="65" customWidth="1"/>
    <col min="72" max="83" width="10.75" customWidth="1"/>
    <col min="84" max="84" width="10.25" style="65" customWidth="1"/>
    <col min="85" max="96" width="10.75" customWidth="1"/>
    <col min="97" max="97" width="10.25" style="65" customWidth="1"/>
    <col min="98" max="109" width="10.75" customWidth="1"/>
    <col min="110" max="110" width="10.25" style="65" customWidth="1"/>
    <col min="111" max="111" width="10.75" customWidth="1"/>
    <col min="112" max="112" width="13.875" hidden="1" customWidth="1"/>
    <col min="113" max="113" width="11.375" hidden="1" customWidth="1"/>
    <col min="114" max="114" width="9.625" hidden="1" customWidth="1"/>
    <col min="115" max="115" width="8.875" hidden="1" customWidth="1"/>
  </cols>
  <sheetData>
    <row r="1" spans="1:117" ht="39">
      <c r="A1" s="216" t="s">
        <v>104</v>
      </c>
      <c r="H1" s="271"/>
      <c r="I1" s="257"/>
    </row>
    <row r="2" spans="1:117">
      <c r="A2" s="252" t="s">
        <v>71</v>
      </c>
      <c r="BE2" s="57"/>
      <c r="BF2" s="57"/>
      <c r="BR2" s="57"/>
      <c r="BS2" s="57"/>
      <c r="CE2" s="57"/>
      <c r="CF2" s="57"/>
      <c r="CR2" s="57"/>
      <c r="CS2" s="57"/>
      <c r="DE2" s="57"/>
      <c r="DF2" s="57"/>
      <c r="DG2" s="57"/>
      <c r="DH2" s="564" t="s">
        <v>73</v>
      </c>
      <c r="DI2" s="564"/>
      <c r="DJ2" s="564"/>
    </row>
    <row r="3" spans="1:117" s="54" customFormat="1" ht="19.899999999999999" customHeight="1">
      <c r="A3" s="565" t="s">
        <v>4</v>
      </c>
      <c r="B3" s="566"/>
      <c r="C3" s="573" t="s">
        <v>51</v>
      </c>
      <c r="D3" s="574"/>
      <c r="E3" s="76" t="s">
        <v>66</v>
      </c>
      <c r="F3" s="265" t="s">
        <v>61</v>
      </c>
      <c r="G3" s="77">
        <v>44927</v>
      </c>
      <c r="H3" s="77">
        <v>44958</v>
      </c>
      <c r="I3" s="77">
        <v>44986</v>
      </c>
      <c r="J3" s="77">
        <v>45017</v>
      </c>
      <c r="K3" s="77">
        <v>45047</v>
      </c>
      <c r="L3" s="77">
        <v>45078</v>
      </c>
      <c r="M3" s="77">
        <v>45108</v>
      </c>
      <c r="N3" s="77">
        <v>45139</v>
      </c>
      <c r="O3" s="77">
        <v>45170</v>
      </c>
      <c r="P3" s="77">
        <v>45200</v>
      </c>
      <c r="Q3" s="77">
        <v>45231</v>
      </c>
      <c r="R3" s="78">
        <v>45261</v>
      </c>
      <c r="S3" s="79" t="s">
        <v>67</v>
      </c>
      <c r="T3" s="80">
        <v>45292</v>
      </c>
      <c r="U3" s="81">
        <v>45323</v>
      </c>
      <c r="V3" s="81">
        <v>45352</v>
      </c>
      <c r="W3" s="81">
        <v>45383</v>
      </c>
      <c r="X3" s="81">
        <v>45413</v>
      </c>
      <c r="Y3" s="81">
        <v>45444</v>
      </c>
      <c r="Z3" s="81">
        <v>45474</v>
      </c>
      <c r="AA3" s="81">
        <v>45505</v>
      </c>
      <c r="AB3" s="81">
        <v>45536</v>
      </c>
      <c r="AC3" s="81">
        <v>45566</v>
      </c>
      <c r="AD3" s="81">
        <v>45597</v>
      </c>
      <c r="AE3" s="78">
        <v>45627</v>
      </c>
      <c r="AF3" s="79" t="s">
        <v>68</v>
      </c>
      <c r="AG3" s="80">
        <v>45658</v>
      </c>
      <c r="AH3" s="81">
        <v>45689</v>
      </c>
      <c r="AI3" s="81">
        <v>45717</v>
      </c>
      <c r="AJ3" s="81">
        <v>45748</v>
      </c>
      <c r="AK3" s="81">
        <v>45778</v>
      </c>
      <c r="AL3" s="81">
        <v>45809</v>
      </c>
      <c r="AM3" s="81">
        <v>45839</v>
      </c>
      <c r="AN3" s="81">
        <v>45870</v>
      </c>
      <c r="AO3" s="81">
        <v>45901</v>
      </c>
      <c r="AP3" s="81">
        <v>45931</v>
      </c>
      <c r="AQ3" s="81">
        <v>45962</v>
      </c>
      <c r="AR3" s="78">
        <v>45992</v>
      </c>
      <c r="AS3" s="397" t="s">
        <v>69</v>
      </c>
      <c r="AT3" s="80">
        <v>46023</v>
      </c>
      <c r="AU3" s="81">
        <v>46054</v>
      </c>
      <c r="AV3" s="81">
        <v>46082</v>
      </c>
      <c r="AW3" s="81">
        <v>46113</v>
      </c>
      <c r="AX3" s="81">
        <v>46143</v>
      </c>
      <c r="AY3" s="81">
        <v>46174</v>
      </c>
      <c r="AZ3" s="81">
        <v>46204</v>
      </c>
      <c r="BA3" s="81">
        <v>46235</v>
      </c>
      <c r="BB3" s="81">
        <v>46266</v>
      </c>
      <c r="BC3" s="81">
        <v>46296</v>
      </c>
      <c r="BD3" s="81">
        <v>46327</v>
      </c>
      <c r="BE3" s="78">
        <v>46357</v>
      </c>
      <c r="BF3" s="79" t="s">
        <v>70</v>
      </c>
      <c r="BG3" s="80">
        <v>46388</v>
      </c>
      <c r="BH3" s="81">
        <v>46419</v>
      </c>
      <c r="BI3" s="80">
        <v>46447</v>
      </c>
      <c r="BJ3" s="81">
        <v>46478</v>
      </c>
      <c r="BK3" s="80">
        <v>46508</v>
      </c>
      <c r="BL3" s="81">
        <v>46539</v>
      </c>
      <c r="BM3" s="80">
        <v>46569</v>
      </c>
      <c r="BN3" s="81">
        <v>46600</v>
      </c>
      <c r="BO3" s="80">
        <v>46631</v>
      </c>
      <c r="BP3" s="81">
        <v>46661</v>
      </c>
      <c r="BQ3" s="80">
        <v>46692</v>
      </c>
      <c r="BR3" s="81">
        <v>46722</v>
      </c>
      <c r="BS3" s="79" t="s">
        <v>116</v>
      </c>
      <c r="BT3" s="80">
        <v>46753</v>
      </c>
      <c r="BU3" s="81">
        <v>46784</v>
      </c>
      <c r="BV3" s="80">
        <v>46813</v>
      </c>
      <c r="BW3" s="81">
        <v>46844</v>
      </c>
      <c r="BX3" s="80">
        <v>46874</v>
      </c>
      <c r="BY3" s="81">
        <v>46905</v>
      </c>
      <c r="BZ3" s="80">
        <v>46935</v>
      </c>
      <c r="CA3" s="81">
        <v>46966</v>
      </c>
      <c r="CB3" s="80">
        <v>46997</v>
      </c>
      <c r="CC3" s="81">
        <v>47027</v>
      </c>
      <c r="CD3" s="80">
        <v>47058</v>
      </c>
      <c r="CE3" s="81">
        <v>47088</v>
      </c>
      <c r="CF3" s="79" t="s">
        <v>213</v>
      </c>
      <c r="CG3" s="80">
        <v>47119</v>
      </c>
      <c r="CH3" s="81">
        <v>47150</v>
      </c>
      <c r="CI3" s="80">
        <v>47178</v>
      </c>
      <c r="CJ3" s="81">
        <v>47209</v>
      </c>
      <c r="CK3" s="80">
        <v>47239</v>
      </c>
      <c r="CL3" s="81">
        <v>47270</v>
      </c>
      <c r="CM3" s="80">
        <v>47300</v>
      </c>
      <c r="CN3" s="81">
        <v>47331</v>
      </c>
      <c r="CO3" s="80">
        <v>47362</v>
      </c>
      <c r="CP3" s="81">
        <v>47392</v>
      </c>
      <c r="CQ3" s="80">
        <v>47423</v>
      </c>
      <c r="CR3" s="81">
        <v>47453</v>
      </c>
      <c r="CS3" s="79" t="s">
        <v>214</v>
      </c>
      <c r="CT3" s="80">
        <v>47484</v>
      </c>
      <c r="CU3" s="81">
        <v>47515</v>
      </c>
      <c r="CV3" s="80">
        <v>47543</v>
      </c>
      <c r="CW3" s="81">
        <v>47574</v>
      </c>
      <c r="CX3" s="80">
        <v>47604</v>
      </c>
      <c r="CY3" s="81">
        <v>47635</v>
      </c>
      <c r="CZ3" s="80">
        <v>47665</v>
      </c>
      <c r="DA3" s="81">
        <v>47696</v>
      </c>
      <c r="DB3" s="80">
        <v>47727</v>
      </c>
      <c r="DC3" s="81">
        <v>47757</v>
      </c>
      <c r="DD3" s="80">
        <v>47788</v>
      </c>
      <c r="DE3" s="81">
        <v>47818</v>
      </c>
      <c r="DF3" s="79" t="s">
        <v>347</v>
      </c>
      <c r="DG3" s="273" t="s">
        <v>348</v>
      </c>
      <c r="DH3" s="82" t="s">
        <v>65</v>
      </c>
      <c r="DI3" s="83" t="s">
        <v>74</v>
      </c>
      <c r="DJ3" s="84" t="s">
        <v>76</v>
      </c>
    </row>
    <row r="4" spans="1:117" s="54" customFormat="1" ht="19.899999999999999" customHeight="1">
      <c r="A4" s="567" t="s">
        <v>175</v>
      </c>
      <c r="B4" s="568"/>
      <c r="C4" s="575" t="s">
        <v>62</v>
      </c>
      <c r="D4" s="576"/>
      <c r="E4" s="85">
        <f t="shared" ref="E4:G5" si="0">+E218</f>
        <v>1585765.7415614321</v>
      </c>
      <c r="F4" s="86">
        <f t="shared" si="0"/>
        <v>4518.8</v>
      </c>
      <c r="G4" s="87">
        <f t="shared" si="0"/>
        <v>2410.7997037403265</v>
      </c>
      <c r="H4" s="87">
        <f t="shared" ref="H4:R4" si="1">+H218</f>
        <v>2585.0402174300257</v>
      </c>
      <c r="I4" s="87">
        <f t="shared" si="1"/>
        <v>1643.8650660652925</v>
      </c>
      <c r="J4" s="87">
        <f t="shared" si="1"/>
        <v>1095.5899310270734</v>
      </c>
      <c r="K4" s="87">
        <f t="shared" si="1"/>
        <v>938.78216480686694</v>
      </c>
      <c r="L4" s="87">
        <f t="shared" si="1"/>
        <v>2572.7344891643515</v>
      </c>
      <c r="M4" s="87">
        <f t="shared" si="1"/>
        <v>1109.6345537773993</v>
      </c>
      <c r="N4" s="87">
        <f t="shared" si="1"/>
        <v>640.46318077889441</v>
      </c>
      <c r="O4" s="87">
        <f t="shared" si="1"/>
        <v>824.97447008298764</v>
      </c>
      <c r="P4" s="87">
        <f t="shared" si="1"/>
        <v>856.31660008206813</v>
      </c>
      <c r="Q4" s="87">
        <f t="shared" si="1"/>
        <v>25858.929654424592</v>
      </c>
      <c r="R4" s="87">
        <f t="shared" si="1"/>
        <v>2951.7028231185031</v>
      </c>
      <c r="S4" s="88">
        <f>SUM(G4:R4)</f>
        <v>43488.832854498381</v>
      </c>
      <c r="T4" s="373">
        <f>+T218</f>
        <v>2477.2539852692398</v>
      </c>
      <c r="U4" s="374">
        <f t="shared" ref="U4:AE4" si="2">+U218</f>
        <v>1158.4478215862637</v>
      </c>
      <c r="V4" s="374">
        <f t="shared" si="2"/>
        <v>607.71864951259136</v>
      </c>
      <c r="W4" s="374">
        <f t="shared" si="2"/>
        <v>727.13063275937486</v>
      </c>
      <c r="X4" s="374">
        <f t="shared" si="2"/>
        <v>647.41927986050564</v>
      </c>
      <c r="Y4" s="374">
        <f t="shared" si="2"/>
        <v>849.28849815717513</v>
      </c>
      <c r="Z4" s="374">
        <f t="shared" si="2"/>
        <v>1210.0057627814306</v>
      </c>
      <c r="AA4" s="374">
        <f t="shared" si="2"/>
        <v>1798.5851877664281</v>
      </c>
      <c r="AB4" s="374">
        <f t="shared" si="2"/>
        <v>765.5901729152281</v>
      </c>
      <c r="AC4" s="374">
        <f t="shared" si="2"/>
        <v>793.43747415872508</v>
      </c>
      <c r="AD4" s="374">
        <f t="shared" si="2"/>
        <v>4877.8477255698399</v>
      </c>
      <c r="AE4" s="374">
        <f t="shared" si="2"/>
        <v>32193.420957294813</v>
      </c>
      <c r="AF4" s="88">
        <f>SUM(T4:AE4)</f>
        <v>48106.146147631618</v>
      </c>
      <c r="AG4" s="491">
        <f>+AG218</f>
        <v>5306.9557683451512</v>
      </c>
      <c r="AH4" s="491">
        <f t="shared" ref="AH4:AR4" si="3">+AH218</f>
        <v>1009.4704036434869</v>
      </c>
      <c r="AI4" s="491">
        <f t="shared" si="3"/>
        <v>1334.4751844645016</v>
      </c>
      <c r="AJ4" s="491">
        <f t="shared" si="3"/>
        <v>2825.3249903125361</v>
      </c>
      <c r="AK4" s="491">
        <f t="shared" si="3"/>
        <v>4332.9033734384011</v>
      </c>
      <c r="AL4" s="491">
        <f t="shared" si="3"/>
        <v>3324.7458981023528</v>
      </c>
      <c r="AM4" s="491">
        <f t="shared" si="3"/>
        <v>3227.9172305372076</v>
      </c>
      <c r="AN4" s="491">
        <f t="shared" si="3"/>
        <v>4322.3224102428121</v>
      </c>
      <c r="AO4" s="491">
        <f t="shared" si="3"/>
        <v>2190.8426183208999</v>
      </c>
      <c r="AP4" s="491">
        <f t="shared" si="3"/>
        <v>1668.3271846656787</v>
      </c>
      <c r="AQ4" s="491">
        <f t="shared" si="3"/>
        <v>3289.4399878376844</v>
      </c>
      <c r="AR4" s="491">
        <f t="shared" si="3"/>
        <v>13048.982696689496</v>
      </c>
      <c r="AS4" s="398">
        <f>SUM(AG4:AR4)</f>
        <v>45881.707746600216</v>
      </c>
      <c r="AT4" s="529">
        <f>+AT218</f>
        <v>13475.459768014465</v>
      </c>
      <c r="AU4" s="491">
        <f t="shared" ref="AU4:BE4" si="4">+AU218</f>
        <v>8369.8133273668082</v>
      </c>
      <c r="AV4" s="491">
        <f t="shared" si="4"/>
        <v>4229.9637588181758</v>
      </c>
      <c r="AW4" s="491">
        <f t="shared" si="4"/>
        <v>4720.3815977465001</v>
      </c>
      <c r="AX4" s="491">
        <f t="shared" si="4"/>
        <v>65.990112820512806</v>
      </c>
      <c r="AY4" s="491">
        <f t="shared" si="4"/>
        <v>1989.0830464550479</v>
      </c>
      <c r="AZ4" s="87">
        <f t="shared" si="4"/>
        <v>139.4</v>
      </c>
      <c r="BA4" s="87">
        <f t="shared" si="4"/>
        <v>6836.1224825751242</v>
      </c>
      <c r="BB4" s="87">
        <f t="shared" si="4"/>
        <v>5849.0150998039389</v>
      </c>
      <c r="BC4" s="87">
        <f t="shared" si="4"/>
        <v>7607.8262977410504</v>
      </c>
      <c r="BD4" s="87">
        <f t="shared" si="4"/>
        <v>13118.017984146145</v>
      </c>
      <c r="BE4" s="87">
        <f t="shared" si="4"/>
        <v>16348.345789161944</v>
      </c>
      <c r="BF4" s="88">
        <f>SUM(AT4:BE4)</f>
        <v>82749.419264649725</v>
      </c>
      <c r="BG4" s="87">
        <f>+BG218</f>
        <v>18238.899762122695</v>
      </c>
      <c r="BH4" s="87">
        <f t="shared" ref="BH4:BR4" si="5">+BH218</f>
        <v>14945.131272846142</v>
      </c>
      <c r="BI4" s="87">
        <f t="shared" si="5"/>
        <v>17865.55887609662</v>
      </c>
      <c r="BJ4" s="87">
        <f t="shared" si="5"/>
        <v>34173.9600572493</v>
      </c>
      <c r="BK4" s="87">
        <f t="shared" si="5"/>
        <v>24465.90823656262</v>
      </c>
      <c r="BL4" s="87">
        <f t="shared" si="5"/>
        <v>26813.16964436238</v>
      </c>
      <c r="BM4" s="87">
        <f t="shared" si="5"/>
        <v>104855.09550324635</v>
      </c>
      <c r="BN4" s="87">
        <f t="shared" si="5"/>
        <v>26265.412495018416</v>
      </c>
      <c r="BO4" s="87">
        <f t="shared" si="5"/>
        <v>26971.206053583443</v>
      </c>
      <c r="BP4" s="87">
        <f t="shared" si="5"/>
        <v>24163.004703739643</v>
      </c>
      <c r="BQ4" s="87">
        <f t="shared" si="5"/>
        <v>27861.258744695377</v>
      </c>
      <c r="BR4" s="87">
        <f t="shared" si="5"/>
        <v>31159.826179429019</v>
      </c>
      <c r="BS4" s="88">
        <f>SUM(BG4:BR4)</f>
        <v>377778.43152895203</v>
      </c>
      <c r="BT4" s="87">
        <f>+BT218</f>
        <v>31631.132516655631</v>
      </c>
      <c r="BU4" s="87">
        <f t="shared" ref="BU4:CE4" si="6">+BU218</f>
        <v>30145.143450803331</v>
      </c>
      <c r="BV4" s="87">
        <f t="shared" si="6"/>
        <v>26573.408732981061</v>
      </c>
      <c r="BW4" s="87">
        <f t="shared" si="6"/>
        <v>27055.125352322797</v>
      </c>
      <c r="BX4" s="87">
        <f t="shared" si="6"/>
        <v>26237.678964371931</v>
      </c>
      <c r="BY4" s="87">
        <f t="shared" si="6"/>
        <v>26688.214642432707</v>
      </c>
      <c r="BZ4" s="87">
        <f t="shared" si="6"/>
        <v>27897.091393815281</v>
      </c>
      <c r="CA4" s="87">
        <f t="shared" si="6"/>
        <v>27883.311430624875</v>
      </c>
      <c r="CB4" s="87">
        <f t="shared" si="6"/>
        <v>26469.331188709148</v>
      </c>
      <c r="CC4" s="87">
        <f t="shared" si="6"/>
        <v>27200.718804363347</v>
      </c>
      <c r="CD4" s="87">
        <f t="shared" si="6"/>
        <v>27726.414859072534</v>
      </c>
      <c r="CE4" s="87">
        <f t="shared" si="6"/>
        <v>28474.719225825396</v>
      </c>
      <c r="CF4" s="88">
        <f>SUM(BT4:CE4)</f>
        <v>333982.29056197806</v>
      </c>
      <c r="CG4" s="87">
        <f>+CG218</f>
        <v>26643.526202809189</v>
      </c>
      <c r="CH4" s="87">
        <f t="shared" ref="CH4:CR4" si="7">+CH218</f>
        <v>27507.477920607758</v>
      </c>
      <c r="CI4" s="87">
        <f t="shared" si="7"/>
        <v>28555.777063488327</v>
      </c>
      <c r="CJ4" s="87">
        <f t="shared" si="7"/>
        <v>27406.830474736944</v>
      </c>
      <c r="CK4" s="87">
        <f t="shared" si="7"/>
        <v>28143.110366341876</v>
      </c>
      <c r="CL4" s="87">
        <f t="shared" si="7"/>
        <v>28716.185162289668</v>
      </c>
      <c r="CM4" s="87">
        <f t="shared" si="7"/>
        <v>27043.596550642309</v>
      </c>
      <c r="CN4" s="87">
        <f t="shared" si="7"/>
        <v>24464.788619947536</v>
      </c>
      <c r="CO4" s="87">
        <f t="shared" si="7"/>
        <v>24342.647434266823</v>
      </c>
      <c r="CP4" s="87">
        <f t="shared" si="7"/>
        <v>25811.021490053878</v>
      </c>
      <c r="CQ4" s="87">
        <f t="shared" si="7"/>
        <v>15225.352063609516</v>
      </c>
      <c r="CR4" s="87">
        <f t="shared" si="7"/>
        <v>15832.975263992152</v>
      </c>
      <c r="CS4" s="88">
        <f>SUM(CG4:CR4)</f>
        <v>299693.28861278598</v>
      </c>
      <c r="CT4" s="87">
        <f>+CT218</f>
        <v>12869.378216193514</v>
      </c>
      <c r="CU4" s="87">
        <f t="shared" ref="CU4:DE4" si="8">+CU218</f>
        <v>13263.673452187129</v>
      </c>
      <c r="CV4" s="87">
        <f t="shared" si="8"/>
        <v>13554.381908584679</v>
      </c>
      <c r="CW4" s="87">
        <f t="shared" si="8"/>
        <v>13732.828942025997</v>
      </c>
      <c r="CX4" s="87">
        <f t="shared" si="8"/>
        <v>13863.123833542188</v>
      </c>
      <c r="CY4" s="87">
        <f t="shared" si="8"/>
        <v>13936.780519850045</v>
      </c>
      <c r="CZ4" s="87">
        <f t="shared" si="8"/>
        <v>55828.963019656068</v>
      </c>
      <c r="DA4" s="87">
        <f t="shared" si="8"/>
        <v>9689.5310479275613</v>
      </c>
      <c r="DB4" s="87">
        <f t="shared" si="8"/>
        <v>9432.028593144345</v>
      </c>
      <c r="DC4" s="87">
        <f t="shared" si="8"/>
        <v>9074.5525190815988</v>
      </c>
      <c r="DD4" s="87">
        <f t="shared" si="8"/>
        <v>8617.1253291660996</v>
      </c>
      <c r="DE4" s="87">
        <f t="shared" si="8"/>
        <v>60543.681019150034</v>
      </c>
      <c r="DF4" s="88">
        <f>SUM(CT4:DE4)</f>
        <v>234406.04840050926</v>
      </c>
      <c r="DG4" s="274">
        <f>+DG218</f>
        <v>119679.57644382701</v>
      </c>
      <c r="DH4" s="263">
        <f>+F4+S4+AF4+AS4+BF4+BS4+DG4</f>
        <v>722202.91398615902</v>
      </c>
      <c r="DI4" s="91">
        <f t="shared" ref="DI4:DI12" si="9">+E4</f>
        <v>1585765.7415614321</v>
      </c>
      <c r="DJ4" s="92">
        <f t="shared" ref="DJ4:DJ12" si="10">+DI4-DH4</f>
        <v>863562.82757527311</v>
      </c>
    </row>
    <row r="5" spans="1:117" s="54" customFormat="1" ht="19.899999999999999" customHeight="1">
      <c r="A5" s="569"/>
      <c r="B5" s="570"/>
      <c r="C5" s="579" t="s">
        <v>63</v>
      </c>
      <c r="D5" s="580"/>
      <c r="E5" s="93">
        <f t="shared" si="0"/>
        <v>1419511.2512208347</v>
      </c>
      <c r="F5" s="94">
        <f t="shared" si="0"/>
        <v>764.56299999999999</v>
      </c>
      <c r="G5" s="95">
        <f t="shared" si="0"/>
        <v>1884.9120027515046</v>
      </c>
      <c r="H5" s="95">
        <f t="shared" ref="H5:R5" si="11">+H219</f>
        <v>1585.3505390024525</v>
      </c>
      <c r="I5" s="95">
        <f t="shared" si="11"/>
        <v>2036.3751054553261</v>
      </c>
      <c r="J5" s="95">
        <f t="shared" si="11"/>
        <v>1154.8133418564673</v>
      </c>
      <c r="K5" s="95">
        <f t="shared" si="11"/>
        <v>2062.1812125751076</v>
      </c>
      <c r="L5" s="95">
        <f t="shared" si="11"/>
        <v>1125.7988690745888</v>
      </c>
      <c r="M5" s="95">
        <f t="shared" si="11"/>
        <v>1483.1628414130669</v>
      </c>
      <c r="N5" s="95">
        <f t="shared" si="11"/>
        <v>884.48631561976549</v>
      </c>
      <c r="O5" s="95">
        <f t="shared" si="11"/>
        <v>977.93668809128633</v>
      </c>
      <c r="P5" s="95">
        <f t="shared" si="11"/>
        <v>1360.7161608945426</v>
      </c>
      <c r="Q5" s="95">
        <f t="shared" si="11"/>
        <v>1247.8338005400913</v>
      </c>
      <c r="R5" s="95">
        <f t="shared" si="11"/>
        <v>1552.2888624116426</v>
      </c>
      <c r="S5" s="88">
        <f t="shared" ref="S5:S12" si="12">SUM(G5:R5)</f>
        <v>17355.855739685841</v>
      </c>
      <c r="T5" s="375">
        <f>+T219</f>
        <v>2322.1344967608825</v>
      </c>
      <c r="U5" s="376">
        <f t="shared" ref="U5:AE5" si="13">+U219</f>
        <v>1117.9376727718725</v>
      </c>
      <c r="V5" s="376">
        <f t="shared" si="13"/>
        <v>955.41010446791233</v>
      </c>
      <c r="W5" s="376">
        <f t="shared" si="13"/>
        <v>975.01553111703208</v>
      </c>
      <c r="X5" s="376">
        <f t="shared" si="13"/>
        <v>1021.295521677102</v>
      </c>
      <c r="Y5" s="376">
        <f t="shared" si="13"/>
        <v>1055.7001639915989</v>
      </c>
      <c r="Z5" s="376">
        <f t="shared" si="13"/>
        <v>1216.6466247459653</v>
      </c>
      <c r="AA5" s="376">
        <f t="shared" si="13"/>
        <v>1250.182130338615</v>
      </c>
      <c r="AB5" s="376">
        <f t="shared" si="13"/>
        <v>1107.0595875543279</v>
      </c>
      <c r="AC5" s="376">
        <f t="shared" si="13"/>
        <v>1428.7886644786272</v>
      </c>
      <c r="AD5" s="376">
        <f t="shared" si="13"/>
        <v>3613.989787128322</v>
      </c>
      <c r="AE5" s="376">
        <f t="shared" si="13"/>
        <v>6072.4212318954351</v>
      </c>
      <c r="AF5" s="88">
        <f t="shared" ref="AF5:AF12" si="14">SUM(T5:AE5)</f>
        <v>22136.58151692769</v>
      </c>
      <c r="AG5" s="492">
        <f>+AG219</f>
        <v>5420.811544179749</v>
      </c>
      <c r="AH5" s="492">
        <f t="shared" ref="AH5:AR5" si="15">+AH219</f>
        <v>1242.4144172771794</v>
      </c>
      <c r="AI5" s="492">
        <f t="shared" si="15"/>
        <v>1290.7705302231079</v>
      </c>
      <c r="AJ5" s="492">
        <f t="shared" si="15"/>
        <v>2987.208075231616</v>
      </c>
      <c r="AK5" s="492">
        <f t="shared" si="15"/>
        <v>3954.8912187968476</v>
      </c>
      <c r="AL5" s="492">
        <f t="shared" si="15"/>
        <v>3456.3917148169458</v>
      </c>
      <c r="AM5" s="492">
        <f t="shared" si="15"/>
        <v>2578.3890210759419</v>
      </c>
      <c r="AN5" s="492">
        <f t="shared" si="15"/>
        <v>2865.3009390507214</v>
      </c>
      <c r="AO5" s="492">
        <f t="shared" si="15"/>
        <v>2924.0599934487068</v>
      </c>
      <c r="AP5" s="492">
        <f t="shared" si="15"/>
        <v>2122.8536548447187</v>
      </c>
      <c r="AQ5" s="492">
        <f t="shared" si="15"/>
        <v>4094.0278408290073</v>
      </c>
      <c r="AR5" s="492">
        <f t="shared" si="15"/>
        <v>9966.0626624429206</v>
      </c>
      <c r="AS5" s="398">
        <f t="shared" ref="AS5:AS12" si="16">SUM(AG5:AR5)</f>
        <v>42903.181612217464</v>
      </c>
      <c r="AT5" s="530">
        <f>+AT219</f>
        <v>9911.436309929597</v>
      </c>
      <c r="AU5" s="492">
        <f t="shared" ref="AU5:BE5" si="17">+AU219</f>
        <v>5681.4822762361064</v>
      </c>
      <c r="AV5" s="492">
        <f t="shared" si="17"/>
        <v>3514.9385276113176</v>
      </c>
      <c r="AW5" s="492">
        <f t="shared" si="17"/>
        <v>5429.3869385788539</v>
      </c>
      <c r="AX5" s="492">
        <f t="shared" si="17"/>
        <v>7141.0439095156689</v>
      </c>
      <c r="AY5" s="492">
        <f t="shared" si="17"/>
        <v>6836.5692690363057</v>
      </c>
      <c r="AZ5" s="95">
        <f t="shared" si="17"/>
        <v>9997.1443840753127</v>
      </c>
      <c r="BA5" s="95">
        <f t="shared" si="17"/>
        <v>8075.3438454430143</v>
      </c>
      <c r="BB5" s="95">
        <f t="shared" si="17"/>
        <v>7241.3249465340905</v>
      </c>
      <c r="BC5" s="95">
        <f t="shared" si="17"/>
        <v>7943.2786616836165</v>
      </c>
      <c r="BD5" s="95">
        <f t="shared" si="17"/>
        <v>13649.574257214754</v>
      </c>
      <c r="BE5" s="95">
        <f t="shared" si="17"/>
        <v>17076.536729383624</v>
      </c>
      <c r="BF5" s="88">
        <f t="shared" ref="BF5:BF12" si="18">SUM(AT5:BE5)</f>
        <v>102498.06005524227</v>
      </c>
      <c r="BG5" s="95">
        <f>+BG219</f>
        <v>15669.218757474522</v>
      </c>
      <c r="BH5" s="95">
        <f t="shared" ref="BH5:BR5" si="19">+BH219</f>
        <v>19670.028196508447</v>
      </c>
      <c r="BI5" s="95">
        <f t="shared" si="19"/>
        <v>21313.044573094052</v>
      </c>
      <c r="BJ5" s="95">
        <f t="shared" si="19"/>
        <v>26631.417716753844</v>
      </c>
      <c r="BK5" s="95">
        <f t="shared" si="19"/>
        <v>27256.3152417243</v>
      </c>
      <c r="BL5" s="95">
        <f t="shared" si="19"/>
        <v>27764.221636986265</v>
      </c>
      <c r="BM5" s="95">
        <f t="shared" si="19"/>
        <v>43480.360394177682</v>
      </c>
      <c r="BN5" s="95">
        <f t="shared" si="19"/>
        <v>25711.824047397422</v>
      </c>
      <c r="BO5" s="95">
        <f t="shared" si="19"/>
        <v>25355.232628665508</v>
      </c>
      <c r="BP5" s="95">
        <f t="shared" si="19"/>
        <v>24068.832113410066</v>
      </c>
      <c r="BQ5" s="95">
        <f t="shared" si="19"/>
        <v>24709.925462272171</v>
      </c>
      <c r="BR5" s="95">
        <f t="shared" si="19"/>
        <v>25366.18662629445</v>
      </c>
      <c r="BS5" s="226">
        <f t="shared" ref="BS5:BS12" si="20">SUM(BG5:BR5)</f>
        <v>306996.60739475873</v>
      </c>
      <c r="BT5" s="95">
        <f>+BT219</f>
        <v>24960.918285256212</v>
      </c>
      <c r="BU5" s="95">
        <f t="shared" ref="BU5:CE5" si="21">+BU219</f>
        <v>27049.412093810188</v>
      </c>
      <c r="BV5" s="95">
        <f t="shared" si="21"/>
        <v>26932.266540381373</v>
      </c>
      <c r="BW5" s="95">
        <f t="shared" si="21"/>
        <v>26799.36268608008</v>
      </c>
      <c r="BX5" s="95">
        <f t="shared" si="21"/>
        <v>25189.940811058441</v>
      </c>
      <c r="BY5" s="95">
        <f t="shared" si="21"/>
        <v>26126.89376565149</v>
      </c>
      <c r="BZ5" s="95">
        <f t="shared" si="21"/>
        <v>26474.482472558004</v>
      </c>
      <c r="CA5" s="95">
        <f t="shared" si="21"/>
        <v>38497.920387738683</v>
      </c>
      <c r="CB5" s="95">
        <f t="shared" si="21"/>
        <v>25202.360211108949</v>
      </c>
      <c r="CC5" s="95">
        <f t="shared" si="21"/>
        <v>25796.49712798293</v>
      </c>
      <c r="CD5" s="95">
        <f t="shared" si="21"/>
        <v>26218.494614959527</v>
      </c>
      <c r="CE5" s="95">
        <f t="shared" si="21"/>
        <v>26451.429063942163</v>
      </c>
      <c r="CF5" s="226">
        <f t="shared" ref="CF5:CF12" si="22">SUM(BT5:CE5)</f>
        <v>325699.978060528</v>
      </c>
      <c r="CG5" s="95">
        <f>+CG219</f>
        <v>25100.864456802479</v>
      </c>
      <c r="CH5" s="95">
        <f t="shared" ref="CH5:CR5" si="23">+CH219</f>
        <v>25871.722318565106</v>
      </c>
      <c r="CI5" s="95">
        <f t="shared" si="23"/>
        <v>26807.291717219581</v>
      </c>
      <c r="CJ5" s="95">
        <f t="shared" si="23"/>
        <v>25544.911824335853</v>
      </c>
      <c r="CK5" s="95">
        <f t="shared" si="23"/>
        <v>26197.105741730171</v>
      </c>
      <c r="CL5" s="95">
        <f t="shared" si="23"/>
        <v>26701.149653268942</v>
      </c>
      <c r="CM5" s="95">
        <f t="shared" si="23"/>
        <v>24742.40125459394</v>
      </c>
      <c r="CN5" s="95">
        <f t="shared" si="23"/>
        <v>22653.883471478002</v>
      </c>
      <c r="CO5" s="95">
        <f t="shared" si="23"/>
        <v>22532.817887448684</v>
      </c>
      <c r="CP5" s="95">
        <f t="shared" si="23"/>
        <v>23941.717974796735</v>
      </c>
      <c r="CQ5" s="95">
        <f t="shared" si="23"/>
        <v>14175.22596496012</v>
      </c>
      <c r="CR5" s="95">
        <f t="shared" si="23"/>
        <v>14320.370864222734</v>
      </c>
      <c r="CS5" s="226">
        <f t="shared" ref="CS5:CS12" si="24">SUM(CG5:CR5)</f>
        <v>278589.46312942239</v>
      </c>
      <c r="CT5" s="95">
        <f>+CT219</f>
        <v>12115.720025029294</v>
      </c>
      <c r="CU5" s="95">
        <f t="shared" ref="CU5:DE5" si="25">+CU219</f>
        <v>12462.162958182036</v>
      </c>
      <c r="CV5" s="95">
        <f t="shared" si="25"/>
        <v>12715.634470753781</v>
      </c>
      <c r="CW5" s="95">
        <f t="shared" si="25"/>
        <v>12868.506599609005</v>
      </c>
      <c r="CX5" s="95">
        <f t="shared" si="25"/>
        <v>12978.668534819477</v>
      </c>
      <c r="CY5" s="95">
        <f t="shared" si="25"/>
        <v>13038.684383711559</v>
      </c>
      <c r="CZ5" s="95">
        <f t="shared" si="25"/>
        <v>49897.288763692864</v>
      </c>
      <c r="DA5" s="95">
        <f t="shared" si="25"/>
        <v>9286.4146630599735</v>
      </c>
      <c r="DB5" s="95">
        <f t="shared" si="25"/>
        <v>9050.0591208143087</v>
      </c>
      <c r="DC5" s="95">
        <f t="shared" si="25"/>
        <v>8724.2465518677454</v>
      </c>
      <c r="DD5" s="95">
        <f t="shared" si="25"/>
        <v>8309.1154361806439</v>
      </c>
      <c r="DE5" s="95">
        <f t="shared" si="25"/>
        <v>54002.635349586191</v>
      </c>
      <c r="DF5" s="226">
        <f t="shared" ref="DF5:DF12" si="26">SUM(CT5:DE5)</f>
        <v>215449.1368573069</v>
      </c>
      <c r="DG5" s="204">
        <f>+DG219</f>
        <v>107882.38685474546</v>
      </c>
      <c r="DH5" s="98">
        <f>+F5+S5+AF5+AS5+BF5+BS5+DG5</f>
        <v>600537.23617357749</v>
      </c>
      <c r="DI5" s="99">
        <f t="shared" si="9"/>
        <v>1419511.2512208347</v>
      </c>
      <c r="DJ5" s="100">
        <f t="shared" si="10"/>
        <v>818974.01504725718</v>
      </c>
      <c r="DK5" s="64">
        <f>+DH5/DH4</f>
        <v>0.83153532690548904</v>
      </c>
    </row>
    <row r="6" spans="1:117" s="54" customFormat="1" ht="19.899999999999999" customHeight="1">
      <c r="A6" s="569"/>
      <c r="B6" s="570"/>
      <c r="C6" s="577" t="s">
        <v>11</v>
      </c>
      <c r="D6" s="578"/>
      <c r="E6" s="113">
        <f>+E4-E5</f>
        <v>166254.49034059746</v>
      </c>
      <c r="F6" s="114"/>
      <c r="G6" s="115">
        <f t="shared" ref="G6:R6" si="27">+G4-G5</f>
        <v>525.88770098882196</v>
      </c>
      <c r="H6" s="115">
        <f t="shared" si="27"/>
        <v>999.6896784275732</v>
      </c>
      <c r="I6" s="115">
        <f t="shared" si="27"/>
        <v>-392.51003939003363</v>
      </c>
      <c r="J6" s="115">
        <f t="shared" si="27"/>
        <v>-59.22341082939397</v>
      </c>
      <c r="K6" s="115">
        <f t="shared" si="27"/>
        <v>-1123.3990477682405</v>
      </c>
      <c r="L6" s="115">
        <f t="shared" si="27"/>
        <v>1446.9356200897628</v>
      </c>
      <c r="M6" s="115">
        <f t="shared" si="27"/>
        <v>-373.52828763566754</v>
      </c>
      <c r="N6" s="115">
        <f t="shared" si="27"/>
        <v>-244.02313484087108</v>
      </c>
      <c r="O6" s="115">
        <f t="shared" si="27"/>
        <v>-152.96221800829869</v>
      </c>
      <c r="P6" s="115">
        <f t="shared" si="27"/>
        <v>-504.39956081247442</v>
      </c>
      <c r="Q6" s="115">
        <f t="shared" si="27"/>
        <v>24611.095853884501</v>
      </c>
      <c r="R6" s="116">
        <f t="shared" si="27"/>
        <v>1399.4139607068605</v>
      </c>
      <c r="S6" s="226">
        <f t="shared" si="12"/>
        <v>26132.97711481254</v>
      </c>
      <c r="T6" s="118">
        <f t="shared" ref="T6:AE6" si="28">+T4-T5</f>
        <v>155.11948850835734</v>
      </c>
      <c r="U6" s="115">
        <f t="shared" si="28"/>
        <v>40.510148814391187</v>
      </c>
      <c r="V6" s="115">
        <f t="shared" si="28"/>
        <v>-347.69145495532098</v>
      </c>
      <c r="W6" s="115">
        <f t="shared" si="28"/>
        <v>-247.88489835765722</v>
      </c>
      <c r="X6" s="115">
        <f t="shared" si="28"/>
        <v>-373.87624181659635</v>
      </c>
      <c r="Y6" s="115">
        <f t="shared" si="28"/>
        <v>-206.41166583442373</v>
      </c>
      <c r="Z6" s="115">
        <f t="shared" si="28"/>
        <v>-6.6408619645346789</v>
      </c>
      <c r="AA6" s="115">
        <f t="shared" si="28"/>
        <v>548.40305742781311</v>
      </c>
      <c r="AB6" s="115">
        <f t="shared" si="28"/>
        <v>-341.4694146390998</v>
      </c>
      <c r="AC6" s="115">
        <f t="shared" si="28"/>
        <v>-635.35119031990212</v>
      </c>
      <c r="AD6" s="115">
        <f t="shared" si="28"/>
        <v>1263.8579384415179</v>
      </c>
      <c r="AE6" s="116">
        <f t="shared" si="28"/>
        <v>26120.999725399379</v>
      </c>
      <c r="AF6" s="226">
        <f t="shared" si="14"/>
        <v>25969.564630703924</v>
      </c>
      <c r="AG6" s="493">
        <f t="shared" ref="AG6:AR6" si="29">+AG4-AG5</f>
        <v>-113.85577583459781</v>
      </c>
      <c r="AH6" s="517">
        <f t="shared" si="29"/>
        <v>-232.94401363369252</v>
      </c>
      <c r="AI6" s="517">
        <f t="shared" si="29"/>
        <v>43.704654241393655</v>
      </c>
      <c r="AJ6" s="517">
        <f t="shared" si="29"/>
        <v>-161.88308491907992</v>
      </c>
      <c r="AK6" s="517">
        <f t="shared" si="29"/>
        <v>378.01215464155348</v>
      </c>
      <c r="AL6" s="517">
        <f t="shared" si="29"/>
        <v>-131.64581671459291</v>
      </c>
      <c r="AM6" s="517">
        <f t="shared" si="29"/>
        <v>649.52820946126576</v>
      </c>
      <c r="AN6" s="517">
        <f t="shared" si="29"/>
        <v>1457.0214711920908</v>
      </c>
      <c r="AO6" s="517">
        <f t="shared" si="29"/>
        <v>-733.21737512780692</v>
      </c>
      <c r="AP6" s="517">
        <f t="shared" si="29"/>
        <v>-454.52647017903996</v>
      </c>
      <c r="AQ6" s="517">
        <f t="shared" si="29"/>
        <v>-804.58785299132296</v>
      </c>
      <c r="AR6" s="522">
        <f t="shared" si="29"/>
        <v>3082.9200342465756</v>
      </c>
      <c r="AS6" s="399">
        <f t="shared" si="16"/>
        <v>2978.526134382746</v>
      </c>
      <c r="AT6" s="493">
        <f t="shared" ref="AT6:BE6" si="30">+AT4-AT5</f>
        <v>3564.0234580848683</v>
      </c>
      <c r="AU6" s="517">
        <f t="shared" si="30"/>
        <v>2688.3310511307018</v>
      </c>
      <c r="AV6" s="517">
        <f t="shared" si="30"/>
        <v>715.02523120685828</v>
      </c>
      <c r="AW6" s="517">
        <f t="shared" si="30"/>
        <v>-709.0053408323538</v>
      </c>
      <c r="AX6" s="517">
        <f t="shared" si="30"/>
        <v>-7075.0537966951561</v>
      </c>
      <c r="AY6" s="517">
        <f t="shared" si="30"/>
        <v>-4847.4862225812576</v>
      </c>
      <c r="AZ6" s="115">
        <f t="shared" si="30"/>
        <v>-9857.7443840753131</v>
      </c>
      <c r="BA6" s="115">
        <f t="shared" si="30"/>
        <v>-1239.2213628678901</v>
      </c>
      <c r="BB6" s="115">
        <f t="shared" si="30"/>
        <v>-1392.3098467301515</v>
      </c>
      <c r="BC6" s="115">
        <f t="shared" si="30"/>
        <v>-335.45236394256608</v>
      </c>
      <c r="BD6" s="115">
        <f t="shared" si="30"/>
        <v>-531.55627306860879</v>
      </c>
      <c r="BE6" s="116">
        <f t="shared" si="30"/>
        <v>-728.19094022168065</v>
      </c>
      <c r="BF6" s="226">
        <f t="shared" si="18"/>
        <v>-19748.640790592548</v>
      </c>
      <c r="BG6" s="118">
        <f t="shared" ref="BG6:BR6" si="31">+BG4-BG5</f>
        <v>2569.6810046481733</v>
      </c>
      <c r="BH6" s="115">
        <f t="shared" si="31"/>
        <v>-4724.8969236623052</v>
      </c>
      <c r="BI6" s="115">
        <f t="shared" si="31"/>
        <v>-3447.4856969974317</v>
      </c>
      <c r="BJ6" s="115">
        <f t="shared" si="31"/>
        <v>7542.5423404954563</v>
      </c>
      <c r="BK6" s="115">
        <f t="shared" si="31"/>
        <v>-2790.40700516168</v>
      </c>
      <c r="BL6" s="115">
        <f t="shared" si="31"/>
        <v>-951.05199262388487</v>
      </c>
      <c r="BM6" s="115">
        <f t="shared" si="31"/>
        <v>61374.735109068672</v>
      </c>
      <c r="BN6" s="115">
        <f t="shared" si="31"/>
        <v>553.58844762099397</v>
      </c>
      <c r="BO6" s="115">
        <f t="shared" si="31"/>
        <v>1615.9734249179346</v>
      </c>
      <c r="BP6" s="115">
        <f t="shared" si="31"/>
        <v>94.172590329577361</v>
      </c>
      <c r="BQ6" s="115">
        <f t="shared" si="31"/>
        <v>3151.3332824232057</v>
      </c>
      <c r="BR6" s="116">
        <f t="shared" si="31"/>
        <v>5793.6395531345697</v>
      </c>
      <c r="BS6" s="287">
        <f t="shared" si="20"/>
        <v>70781.824134193273</v>
      </c>
      <c r="BT6" s="118">
        <f t="shared" ref="BT6:CE6" si="32">+BT4-BT5</f>
        <v>6670.2142313994191</v>
      </c>
      <c r="BU6" s="115">
        <f t="shared" si="32"/>
        <v>3095.731356993143</v>
      </c>
      <c r="BV6" s="115">
        <f t="shared" si="32"/>
        <v>-358.85780740031259</v>
      </c>
      <c r="BW6" s="115">
        <f t="shared" si="32"/>
        <v>255.76266624271739</v>
      </c>
      <c r="BX6" s="115">
        <f t="shared" si="32"/>
        <v>1047.7381533134903</v>
      </c>
      <c r="BY6" s="115">
        <f t="shared" si="32"/>
        <v>561.32087678121752</v>
      </c>
      <c r="BZ6" s="115">
        <f t="shared" si="32"/>
        <v>1422.608921257277</v>
      </c>
      <c r="CA6" s="115">
        <f t="shared" si="32"/>
        <v>-10614.608957113807</v>
      </c>
      <c r="CB6" s="115">
        <f t="shared" si="32"/>
        <v>1266.9709776001982</v>
      </c>
      <c r="CC6" s="115">
        <f t="shared" si="32"/>
        <v>1404.2216763804172</v>
      </c>
      <c r="CD6" s="115">
        <f t="shared" si="32"/>
        <v>1507.9202441130074</v>
      </c>
      <c r="CE6" s="116">
        <f t="shared" si="32"/>
        <v>2023.2901618832329</v>
      </c>
      <c r="CF6" s="287">
        <f t="shared" si="22"/>
        <v>8282.3125014500001</v>
      </c>
      <c r="CG6" s="118">
        <f t="shared" ref="CG6:CR6" si="33">+CG4-CG5</f>
        <v>1542.66174600671</v>
      </c>
      <c r="CH6" s="115">
        <f t="shared" si="33"/>
        <v>1635.7556020426528</v>
      </c>
      <c r="CI6" s="115">
        <f t="shared" si="33"/>
        <v>1748.4853462687461</v>
      </c>
      <c r="CJ6" s="115">
        <f t="shared" si="33"/>
        <v>1861.9186504010904</v>
      </c>
      <c r="CK6" s="115">
        <f t="shared" si="33"/>
        <v>1946.0046246117054</v>
      </c>
      <c r="CL6" s="115">
        <f t="shared" si="33"/>
        <v>2015.0355090207267</v>
      </c>
      <c r="CM6" s="115">
        <f t="shared" si="33"/>
        <v>2301.1952960483686</v>
      </c>
      <c r="CN6" s="115">
        <f t="shared" si="33"/>
        <v>1810.9051484695337</v>
      </c>
      <c r="CO6" s="115">
        <f t="shared" si="33"/>
        <v>1809.8295468181386</v>
      </c>
      <c r="CP6" s="115">
        <f t="shared" si="33"/>
        <v>1869.3035152571429</v>
      </c>
      <c r="CQ6" s="115">
        <f t="shared" si="33"/>
        <v>1050.1260986493962</v>
      </c>
      <c r="CR6" s="116">
        <f t="shared" si="33"/>
        <v>1512.6043997694178</v>
      </c>
      <c r="CS6" s="287">
        <f t="shared" si="24"/>
        <v>21103.825483363627</v>
      </c>
      <c r="CT6" s="118">
        <f t="shared" ref="CT6:DE6" si="34">+CT4-CT5</f>
        <v>753.65819116422063</v>
      </c>
      <c r="CU6" s="115">
        <f t="shared" si="34"/>
        <v>801.51049400509328</v>
      </c>
      <c r="CV6" s="115">
        <f t="shared" si="34"/>
        <v>838.74743783089798</v>
      </c>
      <c r="CW6" s="115">
        <f t="shared" si="34"/>
        <v>864.32234241699189</v>
      </c>
      <c r="CX6" s="115">
        <f t="shared" si="34"/>
        <v>884.45529872271072</v>
      </c>
      <c r="CY6" s="115">
        <f t="shared" si="34"/>
        <v>898.09613613848524</v>
      </c>
      <c r="CZ6" s="115">
        <f t="shared" si="34"/>
        <v>5931.6742559632039</v>
      </c>
      <c r="DA6" s="115">
        <f t="shared" si="34"/>
        <v>403.11638486758784</v>
      </c>
      <c r="DB6" s="115">
        <f t="shared" si="34"/>
        <v>381.9694723300363</v>
      </c>
      <c r="DC6" s="115">
        <f t="shared" si="34"/>
        <v>350.30596721385336</v>
      </c>
      <c r="DD6" s="115">
        <f t="shared" si="34"/>
        <v>308.00989298545574</v>
      </c>
      <c r="DE6" s="116">
        <f t="shared" si="34"/>
        <v>6541.0456695638422</v>
      </c>
      <c r="DF6" s="287">
        <f t="shared" si="26"/>
        <v>18956.911543202379</v>
      </c>
      <c r="DG6" s="275">
        <f>+DG4-DG5</f>
        <v>11797.18958908155</v>
      </c>
      <c r="DH6" s="98">
        <f>+DH4-DH5</f>
        <v>121665.67781258153</v>
      </c>
      <c r="DI6" s="99">
        <f t="shared" si="9"/>
        <v>166254.49034059746</v>
      </c>
      <c r="DJ6" s="100">
        <f t="shared" si="10"/>
        <v>44588.812528015929</v>
      </c>
    </row>
    <row r="7" spans="1:117" s="54" customFormat="1" ht="19.899999999999999" customHeight="1">
      <c r="A7" s="567" t="s">
        <v>357</v>
      </c>
      <c r="B7" s="568"/>
      <c r="C7" s="575" t="s">
        <v>62</v>
      </c>
      <c r="D7" s="576"/>
      <c r="E7" s="101">
        <f t="shared" ref="E7:G8" si="35">+E246</f>
        <v>335791.87883088877</v>
      </c>
      <c r="F7" s="102">
        <f t="shared" si="35"/>
        <v>0</v>
      </c>
      <c r="G7" s="103">
        <f t="shared" si="35"/>
        <v>267</v>
      </c>
      <c r="H7" s="103">
        <f t="shared" ref="H7:R8" si="36">+H246</f>
        <v>30</v>
      </c>
      <c r="I7" s="103">
        <f t="shared" si="36"/>
        <v>31.690435910652898</v>
      </c>
      <c r="J7" s="103">
        <f t="shared" si="36"/>
        <v>30.818565921787702</v>
      </c>
      <c r="K7" s="103">
        <f t="shared" si="36"/>
        <v>27.487747982832619</v>
      </c>
      <c r="L7" s="103">
        <f t="shared" si="36"/>
        <v>23.602976832656552</v>
      </c>
      <c r="M7" s="103">
        <f t="shared" si="36"/>
        <v>725.21884549904235</v>
      </c>
      <c r="N7" s="103">
        <f t="shared" si="36"/>
        <v>31.23327056113903</v>
      </c>
      <c r="O7" s="103">
        <f t="shared" si="36"/>
        <v>15.518960995850623</v>
      </c>
      <c r="P7" s="103">
        <f t="shared" si="36"/>
        <v>142.02183032416909</v>
      </c>
      <c r="Q7" s="103">
        <f t="shared" si="36"/>
        <v>58.7377421686747</v>
      </c>
      <c r="R7" s="104">
        <f t="shared" si="36"/>
        <v>75.648699522248137</v>
      </c>
      <c r="S7" s="119">
        <f t="shared" si="12"/>
        <v>1458.9790757190538</v>
      </c>
      <c r="T7" s="377">
        <f>+T246</f>
        <v>197.63490303280381</v>
      </c>
      <c r="U7" s="377">
        <f t="shared" ref="U7:AE8" si="37">+U246</f>
        <v>92.471413573180712</v>
      </c>
      <c r="V7" s="377">
        <f t="shared" si="37"/>
        <v>23.039887571080421</v>
      </c>
      <c r="W7" s="377">
        <f t="shared" si="37"/>
        <v>23.935457151946551</v>
      </c>
      <c r="X7" s="377">
        <f t="shared" si="37"/>
        <v>332.1635538955378</v>
      </c>
      <c r="Y7" s="377">
        <f t="shared" si="37"/>
        <v>21.484912230008867</v>
      </c>
      <c r="Z7" s="377">
        <f t="shared" si="37"/>
        <v>80973.546918275417</v>
      </c>
      <c r="AA7" s="377">
        <f t="shared" si="37"/>
        <v>1224.268959296076</v>
      </c>
      <c r="AB7" s="377">
        <f t="shared" si="37"/>
        <v>1334.5968974876132</v>
      </c>
      <c r="AC7" s="377">
        <f t="shared" si="37"/>
        <v>96.417079955711969</v>
      </c>
      <c r="AD7" s="377">
        <f t="shared" si="37"/>
        <v>354.9658781843994</v>
      </c>
      <c r="AE7" s="478">
        <f t="shared" si="37"/>
        <v>94.817396789260897</v>
      </c>
      <c r="AF7" s="119">
        <f t="shared" si="14"/>
        <v>84769.343257443063</v>
      </c>
      <c r="AG7" s="494">
        <f>+AG246</f>
        <v>2330.398766030311</v>
      </c>
      <c r="AH7" s="494">
        <f t="shared" ref="AH7:AR8" si="38">+AH246</f>
        <v>112.49558687561215</v>
      </c>
      <c r="AI7" s="494">
        <f t="shared" si="38"/>
        <v>170.20269390067597</v>
      </c>
      <c r="AJ7" s="494">
        <f t="shared" si="38"/>
        <v>115.20103974935607</v>
      </c>
      <c r="AK7" s="494">
        <f t="shared" si="38"/>
        <v>2612.5066700749567</v>
      </c>
      <c r="AL7" s="494">
        <f t="shared" si="38"/>
        <v>959.83911872723763</v>
      </c>
      <c r="AM7" s="494">
        <f t="shared" si="38"/>
        <v>704.82279309686521</v>
      </c>
      <c r="AN7" s="494">
        <f t="shared" si="38"/>
        <v>1520.2153672487593</v>
      </c>
      <c r="AO7" s="494">
        <f t="shared" si="38"/>
        <v>562.73911459082831</v>
      </c>
      <c r="AP7" s="494">
        <f t="shared" si="38"/>
        <v>734.00783679957067</v>
      </c>
      <c r="AQ7" s="494">
        <f t="shared" si="38"/>
        <v>771.97608536354335</v>
      </c>
      <c r="AR7" s="523">
        <f t="shared" si="38"/>
        <v>4421.817291933301</v>
      </c>
      <c r="AS7" s="400">
        <f t="shared" si="16"/>
        <v>15016.222364391015</v>
      </c>
      <c r="AT7" s="495">
        <f>+AT246</f>
        <v>1019.9235519575764</v>
      </c>
      <c r="AU7" s="494">
        <f t="shared" ref="AU7:BE8" si="39">+AU246</f>
        <v>273.43196469911845</v>
      </c>
      <c r="AV7" s="494">
        <f t="shared" si="39"/>
        <v>521.78919107942045</v>
      </c>
      <c r="AW7" s="494">
        <f t="shared" si="39"/>
        <v>301.78412470124067</v>
      </c>
      <c r="AX7" s="494">
        <f t="shared" si="39"/>
        <v>285.33103975336428</v>
      </c>
      <c r="AY7" s="494">
        <f t="shared" si="39"/>
        <v>516.78927013640839</v>
      </c>
      <c r="AZ7" s="103">
        <f t="shared" si="39"/>
        <v>222.90329023932296</v>
      </c>
      <c r="BA7" s="103">
        <f t="shared" si="39"/>
        <v>125.00048659320299</v>
      </c>
      <c r="BB7" s="103">
        <f t="shared" si="39"/>
        <v>120.77965033895406</v>
      </c>
      <c r="BC7" s="103">
        <f t="shared" si="39"/>
        <v>86.957883017650047</v>
      </c>
      <c r="BD7" s="103">
        <f t="shared" si="39"/>
        <v>82.762901414566997</v>
      </c>
      <c r="BE7" s="104">
        <f t="shared" si="39"/>
        <v>80.760156842386849</v>
      </c>
      <c r="BF7" s="119">
        <f t="shared" si="18"/>
        <v>3638.2135107732124</v>
      </c>
      <c r="BG7" s="103">
        <f>+BG246</f>
        <v>78.602054231122523</v>
      </c>
      <c r="BH7" s="103">
        <f t="shared" ref="BH7:BR7" si="40">+BH246</f>
        <v>85.312997760720194</v>
      </c>
      <c r="BI7" s="103">
        <f t="shared" si="40"/>
        <v>60.30095134104824</v>
      </c>
      <c r="BJ7" s="103">
        <f t="shared" si="40"/>
        <v>46.440335522193628</v>
      </c>
      <c r="BK7" s="103">
        <f t="shared" si="40"/>
        <v>65.658878662043577</v>
      </c>
      <c r="BL7" s="103">
        <f t="shared" si="40"/>
        <v>56.069618240378126</v>
      </c>
      <c r="BM7" s="103">
        <f t="shared" si="40"/>
        <v>53.086343659099761</v>
      </c>
      <c r="BN7" s="103">
        <f t="shared" si="40"/>
        <v>65.428230797121088</v>
      </c>
      <c r="BO7" s="103">
        <f t="shared" si="40"/>
        <v>66.984853058514815</v>
      </c>
      <c r="BP7" s="103">
        <f t="shared" si="40"/>
        <v>47.734713985102978</v>
      </c>
      <c r="BQ7" s="103">
        <f t="shared" si="40"/>
        <v>37.948018226860043</v>
      </c>
      <c r="BR7" s="104">
        <f t="shared" si="40"/>
        <v>48.072189229026925</v>
      </c>
      <c r="BS7" s="119">
        <f t="shared" si="20"/>
        <v>711.639184713232</v>
      </c>
      <c r="BT7" s="103">
        <f>+BT246</f>
        <v>67.544561703572256</v>
      </c>
      <c r="BU7" s="103">
        <f t="shared" ref="BU7:CE7" si="41">+BU246</f>
        <v>86.597091013915573</v>
      </c>
      <c r="BV7" s="103">
        <f t="shared" si="41"/>
        <v>96.698085840605756</v>
      </c>
      <c r="BW7" s="103">
        <f t="shared" si="41"/>
        <v>88.690886768740071</v>
      </c>
      <c r="BX7" s="103">
        <f t="shared" si="41"/>
        <v>80.34268326861438</v>
      </c>
      <c r="BY7" s="103">
        <f t="shared" si="41"/>
        <v>83.596186057221402</v>
      </c>
      <c r="BZ7" s="103">
        <f t="shared" si="41"/>
        <v>32212.145909600014</v>
      </c>
      <c r="CA7" s="103">
        <f t="shared" si="41"/>
        <v>164.58168548790002</v>
      </c>
      <c r="CB7" s="103">
        <f t="shared" si="41"/>
        <v>129.24149458248033</v>
      </c>
      <c r="CC7" s="103">
        <f t="shared" si="41"/>
        <v>133.89553615642259</v>
      </c>
      <c r="CD7" s="103">
        <f t="shared" si="41"/>
        <v>127.5793786611182</v>
      </c>
      <c r="CE7" s="104">
        <f t="shared" si="41"/>
        <v>132.52427740369862</v>
      </c>
      <c r="CF7" s="119">
        <f t="shared" si="22"/>
        <v>33403.437776544299</v>
      </c>
      <c r="CG7" s="103">
        <f>+CG246</f>
        <v>139.71032553465503</v>
      </c>
      <c r="CH7" s="103">
        <f t="shared" ref="CH7:CR7" si="42">+CH246</f>
        <v>145.04156577312625</v>
      </c>
      <c r="CI7" s="103">
        <f t="shared" si="42"/>
        <v>127.87078966584552</v>
      </c>
      <c r="CJ7" s="103">
        <f t="shared" si="42"/>
        <v>128.34197678562748</v>
      </c>
      <c r="CK7" s="103">
        <f t="shared" si="42"/>
        <v>133.86902118450283</v>
      </c>
      <c r="CL7" s="103">
        <f t="shared" si="42"/>
        <v>140.2951666704902</v>
      </c>
      <c r="CM7" s="103">
        <f t="shared" si="42"/>
        <v>113.5796022561276</v>
      </c>
      <c r="CN7" s="103">
        <f t="shared" si="42"/>
        <v>120.01036157919953</v>
      </c>
      <c r="CO7" s="103">
        <f t="shared" si="42"/>
        <v>125.93997994602864</v>
      </c>
      <c r="CP7" s="103">
        <f t="shared" si="42"/>
        <v>132.39254503524253</v>
      </c>
      <c r="CQ7" s="103">
        <f t="shared" si="42"/>
        <v>115.05694204392989</v>
      </c>
      <c r="CR7" s="104">
        <f t="shared" si="42"/>
        <v>118.43411884624096</v>
      </c>
      <c r="CS7" s="119">
        <f t="shared" si="24"/>
        <v>1540.5423953210168</v>
      </c>
      <c r="CT7" s="103">
        <f>+CT246</f>
        <v>123.87091390829316</v>
      </c>
      <c r="CU7" s="103">
        <f t="shared" ref="CU7:DE7" si="43">+CU246</f>
        <v>126.79601092520153</v>
      </c>
      <c r="CV7" s="103">
        <f t="shared" si="43"/>
        <v>129.38359927496916</v>
      </c>
      <c r="CW7" s="103">
        <f t="shared" si="43"/>
        <v>64330.333474301442</v>
      </c>
      <c r="CX7" s="103">
        <f t="shared" si="43"/>
        <v>347.64899369049982</v>
      </c>
      <c r="CY7" s="103">
        <f t="shared" si="43"/>
        <v>351.24924133187716</v>
      </c>
      <c r="CZ7" s="103">
        <f t="shared" si="43"/>
        <v>355.4137259234451</v>
      </c>
      <c r="DA7" s="103">
        <f t="shared" si="43"/>
        <v>374.49824045945871</v>
      </c>
      <c r="DB7" s="103">
        <f t="shared" si="43"/>
        <v>376.58352254388222</v>
      </c>
      <c r="DC7" s="103">
        <f t="shared" si="43"/>
        <v>379.1120325267953</v>
      </c>
      <c r="DD7" s="103">
        <f t="shared" si="43"/>
        <v>379.75444371017358</v>
      </c>
      <c r="DE7" s="104">
        <f t="shared" si="43"/>
        <v>381.54022483249236</v>
      </c>
      <c r="DF7" s="119">
        <f t="shared" si="26"/>
        <v>67656.184423428538</v>
      </c>
      <c r="DG7" s="276">
        <f>+DG246</f>
        <v>127597.31684255536</v>
      </c>
      <c r="DH7" s="159">
        <f t="shared" ref="DH7:DH12" si="44">+F7+S7+AF7+AS7+BF7+BS7+DG7</f>
        <v>233191.71423559493</v>
      </c>
      <c r="DI7" s="160">
        <f t="shared" si="9"/>
        <v>335791.87883088877</v>
      </c>
      <c r="DJ7" s="161">
        <f t="shared" si="10"/>
        <v>102600.16459529384</v>
      </c>
    </row>
    <row r="8" spans="1:117" s="54" customFormat="1" ht="19.899999999999999" customHeight="1">
      <c r="A8" s="569"/>
      <c r="B8" s="570"/>
      <c r="C8" s="579" t="s">
        <v>63</v>
      </c>
      <c r="D8" s="580"/>
      <c r="E8" s="93">
        <f t="shared" si="35"/>
        <v>302290.6274080844</v>
      </c>
      <c r="F8" s="94">
        <f t="shared" si="35"/>
        <v>0</v>
      </c>
      <c r="G8" s="95">
        <f t="shared" si="35"/>
        <v>-120.045915808814</v>
      </c>
      <c r="H8" s="95">
        <f t="shared" si="36"/>
        <v>303.87641176887001</v>
      </c>
      <c r="I8" s="95">
        <f t="shared" si="36"/>
        <v>-297.896571884053</v>
      </c>
      <c r="J8" s="95">
        <f t="shared" si="36"/>
        <v>-9.9071555421560298</v>
      </c>
      <c r="K8" s="95">
        <f t="shared" si="36"/>
        <v>30.4</v>
      </c>
      <c r="L8" s="95">
        <f t="shared" si="36"/>
        <v>88.969388530892999</v>
      </c>
      <c r="M8" s="95">
        <f t="shared" si="36"/>
        <v>99.133653049455859</v>
      </c>
      <c r="N8" s="95">
        <f t="shared" si="36"/>
        <v>380.02655681756585</v>
      </c>
      <c r="O8" s="95">
        <f t="shared" si="36"/>
        <v>209.51374501584601</v>
      </c>
      <c r="P8" s="95">
        <f t="shared" si="36"/>
        <v>250.43770151409601</v>
      </c>
      <c r="Q8" s="95">
        <f t="shared" si="36"/>
        <v>224.45152475382099</v>
      </c>
      <c r="R8" s="96">
        <f t="shared" si="36"/>
        <v>0</v>
      </c>
      <c r="S8" s="112">
        <f t="shared" si="12"/>
        <v>1158.9593382155247</v>
      </c>
      <c r="T8" s="376">
        <f>+T247</f>
        <v>646.02973682116385</v>
      </c>
      <c r="U8" s="376">
        <f t="shared" si="37"/>
        <v>440.89191727735482</v>
      </c>
      <c r="V8" s="376">
        <f t="shared" si="37"/>
        <v>460.41047898825173</v>
      </c>
      <c r="W8" s="376">
        <f t="shared" si="37"/>
        <v>1033.5568091762909</v>
      </c>
      <c r="X8" s="376">
        <f t="shared" si="37"/>
        <v>156.41690105916507</v>
      </c>
      <c r="Y8" s="376">
        <f t="shared" si="37"/>
        <v>3626.0357468394564</v>
      </c>
      <c r="Z8" s="376">
        <f t="shared" si="37"/>
        <v>6.89552102012353</v>
      </c>
      <c r="AA8" s="376">
        <f t="shared" si="37"/>
        <v>-12.877825142765221</v>
      </c>
      <c r="AB8" s="376">
        <f t="shared" si="37"/>
        <v>3.3510703115479914</v>
      </c>
      <c r="AC8" s="376">
        <f t="shared" si="37"/>
        <v>3313.5185956379701</v>
      </c>
      <c r="AD8" s="376">
        <f t="shared" si="37"/>
        <v>331.24924836445905</v>
      </c>
      <c r="AE8" s="479">
        <f t="shared" si="37"/>
        <v>571.69245070114766</v>
      </c>
      <c r="AF8" s="112">
        <f t="shared" si="14"/>
        <v>10577.170651054166</v>
      </c>
      <c r="AG8" s="492">
        <f>+AG247</f>
        <v>4.1316628157118958</v>
      </c>
      <c r="AH8" s="492">
        <f t="shared" si="38"/>
        <v>3140.9747151132206</v>
      </c>
      <c r="AI8" s="492">
        <f t="shared" si="38"/>
        <v>632.54206838393827</v>
      </c>
      <c r="AJ8" s="492">
        <f t="shared" si="38"/>
        <v>2370.0514000192989</v>
      </c>
      <c r="AK8" s="492">
        <f t="shared" si="38"/>
        <v>4035.1213047079032</v>
      </c>
      <c r="AL8" s="492">
        <f t="shared" si="38"/>
        <v>10412.820912234252</v>
      </c>
      <c r="AM8" s="492">
        <f t="shared" si="38"/>
        <v>6537.0728185920379</v>
      </c>
      <c r="AN8" s="492">
        <f t="shared" si="38"/>
        <v>4979.9857453689247</v>
      </c>
      <c r="AO8" s="492">
        <f t="shared" si="38"/>
        <v>40.217847711844186</v>
      </c>
      <c r="AP8" s="492">
        <f t="shared" si="38"/>
        <v>1.2924316721785076</v>
      </c>
      <c r="AQ8" s="492">
        <f t="shared" si="38"/>
        <v>415.68794756185355</v>
      </c>
      <c r="AR8" s="524">
        <f t="shared" si="38"/>
        <v>57263.763447488578</v>
      </c>
      <c r="AS8" s="401">
        <f t="shared" si="16"/>
        <v>89833.662301669741</v>
      </c>
      <c r="AT8" s="530">
        <f>+AT247</f>
        <v>3242.6112990035776</v>
      </c>
      <c r="AU8" s="492">
        <f t="shared" si="39"/>
        <v>288.79438826178375</v>
      </c>
      <c r="AV8" s="492">
        <f t="shared" si="39"/>
        <v>1604.7330152696672</v>
      </c>
      <c r="AW8" s="492">
        <f t="shared" si="39"/>
        <v>1404.3628362229219</v>
      </c>
      <c r="AX8" s="492">
        <f t="shared" si="39"/>
        <v>160.27929287749288</v>
      </c>
      <c r="AY8" s="492">
        <f t="shared" si="39"/>
        <v>17.935905721345751</v>
      </c>
      <c r="AZ8" s="95">
        <f t="shared" si="39"/>
        <v>19736</v>
      </c>
      <c r="BA8" s="95">
        <f t="shared" si="39"/>
        <v>152.03</v>
      </c>
      <c r="BB8" s="95">
        <f t="shared" si="39"/>
        <v>8875</v>
      </c>
      <c r="BC8" s="95">
        <f t="shared" si="39"/>
        <v>1010</v>
      </c>
      <c r="BD8" s="95">
        <f t="shared" si="39"/>
        <v>152.03</v>
      </c>
      <c r="BE8" s="96">
        <f t="shared" si="39"/>
        <v>0</v>
      </c>
      <c r="BF8" s="112">
        <f t="shared" si="18"/>
        <v>36643.776737356791</v>
      </c>
      <c r="BG8" s="95">
        <f>+BG247</f>
        <v>635</v>
      </c>
      <c r="BH8" s="95">
        <f t="shared" ref="BH8:BR8" si="45">+BH247</f>
        <v>2864.03</v>
      </c>
      <c r="BI8" s="95">
        <f t="shared" si="45"/>
        <v>771</v>
      </c>
      <c r="BJ8" s="95">
        <f t="shared" si="45"/>
        <v>1823.4197340626658</v>
      </c>
      <c r="BK8" s="95">
        <f t="shared" si="45"/>
        <v>152.03</v>
      </c>
      <c r="BL8" s="95">
        <f t="shared" si="45"/>
        <v>0</v>
      </c>
      <c r="BM8" s="95">
        <f t="shared" si="45"/>
        <v>57725.25531132138</v>
      </c>
      <c r="BN8" s="95">
        <f t="shared" si="45"/>
        <v>152.03</v>
      </c>
      <c r="BO8" s="95">
        <f t="shared" si="45"/>
        <v>7458</v>
      </c>
      <c r="BP8" s="95">
        <f t="shared" si="45"/>
        <v>3077.9160317875608</v>
      </c>
      <c r="BQ8" s="95">
        <f t="shared" si="45"/>
        <v>152.03</v>
      </c>
      <c r="BR8" s="96">
        <f t="shared" si="45"/>
        <v>0</v>
      </c>
      <c r="BS8" s="112">
        <f t="shared" si="20"/>
        <v>74810.711077171611</v>
      </c>
      <c r="BT8" s="95">
        <f>+BT247</f>
        <v>1022</v>
      </c>
      <c r="BU8" s="95">
        <f t="shared" ref="BU8:CE8" si="46">+BU247</f>
        <v>152.03</v>
      </c>
      <c r="BV8" s="95">
        <f t="shared" si="46"/>
        <v>2140</v>
      </c>
      <c r="BW8" s="95">
        <f t="shared" si="46"/>
        <v>2848.9146030491652</v>
      </c>
      <c r="BX8" s="95">
        <f t="shared" si="46"/>
        <v>152.03</v>
      </c>
      <c r="BY8" s="95">
        <f t="shared" si="46"/>
        <v>6780</v>
      </c>
      <c r="BZ8" s="95">
        <f t="shared" si="46"/>
        <v>3204.022064492146</v>
      </c>
      <c r="CA8" s="95">
        <f t="shared" si="46"/>
        <v>152.03</v>
      </c>
      <c r="CB8" s="95">
        <f t="shared" si="46"/>
        <v>0</v>
      </c>
      <c r="CC8" s="95">
        <f t="shared" si="46"/>
        <v>3432.9644611281628</v>
      </c>
      <c r="CD8" s="95">
        <f t="shared" si="46"/>
        <v>152.03</v>
      </c>
      <c r="CE8" s="96">
        <f t="shared" si="46"/>
        <v>0</v>
      </c>
      <c r="CF8" s="112">
        <f t="shared" si="22"/>
        <v>20036.021128669472</v>
      </c>
      <c r="CG8" s="95">
        <f>+CG247</f>
        <v>83</v>
      </c>
      <c r="CH8" s="95">
        <f t="shared" ref="CH8:CR8" si="47">+CH247</f>
        <v>6932.03</v>
      </c>
      <c r="CI8" s="95">
        <f t="shared" si="47"/>
        <v>1735</v>
      </c>
      <c r="CJ8" s="95">
        <f t="shared" si="47"/>
        <v>332.14730752411708</v>
      </c>
      <c r="CK8" s="95">
        <f t="shared" si="47"/>
        <v>152.03</v>
      </c>
      <c r="CL8" s="95">
        <f t="shared" si="47"/>
        <v>10170</v>
      </c>
      <c r="CM8" s="95">
        <f t="shared" si="47"/>
        <v>485.54710138291853</v>
      </c>
      <c r="CN8" s="95">
        <f t="shared" si="47"/>
        <v>152.03</v>
      </c>
      <c r="CO8" s="95">
        <f t="shared" si="47"/>
        <v>0</v>
      </c>
      <c r="CP8" s="95">
        <f t="shared" si="47"/>
        <v>7202.3769576861814</v>
      </c>
      <c r="CQ8" s="95">
        <f t="shared" si="47"/>
        <v>152.03</v>
      </c>
      <c r="CR8" s="96">
        <f t="shared" si="47"/>
        <v>0</v>
      </c>
      <c r="CS8" s="112">
        <f t="shared" si="24"/>
        <v>27396.191366593215</v>
      </c>
      <c r="CT8" s="95">
        <f>+CT247</f>
        <v>0</v>
      </c>
      <c r="CU8" s="95">
        <f t="shared" ref="CU8:DE8" si="48">+CU247</f>
        <v>152.03</v>
      </c>
      <c r="CV8" s="95">
        <f t="shared" si="48"/>
        <v>683.16852916509742</v>
      </c>
      <c r="CW8" s="95">
        <f t="shared" si="48"/>
        <v>0</v>
      </c>
      <c r="CX8" s="95">
        <f t="shared" si="48"/>
        <v>152.03</v>
      </c>
      <c r="CY8" s="95">
        <f t="shared" si="48"/>
        <v>0</v>
      </c>
      <c r="CZ8" s="95">
        <f t="shared" si="48"/>
        <v>561.73362108254696</v>
      </c>
      <c r="DA8" s="95">
        <f t="shared" si="48"/>
        <v>152.03</v>
      </c>
      <c r="DB8" s="95">
        <f t="shared" si="48"/>
        <v>0</v>
      </c>
      <c r="DC8" s="95">
        <f t="shared" si="48"/>
        <v>536.6946447271697</v>
      </c>
      <c r="DD8" s="95">
        <f t="shared" si="48"/>
        <v>152.03</v>
      </c>
      <c r="DE8" s="96">
        <f t="shared" si="48"/>
        <v>0</v>
      </c>
      <c r="DF8" s="112">
        <f t="shared" si="26"/>
        <v>2389.7167949748141</v>
      </c>
      <c r="DG8" s="205">
        <f>+DG247</f>
        <v>74000</v>
      </c>
      <c r="DH8" s="98">
        <f t="shared" si="44"/>
        <v>287024.28010546783</v>
      </c>
      <c r="DI8" s="99">
        <f t="shared" si="9"/>
        <v>302290.6274080844</v>
      </c>
      <c r="DJ8" s="100">
        <f t="shared" si="10"/>
        <v>15266.347302616574</v>
      </c>
      <c r="DK8" s="64">
        <f>+DH8/DH7</f>
        <v>1.2308511091242529</v>
      </c>
    </row>
    <row r="9" spans="1:117" s="54" customFormat="1" ht="19.899999999999999" customHeight="1">
      <c r="A9" s="569"/>
      <c r="B9" s="570"/>
      <c r="C9" s="577" t="s">
        <v>11</v>
      </c>
      <c r="D9" s="578"/>
      <c r="E9" s="113">
        <f>+E7-E8</f>
        <v>33501.251422804373</v>
      </c>
      <c r="F9" s="114"/>
      <c r="G9" s="115">
        <f t="shared" ref="G9:R9" si="49">+G7-G8</f>
        <v>387.04591580881402</v>
      </c>
      <c r="H9" s="115">
        <f t="shared" si="49"/>
        <v>-273.87641176887001</v>
      </c>
      <c r="I9" s="115">
        <f t="shared" si="49"/>
        <v>329.58700779470593</v>
      </c>
      <c r="J9" s="115">
        <f t="shared" si="49"/>
        <v>40.725721463943728</v>
      </c>
      <c r="K9" s="115">
        <f t="shared" si="49"/>
        <v>-2.9122520171673791</v>
      </c>
      <c r="L9" s="115">
        <f t="shared" si="49"/>
        <v>-65.366411698236448</v>
      </c>
      <c r="M9" s="115">
        <f t="shared" si="49"/>
        <v>626.08519244958643</v>
      </c>
      <c r="N9" s="115">
        <f t="shared" si="49"/>
        <v>-348.79328625642682</v>
      </c>
      <c r="O9" s="115">
        <f t="shared" si="49"/>
        <v>-193.99478401999539</v>
      </c>
      <c r="P9" s="115">
        <f t="shared" si="49"/>
        <v>-108.41587118992692</v>
      </c>
      <c r="Q9" s="115">
        <f t="shared" si="49"/>
        <v>-165.7137825851463</v>
      </c>
      <c r="R9" s="116">
        <f t="shared" si="49"/>
        <v>75.648699522248137</v>
      </c>
      <c r="S9" s="117">
        <f t="shared" si="12"/>
        <v>300.01973750352892</v>
      </c>
      <c r="T9" s="118">
        <f t="shared" ref="T9:AE9" si="50">+T7-T8</f>
        <v>-448.39483378836007</v>
      </c>
      <c r="U9" s="115">
        <f t="shared" si="50"/>
        <v>-348.42050370417411</v>
      </c>
      <c r="V9" s="115">
        <f t="shared" si="50"/>
        <v>-437.37059141717128</v>
      </c>
      <c r="W9" s="115">
        <f t="shared" si="50"/>
        <v>-1009.6213520243443</v>
      </c>
      <c r="X9" s="115">
        <f t="shared" si="50"/>
        <v>175.74665283637273</v>
      </c>
      <c r="Y9" s="115">
        <f t="shared" si="50"/>
        <v>-3604.5508346094475</v>
      </c>
      <c r="Z9" s="115">
        <f t="shared" si="50"/>
        <v>80966.651397255293</v>
      </c>
      <c r="AA9" s="115">
        <f t="shared" si="50"/>
        <v>1237.1467844388412</v>
      </c>
      <c r="AB9" s="115">
        <f t="shared" si="50"/>
        <v>1331.2458271760652</v>
      </c>
      <c r="AC9" s="115">
        <f t="shared" si="50"/>
        <v>-3217.1015156822582</v>
      </c>
      <c r="AD9" s="115">
        <f t="shared" si="50"/>
        <v>23.716629819940351</v>
      </c>
      <c r="AE9" s="116">
        <f t="shared" si="50"/>
        <v>-476.87505391188677</v>
      </c>
      <c r="AF9" s="117">
        <f t="shared" si="14"/>
        <v>74192.172606388878</v>
      </c>
      <c r="AG9" s="493">
        <f t="shared" ref="AG9:AR9" si="51">+AG7-AG8</f>
        <v>2326.267103214599</v>
      </c>
      <c r="AH9" s="517">
        <f t="shared" si="51"/>
        <v>-3028.4791282376086</v>
      </c>
      <c r="AI9" s="517">
        <f t="shared" si="51"/>
        <v>-462.3393744832623</v>
      </c>
      <c r="AJ9" s="517">
        <f t="shared" si="51"/>
        <v>-2254.8503602699429</v>
      </c>
      <c r="AK9" s="517">
        <f t="shared" si="51"/>
        <v>-1422.6146346329465</v>
      </c>
      <c r="AL9" s="517">
        <f t="shared" si="51"/>
        <v>-9452.981793507015</v>
      </c>
      <c r="AM9" s="517">
        <f t="shared" si="51"/>
        <v>-5832.2500254951728</v>
      </c>
      <c r="AN9" s="517">
        <f t="shared" si="51"/>
        <v>-3459.7703781201653</v>
      </c>
      <c r="AO9" s="517">
        <f t="shared" si="51"/>
        <v>522.52126687898408</v>
      </c>
      <c r="AP9" s="517">
        <f t="shared" si="51"/>
        <v>732.71540512739216</v>
      </c>
      <c r="AQ9" s="517">
        <f t="shared" si="51"/>
        <v>356.2881378016898</v>
      </c>
      <c r="AR9" s="522">
        <f t="shared" si="51"/>
        <v>-52841.946155555277</v>
      </c>
      <c r="AS9" s="402">
        <f t="shared" si="16"/>
        <v>-74817.43993727873</v>
      </c>
      <c r="AT9" s="493">
        <f t="shared" ref="AT9:BE9" si="52">+AT7-AT8</f>
        <v>-2222.6877470460013</v>
      </c>
      <c r="AU9" s="517">
        <f t="shared" si="52"/>
        <v>-15.362423562665299</v>
      </c>
      <c r="AV9" s="517">
        <f t="shared" si="52"/>
        <v>-1082.9438241902467</v>
      </c>
      <c r="AW9" s="517">
        <f t="shared" si="52"/>
        <v>-1102.5787115216813</v>
      </c>
      <c r="AX9" s="517">
        <f t="shared" si="52"/>
        <v>125.0517468758714</v>
      </c>
      <c r="AY9" s="517">
        <f t="shared" si="52"/>
        <v>498.85336441506263</v>
      </c>
      <c r="AZ9" s="115">
        <f t="shared" si="52"/>
        <v>-19513.096709760677</v>
      </c>
      <c r="BA9" s="115">
        <f t="shared" si="52"/>
        <v>-27.029513406797008</v>
      </c>
      <c r="BB9" s="115">
        <f t="shared" si="52"/>
        <v>-8754.2203496610455</v>
      </c>
      <c r="BC9" s="115">
        <f t="shared" si="52"/>
        <v>-923.04211698234997</v>
      </c>
      <c r="BD9" s="115">
        <f t="shared" si="52"/>
        <v>-69.267098585433004</v>
      </c>
      <c r="BE9" s="116">
        <f t="shared" si="52"/>
        <v>80.760156842386849</v>
      </c>
      <c r="BF9" s="117">
        <f t="shared" si="18"/>
        <v>-33005.563226583581</v>
      </c>
      <c r="BG9" s="118">
        <f t="shared" ref="BG9:BR9" si="53">+BG7-BG8</f>
        <v>-556.39794576887743</v>
      </c>
      <c r="BH9" s="115">
        <f t="shared" si="53"/>
        <v>-2778.7170022392802</v>
      </c>
      <c r="BI9" s="115">
        <f t="shared" si="53"/>
        <v>-710.69904865895171</v>
      </c>
      <c r="BJ9" s="115">
        <f t="shared" si="53"/>
        <v>-1776.9793985404722</v>
      </c>
      <c r="BK9" s="115">
        <f t="shared" si="53"/>
        <v>-86.371121337956424</v>
      </c>
      <c r="BL9" s="115">
        <f t="shared" si="53"/>
        <v>56.069618240378126</v>
      </c>
      <c r="BM9" s="115">
        <f t="shared" si="53"/>
        <v>-57672.168967662277</v>
      </c>
      <c r="BN9" s="115">
        <f t="shared" si="53"/>
        <v>-86.601769202878913</v>
      </c>
      <c r="BO9" s="115">
        <f t="shared" si="53"/>
        <v>-7391.015146941485</v>
      </c>
      <c r="BP9" s="115">
        <f t="shared" si="53"/>
        <v>-3030.1813178024577</v>
      </c>
      <c r="BQ9" s="115">
        <f t="shared" si="53"/>
        <v>-114.08198177313996</v>
      </c>
      <c r="BR9" s="116">
        <f t="shared" si="53"/>
        <v>48.072189229026925</v>
      </c>
      <c r="BS9" s="117">
        <f t="shared" si="20"/>
        <v>-74099.071892458378</v>
      </c>
      <c r="BT9" s="118">
        <f t="shared" ref="BT9:CE9" si="54">+BT7-BT8</f>
        <v>-954.4554382964277</v>
      </c>
      <c r="BU9" s="115">
        <f t="shared" si="54"/>
        <v>-65.432908986084428</v>
      </c>
      <c r="BV9" s="115">
        <f t="shared" si="54"/>
        <v>-2043.3019141593943</v>
      </c>
      <c r="BW9" s="115">
        <f t="shared" si="54"/>
        <v>-2760.2237162804249</v>
      </c>
      <c r="BX9" s="115">
        <f t="shared" si="54"/>
        <v>-71.687316731385621</v>
      </c>
      <c r="BY9" s="115">
        <f t="shared" si="54"/>
        <v>-6696.4038139427785</v>
      </c>
      <c r="BZ9" s="115">
        <f t="shared" si="54"/>
        <v>29008.123845107868</v>
      </c>
      <c r="CA9" s="115">
        <f t="shared" si="54"/>
        <v>12.551685487900016</v>
      </c>
      <c r="CB9" s="115">
        <f t="shared" si="54"/>
        <v>129.24149458248033</v>
      </c>
      <c r="CC9" s="115">
        <f t="shared" si="54"/>
        <v>-3299.0689249717402</v>
      </c>
      <c r="CD9" s="115">
        <f t="shared" si="54"/>
        <v>-24.450621338881803</v>
      </c>
      <c r="CE9" s="116">
        <f t="shared" si="54"/>
        <v>132.52427740369862</v>
      </c>
      <c r="CF9" s="117">
        <f t="shared" si="22"/>
        <v>13367.416647874832</v>
      </c>
      <c r="CG9" s="118">
        <f t="shared" ref="CG9:CR9" si="55">+CG7-CG8</f>
        <v>56.710325534655027</v>
      </c>
      <c r="CH9" s="115">
        <f t="shared" si="55"/>
        <v>-6786.9884342268733</v>
      </c>
      <c r="CI9" s="115">
        <f t="shared" si="55"/>
        <v>-1607.1292103341545</v>
      </c>
      <c r="CJ9" s="115">
        <f t="shared" si="55"/>
        <v>-203.8053307384896</v>
      </c>
      <c r="CK9" s="115">
        <f t="shared" si="55"/>
        <v>-18.160978815497174</v>
      </c>
      <c r="CL9" s="115">
        <f t="shared" si="55"/>
        <v>-10029.70483332951</v>
      </c>
      <c r="CM9" s="115">
        <f t="shared" si="55"/>
        <v>-371.96749912679093</v>
      </c>
      <c r="CN9" s="115">
        <f t="shared" si="55"/>
        <v>-32.019638420800476</v>
      </c>
      <c r="CO9" s="115">
        <f t="shared" si="55"/>
        <v>125.93997994602864</v>
      </c>
      <c r="CP9" s="115">
        <f t="shared" si="55"/>
        <v>-7069.9844126509388</v>
      </c>
      <c r="CQ9" s="115">
        <f t="shared" si="55"/>
        <v>-36.973057956070107</v>
      </c>
      <c r="CR9" s="116">
        <f t="shared" si="55"/>
        <v>118.43411884624096</v>
      </c>
      <c r="CS9" s="117">
        <f t="shared" si="24"/>
        <v>-25855.648971272196</v>
      </c>
      <c r="CT9" s="118">
        <f t="shared" ref="CT9:DE9" si="56">+CT7-CT8</f>
        <v>123.87091390829316</v>
      </c>
      <c r="CU9" s="115">
        <f t="shared" si="56"/>
        <v>-25.233989074798473</v>
      </c>
      <c r="CV9" s="115">
        <f t="shared" si="56"/>
        <v>-553.7849298901283</v>
      </c>
      <c r="CW9" s="115">
        <f t="shared" si="56"/>
        <v>64330.333474301442</v>
      </c>
      <c r="CX9" s="115">
        <f t="shared" si="56"/>
        <v>195.61899369049982</v>
      </c>
      <c r="CY9" s="115">
        <f t="shared" si="56"/>
        <v>351.24924133187716</v>
      </c>
      <c r="CZ9" s="115">
        <f t="shared" si="56"/>
        <v>-206.31989515910186</v>
      </c>
      <c r="DA9" s="115">
        <f t="shared" si="56"/>
        <v>222.46824045945871</v>
      </c>
      <c r="DB9" s="115">
        <f t="shared" si="56"/>
        <v>376.58352254388222</v>
      </c>
      <c r="DC9" s="115">
        <f t="shared" si="56"/>
        <v>-157.5826122003744</v>
      </c>
      <c r="DD9" s="115">
        <f t="shared" si="56"/>
        <v>227.72444371017357</v>
      </c>
      <c r="DE9" s="116">
        <f t="shared" si="56"/>
        <v>381.54022483249236</v>
      </c>
      <c r="DF9" s="117">
        <f t="shared" si="26"/>
        <v>65266.467628453713</v>
      </c>
      <c r="DG9" s="275">
        <f>+DG7-DG8</f>
        <v>53597.316842555359</v>
      </c>
      <c r="DH9" s="98">
        <f t="shared" si="44"/>
        <v>-53832.565869872924</v>
      </c>
      <c r="DI9" s="99">
        <f t="shared" si="9"/>
        <v>33501.251422804373</v>
      </c>
      <c r="DJ9" s="100">
        <f t="shared" si="10"/>
        <v>87333.817292677297</v>
      </c>
    </row>
    <row r="10" spans="1:117" s="54" customFormat="1" ht="19.899999999999999" customHeight="1">
      <c r="A10" s="567" t="s">
        <v>103</v>
      </c>
      <c r="B10" s="568"/>
      <c r="C10" s="575" t="s">
        <v>62</v>
      </c>
      <c r="D10" s="576"/>
      <c r="E10" s="101">
        <f t="shared" ref="E10:R10" si="57">+E4+E7</f>
        <v>1921557.6203923209</v>
      </c>
      <c r="F10" s="102">
        <f t="shared" si="57"/>
        <v>4518.8</v>
      </c>
      <c r="G10" s="103">
        <f t="shared" si="57"/>
        <v>2677.7997037403265</v>
      </c>
      <c r="H10" s="103">
        <f t="shared" si="57"/>
        <v>2615.0402174300257</v>
      </c>
      <c r="I10" s="103">
        <f t="shared" si="57"/>
        <v>1675.5555019759454</v>
      </c>
      <c r="J10" s="103">
        <f t="shared" si="57"/>
        <v>1126.4084969488611</v>
      </c>
      <c r="K10" s="103">
        <f t="shared" si="57"/>
        <v>966.26991278969956</v>
      </c>
      <c r="L10" s="103">
        <f t="shared" si="57"/>
        <v>2596.3374659970082</v>
      </c>
      <c r="M10" s="103">
        <f t="shared" si="57"/>
        <v>1834.8533992764417</v>
      </c>
      <c r="N10" s="103">
        <f t="shared" si="57"/>
        <v>671.69645134003349</v>
      </c>
      <c r="O10" s="103">
        <f t="shared" si="57"/>
        <v>840.49343107883828</v>
      </c>
      <c r="P10" s="103">
        <f t="shared" si="57"/>
        <v>998.33843040623719</v>
      </c>
      <c r="Q10" s="103">
        <f t="shared" si="57"/>
        <v>25917.667396593268</v>
      </c>
      <c r="R10" s="104">
        <f t="shared" si="57"/>
        <v>3027.3515226407512</v>
      </c>
      <c r="S10" s="119">
        <f t="shared" si="12"/>
        <v>44947.811930217438</v>
      </c>
      <c r="T10" s="377">
        <f t="shared" ref="T10:AE10" si="58">+T4+T7</f>
        <v>2674.8888883020436</v>
      </c>
      <c r="U10" s="377">
        <f t="shared" si="58"/>
        <v>1250.9192351594443</v>
      </c>
      <c r="V10" s="377">
        <f t="shared" si="58"/>
        <v>630.75853708367174</v>
      </c>
      <c r="W10" s="377">
        <f t="shared" si="58"/>
        <v>751.06608991132146</v>
      </c>
      <c r="X10" s="377">
        <f t="shared" si="58"/>
        <v>979.58283375604344</v>
      </c>
      <c r="Y10" s="377">
        <f t="shared" si="58"/>
        <v>870.77341038718396</v>
      </c>
      <c r="Z10" s="377">
        <f t="shared" si="58"/>
        <v>82183.552681056841</v>
      </c>
      <c r="AA10" s="377">
        <f t="shared" si="58"/>
        <v>3022.8541470625041</v>
      </c>
      <c r="AB10" s="377">
        <f t="shared" si="58"/>
        <v>2100.1870704028415</v>
      </c>
      <c r="AC10" s="377">
        <f t="shared" si="58"/>
        <v>889.85455411443706</v>
      </c>
      <c r="AD10" s="377">
        <f t="shared" si="58"/>
        <v>5232.813603754239</v>
      </c>
      <c r="AE10" s="478">
        <f t="shared" si="58"/>
        <v>32288.238354084075</v>
      </c>
      <c r="AF10" s="119">
        <f t="shared" si="14"/>
        <v>132875.48940507465</v>
      </c>
      <c r="AG10" s="494">
        <f t="shared" ref="AG10:AR10" si="59">+AG4+AG7</f>
        <v>7637.3545343754622</v>
      </c>
      <c r="AH10" s="494">
        <f t="shared" si="59"/>
        <v>1121.965990519099</v>
      </c>
      <c r="AI10" s="494">
        <f t="shared" si="59"/>
        <v>1504.6778783651775</v>
      </c>
      <c r="AJ10" s="494">
        <f t="shared" si="59"/>
        <v>2940.526030061892</v>
      </c>
      <c r="AK10" s="494">
        <f t="shared" si="59"/>
        <v>6945.4100435133578</v>
      </c>
      <c r="AL10" s="494">
        <f t="shared" si="59"/>
        <v>4284.5850168295901</v>
      </c>
      <c r="AM10" s="494">
        <f t="shared" si="59"/>
        <v>3932.7400236340727</v>
      </c>
      <c r="AN10" s="494">
        <f t="shared" si="59"/>
        <v>5842.5377774915714</v>
      </c>
      <c r="AO10" s="494">
        <f t="shared" si="59"/>
        <v>2753.5817329117281</v>
      </c>
      <c r="AP10" s="494">
        <f t="shared" si="59"/>
        <v>2402.3350214652492</v>
      </c>
      <c r="AQ10" s="494">
        <f t="shared" si="59"/>
        <v>4061.4160732012278</v>
      </c>
      <c r="AR10" s="523">
        <f t="shared" si="59"/>
        <v>17470.799988622799</v>
      </c>
      <c r="AS10" s="400">
        <f t="shared" si="16"/>
        <v>60897.930110991227</v>
      </c>
      <c r="AT10" s="495">
        <f t="shared" ref="AT10:BE10" si="60">+AT4+AT7</f>
        <v>14495.383319972041</v>
      </c>
      <c r="AU10" s="494">
        <f t="shared" si="60"/>
        <v>8643.2452920659271</v>
      </c>
      <c r="AV10" s="494">
        <f t="shared" si="60"/>
        <v>4751.7529498975964</v>
      </c>
      <c r="AW10" s="494">
        <f t="shared" si="60"/>
        <v>5022.1657224477403</v>
      </c>
      <c r="AX10" s="494">
        <f t="shared" si="60"/>
        <v>351.3211525738771</v>
      </c>
      <c r="AY10" s="494">
        <f t="shared" si="60"/>
        <v>2505.8723165914562</v>
      </c>
      <c r="AZ10" s="103">
        <f t="shared" si="60"/>
        <v>362.30329023932296</v>
      </c>
      <c r="BA10" s="103">
        <f t="shared" si="60"/>
        <v>6961.1229691683275</v>
      </c>
      <c r="BB10" s="103">
        <f t="shared" si="60"/>
        <v>5969.7947501428926</v>
      </c>
      <c r="BC10" s="103">
        <f t="shared" si="60"/>
        <v>7694.7841807587001</v>
      </c>
      <c r="BD10" s="103">
        <f t="shared" si="60"/>
        <v>13200.780885560713</v>
      </c>
      <c r="BE10" s="104">
        <f t="shared" si="60"/>
        <v>16429.105946004329</v>
      </c>
      <c r="BF10" s="119">
        <f t="shared" si="18"/>
        <v>86387.632775422928</v>
      </c>
      <c r="BG10" s="103">
        <f t="shared" ref="BG10:BR10" si="61">+BG4+BG7</f>
        <v>18317.501816353819</v>
      </c>
      <c r="BH10" s="103">
        <f t="shared" si="61"/>
        <v>15030.444270606862</v>
      </c>
      <c r="BI10" s="103">
        <f t="shared" si="61"/>
        <v>17925.859827437667</v>
      </c>
      <c r="BJ10" s="103">
        <f t="shared" si="61"/>
        <v>34220.400392771495</v>
      </c>
      <c r="BK10" s="103">
        <f t="shared" si="61"/>
        <v>24531.567115224665</v>
      </c>
      <c r="BL10" s="103">
        <f t="shared" si="61"/>
        <v>26869.239262602758</v>
      </c>
      <c r="BM10" s="103">
        <f t="shared" si="61"/>
        <v>104908.18184690546</v>
      </c>
      <c r="BN10" s="103">
        <f t="shared" si="61"/>
        <v>26330.840725815538</v>
      </c>
      <c r="BO10" s="103">
        <f t="shared" si="61"/>
        <v>27038.190906641958</v>
      </c>
      <c r="BP10" s="103">
        <f t="shared" si="61"/>
        <v>24210.739417724748</v>
      </c>
      <c r="BQ10" s="103">
        <f t="shared" si="61"/>
        <v>27899.206762922237</v>
      </c>
      <c r="BR10" s="104">
        <f t="shared" si="61"/>
        <v>31207.898368658047</v>
      </c>
      <c r="BS10" s="119">
        <f t="shared" si="20"/>
        <v>378490.07071366522</v>
      </c>
      <c r="BT10" s="103">
        <f t="shared" ref="BT10:CE10" si="62">+BT4+BT7</f>
        <v>31698.677078359204</v>
      </c>
      <c r="BU10" s="103">
        <f t="shared" si="62"/>
        <v>30231.740541817246</v>
      </c>
      <c r="BV10" s="103">
        <f t="shared" si="62"/>
        <v>26670.106818821667</v>
      </c>
      <c r="BW10" s="103">
        <f t="shared" si="62"/>
        <v>27143.816239091539</v>
      </c>
      <c r="BX10" s="103">
        <f t="shared" si="62"/>
        <v>26318.021647640544</v>
      </c>
      <c r="BY10" s="103">
        <f t="shared" si="62"/>
        <v>26771.810828489928</v>
      </c>
      <c r="BZ10" s="103">
        <f t="shared" si="62"/>
        <v>60109.237303415299</v>
      </c>
      <c r="CA10" s="103">
        <f t="shared" si="62"/>
        <v>28047.893116112777</v>
      </c>
      <c r="CB10" s="103">
        <f t="shared" si="62"/>
        <v>26598.57268329163</v>
      </c>
      <c r="CC10" s="103">
        <f t="shared" si="62"/>
        <v>27334.614340519769</v>
      </c>
      <c r="CD10" s="103">
        <f t="shared" si="62"/>
        <v>27853.994237733652</v>
      </c>
      <c r="CE10" s="104">
        <f t="shared" si="62"/>
        <v>28607.243503229096</v>
      </c>
      <c r="CF10" s="119">
        <f t="shared" si="22"/>
        <v>367385.72833852237</v>
      </c>
      <c r="CG10" s="103">
        <f t="shared" ref="CG10:CR10" si="63">+CG4+CG7</f>
        <v>26783.236528343845</v>
      </c>
      <c r="CH10" s="103">
        <f t="shared" si="63"/>
        <v>27652.519486380883</v>
      </c>
      <c r="CI10" s="103">
        <f t="shared" si="63"/>
        <v>28683.647853154172</v>
      </c>
      <c r="CJ10" s="103">
        <f t="shared" si="63"/>
        <v>27535.172451522572</v>
      </c>
      <c r="CK10" s="103">
        <f t="shared" si="63"/>
        <v>28276.979387526379</v>
      </c>
      <c r="CL10" s="103">
        <f t="shared" si="63"/>
        <v>28856.480328960159</v>
      </c>
      <c r="CM10" s="103">
        <f t="shared" si="63"/>
        <v>27157.176152898435</v>
      </c>
      <c r="CN10" s="103">
        <f t="shared" si="63"/>
        <v>24584.798981526736</v>
      </c>
      <c r="CO10" s="103">
        <f t="shared" si="63"/>
        <v>24468.587414212852</v>
      </c>
      <c r="CP10" s="103">
        <f t="shared" si="63"/>
        <v>25943.414035089121</v>
      </c>
      <c r="CQ10" s="103">
        <f t="shared" si="63"/>
        <v>15340.409005653446</v>
      </c>
      <c r="CR10" s="104">
        <f t="shared" si="63"/>
        <v>15951.409382838392</v>
      </c>
      <c r="CS10" s="119">
        <f t="shared" si="24"/>
        <v>301233.83100810699</v>
      </c>
      <c r="CT10" s="103">
        <f t="shared" ref="CT10:DE10" si="64">+CT4+CT7</f>
        <v>12993.249130101807</v>
      </c>
      <c r="CU10" s="103">
        <f t="shared" si="64"/>
        <v>13390.469463112331</v>
      </c>
      <c r="CV10" s="103">
        <f t="shared" si="64"/>
        <v>13683.765507859649</v>
      </c>
      <c r="CW10" s="103">
        <f t="shared" si="64"/>
        <v>78063.162416327439</v>
      </c>
      <c r="CX10" s="103">
        <f t="shared" si="64"/>
        <v>14210.772827232688</v>
      </c>
      <c r="CY10" s="103">
        <f t="shared" si="64"/>
        <v>14288.029761181922</v>
      </c>
      <c r="CZ10" s="103">
        <f t="shared" si="64"/>
        <v>56184.376745579517</v>
      </c>
      <c r="DA10" s="103">
        <f t="shared" si="64"/>
        <v>10064.029288387021</v>
      </c>
      <c r="DB10" s="103">
        <f t="shared" si="64"/>
        <v>9808.6121156882273</v>
      </c>
      <c r="DC10" s="103">
        <f t="shared" si="64"/>
        <v>9453.6645516083936</v>
      </c>
      <c r="DD10" s="103">
        <f t="shared" si="64"/>
        <v>8996.8797728762729</v>
      </c>
      <c r="DE10" s="104">
        <f t="shared" si="64"/>
        <v>60925.221243982523</v>
      </c>
      <c r="DF10" s="119">
        <f t="shared" si="26"/>
        <v>302062.23282393772</v>
      </c>
      <c r="DG10" s="276">
        <f>+DG4+DG7</f>
        <v>247276.89328638237</v>
      </c>
      <c r="DH10" s="90">
        <f t="shared" si="44"/>
        <v>955394.62822175375</v>
      </c>
      <c r="DI10" s="91">
        <f t="shared" si="9"/>
        <v>1921557.6203923209</v>
      </c>
      <c r="DJ10" s="92">
        <f t="shared" si="10"/>
        <v>966162.99217056716</v>
      </c>
    </row>
    <row r="11" spans="1:117" s="54" customFormat="1" ht="19.899999999999999" customHeight="1">
      <c r="A11" s="569"/>
      <c r="B11" s="570"/>
      <c r="C11" s="579" t="s">
        <v>63</v>
      </c>
      <c r="D11" s="580"/>
      <c r="E11" s="93">
        <f t="shared" ref="E11:R11" si="65">+E5+E8</f>
        <v>1721801.8786289191</v>
      </c>
      <c r="F11" s="94">
        <f t="shared" si="65"/>
        <v>764.56299999999999</v>
      </c>
      <c r="G11" s="95">
        <f t="shared" si="65"/>
        <v>1764.8660869426906</v>
      </c>
      <c r="H11" s="95">
        <f t="shared" si="65"/>
        <v>1889.2269507713224</v>
      </c>
      <c r="I11" s="95">
        <f t="shared" si="65"/>
        <v>1738.4785335712731</v>
      </c>
      <c r="J11" s="95">
        <f t="shared" si="65"/>
        <v>1144.9061863143113</v>
      </c>
      <c r="K11" s="95">
        <f t="shared" si="65"/>
        <v>2092.5812125751077</v>
      </c>
      <c r="L11" s="95">
        <f t="shared" si="65"/>
        <v>1214.7682576054817</v>
      </c>
      <c r="M11" s="95">
        <f t="shared" si="65"/>
        <v>1582.2964944625228</v>
      </c>
      <c r="N11" s="95">
        <f t="shared" si="65"/>
        <v>1264.5128724373312</v>
      </c>
      <c r="O11" s="95">
        <f t="shared" si="65"/>
        <v>1187.4504331071323</v>
      </c>
      <c r="P11" s="95">
        <f t="shared" si="65"/>
        <v>1611.1538624086386</v>
      </c>
      <c r="Q11" s="95">
        <f t="shared" si="65"/>
        <v>1472.2853252939121</v>
      </c>
      <c r="R11" s="96">
        <f t="shared" si="65"/>
        <v>1552.2888624116426</v>
      </c>
      <c r="S11" s="112">
        <f t="shared" si="12"/>
        <v>18514.815077901367</v>
      </c>
      <c r="T11" s="376">
        <f t="shared" ref="T11:AE11" si="66">+T5+T8</f>
        <v>2968.1642335820461</v>
      </c>
      <c r="U11" s="376">
        <f t="shared" si="66"/>
        <v>1558.8295900492274</v>
      </c>
      <c r="V11" s="376">
        <f t="shared" si="66"/>
        <v>1415.8205834561641</v>
      </c>
      <c r="W11" s="376">
        <f t="shared" si="66"/>
        <v>2008.5723402933231</v>
      </c>
      <c r="X11" s="376">
        <f t="shared" si="66"/>
        <v>1177.7124227362669</v>
      </c>
      <c r="Y11" s="376">
        <f t="shared" si="66"/>
        <v>4681.7359108310557</v>
      </c>
      <c r="Z11" s="376">
        <f t="shared" si="66"/>
        <v>1223.5421457660889</v>
      </c>
      <c r="AA11" s="376">
        <f t="shared" si="66"/>
        <v>1237.3043051958498</v>
      </c>
      <c r="AB11" s="376">
        <f t="shared" si="66"/>
        <v>1110.4106578658759</v>
      </c>
      <c r="AC11" s="376">
        <f t="shared" si="66"/>
        <v>4742.3072601165968</v>
      </c>
      <c r="AD11" s="376">
        <f t="shared" si="66"/>
        <v>3945.2390354927811</v>
      </c>
      <c r="AE11" s="479">
        <f t="shared" si="66"/>
        <v>6644.1136825965823</v>
      </c>
      <c r="AF11" s="112">
        <f t="shared" si="14"/>
        <v>32713.75216798186</v>
      </c>
      <c r="AG11" s="492">
        <f t="shared" ref="AG11:AR11" si="67">+AG5+AG8</f>
        <v>5424.943206995461</v>
      </c>
      <c r="AH11" s="492">
        <f t="shared" si="67"/>
        <v>4383.3891323903999</v>
      </c>
      <c r="AI11" s="492">
        <f t="shared" si="67"/>
        <v>1923.3125986070463</v>
      </c>
      <c r="AJ11" s="492">
        <f t="shared" si="67"/>
        <v>5357.2594752509149</v>
      </c>
      <c r="AK11" s="492">
        <f t="shared" si="67"/>
        <v>7990.0125235047508</v>
      </c>
      <c r="AL11" s="492">
        <f t="shared" si="67"/>
        <v>13869.212627051198</v>
      </c>
      <c r="AM11" s="492">
        <f t="shared" si="67"/>
        <v>9115.4618396679798</v>
      </c>
      <c r="AN11" s="492">
        <f t="shared" si="67"/>
        <v>7845.286684419646</v>
      </c>
      <c r="AO11" s="492">
        <f t="shared" si="67"/>
        <v>2964.2778411605509</v>
      </c>
      <c r="AP11" s="492">
        <f t="shared" si="67"/>
        <v>2124.146086516897</v>
      </c>
      <c r="AQ11" s="492">
        <f t="shared" si="67"/>
        <v>4509.7157883908612</v>
      </c>
      <c r="AR11" s="524">
        <f t="shared" si="67"/>
        <v>67229.826109931499</v>
      </c>
      <c r="AS11" s="401">
        <f t="shared" si="16"/>
        <v>132736.84391388722</v>
      </c>
      <c r="AT11" s="530">
        <f t="shared" ref="AT11:BE11" si="68">+AT5+AT8</f>
        <v>13154.047608933175</v>
      </c>
      <c r="AU11" s="492">
        <f t="shared" si="68"/>
        <v>5970.2766644978901</v>
      </c>
      <c r="AV11" s="492">
        <f t="shared" si="68"/>
        <v>5119.6715428809848</v>
      </c>
      <c r="AW11" s="492">
        <f t="shared" si="68"/>
        <v>6833.7497748017759</v>
      </c>
      <c r="AX11" s="492">
        <f t="shared" si="68"/>
        <v>7301.3232023931614</v>
      </c>
      <c r="AY11" s="492">
        <f t="shared" si="68"/>
        <v>6854.5051747576517</v>
      </c>
      <c r="AZ11" s="95">
        <f t="shared" si="68"/>
        <v>29733.144384075313</v>
      </c>
      <c r="BA11" s="95">
        <f t="shared" si="68"/>
        <v>8227.3738454430149</v>
      </c>
      <c r="BB11" s="95">
        <f t="shared" si="68"/>
        <v>16116.32494653409</v>
      </c>
      <c r="BC11" s="95">
        <f t="shared" si="68"/>
        <v>8953.2786616836165</v>
      </c>
      <c r="BD11" s="95">
        <f t="shared" si="68"/>
        <v>13801.604257214754</v>
      </c>
      <c r="BE11" s="96">
        <f t="shared" si="68"/>
        <v>17076.536729383624</v>
      </c>
      <c r="BF11" s="112">
        <f t="shared" si="18"/>
        <v>139141.83679259906</v>
      </c>
      <c r="BG11" s="95">
        <f t="shared" ref="BG11:BR11" si="69">+BG5+BG8</f>
        <v>16304.218757474522</v>
      </c>
      <c r="BH11" s="95">
        <f t="shared" si="69"/>
        <v>22534.058196508446</v>
      </c>
      <c r="BI11" s="95">
        <f t="shared" si="69"/>
        <v>22084.044573094052</v>
      </c>
      <c r="BJ11" s="95">
        <f t="shared" si="69"/>
        <v>28454.837450816511</v>
      </c>
      <c r="BK11" s="95">
        <f t="shared" si="69"/>
        <v>27408.345241724299</v>
      </c>
      <c r="BL11" s="95">
        <f t="shared" si="69"/>
        <v>27764.221636986265</v>
      </c>
      <c r="BM11" s="95">
        <f t="shared" si="69"/>
        <v>101205.61570549906</v>
      </c>
      <c r="BN11" s="95">
        <f t="shared" si="69"/>
        <v>25863.854047397421</v>
      </c>
      <c r="BO11" s="95">
        <f t="shared" si="69"/>
        <v>32813.232628665508</v>
      </c>
      <c r="BP11" s="95">
        <f t="shared" si="69"/>
        <v>27146.748145197627</v>
      </c>
      <c r="BQ11" s="95">
        <f t="shared" si="69"/>
        <v>24861.95546227217</v>
      </c>
      <c r="BR11" s="96">
        <f t="shared" si="69"/>
        <v>25366.18662629445</v>
      </c>
      <c r="BS11" s="112">
        <f t="shared" si="20"/>
        <v>381807.31847193034</v>
      </c>
      <c r="BT11" s="95">
        <f t="shared" ref="BT11:CE11" si="70">+BT5+BT8</f>
        <v>25982.918285256212</v>
      </c>
      <c r="BU11" s="95">
        <f t="shared" si="70"/>
        <v>27201.442093810187</v>
      </c>
      <c r="BV11" s="95">
        <f t="shared" si="70"/>
        <v>29072.266540381373</v>
      </c>
      <c r="BW11" s="95">
        <f t="shared" si="70"/>
        <v>29648.277289129244</v>
      </c>
      <c r="BX11" s="95">
        <f t="shared" si="70"/>
        <v>25341.97081105844</v>
      </c>
      <c r="BY11" s="95">
        <f t="shared" si="70"/>
        <v>32906.89376565149</v>
      </c>
      <c r="BZ11" s="95">
        <f t="shared" si="70"/>
        <v>29678.50453705015</v>
      </c>
      <c r="CA11" s="95">
        <f t="shared" si="70"/>
        <v>38649.950387738681</v>
      </c>
      <c r="CB11" s="95">
        <f t="shared" si="70"/>
        <v>25202.360211108949</v>
      </c>
      <c r="CC11" s="95">
        <f t="shared" si="70"/>
        <v>29229.461589111092</v>
      </c>
      <c r="CD11" s="95">
        <f t="shared" si="70"/>
        <v>26370.524614959526</v>
      </c>
      <c r="CE11" s="96">
        <f t="shared" si="70"/>
        <v>26451.429063942163</v>
      </c>
      <c r="CF11" s="112">
        <f t="shared" si="22"/>
        <v>345735.99918919749</v>
      </c>
      <c r="CG11" s="95">
        <f t="shared" ref="CG11:CR11" si="71">+CG5+CG8</f>
        <v>25183.864456802479</v>
      </c>
      <c r="CH11" s="95">
        <f t="shared" si="71"/>
        <v>32803.752318565108</v>
      </c>
      <c r="CI11" s="95">
        <f t="shared" si="71"/>
        <v>28542.291717219581</v>
      </c>
      <c r="CJ11" s="95">
        <f t="shared" si="71"/>
        <v>25877.059131859969</v>
      </c>
      <c r="CK11" s="95">
        <f t="shared" si="71"/>
        <v>26349.13574173017</v>
      </c>
      <c r="CL11" s="95">
        <f t="shared" si="71"/>
        <v>36871.149653268942</v>
      </c>
      <c r="CM11" s="95">
        <f t="shared" si="71"/>
        <v>25227.94835597686</v>
      </c>
      <c r="CN11" s="95">
        <f t="shared" si="71"/>
        <v>22805.913471478001</v>
      </c>
      <c r="CO11" s="95">
        <f t="shared" si="71"/>
        <v>22532.817887448684</v>
      </c>
      <c r="CP11" s="95">
        <f t="shared" si="71"/>
        <v>31144.094932482916</v>
      </c>
      <c r="CQ11" s="95">
        <f t="shared" si="71"/>
        <v>14327.255964960121</v>
      </c>
      <c r="CR11" s="96">
        <f t="shared" si="71"/>
        <v>14320.370864222734</v>
      </c>
      <c r="CS11" s="112">
        <f t="shared" si="24"/>
        <v>305985.65449601563</v>
      </c>
      <c r="CT11" s="95">
        <f t="shared" ref="CT11:DE11" si="72">+CT5+CT8</f>
        <v>12115.720025029294</v>
      </c>
      <c r="CU11" s="95">
        <f t="shared" si="72"/>
        <v>12614.192958182037</v>
      </c>
      <c r="CV11" s="95">
        <f t="shared" si="72"/>
        <v>13398.802999918878</v>
      </c>
      <c r="CW11" s="95">
        <f t="shared" si="72"/>
        <v>12868.506599609005</v>
      </c>
      <c r="CX11" s="95">
        <f t="shared" si="72"/>
        <v>13130.698534819478</v>
      </c>
      <c r="CY11" s="95">
        <f t="shared" si="72"/>
        <v>13038.684383711559</v>
      </c>
      <c r="CZ11" s="95">
        <f t="shared" si="72"/>
        <v>50459.02238477541</v>
      </c>
      <c r="DA11" s="95">
        <f t="shared" si="72"/>
        <v>9438.4446630599741</v>
      </c>
      <c r="DB11" s="95">
        <f t="shared" si="72"/>
        <v>9050.0591208143087</v>
      </c>
      <c r="DC11" s="95">
        <f t="shared" si="72"/>
        <v>9260.9411965949148</v>
      </c>
      <c r="DD11" s="95">
        <f t="shared" si="72"/>
        <v>8461.1454361806445</v>
      </c>
      <c r="DE11" s="96">
        <f t="shared" si="72"/>
        <v>54002.635349586191</v>
      </c>
      <c r="DF11" s="112">
        <f t="shared" si="26"/>
        <v>217838.85365228172</v>
      </c>
      <c r="DG11" s="205">
        <f>+DG5+DG8</f>
        <v>181882.38685474545</v>
      </c>
      <c r="DH11" s="98">
        <f t="shared" si="44"/>
        <v>887561.51627904526</v>
      </c>
      <c r="DI11" s="99">
        <f t="shared" si="9"/>
        <v>1721801.8786289191</v>
      </c>
      <c r="DJ11" s="100">
        <f t="shared" si="10"/>
        <v>834240.36234987387</v>
      </c>
      <c r="DK11" s="64">
        <f>+DH11/DH10</f>
        <v>0.92899990230323548</v>
      </c>
    </row>
    <row r="12" spans="1:117" s="54" customFormat="1" ht="19.899999999999999" customHeight="1">
      <c r="A12" s="569"/>
      <c r="B12" s="570"/>
      <c r="C12" s="575" t="s">
        <v>11</v>
      </c>
      <c r="D12" s="576"/>
      <c r="E12" s="101">
        <f>+E10-E11</f>
        <v>199755.74176340178</v>
      </c>
      <c r="F12" s="102"/>
      <c r="G12" s="103">
        <f t="shared" ref="G12:R12" si="73">+G10-G11</f>
        <v>912.93361679763598</v>
      </c>
      <c r="H12" s="103">
        <f t="shared" si="73"/>
        <v>725.81326665870324</v>
      </c>
      <c r="I12" s="103">
        <f t="shared" si="73"/>
        <v>-62.923031595327757</v>
      </c>
      <c r="J12" s="103">
        <f t="shared" si="73"/>
        <v>-18.497689365450242</v>
      </c>
      <c r="K12" s="103">
        <f t="shared" si="73"/>
        <v>-1126.3112997854082</v>
      </c>
      <c r="L12" s="103">
        <f t="shared" si="73"/>
        <v>1381.5692083915264</v>
      </c>
      <c r="M12" s="103">
        <f t="shared" si="73"/>
        <v>252.55690481391889</v>
      </c>
      <c r="N12" s="103">
        <f t="shared" si="73"/>
        <v>-592.81642109729773</v>
      </c>
      <c r="O12" s="103">
        <f t="shared" si="73"/>
        <v>-346.95700202829403</v>
      </c>
      <c r="P12" s="103">
        <f t="shared" si="73"/>
        <v>-612.81543200240139</v>
      </c>
      <c r="Q12" s="103">
        <f t="shared" si="73"/>
        <v>24445.382071299355</v>
      </c>
      <c r="R12" s="104">
        <f t="shared" si="73"/>
        <v>1475.0626602291086</v>
      </c>
      <c r="S12" s="119">
        <f t="shared" si="12"/>
        <v>26432.996852316068</v>
      </c>
      <c r="T12" s="105">
        <f t="shared" ref="T12:AE12" si="74">+T10-T11</f>
        <v>-293.27534528000251</v>
      </c>
      <c r="U12" s="103">
        <f t="shared" si="74"/>
        <v>-307.91035488978309</v>
      </c>
      <c r="V12" s="103">
        <f t="shared" si="74"/>
        <v>-785.06204637249232</v>
      </c>
      <c r="W12" s="103">
        <f t="shared" si="74"/>
        <v>-1257.5062503820018</v>
      </c>
      <c r="X12" s="103">
        <f t="shared" si="74"/>
        <v>-198.1295889802235</v>
      </c>
      <c r="Y12" s="103">
        <f t="shared" si="74"/>
        <v>-3810.9625004438717</v>
      </c>
      <c r="Z12" s="103">
        <f t="shared" si="74"/>
        <v>80960.010535290756</v>
      </c>
      <c r="AA12" s="103">
        <f t="shared" si="74"/>
        <v>1785.5498418666543</v>
      </c>
      <c r="AB12" s="103">
        <f t="shared" si="74"/>
        <v>989.77641253696561</v>
      </c>
      <c r="AC12" s="103">
        <f t="shared" si="74"/>
        <v>-3852.4527060021596</v>
      </c>
      <c r="AD12" s="103">
        <f t="shared" si="74"/>
        <v>1287.5745682614579</v>
      </c>
      <c r="AE12" s="104">
        <f t="shared" si="74"/>
        <v>25644.124671487494</v>
      </c>
      <c r="AF12" s="119">
        <f t="shared" si="14"/>
        <v>100161.73723709278</v>
      </c>
      <c r="AG12" s="495">
        <f t="shared" ref="AG12:AR12" si="75">+AG10-AG11</f>
        <v>2212.4113273800012</v>
      </c>
      <c r="AH12" s="494">
        <f t="shared" si="75"/>
        <v>-3261.4231418713007</v>
      </c>
      <c r="AI12" s="494">
        <f t="shared" si="75"/>
        <v>-418.63472024186876</v>
      </c>
      <c r="AJ12" s="494">
        <f t="shared" si="75"/>
        <v>-2416.7334451890229</v>
      </c>
      <c r="AK12" s="494">
        <f t="shared" si="75"/>
        <v>-1044.602479991393</v>
      </c>
      <c r="AL12" s="494">
        <f t="shared" si="75"/>
        <v>-9584.627610221607</v>
      </c>
      <c r="AM12" s="494">
        <f t="shared" si="75"/>
        <v>-5182.7218160339071</v>
      </c>
      <c r="AN12" s="494">
        <f t="shared" si="75"/>
        <v>-2002.7489069280746</v>
      </c>
      <c r="AO12" s="494">
        <f t="shared" si="75"/>
        <v>-210.69610824882284</v>
      </c>
      <c r="AP12" s="494">
        <f t="shared" si="75"/>
        <v>278.1889349483522</v>
      </c>
      <c r="AQ12" s="494">
        <f t="shared" si="75"/>
        <v>-448.29971518963339</v>
      </c>
      <c r="AR12" s="523">
        <f t="shared" si="75"/>
        <v>-49759.0261213087</v>
      </c>
      <c r="AS12" s="400">
        <f t="shared" si="16"/>
        <v>-71838.913802895986</v>
      </c>
      <c r="AT12" s="495">
        <f t="shared" ref="AT12:BE12" si="76">+AT10-AT11</f>
        <v>1341.3357110388661</v>
      </c>
      <c r="AU12" s="494">
        <f t="shared" si="76"/>
        <v>2672.9686275680369</v>
      </c>
      <c r="AV12" s="494">
        <f t="shared" si="76"/>
        <v>-367.91859298338841</v>
      </c>
      <c r="AW12" s="494">
        <f t="shared" si="76"/>
        <v>-1811.5840523540355</v>
      </c>
      <c r="AX12" s="494">
        <f t="shared" si="76"/>
        <v>-6950.0020498192844</v>
      </c>
      <c r="AY12" s="494">
        <f t="shared" si="76"/>
        <v>-4348.6328581661955</v>
      </c>
      <c r="AZ12" s="103">
        <f t="shared" si="76"/>
        <v>-29370.841093835988</v>
      </c>
      <c r="BA12" s="103">
        <f t="shared" si="76"/>
        <v>-1266.2508762746875</v>
      </c>
      <c r="BB12" s="103">
        <f t="shared" si="76"/>
        <v>-10146.530196391199</v>
      </c>
      <c r="BC12" s="103">
        <f t="shared" si="76"/>
        <v>-1258.4944809249164</v>
      </c>
      <c r="BD12" s="103">
        <f t="shared" si="76"/>
        <v>-600.82337165404169</v>
      </c>
      <c r="BE12" s="104">
        <f t="shared" si="76"/>
        <v>-647.43078337929546</v>
      </c>
      <c r="BF12" s="119">
        <f t="shared" si="18"/>
        <v>-52754.204017176118</v>
      </c>
      <c r="BG12" s="105">
        <f t="shared" ref="BG12:BR12" si="77">+BG10-BG11</f>
        <v>2013.2830588792967</v>
      </c>
      <c r="BH12" s="103">
        <f t="shared" si="77"/>
        <v>-7503.6139259015836</v>
      </c>
      <c r="BI12" s="103">
        <f t="shared" si="77"/>
        <v>-4158.1847456563846</v>
      </c>
      <c r="BJ12" s="103">
        <f t="shared" si="77"/>
        <v>5765.5629419549841</v>
      </c>
      <c r="BK12" s="103">
        <f t="shared" si="77"/>
        <v>-2876.7781264996338</v>
      </c>
      <c r="BL12" s="103">
        <f t="shared" si="77"/>
        <v>-894.9823743835077</v>
      </c>
      <c r="BM12" s="103">
        <f t="shared" si="77"/>
        <v>3702.5661414063943</v>
      </c>
      <c r="BN12" s="103">
        <f t="shared" si="77"/>
        <v>466.98667841811766</v>
      </c>
      <c r="BO12" s="103">
        <f t="shared" si="77"/>
        <v>-5775.0417220235504</v>
      </c>
      <c r="BP12" s="103">
        <f t="shared" si="77"/>
        <v>-2936.0087274728794</v>
      </c>
      <c r="BQ12" s="103">
        <f t="shared" si="77"/>
        <v>3037.2513006500667</v>
      </c>
      <c r="BR12" s="104">
        <f t="shared" si="77"/>
        <v>5841.7117423635973</v>
      </c>
      <c r="BS12" s="119">
        <f t="shared" si="20"/>
        <v>-3317.2477582650827</v>
      </c>
      <c r="BT12" s="105">
        <f t="shared" ref="BT12:CE12" si="78">+BT10-BT11</f>
        <v>5715.7587931029921</v>
      </c>
      <c r="BU12" s="103">
        <f t="shared" si="78"/>
        <v>3030.2984480070591</v>
      </c>
      <c r="BV12" s="103">
        <f t="shared" si="78"/>
        <v>-2402.1597215597067</v>
      </c>
      <c r="BW12" s="103">
        <f t="shared" si="78"/>
        <v>-2504.4610500377057</v>
      </c>
      <c r="BX12" s="103">
        <f t="shared" si="78"/>
        <v>976.05083658210424</v>
      </c>
      <c r="BY12" s="103">
        <f t="shared" si="78"/>
        <v>-6135.0829371615619</v>
      </c>
      <c r="BZ12" s="103">
        <f t="shared" si="78"/>
        <v>30430.732766365149</v>
      </c>
      <c r="CA12" s="103">
        <f t="shared" si="78"/>
        <v>-10602.057271625905</v>
      </c>
      <c r="CB12" s="103">
        <f t="shared" si="78"/>
        <v>1396.2124721826804</v>
      </c>
      <c r="CC12" s="103">
        <f t="shared" si="78"/>
        <v>-1894.8472485913226</v>
      </c>
      <c r="CD12" s="103">
        <f t="shared" si="78"/>
        <v>1483.469622774126</v>
      </c>
      <c r="CE12" s="104">
        <f t="shared" si="78"/>
        <v>2155.8144392869326</v>
      </c>
      <c r="CF12" s="119">
        <f t="shared" si="22"/>
        <v>21649.729149324841</v>
      </c>
      <c r="CG12" s="105">
        <f t="shared" ref="CG12:CR12" si="79">+CG10-CG11</f>
        <v>1599.3720715413656</v>
      </c>
      <c r="CH12" s="103">
        <f t="shared" si="79"/>
        <v>-5151.2328321842251</v>
      </c>
      <c r="CI12" s="103">
        <f t="shared" si="79"/>
        <v>141.35613593459129</v>
      </c>
      <c r="CJ12" s="103">
        <f t="shared" si="79"/>
        <v>1658.1133196626033</v>
      </c>
      <c r="CK12" s="103">
        <f t="shared" si="79"/>
        <v>1927.8436457962089</v>
      </c>
      <c r="CL12" s="103">
        <f t="shared" si="79"/>
        <v>-8014.669324308783</v>
      </c>
      <c r="CM12" s="103">
        <f t="shared" si="79"/>
        <v>1929.2277969215756</v>
      </c>
      <c r="CN12" s="103">
        <f t="shared" si="79"/>
        <v>1778.8855100487344</v>
      </c>
      <c r="CO12" s="103">
        <f t="shared" si="79"/>
        <v>1935.7695267641684</v>
      </c>
      <c r="CP12" s="103">
        <f t="shared" si="79"/>
        <v>-5200.680897393795</v>
      </c>
      <c r="CQ12" s="103">
        <f t="shared" si="79"/>
        <v>1013.1530406933252</v>
      </c>
      <c r="CR12" s="104">
        <f t="shared" si="79"/>
        <v>1631.0385186156582</v>
      </c>
      <c r="CS12" s="119">
        <f t="shared" si="24"/>
        <v>-4751.8234879085721</v>
      </c>
      <c r="CT12" s="105">
        <f t="shared" ref="CT12:DE12" si="80">+CT10-CT11</f>
        <v>877.52910507251363</v>
      </c>
      <c r="CU12" s="103">
        <f t="shared" si="80"/>
        <v>776.27650493029432</v>
      </c>
      <c r="CV12" s="103">
        <f t="shared" si="80"/>
        <v>284.96250794077059</v>
      </c>
      <c r="CW12" s="103">
        <f t="shared" si="80"/>
        <v>65194.655816718434</v>
      </c>
      <c r="CX12" s="103">
        <f t="shared" si="80"/>
        <v>1080.0742924132101</v>
      </c>
      <c r="CY12" s="103">
        <f t="shared" si="80"/>
        <v>1249.345377470363</v>
      </c>
      <c r="CZ12" s="103">
        <f t="shared" si="80"/>
        <v>5725.3543608041073</v>
      </c>
      <c r="DA12" s="103">
        <f t="shared" si="80"/>
        <v>625.58462532704652</v>
      </c>
      <c r="DB12" s="103">
        <f t="shared" si="80"/>
        <v>758.55299487391858</v>
      </c>
      <c r="DC12" s="103">
        <f t="shared" si="80"/>
        <v>192.72335501347879</v>
      </c>
      <c r="DD12" s="103">
        <f t="shared" si="80"/>
        <v>535.73433669562837</v>
      </c>
      <c r="DE12" s="104">
        <f t="shared" si="80"/>
        <v>6922.5858943963322</v>
      </c>
      <c r="DF12" s="119">
        <f t="shared" si="26"/>
        <v>84223.379171656095</v>
      </c>
      <c r="DG12" s="276">
        <f>+DG10-DG11</f>
        <v>65394.506431636924</v>
      </c>
      <c r="DH12" s="98">
        <f t="shared" si="44"/>
        <v>64078.874942708579</v>
      </c>
      <c r="DI12" s="99">
        <f t="shared" si="9"/>
        <v>199755.74176340178</v>
      </c>
      <c r="DJ12" s="100">
        <f t="shared" si="10"/>
        <v>135676.86682069319</v>
      </c>
    </row>
    <row r="13" spans="1:117" s="54" customFormat="1" ht="19.899999999999999" customHeight="1">
      <c r="A13" s="571"/>
      <c r="B13" s="572"/>
      <c r="C13" s="581" t="s">
        <v>12</v>
      </c>
      <c r="D13" s="582"/>
      <c r="E13" s="243"/>
      <c r="F13" s="106">
        <v>21579</v>
      </c>
      <c r="G13" s="107">
        <f t="shared" ref="G13:R13" si="81">+F13+G12</f>
        <v>22491.933616797636</v>
      </c>
      <c r="H13" s="107">
        <f t="shared" si="81"/>
        <v>23217.746883456341</v>
      </c>
      <c r="I13" s="107">
        <f t="shared" si="81"/>
        <v>23154.823851861012</v>
      </c>
      <c r="J13" s="107">
        <f t="shared" si="81"/>
        <v>23136.326162495563</v>
      </c>
      <c r="K13" s="107">
        <f t="shared" si="81"/>
        <v>22010.014862710155</v>
      </c>
      <c r="L13" s="107">
        <f t="shared" si="81"/>
        <v>23391.584071101683</v>
      </c>
      <c r="M13" s="107">
        <f t="shared" si="81"/>
        <v>23644.140975915601</v>
      </c>
      <c r="N13" s="107">
        <f>+M13+N12</f>
        <v>23051.324554818304</v>
      </c>
      <c r="O13" s="107">
        <f t="shared" si="81"/>
        <v>22704.367552790009</v>
      </c>
      <c r="P13" s="107">
        <f t="shared" si="81"/>
        <v>22091.552120787608</v>
      </c>
      <c r="Q13" s="107">
        <f t="shared" si="81"/>
        <v>46536.934192086963</v>
      </c>
      <c r="R13" s="108">
        <f t="shared" si="81"/>
        <v>48011.996852316071</v>
      </c>
      <c r="S13" s="109">
        <f>+R13</f>
        <v>48011.996852316071</v>
      </c>
      <c r="T13" s="110">
        <f t="shared" ref="T13:AE13" si="82">+S13+T12</f>
        <v>47718.721507036069</v>
      </c>
      <c r="U13" s="107">
        <f t="shared" si="82"/>
        <v>47410.811152146285</v>
      </c>
      <c r="V13" s="107">
        <f t="shared" si="82"/>
        <v>46625.749105773793</v>
      </c>
      <c r="W13" s="107">
        <f t="shared" si="82"/>
        <v>45368.242855391793</v>
      </c>
      <c r="X13" s="107">
        <f t="shared" si="82"/>
        <v>45170.113266411572</v>
      </c>
      <c r="Y13" s="107">
        <f t="shared" si="82"/>
        <v>41359.150765967701</v>
      </c>
      <c r="Z13" s="107">
        <f t="shared" si="82"/>
        <v>122319.16130125846</v>
      </c>
      <c r="AA13" s="107">
        <f t="shared" si="82"/>
        <v>124104.71114312511</v>
      </c>
      <c r="AB13" s="107">
        <f t="shared" si="82"/>
        <v>125094.48755566208</v>
      </c>
      <c r="AC13" s="107">
        <f t="shared" si="82"/>
        <v>121242.03484965992</v>
      </c>
      <c r="AD13" s="107">
        <f t="shared" si="82"/>
        <v>122529.60941792137</v>
      </c>
      <c r="AE13" s="108">
        <f t="shared" si="82"/>
        <v>148173.73408940886</v>
      </c>
      <c r="AF13" s="109">
        <f>+AE13</f>
        <v>148173.73408940886</v>
      </c>
      <c r="AG13" s="110">
        <f t="shared" ref="AG13:AR13" si="83">+AF13+AG12</f>
        <v>150386.14541678884</v>
      </c>
      <c r="AH13" s="107">
        <f t="shared" si="83"/>
        <v>147124.72227491756</v>
      </c>
      <c r="AI13" s="107">
        <f t="shared" si="83"/>
        <v>146706.0875546757</v>
      </c>
      <c r="AJ13" s="107">
        <f t="shared" si="83"/>
        <v>144289.35410948668</v>
      </c>
      <c r="AK13" s="107">
        <f t="shared" si="83"/>
        <v>143244.75162949529</v>
      </c>
      <c r="AL13" s="107">
        <f t="shared" si="83"/>
        <v>133660.12401927367</v>
      </c>
      <c r="AM13" s="107">
        <f t="shared" si="83"/>
        <v>128477.40220323976</v>
      </c>
      <c r="AN13" s="107">
        <f t="shared" si="83"/>
        <v>126474.65329631169</v>
      </c>
      <c r="AO13" s="107">
        <f t="shared" si="83"/>
        <v>126263.95718806286</v>
      </c>
      <c r="AP13" s="107">
        <f t="shared" si="83"/>
        <v>126542.14612301122</v>
      </c>
      <c r="AQ13" s="107">
        <f t="shared" si="83"/>
        <v>126093.84640782159</v>
      </c>
      <c r="AR13" s="108">
        <f t="shared" si="83"/>
        <v>76334.820286512899</v>
      </c>
      <c r="AS13" s="403">
        <f>+AR13</f>
        <v>76334.820286512899</v>
      </c>
      <c r="AT13" s="110">
        <f t="shared" ref="AT13:BE13" si="84">+AS13+AT12</f>
        <v>77676.155997551759</v>
      </c>
      <c r="AU13" s="171">
        <f t="shared" si="84"/>
        <v>80349.124625119803</v>
      </c>
      <c r="AV13" s="107">
        <f t="shared" si="84"/>
        <v>79981.206032136412</v>
      </c>
      <c r="AW13" s="107">
        <f t="shared" si="84"/>
        <v>78169.621979782372</v>
      </c>
      <c r="AX13" s="107">
        <f t="shared" si="84"/>
        <v>71219.619929963083</v>
      </c>
      <c r="AY13" s="107">
        <f t="shared" si="84"/>
        <v>66870.987071796888</v>
      </c>
      <c r="AZ13" s="107">
        <f t="shared" si="84"/>
        <v>37500.145977960899</v>
      </c>
      <c r="BA13" s="107">
        <f t="shared" si="84"/>
        <v>36233.895101686212</v>
      </c>
      <c r="BB13" s="107">
        <f t="shared" si="84"/>
        <v>26087.364905295013</v>
      </c>
      <c r="BC13" s="107">
        <f t="shared" si="84"/>
        <v>24828.870424370096</v>
      </c>
      <c r="BD13" s="107">
        <f t="shared" si="84"/>
        <v>24228.047052716054</v>
      </c>
      <c r="BE13" s="107">
        <f t="shared" si="84"/>
        <v>23580.616269336759</v>
      </c>
      <c r="BF13" s="109">
        <f>+BE13</f>
        <v>23580.616269336759</v>
      </c>
      <c r="BG13" s="110">
        <f t="shared" ref="BG13:BR13" si="85">+BF13+BG12</f>
        <v>25593.899328216055</v>
      </c>
      <c r="BH13" s="107">
        <f t="shared" si="85"/>
        <v>18090.285402314472</v>
      </c>
      <c r="BI13" s="107">
        <f t="shared" si="85"/>
        <v>13932.100656658087</v>
      </c>
      <c r="BJ13" s="107">
        <f t="shared" si="85"/>
        <v>19697.663598613071</v>
      </c>
      <c r="BK13" s="107">
        <f t="shared" si="85"/>
        <v>16820.885472113438</v>
      </c>
      <c r="BL13" s="107">
        <f t="shared" si="85"/>
        <v>15925.90309772993</v>
      </c>
      <c r="BM13" s="107">
        <f t="shared" si="85"/>
        <v>19628.469239136324</v>
      </c>
      <c r="BN13" s="107">
        <f t="shared" si="85"/>
        <v>20095.455917554442</v>
      </c>
      <c r="BO13" s="107">
        <f t="shared" si="85"/>
        <v>14320.414195530891</v>
      </c>
      <c r="BP13" s="107">
        <f t="shared" si="85"/>
        <v>11384.405468058012</v>
      </c>
      <c r="BQ13" s="107">
        <f t="shared" si="85"/>
        <v>14421.656768708079</v>
      </c>
      <c r="BR13" s="107">
        <f t="shared" si="85"/>
        <v>20263.368511071676</v>
      </c>
      <c r="BS13" s="109">
        <f>+BR13</f>
        <v>20263.368511071676</v>
      </c>
      <c r="BT13" s="110">
        <f t="shared" ref="BT13:CE13" si="86">+BS13+BT12</f>
        <v>25979.127304174668</v>
      </c>
      <c r="BU13" s="107">
        <f t="shared" si="86"/>
        <v>29009.425752181727</v>
      </c>
      <c r="BV13" s="107">
        <f t="shared" si="86"/>
        <v>26607.26603062202</v>
      </c>
      <c r="BW13" s="107">
        <f t="shared" si="86"/>
        <v>24102.804980584315</v>
      </c>
      <c r="BX13" s="107">
        <f t="shared" si="86"/>
        <v>25078.855817166419</v>
      </c>
      <c r="BY13" s="107">
        <f t="shared" si="86"/>
        <v>18943.772880004857</v>
      </c>
      <c r="BZ13" s="107">
        <f t="shared" si="86"/>
        <v>49374.505646370002</v>
      </c>
      <c r="CA13" s="107">
        <f t="shared" si="86"/>
        <v>38772.448374744097</v>
      </c>
      <c r="CB13" s="107">
        <f t="shared" si="86"/>
        <v>40168.660846926781</v>
      </c>
      <c r="CC13" s="107">
        <f t="shared" si="86"/>
        <v>38273.813598335459</v>
      </c>
      <c r="CD13" s="107">
        <f t="shared" si="86"/>
        <v>39757.283221109581</v>
      </c>
      <c r="CE13" s="107">
        <f t="shared" si="86"/>
        <v>41913.09766039651</v>
      </c>
      <c r="CF13" s="109">
        <f>+CE13</f>
        <v>41913.09766039651</v>
      </c>
      <c r="CG13" s="110">
        <f t="shared" ref="CG13:CR13" si="87">+CF13+CG12</f>
        <v>43512.469731937876</v>
      </c>
      <c r="CH13" s="107">
        <f t="shared" si="87"/>
        <v>38361.236899753654</v>
      </c>
      <c r="CI13" s="107">
        <f t="shared" si="87"/>
        <v>38502.593035688245</v>
      </c>
      <c r="CJ13" s="107">
        <f t="shared" si="87"/>
        <v>40160.706355350849</v>
      </c>
      <c r="CK13" s="107">
        <f t="shared" si="87"/>
        <v>42088.550001147058</v>
      </c>
      <c r="CL13" s="107">
        <f t="shared" si="87"/>
        <v>34073.880676838278</v>
      </c>
      <c r="CM13" s="107">
        <f t="shared" si="87"/>
        <v>36003.108473759858</v>
      </c>
      <c r="CN13" s="107">
        <f t="shared" si="87"/>
        <v>37781.993983808592</v>
      </c>
      <c r="CO13" s="107">
        <f t="shared" si="87"/>
        <v>39717.76351057276</v>
      </c>
      <c r="CP13" s="107">
        <f t="shared" si="87"/>
        <v>34517.082613178965</v>
      </c>
      <c r="CQ13" s="107">
        <f t="shared" si="87"/>
        <v>35530.235653872289</v>
      </c>
      <c r="CR13" s="107">
        <f t="shared" si="87"/>
        <v>37161.274172487945</v>
      </c>
      <c r="CS13" s="109">
        <f>+CR13</f>
        <v>37161.274172487945</v>
      </c>
      <c r="CT13" s="110">
        <f t="shared" ref="CT13:DE13" si="88">+CS13+CT12</f>
        <v>38038.803277560459</v>
      </c>
      <c r="CU13" s="107">
        <f t="shared" si="88"/>
        <v>38815.079782490749</v>
      </c>
      <c r="CV13" s="107">
        <f t="shared" si="88"/>
        <v>39100.04229043152</v>
      </c>
      <c r="CW13" s="107">
        <f t="shared" si="88"/>
        <v>104294.69810714995</v>
      </c>
      <c r="CX13" s="107">
        <f t="shared" si="88"/>
        <v>105374.77239956315</v>
      </c>
      <c r="CY13" s="107">
        <f t="shared" si="88"/>
        <v>106624.11777703352</v>
      </c>
      <c r="CZ13" s="107">
        <f t="shared" si="88"/>
        <v>112349.47213783763</v>
      </c>
      <c r="DA13" s="107">
        <f t="shared" si="88"/>
        <v>112975.05676316467</v>
      </c>
      <c r="DB13" s="107">
        <f t="shared" si="88"/>
        <v>113733.60975803858</v>
      </c>
      <c r="DC13" s="107">
        <f t="shared" si="88"/>
        <v>113926.33311305207</v>
      </c>
      <c r="DD13" s="107">
        <f t="shared" si="88"/>
        <v>114462.0674497477</v>
      </c>
      <c r="DE13" s="107">
        <f t="shared" si="88"/>
        <v>121384.65334414403</v>
      </c>
      <c r="DF13" s="109">
        <f>+DE13</f>
        <v>121384.65334414403</v>
      </c>
      <c r="DG13" s="107">
        <f>+BS13+DG12</f>
        <v>85657.8749427086</v>
      </c>
      <c r="DH13" s="111"/>
      <c r="DI13" s="111"/>
      <c r="DJ13" s="111"/>
    </row>
    <row r="14" spans="1:117" ht="6" customHeight="1">
      <c r="AS14" s="404"/>
      <c r="DH14" s="120"/>
      <c r="DI14" s="120"/>
      <c r="DJ14" s="120"/>
    </row>
    <row r="15" spans="1:117" s="65" customFormat="1" ht="15" customHeight="1" outlineLevel="1">
      <c r="A15" s="562" t="s">
        <v>4</v>
      </c>
      <c r="B15" s="563"/>
      <c r="C15" s="121" t="s">
        <v>51</v>
      </c>
      <c r="D15" s="228"/>
      <c r="E15" s="122" t="s">
        <v>66</v>
      </c>
      <c r="F15" s="122" t="s">
        <v>61</v>
      </c>
      <c r="G15" s="123">
        <v>44927</v>
      </c>
      <c r="H15" s="77">
        <v>44958</v>
      </c>
      <c r="I15" s="77">
        <v>44986</v>
      </c>
      <c r="J15" s="77">
        <v>45017</v>
      </c>
      <c r="K15" s="77">
        <v>45047</v>
      </c>
      <c r="L15" s="77">
        <v>45078</v>
      </c>
      <c r="M15" s="77">
        <v>45108</v>
      </c>
      <c r="N15" s="77">
        <v>45139</v>
      </c>
      <c r="O15" s="77">
        <v>45170</v>
      </c>
      <c r="P15" s="77">
        <v>45200</v>
      </c>
      <c r="Q15" s="77">
        <v>45231</v>
      </c>
      <c r="R15" s="78">
        <v>45261</v>
      </c>
      <c r="S15" s="124" t="s">
        <v>67</v>
      </c>
      <c r="T15" s="80">
        <v>45292</v>
      </c>
      <c r="U15" s="81">
        <v>45323</v>
      </c>
      <c r="V15" s="81">
        <v>45352</v>
      </c>
      <c r="W15" s="81">
        <v>45383</v>
      </c>
      <c r="X15" s="81">
        <v>45413</v>
      </c>
      <c r="Y15" s="81">
        <v>45444</v>
      </c>
      <c r="Z15" s="81">
        <v>45474</v>
      </c>
      <c r="AA15" s="81">
        <v>45505</v>
      </c>
      <c r="AB15" s="81">
        <v>45536</v>
      </c>
      <c r="AC15" s="81">
        <v>45566</v>
      </c>
      <c r="AD15" s="81">
        <v>45597</v>
      </c>
      <c r="AE15" s="78">
        <v>45627</v>
      </c>
      <c r="AF15" s="124" t="s">
        <v>68</v>
      </c>
      <c r="AG15" s="123">
        <v>45658</v>
      </c>
      <c r="AH15" s="81">
        <v>45689</v>
      </c>
      <c r="AI15" s="81">
        <v>45717</v>
      </c>
      <c r="AJ15" s="81">
        <v>45748</v>
      </c>
      <c r="AK15" s="81">
        <v>45778</v>
      </c>
      <c r="AL15" s="81">
        <v>45809</v>
      </c>
      <c r="AM15" s="81">
        <v>45839</v>
      </c>
      <c r="AN15" s="81">
        <v>45870</v>
      </c>
      <c r="AO15" s="81">
        <v>45901</v>
      </c>
      <c r="AP15" s="81">
        <v>45931</v>
      </c>
      <c r="AQ15" s="81">
        <v>45962</v>
      </c>
      <c r="AR15" s="78">
        <v>45992</v>
      </c>
      <c r="AS15" s="405" t="s">
        <v>69</v>
      </c>
      <c r="AT15" s="80">
        <v>46023</v>
      </c>
      <c r="AU15" s="81">
        <v>46054</v>
      </c>
      <c r="AV15" s="81">
        <v>46082</v>
      </c>
      <c r="AW15" s="81">
        <v>46113</v>
      </c>
      <c r="AX15" s="81">
        <v>46143</v>
      </c>
      <c r="AY15" s="81">
        <v>46174</v>
      </c>
      <c r="AZ15" s="81">
        <v>46204</v>
      </c>
      <c r="BA15" s="81">
        <v>46235</v>
      </c>
      <c r="BB15" s="81">
        <v>46266</v>
      </c>
      <c r="BC15" s="81">
        <v>46296</v>
      </c>
      <c r="BD15" s="81">
        <v>46327</v>
      </c>
      <c r="BE15" s="78">
        <v>46357</v>
      </c>
      <c r="BF15" s="124" t="s">
        <v>70</v>
      </c>
      <c r="BG15" s="80">
        <v>46388</v>
      </c>
      <c r="BH15" s="81">
        <v>46419</v>
      </c>
      <c r="BI15" s="80">
        <v>46447</v>
      </c>
      <c r="BJ15" s="81">
        <v>46478</v>
      </c>
      <c r="BK15" s="80">
        <v>46508</v>
      </c>
      <c r="BL15" s="81">
        <v>46539</v>
      </c>
      <c r="BM15" s="80">
        <v>46569</v>
      </c>
      <c r="BN15" s="81">
        <v>46600</v>
      </c>
      <c r="BO15" s="80">
        <v>46631</v>
      </c>
      <c r="BP15" s="81">
        <v>46661</v>
      </c>
      <c r="BQ15" s="80">
        <v>46692</v>
      </c>
      <c r="BR15" s="81">
        <v>46722</v>
      </c>
      <c r="BS15" s="124" t="s">
        <v>116</v>
      </c>
      <c r="BT15" s="80">
        <v>46753</v>
      </c>
      <c r="BU15" s="81">
        <v>46784</v>
      </c>
      <c r="BV15" s="80">
        <v>46813</v>
      </c>
      <c r="BW15" s="81">
        <v>46844</v>
      </c>
      <c r="BX15" s="80">
        <v>46874</v>
      </c>
      <c r="BY15" s="81">
        <v>46905</v>
      </c>
      <c r="BZ15" s="80">
        <v>46935</v>
      </c>
      <c r="CA15" s="81">
        <v>46966</v>
      </c>
      <c r="CB15" s="80">
        <v>46997</v>
      </c>
      <c r="CC15" s="81">
        <v>47027</v>
      </c>
      <c r="CD15" s="80">
        <v>47058</v>
      </c>
      <c r="CE15" s="81">
        <v>47088</v>
      </c>
      <c r="CF15" s="124" t="s">
        <v>213</v>
      </c>
      <c r="CG15" s="80">
        <v>47119</v>
      </c>
      <c r="CH15" s="81">
        <v>47150</v>
      </c>
      <c r="CI15" s="80">
        <v>47178</v>
      </c>
      <c r="CJ15" s="81">
        <v>47209</v>
      </c>
      <c r="CK15" s="80">
        <v>47239</v>
      </c>
      <c r="CL15" s="81">
        <v>47270</v>
      </c>
      <c r="CM15" s="80">
        <v>47300</v>
      </c>
      <c r="CN15" s="81">
        <v>47331</v>
      </c>
      <c r="CO15" s="80">
        <v>47362</v>
      </c>
      <c r="CP15" s="81">
        <v>47392</v>
      </c>
      <c r="CQ15" s="80">
        <v>47423</v>
      </c>
      <c r="CR15" s="81">
        <v>47453</v>
      </c>
      <c r="CS15" s="124" t="s">
        <v>214</v>
      </c>
      <c r="CT15" s="80">
        <v>47484</v>
      </c>
      <c r="CU15" s="81">
        <v>47515</v>
      </c>
      <c r="CV15" s="80">
        <v>47543</v>
      </c>
      <c r="CW15" s="81">
        <v>47574</v>
      </c>
      <c r="CX15" s="80">
        <v>47604</v>
      </c>
      <c r="CY15" s="81">
        <v>47635</v>
      </c>
      <c r="CZ15" s="80">
        <v>47665</v>
      </c>
      <c r="DA15" s="81">
        <v>47696</v>
      </c>
      <c r="DB15" s="80">
        <v>47727</v>
      </c>
      <c r="DC15" s="81">
        <v>47757</v>
      </c>
      <c r="DD15" s="80">
        <v>47788</v>
      </c>
      <c r="DE15" s="81">
        <v>47818</v>
      </c>
      <c r="DF15" s="124" t="s">
        <v>347</v>
      </c>
      <c r="DG15" s="277" t="s">
        <v>348</v>
      </c>
      <c r="DH15" s="125" t="s">
        <v>75</v>
      </c>
      <c r="DI15" s="126" t="s">
        <v>74</v>
      </c>
      <c r="DJ15" s="127" t="s">
        <v>76</v>
      </c>
    </row>
    <row r="16" spans="1:117" ht="15" customHeight="1" outlineLevel="1">
      <c r="A16" s="601" t="s">
        <v>181</v>
      </c>
      <c r="B16" s="593" t="s">
        <v>209</v>
      </c>
      <c r="C16" s="246" t="s">
        <v>185</v>
      </c>
      <c r="D16" s="183" t="s">
        <v>122</v>
      </c>
      <c r="E16" s="153">
        <f>AF16+AS16+BF16+BS16+CF16+CS16+DF16+S16+DG16</f>
        <v>38942.575236565914</v>
      </c>
      <c r="F16" s="153"/>
      <c r="G16" s="154">
        <v>561.48783572656919</v>
      </c>
      <c r="H16" s="155">
        <v>579.77475860899074</v>
      </c>
      <c r="I16" s="155">
        <v>725.61530115979383</v>
      </c>
      <c r="J16" s="155">
        <v>690.1574975504941</v>
      </c>
      <c r="K16" s="155">
        <v>607.67523871244634</v>
      </c>
      <c r="L16" s="155">
        <v>811.6274367599915</v>
      </c>
      <c r="M16" s="155">
        <v>907.1002998935943</v>
      </c>
      <c r="N16" s="155">
        <v>388.15004468174203</v>
      </c>
      <c r="O16" s="155">
        <v>499.1107967634855</v>
      </c>
      <c r="P16" s="155">
        <v>536.08242523594583</v>
      </c>
      <c r="Q16" s="155">
        <v>860.17214470294971</v>
      </c>
      <c r="R16" s="156">
        <v>751.11863422037413</v>
      </c>
      <c r="S16" s="157">
        <f t="shared" ref="S16:S42" si="89">SUM(G16:R16)</f>
        <v>7918.0724140163766</v>
      </c>
      <c r="T16" s="378">
        <v>982.86467307612952</v>
      </c>
      <c r="U16" s="379">
        <v>457.49880568274733</v>
      </c>
      <c r="V16" s="379">
        <v>177.80271397238019</v>
      </c>
      <c r="W16" s="379">
        <v>530.23916892671093</v>
      </c>
      <c r="X16" s="379">
        <v>373.60968312594122</v>
      </c>
      <c r="Y16" s="379">
        <v>536.66353465699683</v>
      </c>
      <c r="Z16" s="379">
        <v>828.74842111974499</v>
      </c>
      <c r="AA16" s="379">
        <v>675.72022677551672</v>
      </c>
      <c r="AB16" s="379">
        <v>411.20594727649376</v>
      </c>
      <c r="AC16" s="379">
        <v>546.91510898018896</v>
      </c>
      <c r="AD16" s="379">
        <v>1596.7110920025239</v>
      </c>
      <c r="AE16" s="480">
        <v>1527.4755917886721</v>
      </c>
      <c r="AF16" s="132">
        <f t="shared" ref="AF16:AF60" si="90">SUM(T16:AE16)</f>
        <v>8645.4549673840465</v>
      </c>
      <c r="AG16" s="496">
        <v>2174.7251515018725</v>
      </c>
      <c r="AH16" s="510"/>
      <c r="AI16" s="510"/>
      <c r="AJ16" s="510"/>
      <c r="AK16" s="510"/>
      <c r="AL16" s="510"/>
      <c r="AM16" s="510">
        <v>970.28216616394946</v>
      </c>
      <c r="AN16" s="510">
        <v>76.667537558240852</v>
      </c>
      <c r="AO16" s="510">
        <v>106.96877873291173</v>
      </c>
      <c r="AP16" s="510">
        <v>251.64289303227278</v>
      </c>
      <c r="AQ16" s="510">
        <v>167.52072629106203</v>
      </c>
      <c r="AR16" s="515">
        <v>500.05992910958901</v>
      </c>
      <c r="AS16" s="406">
        <f t="shared" ref="AS16:AS24" si="91">SUM(AG16:AR16)</f>
        <v>4247.8671823898985</v>
      </c>
      <c r="AT16" s="516">
        <v>2425.09515946601</v>
      </c>
      <c r="AU16" s="510">
        <v>448.10933679570718</v>
      </c>
      <c r="AV16" s="510">
        <v>361.0269423499962</v>
      </c>
      <c r="AW16" s="510">
        <v>413.045823627603</v>
      </c>
      <c r="AX16" s="541"/>
      <c r="AY16" s="541"/>
      <c r="AZ16" s="541"/>
      <c r="BA16" s="130">
        <v>323.29100956842484</v>
      </c>
      <c r="BB16" s="130">
        <v>365.62728582626727</v>
      </c>
      <c r="BC16" s="130">
        <v>548.25023712551013</v>
      </c>
      <c r="BD16" s="130">
        <v>761.85940591870428</v>
      </c>
      <c r="BE16" s="131">
        <v>409.44359734198781</v>
      </c>
      <c r="BF16" s="132">
        <f t="shared" ref="BF16:BF24" si="92">SUM(AT16:BE16)</f>
        <v>6055.7487980202113</v>
      </c>
      <c r="BG16" s="133">
        <v>773.05089628180053</v>
      </c>
      <c r="BH16" s="130">
        <v>594.71225048923691</v>
      </c>
      <c r="BI16" s="130">
        <v>176.70363992172213</v>
      </c>
      <c r="BJ16" s="130">
        <v>836.01722113502933</v>
      </c>
      <c r="BK16" s="130">
        <v>925.31906066536214</v>
      </c>
      <c r="BL16" s="130">
        <v>874.01800391389429</v>
      </c>
      <c r="BM16" s="539">
        <f>783+1576+157.6</f>
        <v>2516.6</v>
      </c>
      <c r="BN16" s="130">
        <v>853.11757338551865</v>
      </c>
      <c r="BO16" s="130">
        <v>653.6134637964775</v>
      </c>
      <c r="BP16" s="130">
        <v>1005.1207045009785</v>
      </c>
      <c r="BQ16" s="130">
        <v>1012.7208610567515</v>
      </c>
      <c r="BR16" s="131">
        <v>741.77527984344442</v>
      </c>
      <c r="BS16" s="132">
        <f t="shared" ref="BS16:BS24" si="93">SUM(BG16:BR16)</f>
        <v>10962.768954990217</v>
      </c>
      <c r="BT16" s="133">
        <v>1112.6629197651664</v>
      </c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1"/>
      <c r="CF16" s="132">
        <f>SUM(BT16:CE16)</f>
        <v>1112.6629197651664</v>
      </c>
      <c r="CG16" s="133"/>
      <c r="CH16" s="130"/>
      <c r="CI16" s="130"/>
      <c r="CJ16" s="130"/>
      <c r="CK16" s="130"/>
      <c r="CL16" s="130"/>
      <c r="CM16" s="130"/>
      <c r="CN16" s="130"/>
      <c r="CO16" s="130"/>
      <c r="CP16" s="130"/>
      <c r="CQ16" s="130"/>
      <c r="CR16" s="131"/>
      <c r="CS16" s="132">
        <f>SUM(CG16:CR16)</f>
        <v>0</v>
      </c>
      <c r="CT16" s="133"/>
      <c r="CU16" s="130"/>
      <c r="CV16" s="130"/>
      <c r="CW16" s="130"/>
      <c r="CX16" s="130"/>
      <c r="CY16" s="130"/>
      <c r="CZ16" s="130"/>
      <c r="DA16" s="130"/>
      <c r="DB16" s="130"/>
      <c r="DC16" s="130"/>
      <c r="DD16" s="130"/>
      <c r="DE16" s="131"/>
      <c r="DF16" s="132">
        <f>SUM(CT16:DE16)</f>
        <v>0</v>
      </c>
      <c r="DG16" s="278"/>
      <c r="DH16" s="90">
        <f t="shared" ref="DH16:DH24" si="94">+F16+S16+AF16+AS16+BF16+BS16+DG16</f>
        <v>37829.91231680075</v>
      </c>
      <c r="DI16" s="91">
        <f t="shared" ref="DI16:DI24" si="95">+E16</f>
        <v>38942.575236565914</v>
      </c>
      <c r="DJ16" s="92">
        <f t="shared" ref="DJ16:DJ24" si="96">+DI16-DH16</f>
        <v>1112.6629197651637</v>
      </c>
      <c r="DM16" s="134">
        <f>AS16+BF16+BS16+CF16+CS16+DG16+DF16+S16+AF16+DO16</f>
        <v>38942.575236565914</v>
      </c>
    </row>
    <row r="17" spans="1:118" ht="15" customHeight="1" outlineLevel="1">
      <c r="A17" s="607"/>
      <c r="B17" s="548"/>
      <c r="C17" s="245" t="s">
        <v>189</v>
      </c>
      <c r="D17" s="184" t="s">
        <v>119</v>
      </c>
      <c r="E17" s="136">
        <f>AF17+AS17+BF17+BS17+CF17+CS17+DF17+S17+DG17</f>
        <v>32397.027189977613</v>
      </c>
      <c r="F17" s="136"/>
      <c r="G17" s="137">
        <v>452.81246057609633</v>
      </c>
      <c r="H17" s="138">
        <v>460.59095983884646</v>
      </c>
      <c r="I17" s="138">
        <v>603.28428921821308</v>
      </c>
      <c r="J17" s="138">
        <v>549.24509088955733</v>
      </c>
      <c r="K17" s="138">
        <v>512.96447386266095</v>
      </c>
      <c r="L17" s="138">
        <v>673.2195201111349</v>
      </c>
      <c r="M17" s="138">
        <v>715.57458735901298</v>
      </c>
      <c r="N17" s="138">
        <v>330.66627064489114</v>
      </c>
      <c r="O17" s="138">
        <v>403.77169626556019</v>
      </c>
      <c r="P17" s="138">
        <v>434.08113385309809</v>
      </c>
      <c r="Q17" s="138">
        <v>699.91568167843786</v>
      </c>
      <c r="R17" s="139">
        <v>612.29193047817057</v>
      </c>
      <c r="S17" s="162">
        <f t="shared" si="89"/>
        <v>6448.4180947756813</v>
      </c>
      <c r="T17" s="380">
        <v>820.18978786878483</v>
      </c>
      <c r="U17" s="381">
        <v>361.8373374897792</v>
      </c>
      <c r="V17" s="381">
        <v>159.07508009748173</v>
      </c>
      <c r="W17" s="381">
        <v>452.929075038772</v>
      </c>
      <c r="X17" s="381">
        <v>344.90677427280656</v>
      </c>
      <c r="Y17" s="381">
        <v>460.44005405619623</v>
      </c>
      <c r="Z17" s="381">
        <v>682.51855373580395</v>
      </c>
      <c r="AA17" s="381">
        <v>555.8047981581276</v>
      </c>
      <c r="AB17" s="381">
        <v>346.02511897315082</v>
      </c>
      <c r="AC17" s="381">
        <v>459.0767388192495</v>
      </c>
      <c r="AD17" s="381">
        <v>71.928594605252783</v>
      </c>
      <c r="AE17" s="392">
        <v>2398.6684495427248</v>
      </c>
      <c r="AF17" s="140">
        <f t="shared" si="90"/>
        <v>7113.4003626581307</v>
      </c>
      <c r="AG17" s="497">
        <v>1784.7044621544101</v>
      </c>
      <c r="AH17" s="499">
        <v>84.152742801175322</v>
      </c>
      <c r="AI17" s="499">
        <v>66.625462079474858</v>
      </c>
      <c r="AJ17" s="499">
        <v>62.357000499750121</v>
      </c>
      <c r="AK17" s="499">
        <v>65.54998846819143</v>
      </c>
      <c r="AL17" s="499">
        <v>57.212720452367257</v>
      </c>
      <c r="AM17" s="499">
        <v>60.524601618876716</v>
      </c>
      <c r="AN17" s="499">
        <v>48.523882495549074</v>
      </c>
      <c r="AO17" s="499">
        <v>612.69797178778356</v>
      </c>
      <c r="AP17" s="499">
        <v>410.07276827460367</v>
      </c>
      <c r="AQ17" s="499">
        <v>134.48265718182853</v>
      </c>
      <c r="AR17" s="511">
        <v>414.07941963470319</v>
      </c>
      <c r="AS17" s="407">
        <f t="shared" si="91"/>
        <v>3800.9836774487135</v>
      </c>
      <c r="AT17" s="501">
        <v>1941.364670295849</v>
      </c>
      <c r="AU17" s="499">
        <v>72.411383863549247</v>
      </c>
      <c r="AV17" s="499">
        <v>549.98652541151478</v>
      </c>
      <c r="AW17" s="499">
        <v>332.41414234227398</v>
      </c>
      <c r="AX17" s="499">
        <v>295.30542924976254</v>
      </c>
      <c r="AY17" s="499">
        <v>319.04264926819997</v>
      </c>
      <c r="AZ17" s="138">
        <f>495.550374766661-76</f>
        <v>419.55037476666098</v>
      </c>
      <c r="BA17" s="138">
        <v>281.42482382931388</v>
      </c>
      <c r="BB17" s="138">
        <v>318.27855231176562</v>
      </c>
      <c r="BC17" s="138">
        <v>477.25183141775665</v>
      </c>
      <c r="BD17" s="138">
        <v>663.19861285223215</v>
      </c>
      <c r="BE17" s="139">
        <v>356.42065148620043</v>
      </c>
      <c r="BF17" s="140">
        <f t="shared" si="92"/>
        <v>6026.6496470950797</v>
      </c>
      <c r="BG17" s="141">
        <v>673.32733066144817</v>
      </c>
      <c r="BH17" s="138">
        <v>517.99437017612524</v>
      </c>
      <c r="BI17" s="138">
        <v>153.90887037181994</v>
      </c>
      <c r="BJ17" s="138">
        <v>728.1709996086106</v>
      </c>
      <c r="BK17" s="138">
        <v>805.95290183953045</v>
      </c>
      <c r="BL17" s="138">
        <v>761.26968140900192</v>
      </c>
      <c r="BM17" s="138">
        <v>681.83284508806264</v>
      </c>
      <c r="BN17" s="138">
        <v>743.06540641878678</v>
      </c>
      <c r="BO17" s="138">
        <v>569.29732696673182</v>
      </c>
      <c r="BP17" s="138">
        <v>875.46013362035217</v>
      </c>
      <c r="BQ17" s="138">
        <v>882.07986998043054</v>
      </c>
      <c r="BR17" s="139">
        <v>646.08626874363983</v>
      </c>
      <c r="BS17" s="140">
        <f t="shared" si="93"/>
        <v>8038.4460048845413</v>
      </c>
      <c r="BT17" s="141">
        <v>969.12940311545981</v>
      </c>
      <c r="BU17" s="138"/>
      <c r="BV17" s="138"/>
      <c r="BW17" s="138"/>
      <c r="BX17" s="138"/>
      <c r="BY17" s="138"/>
      <c r="BZ17" s="138"/>
      <c r="CA17" s="138"/>
      <c r="CB17" s="138"/>
      <c r="CC17" s="138"/>
      <c r="CD17" s="138"/>
      <c r="CE17" s="139"/>
      <c r="CF17" s="140">
        <f t="shared" ref="CF17:CF105" si="97">SUM(BT17:CE17)</f>
        <v>969.12940311545981</v>
      </c>
      <c r="CG17" s="141"/>
      <c r="CH17" s="138"/>
      <c r="CI17" s="138"/>
      <c r="CJ17" s="138"/>
      <c r="CK17" s="138"/>
      <c r="CL17" s="138"/>
      <c r="CM17" s="138"/>
      <c r="CN17" s="138"/>
      <c r="CO17" s="138"/>
      <c r="CP17" s="138"/>
      <c r="CQ17" s="138"/>
      <c r="CR17" s="139"/>
      <c r="CS17" s="140">
        <f t="shared" ref="CS17:CS105" si="98">SUM(CG17:CR17)</f>
        <v>0</v>
      </c>
      <c r="CT17" s="141"/>
      <c r="CU17" s="138"/>
      <c r="CV17" s="138"/>
      <c r="CW17" s="138"/>
      <c r="CX17" s="138"/>
      <c r="CY17" s="138"/>
      <c r="CZ17" s="138"/>
      <c r="DA17" s="138"/>
      <c r="DB17" s="138"/>
      <c r="DC17" s="138"/>
      <c r="DD17" s="138"/>
      <c r="DE17" s="139"/>
      <c r="DF17" s="140">
        <f t="shared" ref="DF17:DF105" si="99">SUM(CT17:DE17)</f>
        <v>0</v>
      </c>
      <c r="DG17" s="279"/>
      <c r="DH17" s="90">
        <f t="shared" si="94"/>
        <v>31427.897786862144</v>
      </c>
      <c r="DI17" s="91">
        <f t="shared" si="95"/>
        <v>32397.027189977613</v>
      </c>
      <c r="DJ17" s="92">
        <f t="shared" si="96"/>
        <v>969.12940311546845</v>
      </c>
      <c r="DK17" s="64">
        <f>+DH17/DH16</f>
        <v>0.83076845443558189</v>
      </c>
      <c r="DM17" s="134">
        <f>AS17+BF17+BS17+CF17+CS17+DG17+DF17+S17+AF17+DO17</f>
        <v>32397.027189977613</v>
      </c>
      <c r="DN17" s="533">
        <f>DM17/DM16</f>
        <v>0.83191794567190747</v>
      </c>
    </row>
    <row r="18" spans="1:118" ht="15" customHeight="1" outlineLevel="1">
      <c r="A18" s="607"/>
      <c r="B18" s="549"/>
      <c r="C18" s="554" t="s">
        <v>11</v>
      </c>
      <c r="D18" s="555"/>
      <c r="E18" s="143">
        <f t="shared" ref="E18:R18" si="100">+E16-E17</f>
        <v>6545.5480465883011</v>
      </c>
      <c r="F18" s="144">
        <f t="shared" si="100"/>
        <v>0</v>
      </c>
      <c r="G18" s="145">
        <f t="shared" si="100"/>
        <v>108.67537515047286</v>
      </c>
      <c r="H18" s="145">
        <f t="shared" si="100"/>
        <v>119.18379877014428</v>
      </c>
      <c r="I18" s="145">
        <f t="shared" si="100"/>
        <v>122.33101194158075</v>
      </c>
      <c r="J18" s="145">
        <f t="shared" si="100"/>
        <v>140.91240666093677</v>
      </c>
      <c r="K18" s="145">
        <f t="shared" si="100"/>
        <v>94.710764849785392</v>
      </c>
      <c r="L18" s="145">
        <f t="shared" si="100"/>
        <v>138.4079166488566</v>
      </c>
      <c r="M18" s="145">
        <f t="shared" si="100"/>
        <v>191.52571253458132</v>
      </c>
      <c r="N18" s="145">
        <f t="shared" si="100"/>
        <v>57.483774036850889</v>
      </c>
      <c r="O18" s="145">
        <f t="shared" si="100"/>
        <v>95.339100497925301</v>
      </c>
      <c r="P18" s="145">
        <f t="shared" si="100"/>
        <v>102.00129138284774</v>
      </c>
      <c r="Q18" s="145">
        <f t="shared" si="100"/>
        <v>160.25646302451185</v>
      </c>
      <c r="R18" s="146">
        <f t="shared" si="100"/>
        <v>138.82670374220356</v>
      </c>
      <c r="S18" s="147">
        <f t="shared" si="89"/>
        <v>1469.6543192406973</v>
      </c>
      <c r="T18" s="148">
        <f t="shared" ref="T18:AE18" si="101">+T16-T17</f>
        <v>162.67488520734469</v>
      </c>
      <c r="U18" s="145">
        <f t="shared" si="101"/>
        <v>95.66146819296813</v>
      </c>
      <c r="V18" s="145">
        <f t="shared" si="101"/>
        <v>18.727633874898459</v>
      </c>
      <c r="W18" s="145">
        <f t="shared" si="101"/>
        <v>77.310093887938933</v>
      </c>
      <c r="X18" s="145">
        <f t="shared" si="101"/>
        <v>28.702908853134659</v>
      </c>
      <c r="Y18" s="145">
        <f t="shared" si="101"/>
        <v>76.223480600800599</v>
      </c>
      <c r="Z18" s="145">
        <f t="shared" si="101"/>
        <v>146.22986738394104</v>
      </c>
      <c r="AA18" s="145">
        <f t="shared" si="101"/>
        <v>119.91542861738913</v>
      </c>
      <c r="AB18" s="145">
        <f t="shared" si="101"/>
        <v>65.180828303342935</v>
      </c>
      <c r="AC18" s="145">
        <f t="shared" si="101"/>
        <v>87.838370160939462</v>
      </c>
      <c r="AD18" s="145">
        <f t="shared" si="101"/>
        <v>1524.7824973972711</v>
      </c>
      <c r="AE18" s="146">
        <f t="shared" si="101"/>
        <v>-871.19285775405274</v>
      </c>
      <c r="AF18" s="147">
        <f t="shared" si="90"/>
        <v>1532.0546047259165</v>
      </c>
      <c r="AG18" s="148">
        <f t="shared" ref="AG18:AR18" si="102">+AG16-AG17</f>
        <v>390.02068934746239</v>
      </c>
      <c r="AH18" s="145">
        <f t="shared" si="102"/>
        <v>-84.152742801175322</v>
      </c>
      <c r="AI18" s="145">
        <f t="shared" si="102"/>
        <v>-66.625462079474858</v>
      </c>
      <c r="AJ18" s="145">
        <f t="shared" si="102"/>
        <v>-62.357000499750121</v>
      </c>
      <c r="AK18" s="145">
        <f t="shared" si="102"/>
        <v>-65.54998846819143</v>
      </c>
      <c r="AL18" s="145">
        <f t="shared" si="102"/>
        <v>-57.212720452367257</v>
      </c>
      <c r="AM18" s="145">
        <f t="shared" si="102"/>
        <v>909.75756454507268</v>
      </c>
      <c r="AN18" s="145">
        <f t="shared" si="102"/>
        <v>28.143655062691778</v>
      </c>
      <c r="AO18" s="145">
        <f t="shared" si="102"/>
        <v>-505.72919305487181</v>
      </c>
      <c r="AP18" s="145">
        <f t="shared" si="102"/>
        <v>-158.42987524233089</v>
      </c>
      <c r="AQ18" s="145">
        <f t="shared" si="102"/>
        <v>33.038069109233504</v>
      </c>
      <c r="AR18" s="146">
        <f t="shared" si="102"/>
        <v>85.980509474885821</v>
      </c>
      <c r="AS18" s="408">
        <f t="shared" si="91"/>
        <v>446.88350494118453</v>
      </c>
      <c r="AT18" s="148">
        <f t="shared" ref="AT18:BE18" si="103">+AT16-AT17</f>
        <v>483.73048917016104</v>
      </c>
      <c r="AU18" s="145">
        <f t="shared" si="103"/>
        <v>375.69795293215793</v>
      </c>
      <c r="AV18" s="145">
        <f t="shared" si="103"/>
        <v>-188.95958306151857</v>
      </c>
      <c r="AW18" s="145">
        <f t="shared" si="103"/>
        <v>80.631681285329023</v>
      </c>
      <c r="AX18" s="145">
        <f t="shared" si="103"/>
        <v>-295.30542924976254</v>
      </c>
      <c r="AY18" s="145">
        <f t="shared" si="103"/>
        <v>-319.04264926819997</v>
      </c>
      <c r="AZ18" s="145">
        <f t="shared" si="103"/>
        <v>-419.55037476666098</v>
      </c>
      <c r="BA18" s="145">
        <f t="shared" si="103"/>
        <v>41.866185739110961</v>
      </c>
      <c r="BB18" s="145">
        <f t="shared" si="103"/>
        <v>47.348733514501646</v>
      </c>
      <c r="BC18" s="145">
        <f t="shared" si="103"/>
        <v>70.998405707753477</v>
      </c>
      <c r="BD18" s="145">
        <f t="shared" si="103"/>
        <v>98.660793066472138</v>
      </c>
      <c r="BE18" s="146">
        <f t="shared" si="103"/>
        <v>53.022945855787384</v>
      </c>
      <c r="BF18" s="147">
        <f t="shared" si="92"/>
        <v>29.099150925131596</v>
      </c>
      <c r="BG18" s="148">
        <f t="shared" ref="BG18:BR18" si="104">+BG16-BG17</f>
        <v>99.72356562035236</v>
      </c>
      <c r="BH18" s="145">
        <f t="shared" si="104"/>
        <v>76.717880313111664</v>
      </c>
      <c r="BI18" s="145">
        <f t="shared" si="104"/>
        <v>22.794769549902185</v>
      </c>
      <c r="BJ18" s="145">
        <f t="shared" si="104"/>
        <v>107.84622152641873</v>
      </c>
      <c r="BK18" s="145">
        <f t="shared" si="104"/>
        <v>119.36615882583169</v>
      </c>
      <c r="BL18" s="145">
        <f t="shared" si="104"/>
        <v>112.74832250489237</v>
      </c>
      <c r="BM18" s="145">
        <f t="shared" si="104"/>
        <v>1834.7671549119373</v>
      </c>
      <c r="BN18" s="145">
        <f t="shared" si="104"/>
        <v>110.05216696673187</v>
      </c>
      <c r="BO18" s="145">
        <f t="shared" si="104"/>
        <v>84.316136829745687</v>
      </c>
      <c r="BP18" s="145">
        <f t="shared" si="104"/>
        <v>129.66057088062632</v>
      </c>
      <c r="BQ18" s="145">
        <f t="shared" si="104"/>
        <v>130.64099107632092</v>
      </c>
      <c r="BR18" s="146">
        <f t="shared" si="104"/>
        <v>95.689011099804588</v>
      </c>
      <c r="BS18" s="147">
        <f t="shared" si="93"/>
        <v>2924.3229501056758</v>
      </c>
      <c r="BT18" s="148">
        <f t="shared" ref="BT18:CE18" si="105">+BT16-BT17</f>
        <v>143.5335166497066</v>
      </c>
      <c r="BU18" s="145">
        <f t="shared" si="105"/>
        <v>0</v>
      </c>
      <c r="BV18" s="145">
        <f t="shared" si="105"/>
        <v>0</v>
      </c>
      <c r="BW18" s="145">
        <f t="shared" si="105"/>
        <v>0</v>
      </c>
      <c r="BX18" s="145">
        <f t="shared" si="105"/>
        <v>0</v>
      </c>
      <c r="BY18" s="145">
        <f t="shared" si="105"/>
        <v>0</v>
      </c>
      <c r="BZ18" s="145">
        <f t="shared" si="105"/>
        <v>0</v>
      </c>
      <c r="CA18" s="145">
        <f t="shared" si="105"/>
        <v>0</v>
      </c>
      <c r="CB18" s="145">
        <f t="shared" si="105"/>
        <v>0</v>
      </c>
      <c r="CC18" s="145">
        <f t="shared" si="105"/>
        <v>0</v>
      </c>
      <c r="CD18" s="145">
        <f t="shared" si="105"/>
        <v>0</v>
      </c>
      <c r="CE18" s="146">
        <f t="shared" si="105"/>
        <v>0</v>
      </c>
      <c r="CF18" s="147">
        <f t="shared" si="97"/>
        <v>143.5335166497066</v>
      </c>
      <c r="CG18" s="148">
        <f t="shared" ref="CG18:CR18" si="106">+CG16-CG17</f>
        <v>0</v>
      </c>
      <c r="CH18" s="145">
        <f t="shared" si="106"/>
        <v>0</v>
      </c>
      <c r="CI18" s="145">
        <f t="shared" si="106"/>
        <v>0</v>
      </c>
      <c r="CJ18" s="145">
        <f t="shared" si="106"/>
        <v>0</v>
      </c>
      <c r="CK18" s="145">
        <f t="shared" si="106"/>
        <v>0</v>
      </c>
      <c r="CL18" s="145">
        <f t="shared" si="106"/>
        <v>0</v>
      </c>
      <c r="CM18" s="145">
        <f t="shared" si="106"/>
        <v>0</v>
      </c>
      <c r="CN18" s="145">
        <f t="shared" si="106"/>
        <v>0</v>
      </c>
      <c r="CO18" s="145">
        <f t="shared" si="106"/>
        <v>0</v>
      </c>
      <c r="CP18" s="145">
        <f t="shared" si="106"/>
        <v>0</v>
      </c>
      <c r="CQ18" s="145">
        <f t="shared" si="106"/>
        <v>0</v>
      </c>
      <c r="CR18" s="146">
        <f t="shared" si="106"/>
        <v>0</v>
      </c>
      <c r="CS18" s="147">
        <f t="shared" si="98"/>
        <v>0</v>
      </c>
      <c r="CT18" s="148">
        <f t="shared" ref="CT18:DE18" si="107">+CT16-CT17</f>
        <v>0</v>
      </c>
      <c r="CU18" s="145">
        <f t="shared" si="107"/>
        <v>0</v>
      </c>
      <c r="CV18" s="145">
        <f t="shared" si="107"/>
        <v>0</v>
      </c>
      <c r="CW18" s="145">
        <f t="shared" si="107"/>
        <v>0</v>
      </c>
      <c r="CX18" s="145">
        <f t="shared" si="107"/>
        <v>0</v>
      </c>
      <c r="CY18" s="145">
        <f t="shared" si="107"/>
        <v>0</v>
      </c>
      <c r="CZ18" s="145">
        <f t="shared" si="107"/>
        <v>0</v>
      </c>
      <c r="DA18" s="145">
        <f t="shared" si="107"/>
        <v>0</v>
      </c>
      <c r="DB18" s="145">
        <f t="shared" si="107"/>
        <v>0</v>
      </c>
      <c r="DC18" s="145">
        <f t="shared" si="107"/>
        <v>0</v>
      </c>
      <c r="DD18" s="145">
        <f t="shared" si="107"/>
        <v>0</v>
      </c>
      <c r="DE18" s="146">
        <f t="shared" si="107"/>
        <v>0</v>
      </c>
      <c r="DF18" s="147">
        <f t="shared" si="99"/>
        <v>0</v>
      </c>
      <c r="DG18" s="146">
        <f>+DG16-DG17</f>
        <v>0</v>
      </c>
      <c r="DH18" s="149">
        <f t="shared" si="94"/>
        <v>6402.0145299386058</v>
      </c>
      <c r="DI18" s="150">
        <f t="shared" si="95"/>
        <v>6545.5480465883011</v>
      </c>
      <c r="DJ18" s="151">
        <f t="shared" si="96"/>
        <v>143.53351664969523</v>
      </c>
    </row>
    <row r="19" spans="1:118" ht="15" hidden="1" customHeight="1" outlineLevel="1">
      <c r="A19" s="607"/>
      <c r="B19" s="593" t="s">
        <v>94</v>
      </c>
      <c r="C19" s="246" t="s">
        <v>62</v>
      </c>
      <c r="D19" s="183" t="s">
        <v>122</v>
      </c>
      <c r="E19" s="153">
        <v>26544.993999999999</v>
      </c>
      <c r="F19" s="153">
        <f>+E19-S19</f>
        <v>24687.972815841691</v>
      </c>
      <c r="G19" s="154">
        <v>402.32578267411867</v>
      </c>
      <c r="H19" s="155">
        <v>404.69328905852416</v>
      </c>
      <c r="I19" s="155">
        <v>720.74988470790402</v>
      </c>
      <c r="J19" s="155">
        <v>201.67002746024926</v>
      </c>
      <c r="K19" s="155">
        <v>127.58220025751073</v>
      </c>
      <c r="L19" s="155"/>
      <c r="M19" s="155"/>
      <c r="N19" s="155"/>
      <c r="O19" s="155"/>
      <c r="P19" s="155"/>
      <c r="Q19" s="155"/>
      <c r="R19" s="156"/>
      <c r="S19" s="157">
        <f t="shared" si="89"/>
        <v>1857.0211841583068</v>
      </c>
      <c r="T19" s="158"/>
      <c r="U19" s="155"/>
      <c r="V19" s="155"/>
      <c r="W19" s="155"/>
      <c r="X19" s="155"/>
      <c r="Y19" s="155"/>
      <c r="Z19" s="155"/>
      <c r="AA19" s="155"/>
      <c r="AB19" s="155"/>
      <c r="AC19" s="155"/>
      <c r="AD19" s="155"/>
      <c r="AE19" s="156"/>
      <c r="AF19" s="157">
        <f t="shared" si="90"/>
        <v>0</v>
      </c>
      <c r="AG19" s="154"/>
      <c r="AH19" s="155"/>
      <c r="AI19" s="155"/>
      <c r="AJ19" s="155"/>
      <c r="AK19" s="155"/>
      <c r="AL19" s="155"/>
      <c r="AM19" s="155"/>
      <c r="AN19" s="155"/>
      <c r="AO19" s="155"/>
      <c r="AP19" s="155"/>
      <c r="AQ19" s="155"/>
      <c r="AR19" s="156"/>
      <c r="AS19" s="409">
        <f t="shared" si="91"/>
        <v>0</v>
      </c>
      <c r="AT19" s="158"/>
      <c r="AU19" s="155"/>
      <c r="AV19" s="155"/>
      <c r="AW19" s="155"/>
      <c r="AX19" s="155"/>
      <c r="AY19" s="155"/>
      <c r="AZ19" s="155"/>
      <c r="BA19" s="155"/>
      <c r="BB19" s="155"/>
      <c r="BC19" s="155"/>
      <c r="BD19" s="155"/>
      <c r="BE19" s="156"/>
      <c r="BF19" s="157">
        <f t="shared" si="92"/>
        <v>0</v>
      </c>
      <c r="BG19" s="158"/>
      <c r="BH19" s="155"/>
      <c r="BI19" s="155"/>
      <c r="BJ19" s="155"/>
      <c r="BK19" s="155"/>
      <c r="BL19" s="155"/>
      <c r="BM19" s="155"/>
      <c r="BN19" s="155"/>
      <c r="BO19" s="155"/>
      <c r="BP19" s="155"/>
      <c r="BQ19" s="155"/>
      <c r="BR19" s="156"/>
      <c r="BS19" s="157">
        <f t="shared" si="93"/>
        <v>0</v>
      </c>
      <c r="BT19" s="158"/>
      <c r="BU19" s="155"/>
      <c r="BV19" s="155"/>
      <c r="BW19" s="155"/>
      <c r="BX19" s="155"/>
      <c r="BY19" s="155"/>
      <c r="BZ19" s="155"/>
      <c r="CA19" s="155"/>
      <c r="CB19" s="155"/>
      <c r="CC19" s="155"/>
      <c r="CD19" s="155"/>
      <c r="CE19" s="156"/>
      <c r="CF19" s="157">
        <f t="shared" si="97"/>
        <v>0</v>
      </c>
      <c r="CG19" s="158"/>
      <c r="CH19" s="155"/>
      <c r="CI19" s="155"/>
      <c r="CJ19" s="155"/>
      <c r="CK19" s="155"/>
      <c r="CL19" s="155"/>
      <c r="CM19" s="155"/>
      <c r="CN19" s="155"/>
      <c r="CO19" s="155"/>
      <c r="CP19" s="155"/>
      <c r="CQ19" s="155"/>
      <c r="CR19" s="156"/>
      <c r="CS19" s="157">
        <f t="shared" si="98"/>
        <v>0</v>
      </c>
      <c r="CT19" s="158"/>
      <c r="CU19" s="155"/>
      <c r="CV19" s="155"/>
      <c r="CW19" s="155"/>
      <c r="CX19" s="155"/>
      <c r="CY19" s="155"/>
      <c r="CZ19" s="155"/>
      <c r="DA19" s="155"/>
      <c r="DB19" s="155"/>
      <c r="DC19" s="155"/>
      <c r="DD19" s="155"/>
      <c r="DE19" s="156"/>
      <c r="DF19" s="157">
        <f t="shared" si="99"/>
        <v>0</v>
      </c>
      <c r="DG19" s="280"/>
      <c r="DH19" s="159">
        <f t="shared" si="94"/>
        <v>26544.993999999999</v>
      </c>
      <c r="DI19" s="160">
        <f t="shared" si="95"/>
        <v>26544.993999999999</v>
      </c>
      <c r="DJ19" s="161">
        <f t="shared" si="96"/>
        <v>0</v>
      </c>
    </row>
    <row r="20" spans="1:118" ht="15" hidden="1" customHeight="1" outlineLevel="1">
      <c r="A20" s="607"/>
      <c r="B20" s="548"/>
      <c r="C20" s="245" t="s">
        <v>63</v>
      </c>
      <c r="D20" s="184" t="s">
        <v>119</v>
      </c>
      <c r="E20" s="136">
        <v>23094.145</v>
      </c>
      <c r="F20" s="136">
        <f>+E20-S20</f>
        <v>20626.925937202952</v>
      </c>
      <c r="G20" s="137">
        <v>360.01183116938955</v>
      </c>
      <c r="H20" s="138">
        <v>329.90570377438507</v>
      </c>
      <c r="I20" s="138">
        <v>587.21147521477656</v>
      </c>
      <c r="J20" s="138">
        <v>152.5324159003008</v>
      </c>
      <c r="K20" s="138">
        <v>1037.5576367381975</v>
      </c>
      <c r="L20" s="138"/>
      <c r="M20" s="138"/>
      <c r="N20" s="138"/>
      <c r="O20" s="138"/>
      <c r="P20" s="138"/>
      <c r="Q20" s="138"/>
      <c r="R20" s="139"/>
      <c r="S20" s="162">
        <f t="shared" si="89"/>
        <v>2467.2190627970494</v>
      </c>
      <c r="T20" s="141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9"/>
      <c r="AF20" s="162">
        <f t="shared" si="90"/>
        <v>0</v>
      </c>
      <c r="AG20" s="137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9"/>
      <c r="AS20" s="410">
        <f t="shared" si="91"/>
        <v>0</v>
      </c>
      <c r="AT20" s="141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9"/>
      <c r="BF20" s="162">
        <f t="shared" si="92"/>
        <v>0</v>
      </c>
      <c r="BG20" s="141"/>
      <c r="BH20" s="138"/>
      <c r="BI20" s="138"/>
      <c r="BJ20" s="138"/>
      <c r="BK20" s="138"/>
      <c r="BL20" s="138"/>
      <c r="BM20" s="138"/>
      <c r="BN20" s="138"/>
      <c r="BO20" s="138"/>
      <c r="BP20" s="138"/>
      <c r="BQ20" s="138"/>
      <c r="BR20" s="139"/>
      <c r="BS20" s="162">
        <f t="shared" si="93"/>
        <v>0</v>
      </c>
      <c r="BT20" s="141"/>
      <c r="BU20" s="138"/>
      <c r="BV20" s="138"/>
      <c r="BW20" s="138"/>
      <c r="BX20" s="138"/>
      <c r="BY20" s="138"/>
      <c r="BZ20" s="138"/>
      <c r="CA20" s="138"/>
      <c r="CB20" s="138"/>
      <c r="CC20" s="138"/>
      <c r="CD20" s="138"/>
      <c r="CE20" s="139"/>
      <c r="CF20" s="162">
        <f t="shared" si="97"/>
        <v>0</v>
      </c>
      <c r="CG20" s="141"/>
      <c r="CH20" s="138"/>
      <c r="CI20" s="138"/>
      <c r="CJ20" s="138"/>
      <c r="CK20" s="138"/>
      <c r="CL20" s="138"/>
      <c r="CM20" s="138"/>
      <c r="CN20" s="138"/>
      <c r="CO20" s="138"/>
      <c r="CP20" s="138"/>
      <c r="CQ20" s="138"/>
      <c r="CR20" s="139"/>
      <c r="CS20" s="162">
        <f t="shared" si="98"/>
        <v>0</v>
      </c>
      <c r="CT20" s="141"/>
      <c r="CU20" s="138"/>
      <c r="CV20" s="138"/>
      <c r="CW20" s="138"/>
      <c r="CX20" s="138"/>
      <c r="CY20" s="138"/>
      <c r="CZ20" s="138"/>
      <c r="DA20" s="138"/>
      <c r="DB20" s="138"/>
      <c r="DC20" s="138"/>
      <c r="DD20" s="138"/>
      <c r="DE20" s="139"/>
      <c r="DF20" s="162">
        <f t="shared" si="99"/>
        <v>0</v>
      </c>
      <c r="DG20" s="279"/>
      <c r="DH20" s="90">
        <f t="shared" si="94"/>
        <v>23094.145</v>
      </c>
      <c r="DI20" s="91">
        <f t="shared" si="95"/>
        <v>23094.145</v>
      </c>
      <c r="DJ20" s="92">
        <f t="shared" si="96"/>
        <v>0</v>
      </c>
      <c r="DK20" s="64">
        <f>+DH20/DH19</f>
        <v>0.8700000082878151</v>
      </c>
    </row>
    <row r="21" spans="1:118" ht="15" hidden="1" customHeight="1" outlineLevel="1">
      <c r="A21" s="607"/>
      <c r="B21" s="549"/>
      <c r="C21" s="554" t="s">
        <v>11</v>
      </c>
      <c r="D21" s="555"/>
      <c r="E21" s="143">
        <f t="shared" ref="E21:R21" si="108">+E19-E20</f>
        <v>3450.8489999999983</v>
      </c>
      <c r="F21" s="144">
        <f t="shared" si="108"/>
        <v>4061.0468786387391</v>
      </c>
      <c r="G21" s="145">
        <f t="shared" si="108"/>
        <v>42.313951504729118</v>
      </c>
      <c r="H21" s="145">
        <f t="shared" si="108"/>
        <v>74.787585284139084</v>
      </c>
      <c r="I21" s="145">
        <f t="shared" si="108"/>
        <v>133.53840949312746</v>
      </c>
      <c r="J21" s="145">
        <f t="shared" si="108"/>
        <v>49.137611559948454</v>
      </c>
      <c r="K21" s="145">
        <f t="shared" si="108"/>
        <v>-909.97543648068677</v>
      </c>
      <c r="L21" s="145">
        <f t="shared" si="108"/>
        <v>0</v>
      </c>
      <c r="M21" s="145">
        <f t="shared" si="108"/>
        <v>0</v>
      </c>
      <c r="N21" s="145">
        <f t="shared" si="108"/>
        <v>0</v>
      </c>
      <c r="O21" s="145">
        <f t="shared" si="108"/>
        <v>0</v>
      </c>
      <c r="P21" s="145">
        <f t="shared" si="108"/>
        <v>0</v>
      </c>
      <c r="Q21" s="145">
        <f t="shared" si="108"/>
        <v>0</v>
      </c>
      <c r="R21" s="146">
        <f t="shared" si="108"/>
        <v>0</v>
      </c>
      <c r="S21" s="147">
        <f t="shared" si="89"/>
        <v>-610.19787863874262</v>
      </c>
      <c r="T21" s="148">
        <f t="shared" ref="T21:AE21" si="109">+T19-T20</f>
        <v>0</v>
      </c>
      <c r="U21" s="145">
        <f t="shared" si="109"/>
        <v>0</v>
      </c>
      <c r="V21" s="145">
        <f t="shared" si="109"/>
        <v>0</v>
      </c>
      <c r="W21" s="145">
        <f t="shared" si="109"/>
        <v>0</v>
      </c>
      <c r="X21" s="145">
        <f t="shared" si="109"/>
        <v>0</v>
      </c>
      <c r="Y21" s="145">
        <f t="shared" si="109"/>
        <v>0</v>
      </c>
      <c r="Z21" s="145">
        <f t="shared" si="109"/>
        <v>0</v>
      </c>
      <c r="AA21" s="145">
        <f t="shared" si="109"/>
        <v>0</v>
      </c>
      <c r="AB21" s="145">
        <f t="shared" si="109"/>
        <v>0</v>
      </c>
      <c r="AC21" s="145">
        <f t="shared" si="109"/>
        <v>0</v>
      </c>
      <c r="AD21" s="145">
        <f t="shared" si="109"/>
        <v>0</v>
      </c>
      <c r="AE21" s="146">
        <f t="shared" si="109"/>
        <v>0</v>
      </c>
      <c r="AF21" s="147">
        <f t="shared" si="90"/>
        <v>0</v>
      </c>
      <c r="AG21" s="148">
        <f t="shared" ref="AG21:AR21" si="110">+AG19-AG20</f>
        <v>0</v>
      </c>
      <c r="AH21" s="145">
        <f t="shared" si="110"/>
        <v>0</v>
      </c>
      <c r="AI21" s="145">
        <f t="shared" si="110"/>
        <v>0</v>
      </c>
      <c r="AJ21" s="145">
        <f t="shared" si="110"/>
        <v>0</v>
      </c>
      <c r="AK21" s="145">
        <f t="shared" si="110"/>
        <v>0</v>
      </c>
      <c r="AL21" s="145">
        <f t="shared" si="110"/>
        <v>0</v>
      </c>
      <c r="AM21" s="145">
        <f t="shared" si="110"/>
        <v>0</v>
      </c>
      <c r="AN21" s="145">
        <f t="shared" si="110"/>
        <v>0</v>
      </c>
      <c r="AO21" s="145">
        <f t="shared" si="110"/>
        <v>0</v>
      </c>
      <c r="AP21" s="145">
        <f t="shared" si="110"/>
        <v>0</v>
      </c>
      <c r="AQ21" s="145">
        <f t="shared" si="110"/>
        <v>0</v>
      </c>
      <c r="AR21" s="146">
        <f t="shared" si="110"/>
        <v>0</v>
      </c>
      <c r="AS21" s="408">
        <f t="shared" si="91"/>
        <v>0</v>
      </c>
      <c r="AT21" s="148">
        <f t="shared" ref="AT21:BE21" si="111">+AT19-AT20</f>
        <v>0</v>
      </c>
      <c r="AU21" s="145">
        <f t="shared" si="111"/>
        <v>0</v>
      </c>
      <c r="AV21" s="145">
        <f t="shared" si="111"/>
        <v>0</v>
      </c>
      <c r="AW21" s="145">
        <f t="shared" si="111"/>
        <v>0</v>
      </c>
      <c r="AX21" s="145">
        <f t="shared" si="111"/>
        <v>0</v>
      </c>
      <c r="AY21" s="145">
        <f t="shared" si="111"/>
        <v>0</v>
      </c>
      <c r="AZ21" s="145">
        <f t="shared" si="111"/>
        <v>0</v>
      </c>
      <c r="BA21" s="145">
        <f t="shared" si="111"/>
        <v>0</v>
      </c>
      <c r="BB21" s="145">
        <f t="shared" si="111"/>
        <v>0</v>
      </c>
      <c r="BC21" s="145">
        <f t="shared" si="111"/>
        <v>0</v>
      </c>
      <c r="BD21" s="145">
        <f t="shared" si="111"/>
        <v>0</v>
      </c>
      <c r="BE21" s="146">
        <f t="shared" si="111"/>
        <v>0</v>
      </c>
      <c r="BF21" s="147">
        <f t="shared" si="92"/>
        <v>0</v>
      </c>
      <c r="BG21" s="148">
        <f t="shared" ref="BG21:BR21" si="112">+BG19-BG20</f>
        <v>0</v>
      </c>
      <c r="BH21" s="145">
        <f t="shared" si="112"/>
        <v>0</v>
      </c>
      <c r="BI21" s="145">
        <f t="shared" si="112"/>
        <v>0</v>
      </c>
      <c r="BJ21" s="145">
        <f t="shared" si="112"/>
        <v>0</v>
      </c>
      <c r="BK21" s="145">
        <f t="shared" si="112"/>
        <v>0</v>
      </c>
      <c r="BL21" s="145">
        <f t="shared" si="112"/>
        <v>0</v>
      </c>
      <c r="BM21" s="145">
        <f t="shared" si="112"/>
        <v>0</v>
      </c>
      <c r="BN21" s="145">
        <f t="shared" si="112"/>
        <v>0</v>
      </c>
      <c r="BO21" s="145">
        <f t="shared" si="112"/>
        <v>0</v>
      </c>
      <c r="BP21" s="145">
        <f t="shared" si="112"/>
        <v>0</v>
      </c>
      <c r="BQ21" s="145">
        <f t="shared" si="112"/>
        <v>0</v>
      </c>
      <c r="BR21" s="146">
        <f t="shared" si="112"/>
        <v>0</v>
      </c>
      <c r="BS21" s="147">
        <f t="shared" si="93"/>
        <v>0</v>
      </c>
      <c r="BT21" s="148">
        <f t="shared" ref="BT21:CE21" si="113">+BT19-BT20</f>
        <v>0</v>
      </c>
      <c r="BU21" s="145">
        <f t="shared" si="113"/>
        <v>0</v>
      </c>
      <c r="BV21" s="145">
        <f t="shared" si="113"/>
        <v>0</v>
      </c>
      <c r="BW21" s="145">
        <f t="shared" si="113"/>
        <v>0</v>
      </c>
      <c r="BX21" s="145">
        <f t="shared" si="113"/>
        <v>0</v>
      </c>
      <c r="BY21" s="145">
        <f t="shared" si="113"/>
        <v>0</v>
      </c>
      <c r="BZ21" s="145">
        <f t="shared" si="113"/>
        <v>0</v>
      </c>
      <c r="CA21" s="145">
        <f t="shared" si="113"/>
        <v>0</v>
      </c>
      <c r="CB21" s="145">
        <f t="shared" si="113"/>
        <v>0</v>
      </c>
      <c r="CC21" s="145">
        <f t="shared" si="113"/>
        <v>0</v>
      </c>
      <c r="CD21" s="145">
        <f t="shared" si="113"/>
        <v>0</v>
      </c>
      <c r="CE21" s="146">
        <f t="shared" si="113"/>
        <v>0</v>
      </c>
      <c r="CF21" s="147">
        <f t="shared" si="97"/>
        <v>0</v>
      </c>
      <c r="CG21" s="148">
        <f t="shared" ref="CG21:CR21" si="114">+CG19-CG20</f>
        <v>0</v>
      </c>
      <c r="CH21" s="145">
        <f t="shared" si="114"/>
        <v>0</v>
      </c>
      <c r="CI21" s="145">
        <f t="shared" si="114"/>
        <v>0</v>
      </c>
      <c r="CJ21" s="145">
        <f t="shared" si="114"/>
        <v>0</v>
      </c>
      <c r="CK21" s="145">
        <f t="shared" si="114"/>
        <v>0</v>
      </c>
      <c r="CL21" s="145">
        <f t="shared" si="114"/>
        <v>0</v>
      </c>
      <c r="CM21" s="145">
        <f t="shared" si="114"/>
        <v>0</v>
      </c>
      <c r="CN21" s="145">
        <f t="shared" si="114"/>
        <v>0</v>
      </c>
      <c r="CO21" s="145">
        <f t="shared" si="114"/>
        <v>0</v>
      </c>
      <c r="CP21" s="145">
        <f t="shared" si="114"/>
        <v>0</v>
      </c>
      <c r="CQ21" s="145">
        <f t="shared" si="114"/>
        <v>0</v>
      </c>
      <c r="CR21" s="146">
        <f t="shared" si="114"/>
        <v>0</v>
      </c>
      <c r="CS21" s="147">
        <f t="shared" si="98"/>
        <v>0</v>
      </c>
      <c r="CT21" s="148">
        <f t="shared" ref="CT21:DE21" si="115">+CT19-CT20</f>
        <v>0</v>
      </c>
      <c r="CU21" s="145">
        <f t="shared" si="115"/>
        <v>0</v>
      </c>
      <c r="CV21" s="145">
        <f t="shared" si="115"/>
        <v>0</v>
      </c>
      <c r="CW21" s="145">
        <f t="shared" si="115"/>
        <v>0</v>
      </c>
      <c r="CX21" s="145">
        <f t="shared" si="115"/>
        <v>0</v>
      </c>
      <c r="CY21" s="145">
        <f t="shared" si="115"/>
        <v>0</v>
      </c>
      <c r="CZ21" s="145">
        <f t="shared" si="115"/>
        <v>0</v>
      </c>
      <c r="DA21" s="145">
        <f t="shared" si="115"/>
        <v>0</v>
      </c>
      <c r="DB21" s="145">
        <f t="shared" si="115"/>
        <v>0</v>
      </c>
      <c r="DC21" s="145">
        <f t="shared" si="115"/>
        <v>0</v>
      </c>
      <c r="DD21" s="145">
        <f t="shared" si="115"/>
        <v>0</v>
      </c>
      <c r="DE21" s="146">
        <f t="shared" si="115"/>
        <v>0</v>
      </c>
      <c r="DF21" s="147">
        <f t="shared" si="99"/>
        <v>0</v>
      </c>
      <c r="DG21" s="146">
        <f>+DG19-DG20</f>
        <v>0</v>
      </c>
      <c r="DH21" s="98">
        <f t="shared" si="94"/>
        <v>3450.8489999999965</v>
      </c>
      <c r="DI21" s="99">
        <f t="shared" si="95"/>
        <v>3450.8489999999983</v>
      </c>
      <c r="DJ21" s="100">
        <f t="shared" si="96"/>
        <v>0</v>
      </c>
    </row>
    <row r="22" spans="1:118" ht="15" customHeight="1" outlineLevel="1">
      <c r="A22" s="607"/>
      <c r="B22" s="593" t="s">
        <v>184</v>
      </c>
      <c r="C22" s="246" t="s">
        <v>185</v>
      </c>
      <c r="D22" s="183" t="s">
        <v>186</v>
      </c>
      <c r="E22" s="153">
        <f>AF22+AS22+BF22+BS22+CF22+CS22+DF22+S22+DG22</f>
        <v>142311.15372658693</v>
      </c>
      <c r="F22" s="153"/>
      <c r="G22" s="154"/>
      <c r="H22" s="155"/>
      <c r="I22" s="155"/>
      <c r="J22" s="155"/>
      <c r="K22" s="155"/>
      <c r="L22" s="155"/>
      <c r="M22" s="155"/>
      <c r="N22" s="155"/>
      <c r="O22" s="155"/>
      <c r="P22" s="155"/>
      <c r="Q22" s="155">
        <v>24823.80058163689</v>
      </c>
      <c r="R22" s="156">
        <v>273.85153596673598</v>
      </c>
      <c r="S22" s="157">
        <f t="shared" si="89"/>
        <v>25097.652117603626</v>
      </c>
      <c r="T22" s="378">
        <v>1200.804426655664</v>
      </c>
      <c r="U22" s="382">
        <v>408.82080130825835</v>
      </c>
      <c r="V22" s="382">
        <v>113.71172705117792</v>
      </c>
      <c r="W22" s="382">
        <v>30.904457788205352</v>
      </c>
      <c r="X22" s="382">
        <v>16.786922406277245</v>
      </c>
      <c r="Y22" s="382"/>
      <c r="Z22" s="382"/>
      <c r="AA22" s="382">
        <v>113.24873803587228</v>
      </c>
      <c r="AB22" s="382"/>
      <c r="AC22" s="382"/>
      <c r="AD22" s="382">
        <v>1956.2263124063411</v>
      </c>
      <c r="AE22" s="481">
        <v>2549.241213486674</v>
      </c>
      <c r="AF22" s="157">
        <f t="shared" si="90"/>
        <v>6389.7445991384702</v>
      </c>
      <c r="AG22" s="498">
        <v>898.30503362281888</v>
      </c>
      <c r="AH22" s="513">
        <v>838.93162942213519</v>
      </c>
      <c r="AI22" s="513">
        <v>892.30061985699217</v>
      </c>
      <c r="AJ22" s="513">
        <v>1674.4745353477108</v>
      </c>
      <c r="AK22" s="513">
        <v>3531.1398919085145</v>
      </c>
      <c r="AL22" s="513">
        <v>2402.1768551658001</v>
      </c>
      <c r="AM22" s="513">
        <v>1261.2897776717193</v>
      </c>
      <c r="AN22" s="513">
        <v>3310.4376630175384</v>
      </c>
      <c r="AO22" s="513">
        <v>1170.0749508842352</v>
      </c>
      <c r="AP22" s="513">
        <v>1068.4820625688981</v>
      </c>
      <c r="AQ22" s="513">
        <v>2619.2334206418368</v>
      </c>
      <c r="AR22" s="512">
        <v>2990.1256402207005</v>
      </c>
      <c r="AS22" s="409">
        <f t="shared" si="91"/>
        <v>22656.972080328902</v>
      </c>
      <c r="AT22" s="519">
        <v>3341.2844394259992</v>
      </c>
      <c r="AU22" s="514">
        <v>4685.7834338827142</v>
      </c>
      <c r="AV22" s="514">
        <v>1105.8806694227414</v>
      </c>
      <c r="AW22" s="514">
        <v>1896.5625994536992</v>
      </c>
      <c r="AX22" s="542"/>
      <c r="AY22" s="542"/>
      <c r="AZ22" s="542"/>
      <c r="BA22" s="366">
        <v>3988</v>
      </c>
      <c r="BB22" s="366">
        <v>2397</v>
      </c>
      <c r="BC22" s="366">
        <v>2817</v>
      </c>
      <c r="BD22" s="366">
        <v>3340</v>
      </c>
      <c r="BE22" s="367">
        <v>6904.6851717112722</v>
      </c>
      <c r="BF22" s="157">
        <f t="shared" si="92"/>
        <v>30476.196313896427</v>
      </c>
      <c r="BG22" s="359">
        <v>4977.8983619256887</v>
      </c>
      <c r="BH22" s="283">
        <v>1289.7329230123851</v>
      </c>
      <c r="BI22" s="283">
        <v>4502.4957449460644</v>
      </c>
      <c r="BJ22" s="283">
        <v>3223.0343950858969</v>
      </c>
      <c r="BK22" s="283">
        <v>3285.502201318418</v>
      </c>
      <c r="BL22" s="283">
        <v>4855.5909433342404</v>
      </c>
      <c r="BM22" s="537">
        <f>24382.9340459968+11174+1117.4-1118</f>
        <v>35556.334045996802</v>
      </c>
      <c r="BN22" s="283"/>
      <c r="BO22" s="283"/>
      <c r="BP22" s="283"/>
      <c r="BQ22" s="155"/>
      <c r="BR22" s="156"/>
      <c r="BS22" s="157">
        <f t="shared" si="93"/>
        <v>57690.588615619497</v>
      </c>
      <c r="BT22" s="359"/>
      <c r="BU22" s="283"/>
      <c r="BV22" s="283"/>
      <c r="BW22" s="283"/>
      <c r="BX22" s="283"/>
      <c r="BY22" s="283"/>
      <c r="BZ22" s="155"/>
      <c r="CA22" s="155"/>
      <c r="CB22" s="155"/>
      <c r="CC22" s="155"/>
      <c r="CD22" s="155"/>
      <c r="CE22" s="156"/>
      <c r="CF22" s="157">
        <f t="shared" si="97"/>
        <v>0</v>
      </c>
      <c r="CG22" s="359"/>
      <c r="CH22" s="283"/>
      <c r="CI22" s="283"/>
      <c r="CJ22" s="283"/>
      <c r="CK22" s="283"/>
      <c r="CL22" s="283"/>
      <c r="CM22" s="155"/>
      <c r="CN22" s="155"/>
      <c r="CO22" s="155"/>
      <c r="CP22" s="155"/>
      <c r="CQ22" s="155"/>
      <c r="CR22" s="156"/>
      <c r="CS22" s="157">
        <f t="shared" si="98"/>
        <v>0</v>
      </c>
      <c r="CT22" s="359"/>
      <c r="CU22" s="283"/>
      <c r="CV22" s="283"/>
      <c r="CW22" s="283"/>
      <c r="CX22" s="283"/>
      <c r="CY22" s="283"/>
      <c r="CZ22" s="155"/>
      <c r="DA22" s="155"/>
      <c r="DB22" s="155"/>
      <c r="DC22" s="155"/>
      <c r="DD22" s="155"/>
      <c r="DE22" s="156"/>
      <c r="DF22" s="157">
        <f t="shared" si="99"/>
        <v>0</v>
      </c>
      <c r="DG22" s="278"/>
      <c r="DH22" s="164">
        <f t="shared" si="94"/>
        <v>142311.15372658693</v>
      </c>
      <c r="DI22" s="165">
        <f t="shared" si="95"/>
        <v>142311.15372658693</v>
      </c>
      <c r="DJ22" s="166">
        <f t="shared" si="96"/>
        <v>0</v>
      </c>
      <c r="DM22" s="134">
        <f>AS22+BF22+BS22+CF22+CS22+DG22+DF22+S22+AF22+DO22</f>
        <v>142311.15372658693</v>
      </c>
    </row>
    <row r="23" spans="1:118" ht="15" customHeight="1" outlineLevel="1">
      <c r="A23" s="607"/>
      <c r="B23" s="548"/>
      <c r="C23" s="245" t="s">
        <v>187</v>
      </c>
      <c r="D23" s="184" t="s">
        <v>188</v>
      </c>
      <c r="E23" s="136">
        <f>AF23+AS23+BF23+BS23+CF23+CS23+DF23+S23+DG23</f>
        <v>120519.95889083364</v>
      </c>
      <c r="F23" s="136"/>
      <c r="G23" s="137"/>
      <c r="H23" s="138"/>
      <c r="I23" s="138"/>
      <c r="J23" s="138"/>
      <c r="K23" s="138"/>
      <c r="L23" s="138"/>
      <c r="M23" s="138"/>
      <c r="N23" s="138"/>
      <c r="O23" s="138"/>
      <c r="P23" s="138"/>
      <c r="Q23" s="138">
        <v>21.690527212297468</v>
      </c>
      <c r="R23" s="139">
        <v>270.82720607068603</v>
      </c>
      <c r="S23" s="162">
        <f t="shared" si="89"/>
        <v>292.5177332829835</v>
      </c>
      <c r="T23" s="380">
        <v>687.89051194553304</v>
      </c>
      <c r="U23" s="381">
        <v>202.91561300081764</v>
      </c>
      <c r="V23" s="381">
        <v>101.89204029244516</v>
      </c>
      <c r="W23" s="381">
        <v>97.562123354674512</v>
      </c>
      <c r="X23" s="381">
        <v>108.98918871364033</v>
      </c>
      <c r="Y23" s="381">
        <v>102.17045385011691</v>
      </c>
      <c r="Z23" s="381">
        <v>53.949081251245268</v>
      </c>
      <c r="AA23" s="381">
        <v>150.61404210568648</v>
      </c>
      <c r="AB23" s="381">
        <v>157.67116840651531</v>
      </c>
      <c r="AC23" s="381">
        <v>87.162751156629369</v>
      </c>
      <c r="AD23" s="381">
        <v>1556.1694064594999</v>
      </c>
      <c r="AE23" s="392">
        <v>2145.8026245240803</v>
      </c>
      <c r="AF23" s="162">
        <f t="shared" si="90"/>
        <v>5452.7890050608839</v>
      </c>
      <c r="AG23" s="497">
        <v>952.44340853318454</v>
      </c>
      <c r="AH23" s="499">
        <v>378.90763823702252</v>
      </c>
      <c r="AI23" s="499">
        <v>578.07164494197627</v>
      </c>
      <c r="AJ23" s="499">
        <v>1768.6435932418406</v>
      </c>
      <c r="AK23" s="499">
        <v>2793.8028340572746</v>
      </c>
      <c r="AL23" s="499">
        <v>2305.3608770557794</v>
      </c>
      <c r="AM23" s="499">
        <v>1213.4162912832653</v>
      </c>
      <c r="AN23" s="499">
        <v>1777.9200253418692</v>
      </c>
      <c r="AO23" s="499">
        <v>1421.8352129359639</v>
      </c>
      <c r="AP23" s="499">
        <v>990.50391165849396</v>
      </c>
      <c r="AQ23" s="499">
        <v>2355.029233736218</v>
      </c>
      <c r="AR23" s="511">
        <v>3616.3778515601221</v>
      </c>
      <c r="AS23" s="410">
        <f t="shared" si="91"/>
        <v>20152.312522583012</v>
      </c>
      <c r="AT23" s="528">
        <v>3229.8636392105568</v>
      </c>
      <c r="AU23" s="504">
        <v>2909.520290647758</v>
      </c>
      <c r="AV23" s="504">
        <v>1351.9290174087841</v>
      </c>
      <c r="AW23" s="504">
        <v>2712.0479827383438</v>
      </c>
      <c r="AX23" s="504">
        <v>3991.0962015954415</v>
      </c>
      <c r="AY23" s="504">
        <v>2587.4146088196162</v>
      </c>
      <c r="AZ23" s="368">
        <v>4976.6300132640799</v>
      </c>
      <c r="BA23" s="368">
        <f>4104+98</f>
        <v>4202</v>
      </c>
      <c r="BB23" s="368">
        <v>3714.9475905822305</v>
      </c>
      <c r="BC23" s="368">
        <v>3737.1258626299714</v>
      </c>
      <c r="BD23" s="368">
        <v>5940</v>
      </c>
      <c r="BE23" s="369">
        <v>6837.9540212578504</v>
      </c>
      <c r="BF23" s="162">
        <f t="shared" si="92"/>
        <v>46190.529228154635</v>
      </c>
      <c r="BG23" s="353">
        <v>3815.3053111130002</v>
      </c>
      <c r="BH23" s="253">
        <v>3496.8764148905502</v>
      </c>
      <c r="BI23" s="253">
        <v>5798.0154491021303</v>
      </c>
      <c r="BJ23" s="253">
        <v>5685.4952374526802</v>
      </c>
      <c r="BK23" s="253">
        <v>5477.80887083576</v>
      </c>
      <c r="BL23" s="253">
        <v>4705.8161642964596</v>
      </c>
      <c r="BM23" s="253">
        <v>19452.492954061552</v>
      </c>
      <c r="BN23" s="253"/>
      <c r="BO23" s="253"/>
      <c r="BP23" s="253"/>
      <c r="BQ23" s="138"/>
      <c r="BR23" s="139"/>
      <c r="BS23" s="162">
        <f t="shared" si="93"/>
        <v>48431.810401752133</v>
      </c>
      <c r="BT23" s="353"/>
      <c r="BU23" s="253"/>
      <c r="BV23" s="253"/>
      <c r="BW23" s="253"/>
      <c r="BX23" s="253"/>
      <c r="BY23" s="253"/>
      <c r="BZ23" s="138"/>
      <c r="CA23" s="138"/>
      <c r="CB23" s="138"/>
      <c r="CC23" s="138"/>
      <c r="CD23" s="138"/>
      <c r="CE23" s="139"/>
      <c r="CF23" s="162">
        <f t="shared" si="97"/>
        <v>0</v>
      </c>
      <c r="CG23" s="353"/>
      <c r="CH23" s="253"/>
      <c r="CI23" s="253"/>
      <c r="CJ23" s="253"/>
      <c r="CK23" s="253"/>
      <c r="CL23" s="253"/>
      <c r="CM23" s="138"/>
      <c r="CN23" s="138"/>
      <c r="CO23" s="138"/>
      <c r="CP23" s="138"/>
      <c r="CQ23" s="138"/>
      <c r="CR23" s="139"/>
      <c r="CS23" s="162">
        <f t="shared" si="98"/>
        <v>0</v>
      </c>
      <c r="CT23" s="353"/>
      <c r="CU23" s="253"/>
      <c r="CV23" s="253"/>
      <c r="CW23" s="253"/>
      <c r="CX23" s="253"/>
      <c r="CY23" s="253"/>
      <c r="CZ23" s="138"/>
      <c r="DA23" s="138"/>
      <c r="DB23" s="138"/>
      <c r="DC23" s="138"/>
      <c r="DD23" s="138"/>
      <c r="DE23" s="139"/>
      <c r="DF23" s="162">
        <f t="shared" si="99"/>
        <v>0</v>
      </c>
      <c r="DG23" s="279"/>
      <c r="DH23" s="90">
        <f t="shared" si="94"/>
        <v>120519.95889083366</v>
      </c>
      <c r="DI23" s="91">
        <f t="shared" si="95"/>
        <v>120519.95889083364</v>
      </c>
      <c r="DJ23" s="92">
        <f t="shared" si="96"/>
        <v>0</v>
      </c>
      <c r="DK23" s="64">
        <f>+DH23/DH22</f>
        <v>0.84687640943717413</v>
      </c>
      <c r="DM23" s="134">
        <f>AS23+BF23+BS23+CF23+CS23+DG23+DF23+S23+AF23+DO23</f>
        <v>120519.95889083364</v>
      </c>
      <c r="DN23" s="533">
        <f>DM23/DM22</f>
        <v>0.84687640943717402</v>
      </c>
    </row>
    <row r="24" spans="1:118" ht="15" customHeight="1" outlineLevel="1">
      <c r="A24" s="607"/>
      <c r="B24" s="549"/>
      <c r="C24" s="554" t="s">
        <v>11</v>
      </c>
      <c r="D24" s="555"/>
      <c r="E24" s="143">
        <f>+E22-E23</f>
        <v>21791.194835753282</v>
      </c>
      <c r="F24" s="144">
        <f t="shared" ref="F24:R24" si="116">+F22-F23</f>
        <v>0</v>
      </c>
      <c r="G24" s="145">
        <f t="shared" si="116"/>
        <v>0</v>
      </c>
      <c r="H24" s="145">
        <f t="shared" si="116"/>
        <v>0</v>
      </c>
      <c r="I24" s="145">
        <f t="shared" si="116"/>
        <v>0</v>
      </c>
      <c r="J24" s="145">
        <f t="shared" si="116"/>
        <v>0</v>
      </c>
      <c r="K24" s="145">
        <f t="shared" si="116"/>
        <v>0</v>
      </c>
      <c r="L24" s="145">
        <f t="shared" si="116"/>
        <v>0</v>
      </c>
      <c r="M24" s="145">
        <f t="shared" si="116"/>
        <v>0</v>
      </c>
      <c r="N24" s="145">
        <f t="shared" si="116"/>
        <v>0</v>
      </c>
      <c r="O24" s="145">
        <f t="shared" si="116"/>
        <v>0</v>
      </c>
      <c r="P24" s="145">
        <f t="shared" si="116"/>
        <v>0</v>
      </c>
      <c r="Q24" s="145">
        <f t="shared" si="116"/>
        <v>24802.110054424593</v>
      </c>
      <c r="R24" s="146">
        <f t="shared" si="116"/>
        <v>3.0243298960499487</v>
      </c>
      <c r="S24" s="147">
        <f t="shared" si="89"/>
        <v>24805.134384320641</v>
      </c>
      <c r="T24" s="148">
        <f t="shared" ref="T24:AE24" si="117">+T22-T23</f>
        <v>512.91391471013094</v>
      </c>
      <c r="U24" s="145">
        <f t="shared" si="117"/>
        <v>205.90518830744071</v>
      </c>
      <c r="V24" s="145">
        <f t="shared" si="117"/>
        <v>11.819686758732757</v>
      </c>
      <c r="W24" s="145">
        <f t="shared" si="117"/>
        <v>-66.657665566469163</v>
      </c>
      <c r="X24" s="145">
        <f t="shared" si="117"/>
        <v>-92.202266307363089</v>
      </c>
      <c r="Y24" s="145">
        <f t="shared" si="117"/>
        <v>-102.17045385011691</v>
      </c>
      <c r="Z24" s="145">
        <f t="shared" si="117"/>
        <v>-53.949081251245268</v>
      </c>
      <c r="AA24" s="145">
        <f t="shared" si="117"/>
        <v>-37.365304069814201</v>
      </c>
      <c r="AB24" s="145">
        <f t="shared" si="117"/>
        <v>-157.67116840651531</v>
      </c>
      <c r="AC24" s="145">
        <f t="shared" si="117"/>
        <v>-87.162751156629369</v>
      </c>
      <c r="AD24" s="145">
        <f t="shared" si="117"/>
        <v>400.0569059468412</v>
      </c>
      <c r="AE24" s="146">
        <f t="shared" si="117"/>
        <v>403.43858896259371</v>
      </c>
      <c r="AF24" s="147">
        <f t="shared" si="90"/>
        <v>936.95559407758606</v>
      </c>
      <c r="AG24" s="148">
        <f t="shared" ref="AG24:AR24" si="118">+AG22-AG23</f>
        <v>-54.138374910365656</v>
      </c>
      <c r="AH24" s="145">
        <f t="shared" si="118"/>
        <v>460.02399118511266</v>
      </c>
      <c r="AI24" s="145">
        <f t="shared" si="118"/>
        <v>314.2289749150159</v>
      </c>
      <c r="AJ24" s="145">
        <f t="shared" si="118"/>
        <v>-94.169057894129764</v>
      </c>
      <c r="AK24" s="145">
        <f t="shared" si="118"/>
        <v>737.33705785123993</v>
      </c>
      <c r="AL24" s="145">
        <f t="shared" si="118"/>
        <v>96.815978110020751</v>
      </c>
      <c r="AM24" s="145">
        <f t="shared" si="118"/>
        <v>47.873486388454012</v>
      </c>
      <c r="AN24" s="145">
        <f t="shared" si="118"/>
        <v>1532.5176376756692</v>
      </c>
      <c r="AO24" s="145">
        <f t="shared" si="118"/>
        <v>-251.76026205172866</v>
      </c>
      <c r="AP24" s="145">
        <f t="shared" si="118"/>
        <v>77.978150910404111</v>
      </c>
      <c r="AQ24" s="145">
        <f t="shared" si="118"/>
        <v>264.20418690561883</v>
      </c>
      <c r="AR24" s="146">
        <f t="shared" si="118"/>
        <v>-626.25221133942159</v>
      </c>
      <c r="AS24" s="408">
        <f t="shared" si="91"/>
        <v>2504.6595577458897</v>
      </c>
      <c r="AT24" s="148">
        <f t="shared" ref="AT24:BE24" si="119">+AT22-AT23</f>
        <v>111.42080021544234</v>
      </c>
      <c r="AU24" s="145">
        <f t="shared" si="119"/>
        <v>1776.2631432349563</v>
      </c>
      <c r="AV24" s="145">
        <f t="shared" si="119"/>
        <v>-246.0483479860427</v>
      </c>
      <c r="AW24" s="145">
        <f t="shared" si="119"/>
        <v>-815.48538328464451</v>
      </c>
      <c r="AX24" s="145">
        <f t="shared" si="119"/>
        <v>-3991.0962015954415</v>
      </c>
      <c r="AY24" s="145">
        <f t="shared" si="119"/>
        <v>-2587.4146088196162</v>
      </c>
      <c r="AZ24" s="145">
        <f t="shared" si="119"/>
        <v>-4976.6300132640799</v>
      </c>
      <c r="BA24" s="145">
        <f t="shared" si="119"/>
        <v>-214</v>
      </c>
      <c r="BB24" s="145">
        <f t="shared" si="119"/>
        <v>-1317.9475905822305</v>
      </c>
      <c r="BC24" s="145">
        <f t="shared" si="119"/>
        <v>-920.12586262997138</v>
      </c>
      <c r="BD24" s="145">
        <f t="shared" si="119"/>
        <v>-2600</v>
      </c>
      <c r="BE24" s="146">
        <f t="shared" si="119"/>
        <v>66.731150453421833</v>
      </c>
      <c r="BF24" s="147">
        <f t="shared" si="92"/>
        <v>-15714.332914258208</v>
      </c>
      <c r="BG24" s="148">
        <f t="shared" ref="BG24:BR24" si="120">+BG22-BG23</f>
        <v>1162.5930508126885</v>
      </c>
      <c r="BH24" s="145">
        <f t="shared" si="120"/>
        <v>-2207.1434918781652</v>
      </c>
      <c r="BI24" s="145">
        <f t="shared" si="120"/>
        <v>-1295.5197041560659</v>
      </c>
      <c r="BJ24" s="145">
        <f t="shared" si="120"/>
        <v>-2462.4608423667833</v>
      </c>
      <c r="BK24" s="145">
        <f t="shared" si="120"/>
        <v>-2192.306669517342</v>
      </c>
      <c r="BL24" s="145">
        <f t="shared" si="120"/>
        <v>149.77477903778072</v>
      </c>
      <c r="BM24" s="145">
        <f t="shared" si="120"/>
        <v>16103.84109193525</v>
      </c>
      <c r="BN24" s="145">
        <f t="shared" si="120"/>
        <v>0</v>
      </c>
      <c r="BO24" s="145">
        <f t="shared" si="120"/>
        <v>0</v>
      </c>
      <c r="BP24" s="145">
        <f t="shared" si="120"/>
        <v>0</v>
      </c>
      <c r="BQ24" s="145">
        <f t="shared" si="120"/>
        <v>0</v>
      </c>
      <c r="BR24" s="146">
        <f t="shared" si="120"/>
        <v>0</v>
      </c>
      <c r="BS24" s="147">
        <f t="shared" si="93"/>
        <v>9258.7782138673629</v>
      </c>
      <c r="BT24" s="148">
        <f t="shared" ref="BT24:CE24" si="121">+BT22-BT23</f>
        <v>0</v>
      </c>
      <c r="BU24" s="145">
        <f t="shared" si="121"/>
        <v>0</v>
      </c>
      <c r="BV24" s="145">
        <f t="shared" si="121"/>
        <v>0</v>
      </c>
      <c r="BW24" s="145">
        <f t="shared" si="121"/>
        <v>0</v>
      </c>
      <c r="BX24" s="145">
        <f t="shared" si="121"/>
        <v>0</v>
      </c>
      <c r="BY24" s="145">
        <f t="shared" si="121"/>
        <v>0</v>
      </c>
      <c r="BZ24" s="145">
        <f t="shared" si="121"/>
        <v>0</v>
      </c>
      <c r="CA24" s="145">
        <f t="shared" si="121"/>
        <v>0</v>
      </c>
      <c r="CB24" s="145">
        <f t="shared" si="121"/>
        <v>0</v>
      </c>
      <c r="CC24" s="145">
        <f t="shared" si="121"/>
        <v>0</v>
      </c>
      <c r="CD24" s="145">
        <f t="shared" si="121"/>
        <v>0</v>
      </c>
      <c r="CE24" s="146">
        <f t="shared" si="121"/>
        <v>0</v>
      </c>
      <c r="CF24" s="147">
        <f t="shared" si="97"/>
        <v>0</v>
      </c>
      <c r="CG24" s="148">
        <f t="shared" ref="CG24:CR24" si="122">+CG22-CG23</f>
        <v>0</v>
      </c>
      <c r="CH24" s="145">
        <f t="shared" si="122"/>
        <v>0</v>
      </c>
      <c r="CI24" s="145">
        <f t="shared" si="122"/>
        <v>0</v>
      </c>
      <c r="CJ24" s="145">
        <f t="shared" si="122"/>
        <v>0</v>
      </c>
      <c r="CK24" s="145">
        <f t="shared" si="122"/>
        <v>0</v>
      </c>
      <c r="CL24" s="145">
        <f t="shared" si="122"/>
        <v>0</v>
      </c>
      <c r="CM24" s="145">
        <f t="shared" si="122"/>
        <v>0</v>
      </c>
      <c r="CN24" s="145">
        <f t="shared" si="122"/>
        <v>0</v>
      </c>
      <c r="CO24" s="145">
        <f t="shared" si="122"/>
        <v>0</v>
      </c>
      <c r="CP24" s="145">
        <f t="shared" si="122"/>
        <v>0</v>
      </c>
      <c r="CQ24" s="145">
        <f t="shared" si="122"/>
        <v>0</v>
      </c>
      <c r="CR24" s="146">
        <f t="shared" si="122"/>
        <v>0</v>
      </c>
      <c r="CS24" s="147">
        <f t="shared" si="98"/>
        <v>0</v>
      </c>
      <c r="CT24" s="148">
        <f t="shared" ref="CT24:DE24" si="123">+CT22-CT23</f>
        <v>0</v>
      </c>
      <c r="CU24" s="145">
        <f t="shared" si="123"/>
        <v>0</v>
      </c>
      <c r="CV24" s="145">
        <f t="shared" si="123"/>
        <v>0</v>
      </c>
      <c r="CW24" s="145">
        <f t="shared" si="123"/>
        <v>0</v>
      </c>
      <c r="CX24" s="145">
        <f t="shared" si="123"/>
        <v>0</v>
      </c>
      <c r="CY24" s="145">
        <f t="shared" si="123"/>
        <v>0</v>
      </c>
      <c r="CZ24" s="145">
        <f t="shared" si="123"/>
        <v>0</v>
      </c>
      <c r="DA24" s="145">
        <f t="shared" si="123"/>
        <v>0</v>
      </c>
      <c r="DB24" s="145">
        <f t="shared" si="123"/>
        <v>0</v>
      </c>
      <c r="DC24" s="145">
        <f t="shared" si="123"/>
        <v>0</v>
      </c>
      <c r="DD24" s="145">
        <f t="shared" si="123"/>
        <v>0</v>
      </c>
      <c r="DE24" s="146">
        <f t="shared" si="123"/>
        <v>0</v>
      </c>
      <c r="DF24" s="147">
        <f t="shared" si="99"/>
        <v>0</v>
      </c>
      <c r="DG24" s="146">
        <f>+DG22-DG23</f>
        <v>0</v>
      </c>
      <c r="DH24" s="149">
        <f t="shared" si="94"/>
        <v>21791.194835753275</v>
      </c>
      <c r="DI24" s="150">
        <f t="shared" si="95"/>
        <v>21791.194835753282</v>
      </c>
      <c r="DJ24" s="151">
        <f t="shared" si="96"/>
        <v>0</v>
      </c>
    </row>
    <row r="25" spans="1:118" ht="15" customHeight="1" outlineLevel="1">
      <c r="A25" s="607"/>
      <c r="B25" s="619" t="s">
        <v>193</v>
      </c>
      <c r="C25" s="246" t="s">
        <v>62</v>
      </c>
      <c r="D25" s="183" t="s">
        <v>122</v>
      </c>
      <c r="E25" s="153">
        <f>AF25+AS25+BF25+BS25+CF25+CS25+DF25+S25+DG25</f>
        <v>8909.5087475392957</v>
      </c>
      <c r="F25" s="153"/>
      <c r="G25" s="154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6"/>
      <c r="S25" s="157">
        <f t="shared" si="89"/>
        <v>0</v>
      </c>
      <c r="T25" s="378"/>
      <c r="U25" s="382"/>
      <c r="V25" s="382"/>
      <c r="W25" s="382"/>
      <c r="X25" s="382"/>
      <c r="Y25" s="382"/>
      <c r="Z25" s="382"/>
      <c r="AA25" s="382">
        <v>612</v>
      </c>
      <c r="AB25" s="382"/>
      <c r="AC25" s="382">
        <v>44.934143817470044</v>
      </c>
      <c r="AD25" s="382"/>
      <c r="AE25" s="382">
        <v>704.27834383954155</v>
      </c>
      <c r="AF25" s="157">
        <f t="shared" si="90"/>
        <v>1361.2124876570115</v>
      </c>
      <c r="AG25" s="499">
        <v>1675.9288449924309</v>
      </c>
      <c r="AH25" s="513"/>
      <c r="AI25" s="513">
        <v>164.28200918219801</v>
      </c>
      <c r="AJ25" s="513">
        <v>858.55381720678122</v>
      </c>
      <c r="AK25" s="513">
        <v>608.77039050547762</v>
      </c>
      <c r="AL25" s="513">
        <v>269.68428453133998</v>
      </c>
      <c r="AM25" s="513">
        <v>895.15112798289488</v>
      </c>
      <c r="AN25" s="513">
        <v>486.52143020568963</v>
      </c>
      <c r="AO25" s="513">
        <v>133.44172742075966</v>
      </c>
      <c r="AP25" s="513">
        <v>98.909813205610675</v>
      </c>
      <c r="AQ25" s="513">
        <v>183.40261660288715</v>
      </c>
      <c r="AR25" s="512">
        <v>227.05149973363777</v>
      </c>
      <c r="AS25" s="409">
        <f t="shared" ref="AS25:AS48" si="124">SUM(AG25:AR25)</f>
        <v>5601.6975615697074</v>
      </c>
      <c r="AT25" s="500">
        <v>64.303955488016001</v>
      </c>
      <c r="AU25" s="513"/>
      <c r="AV25" s="513"/>
      <c r="AW25" s="513"/>
      <c r="AX25" s="513"/>
      <c r="AY25" s="513">
        <v>1882.29474282456</v>
      </c>
      <c r="AZ25" s="155"/>
      <c r="BA25" s="155"/>
      <c r="BB25" s="155"/>
      <c r="BC25" s="155"/>
      <c r="BD25" s="155"/>
      <c r="BE25" s="156"/>
      <c r="BF25" s="157">
        <f t="shared" ref="BF25:BF48" si="125">SUM(AT25:BE25)</f>
        <v>1946.5986983125761</v>
      </c>
      <c r="BG25" s="158"/>
      <c r="BH25" s="155"/>
      <c r="BI25" s="155"/>
      <c r="BJ25" s="155"/>
      <c r="BK25" s="155"/>
      <c r="BL25" s="155"/>
      <c r="BM25" s="155"/>
      <c r="BN25" s="158"/>
      <c r="BO25" s="155"/>
      <c r="BP25" s="155"/>
      <c r="BQ25" s="155"/>
      <c r="BR25" s="155"/>
      <c r="BS25" s="157">
        <f t="shared" ref="BS25:BS48" si="126">SUM(BG25:BR25)</f>
        <v>0</v>
      </c>
      <c r="BT25" s="158"/>
      <c r="BU25" s="155"/>
      <c r="BV25" s="155"/>
      <c r="BW25" s="155"/>
      <c r="BX25" s="155"/>
      <c r="BY25" s="155"/>
      <c r="BZ25" s="155"/>
      <c r="CA25" s="158"/>
      <c r="CB25" s="155"/>
      <c r="CC25" s="155"/>
      <c r="CD25" s="155"/>
      <c r="CE25" s="155"/>
      <c r="CF25" s="157">
        <f t="shared" si="97"/>
        <v>0</v>
      </c>
      <c r="CG25" s="158"/>
      <c r="CH25" s="155"/>
      <c r="CI25" s="155"/>
      <c r="CJ25" s="155"/>
      <c r="CK25" s="155"/>
      <c r="CL25" s="155"/>
      <c r="CM25" s="155"/>
      <c r="CN25" s="158"/>
      <c r="CO25" s="155"/>
      <c r="CP25" s="155"/>
      <c r="CQ25" s="155"/>
      <c r="CR25" s="155"/>
      <c r="CS25" s="157">
        <f t="shared" si="98"/>
        <v>0</v>
      </c>
      <c r="CT25" s="158"/>
      <c r="CU25" s="155"/>
      <c r="CV25" s="155"/>
      <c r="CW25" s="155"/>
      <c r="CX25" s="155"/>
      <c r="CY25" s="155"/>
      <c r="CZ25" s="155"/>
      <c r="DA25" s="158"/>
      <c r="DB25" s="155"/>
      <c r="DC25" s="155"/>
      <c r="DD25" s="155"/>
      <c r="DE25" s="155"/>
      <c r="DF25" s="157">
        <f t="shared" si="99"/>
        <v>0</v>
      </c>
      <c r="DG25" s="280"/>
      <c r="DH25" s="159">
        <f t="shared" ref="DH25:DH48" si="127">+F25+S25+AF25+AS25+BF25+BS25+DG25</f>
        <v>8909.5087475392957</v>
      </c>
      <c r="DI25" s="160">
        <f t="shared" ref="DI25:DI48" si="128">+E25</f>
        <v>8909.5087475392957</v>
      </c>
      <c r="DJ25" s="161">
        <f t="shared" ref="DJ25:DJ48" si="129">+DI25-DH25</f>
        <v>0</v>
      </c>
      <c r="DM25" s="134">
        <f>AS25+BF25+BS25+CF25+CS25+DG25+DF25+S25+AF25+DO25</f>
        <v>8909.5087475392938</v>
      </c>
    </row>
    <row r="26" spans="1:118" ht="15" customHeight="1" outlineLevel="1">
      <c r="A26" s="607"/>
      <c r="B26" s="558"/>
      <c r="C26" s="245" t="s">
        <v>63</v>
      </c>
      <c r="D26" s="184" t="s">
        <v>119</v>
      </c>
      <c r="E26" s="136">
        <f>AF26+AS26+BF26+BS26+CF26+CS26+DF26+S26+DG26</f>
        <v>7912.1470023213769</v>
      </c>
      <c r="F26" s="136"/>
      <c r="G26" s="137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9"/>
      <c r="S26" s="162">
        <f t="shared" si="89"/>
        <v>0</v>
      </c>
      <c r="T26" s="380"/>
      <c r="U26" s="381"/>
      <c r="V26" s="381"/>
      <c r="W26" s="381"/>
      <c r="X26" s="381"/>
      <c r="Y26" s="381"/>
      <c r="Z26" s="381">
        <v>1.4422613269575613</v>
      </c>
      <c r="AA26" s="381">
        <v>18.697829968631869</v>
      </c>
      <c r="AB26" s="381">
        <v>25.036240261586581</v>
      </c>
      <c r="AC26" s="381">
        <v>39.185732057416267</v>
      </c>
      <c r="AD26" s="381">
        <v>33.129952835397113</v>
      </c>
      <c r="AE26" s="392">
        <v>672.13524402402163</v>
      </c>
      <c r="AF26" s="162">
        <f t="shared" si="90"/>
        <v>789.627260474011</v>
      </c>
      <c r="AG26" s="497">
        <v>1544.0890893952674</v>
      </c>
      <c r="AH26" s="499">
        <v>59.450110088148875</v>
      </c>
      <c r="AI26" s="499">
        <v>174.49405739850741</v>
      </c>
      <c r="AJ26" s="499">
        <v>430.94954922538727</v>
      </c>
      <c r="AK26" s="499">
        <v>718.41280038439356</v>
      </c>
      <c r="AL26" s="499">
        <v>339.05970396779759</v>
      </c>
      <c r="AM26" s="499">
        <v>895.78074086518268</v>
      </c>
      <c r="AN26" s="499">
        <v>466.63702378877986</v>
      </c>
      <c r="AO26" s="499">
        <v>196.16953682735638</v>
      </c>
      <c r="AP26" s="499">
        <v>102.09568521686244</v>
      </c>
      <c r="AQ26" s="499">
        <v>212.81019702193763</v>
      </c>
      <c r="AR26" s="511">
        <v>222.19737701674276</v>
      </c>
      <c r="AS26" s="410">
        <f t="shared" si="124"/>
        <v>5362.1458711963642</v>
      </c>
      <c r="AT26" s="501">
        <v>54.904895741161084</v>
      </c>
      <c r="AU26" s="499">
        <v>65.994733001149896</v>
      </c>
      <c r="AV26" s="499">
        <v>14.997691496624441</v>
      </c>
      <c r="AW26" s="499">
        <v>13.455086763534277</v>
      </c>
      <c r="AX26" s="499">
        <v>13.228286267806268</v>
      </c>
      <c r="AY26" s="499">
        <v>13.793177380726098</v>
      </c>
      <c r="AZ26" s="138">
        <v>1584</v>
      </c>
      <c r="BA26" s="138"/>
      <c r="BB26" s="138"/>
      <c r="BC26" s="138"/>
      <c r="BD26" s="138"/>
      <c r="BE26" s="139"/>
      <c r="BF26" s="162">
        <f t="shared" si="125"/>
        <v>1760.3738706510021</v>
      </c>
      <c r="BG26" s="141"/>
      <c r="BH26" s="138"/>
      <c r="BI26" s="138"/>
      <c r="BJ26" s="138"/>
      <c r="BK26" s="138"/>
      <c r="BL26" s="138"/>
      <c r="BM26" s="138"/>
      <c r="BN26" s="141"/>
      <c r="BO26" s="138"/>
      <c r="BP26" s="138"/>
      <c r="BQ26" s="138"/>
      <c r="BR26" s="138"/>
      <c r="BS26" s="162">
        <f t="shared" si="126"/>
        <v>0</v>
      </c>
      <c r="BT26" s="141"/>
      <c r="BU26" s="138"/>
      <c r="BV26" s="138"/>
      <c r="BW26" s="138"/>
      <c r="BX26" s="138"/>
      <c r="BY26" s="138"/>
      <c r="BZ26" s="138"/>
      <c r="CA26" s="141"/>
      <c r="CB26" s="138"/>
      <c r="CC26" s="138"/>
      <c r="CD26" s="138"/>
      <c r="CE26" s="138"/>
      <c r="CF26" s="162">
        <f t="shared" si="97"/>
        <v>0</v>
      </c>
      <c r="CG26" s="141"/>
      <c r="CH26" s="138"/>
      <c r="CI26" s="138"/>
      <c r="CJ26" s="138"/>
      <c r="CK26" s="138"/>
      <c r="CL26" s="138"/>
      <c r="CM26" s="138"/>
      <c r="CN26" s="141"/>
      <c r="CO26" s="138"/>
      <c r="CP26" s="138"/>
      <c r="CQ26" s="138"/>
      <c r="CR26" s="138"/>
      <c r="CS26" s="162">
        <f t="shared" si="98"/>
        <v>0</v>
      </c>
      <c r="CT26" s="141"/>
      <c r="CU26" s="138"/>
      <c r="CV26" s="138"/>
      <c r="CW26" s="138"/>
      <c r="CX26" s="138"/>
      <c r="CY26" s="138"/>
      <c r="CZ26" s="138"/>
      <c r="DA26" s="141"/>
      <c r="DB26" s="138"/>
      <c r="DC26" s="138"/>
      <c r="DD26" s="138"/>
      <c r="DE26" s="138"/>
      <c r="DF26" s="162">
        <f t="shared" si="99"/>
        <v>0</v>
      </c>
      <c r="DG26" s="279"/>
      <c r="DH26" s="90">
        <f t="shared" si="127"/>
        <v>7912.1470023213769</v>
      </c>
      <c r="DI26" s="91">
        <f t="shared" si="128"/>
        <v>7912.1470023213769</v>
      </c>
      <c r="DJ26" s="92">
        <f t="shared" si="129"/>
        <v>0</v>
      </c>
      <c r="DK26" s="64">
        <f>+DH26/DH25</f>
        <v>0.88805648285677041</v>
      </c>
      <c r="DM26" s="134">
        <f>AS26+BF26+BS26+CF26+CS26+DG26+DF26+S26+AF26+DO26</f>
        <v>7912.1470023213769</v>
      </c>
      <c r="DN26" s="533">
        <f>DM26/DM25</f>
        <v>0.88805648285677063</v>
      </c>
    </row>
    <row r="27" spans="1:118" ht="15" customHeight="1" outlineLevel="1">
      <c r="A27" s="607"/>
      <c r="B27" s="559"/>
      <c r="C27" s="357" t="s">
        <v>11</v>
      </c>
      <c r="D27" s="358"/>
      <c r="E27" s="143">
        <f t="shared" ref="E27:R27" si="130">+E25-E26</f>
        <v>997.36174521791872</v>
      </c>
      <c r="F27" s="144">
        <f t="shared" si="130"/>
        <v>0</v>
      </c>
      <c r="G27" s="145">
        <f t="shared" si="130"/>
        <v>0</v>
      </c>
      <c r="H27" s="145">
        <f t="shared" si="130"/>
        <v>0</v>
      </c>
      <c r="I27" s="145">
        <f t="shared" si="130"/>
        <v>0</v>
      </c>
      <c r="J27" s="145">
        <f t="shared" si="130"/>
        <v>0</v>
      </c>
      <c r="K27" s="145">
        <f t="shared" si="130"/>
        <v>0</v>
      </c>
      <c r="L27" s="145">
        <f t="shared" si="130"/>
        <v>0</v>
      </c>
      <c r="M27" s="145">
        <f t="shared" si="130"/>
        <v>0</v>
      </c>
      <c r="N27" s="145">
        <f t="shared" si="130"/>
        <v>0</v>
      </c>
      <c r="O27" s="145">
        <f t="shared" si="130"/>
        <v>0</v>
      </c>
      <c r="P27" s="145">
        <f t="shared" si="130"/>
        <v>0</v>
      </c>
      <c r="Q27" s="145">
        <f t="shared" si="130"/>
        <v>0</v>
      </c>
      <c r="R27" s="146">
        <f t="shared" si="130"/>
        <v>0</v>
      </c>
      <c r="S27" s="147">
        <f t="shared" si="89"/>
        <v>0</v>
      </c>
      <c r="T27" s="148">
        <f t="shared" ref="T27:AE27" si="131">+T25-T26</f>
        <v>0</v>
      </c>
      <c r="U27" s="145">
        <f t="shared" si="131"/>
        <v>0</v>
      </c>
      <c r="V27" s="145">
        <f t="shared" si="131"/>
        <v>0</v>
      </c>
      <c r="W27" s="145">
        <f t="shared" si="131"/>
        <v>0</v>
      </c>
      <c r="X27" s="145">
        <f t="shared" si="131"/>
        <v>0</v>
      </c>
      <c r="Y27" s="145">
        <f t="shared" si="131"/>
        <v>0</v>
      </c>
      <c r="Z27" s="145">
        <f t="shared" si="131"/>
        <v>-1.4422613269575613</v>
      </c>
      <c r="AA27" s="145">
        <f t="shared" si="131"/>
        <v>593.30217003136818</v>
      </c>
      <c r="AB27" s="145">
        <f t="shared" si="131"/>
        <v>-25.036240261586581</v>
      </c>
      <c r="AC27" s="145">
        <f t="shared" si="131"/>
        <v>5.7484117600537772</v>
      </c>
      <c r="AD27" s="145">
        <f t="shared" si="131"/>
        <v>-33.129952835397113</v>
      </c>
      <c r="AE27" s="146">
        <f t="shared" si="131"/>
        <v>32.143099815519918</v>
      </c>
      <c r="AF27" s="147">
        <f t="shared" si="90"/>
        <v>571.58522718300048</v>
      </c>
      <c r="AG27" s="148">
        <f t="shared" ref="AG27:AR27" si="132">+AG25-AG26</f>
        <v>131.8397555971635</v>
      </c>
      <c r="AH27" s="145">
        <f t="shared" si="132"/>
        <v>-59.450110088148875</v>
      </c>
      <c r="AI27" s="145">
        <f t="shared" si="132"/>
        <v>-10.212048216309398</v>
      </c>
      <c r="AJ27" s="145">
        <f t="shared" si="132"/>
        <v>427.60426798139395</v>
      </c>
      <c r="AK27" s="145">
        <f t="shared" si="132"/>
        <v>-109.64240987891594</v>
      </c>
      <c r="AL27" s="145">
        <f t="shared" si="132"/>
        <v>-69.375419436457605</v>
      </c>
      <c r="AM27" s="145">
        <f t="shared" si="132"/>
        <v>-0.62961288228780177</v>
      </c>
      <c r="AN27" s="145">
        <f t="shared" si="132"/>
        <v>19.884406416909769</v>
      </c>
      <c r="AO27" s="145">
        <f t="shared" si="132"/>
        <v>-62.72780940659672</v>
      </c>
      <c r="AP27" s="145">
        <f t="shared" si="132"/>
        <v>-3.1858720112517602</v>
      </c>
      <c r="AQ27" s="145">
        <f t="shared" si="132"/>
        <v>-29.407580419050475</v>
      </c>
      <c r="AR27" s="146">
        <f t="shared" si="132"/>
        <v>4.8541227168950059</v>
      </c>
      <c r="AS27" s="408">
        <f t="shared" si="124"/>
        <v>239.55169037334366</v>
      </c>
      <c r="AT27" s="148">
        <f t="shared" ref="AT27:BE27" si="133">+AT25-AT26</f>
        <v>9.3990597468549169</v>
      </c>
      <c r="AU27" s="145">
        <f t="shared" si="133"/>
        <v>-65.994733001149896</v>
      </c>
      <c r="AV27" s="145">
        <f t="shared" si="133"/>
        <v>-14.997691496624441</v>
      </c>
      <c r="AW27" s="145">
        <f t="shared" si="133"/>
        <v>-13.455086763534277</v>
      </c>
      <c r="AX27" s="145">
        <f t="shared" si="133"/>
        <v>-13.228286267806268</v>
      </c>
      <c r="AY27" s="145">
        <f t="shared" si="133"/>
        <v>1868.5015654438339</v>
      </c>
      <c r="AZ27" s="145">
        <f t="shared" si="133"/>
        <v>-1584</v>
      </c>
      <c r="BA27" s="145">
        <f t="shared" si="133"/>
        <v>0</v>
      </c>
      <c r="BB27" s="145">
        <f t="shared" si="133"/>
        <v>0</v>
      </c>
      <c r="BC27" s="145">
        <f t="shared" si="133"/>
        <v>0</v>
      </c>
      <c r="BD27" s="145">
        <f t="shared" si="133"/>
        <v>0</v>
      </c>
      <c r="BE27" s="146">
        <f t="shared" si="133"/>
        <v>0</v>
      </c>
      <c r="BF27" s="147">
        <f t="shared" si="125"/>
        <v>186.22482766157395</v>
      </c>
      <c r="BG27" s="148">
        <f t="shared" ref="BG27:BR27" si="134">+BG25-BG26</f>
        <v>0</v>
      </c>
      <c r="BH27" s="145">
        <f t="shared" si="134"/>
        <v>0</v>
      </c>
      <c r="BI27" s="145">
        <f t="shared" si="134"/>
        <v>0</v>
      </c>
      <c r="BJ27" s="145">
        <f t="shared" si="134"/>
        <v>0</v>
      </c>
      <c r="BK27" s="145">
        <f t="shared" si="134"/>
        <v>0</v>
      </c>
      <c r="BL27" s="145">
        <f t="shared" si="134"/>
        <v>0</v>
      </c>
      <c r="BM27" s="145">
        <f t="shared" si="134"/>
        <v>0</v>
      </c>
      <c r="BN27" s="145">
        <f t="shared" si="134"/>
        <v>0</v>
      </c>
      <c r="BO27" s="145">
        <f t="shared" si="134"/>
        <v>0</v>
      </c>
      <c r="BP27" s="145">
        <f t="shared" si="134"/>
        <v>0</v>
      </c>
      <c r="BQ27" s="145">
        <f t="shared" si="134"/>
        <v>0</v>
      </c>
      <c r="BR27" s="146">
        <f t="shared" si="134"/>
        <v>0</v>
      </c>
      <c r="BS27" s="147">
        <f t="shared" si="126"/>
        <v>0</v>
      </c>
      <c r="BT27" s="148">
        <f t="shared" ref="BT27:CE27" si="135">+BT25-BT26</f>
        <v>0</v>
      </c>
      <c r="BU27" s="145">
        <f t="shared" si="135"/>
        <v>0</v>
      </c>
      <c r="BV27" s="145">
        <f t="shared" si="135"/>
        <v>0</v>
      </c>
      <c r="BW27" s="145">
        <f t="shared" si="135"/>
        <v>0</v>
      </c>
      <c r="BX27" s="145">
        <f t="shared" si="135"/>
        <v>0</v>
      </c>
      <c r="BY27" s="145">
        <f t="shared" si="135"/>
        <v>0</v>
      </c>
      <c r="BZ27" s="145">
        <f t="shared" si="135"/>
        <v>0</v>
      </c>
      <c r="CA27" s="145">
        <f t="shared" si="135"/>
        <v>0</v>
      </c>
      <c r="CB27" s="145">
        <f t="shared" si="135"/>
        <v>0</v>
      </c>
      <c r="CC27" s="145">
        <f t="shared" si="135"/>
        <v>0</v>
      </c>
      <c r="CD27" s="145">
        <f t="shared" si="135"/>
        <v>0</v>
      </c>
      <c r="CE27" s="146">
        <f t="shared" si="135"/>
        <v>0</v>
      </c>
      <c r="CF27" s="147">
        <f t="shared" si="97"/>
        <v>0</v>
      </c>
      <c r="CG27" s="148">
        <f t="shared" ref="CG27:CR27" si="136">+CG25-CG26</f>
        <v>0</v>
      </c>
      <c r="CH27" s="145">
        <f t="shared" si="136"/>
        <v>0</v>
      </c>
      <c r="CI27" s="145">
        <f t="shared" si="136"/>
        <v>0</v>
      </c>
      <c r="CJ27" s="145">
        <f t="shared" si="136"/>
        <v>0</v>
      </c>
      <c r="CK27" s="145">
        <f t="shared" si="136"/>
        <v>0</v>
      </c>
      <c r="CL27" s="145">
        <f t="shared" si="136"/>
        <v>0</v>
      </c>
      <c r="CM27" s="145">
        <f t="shared" si="136"/>
        <v>0</v>
      </c>
      <c r="CN27" s="145">
        <f t="shared" si="136"/>
        <v>0</v>
      </c>
      <c r="CO27" s="145">
        <f t="shared" si="136"/>
        <v>0</v>
      </c>
      <c r="CP27" s="145">
        <f t="shared" si="136"/>
        <v>0</v>
      </c>
      <c r="CQ27" s="145">
        <f t="shared" si="136"/>
        <v>0</v>
      </c>
      <c r="CR27" s="146">
        <f t="shared" si="136"/>
        <v>0</v>
      </c>
      <c r="CS27" s="147">
        <f t="shared" si="98"/>
        <v>0</v>
      </c>
      <c r="CT27" s="148">
        <f t="shared" ref="CT27:DE27" si="137">+CT25-CT26</f>
        <v>0</v>
      </c>
      <c r="CU27" s="145">
        <f t="shared" si="137"/>
        <v>0</v>
      </c>
      <c r="CV27" s="145">
        <f t="shared" si="137"/>
        <v>0</v>
      </c>
      <c r="CW27" s="145">
        <f t="shared" si="137"/>
        <v>0</v>
      </c>
      <c r="CX27" s="145">
        <f t="shared" si="137"/>
        <v>0</v>
      </c>
      <c r="CY27" s="145">
        <f t="shared" si="137"/>
        <v>0</v>
      </c>
      <c r="CZ27" s="145">
        <f t="shared" si="137"/>
        <v>0</v>
      </c>
      <c r="DA27" s="145">
        <f t="shared" si="137"/>
        <v>0</v>
      </c>
      <c r="DB27" s="145">
        <f t="shared" si="137"/>
        <v>0</v>
      </c>
      <c r="DC27" s="145">
        <f t="shared" si="137"/>
        <v>0</v>
      </c>
      <c r="DD27" s="145">
        <f t="shared" si="137"/>
        <v>0</v>
      </c>
      <c r="DE27" s="146">
        <f t="shared" si="137"/>
        <v>0</v>
      </c>
      <c r="DF27" s="147">
        <f t="shared" si="99"/>
        <v>0</v>
      </c>
      <c r="DG27" s="146">
        <f>+DG25-DG26</f>
        <v>0</v>
      </c>
      <c r="DH27" s="98">
        <f t="shared" si="127"/>
        <v>997.36174521791804</v>
      </c>
      <c r="DI27" s="99">
        <f t="shared" si="128"/>
        <v>997.36174521791872</v>
      </c>
      <c r="DJ27" s="100">
        <f t="shared" si="129"/>
        <v>0</v>
      </c>
    </row>
    <row r="28" spans="1:118" ht="15" customHeight="1" outlineLevel="1">
      <c r="A28" s="607"/>
      <c r="B28" s="557" t="s">
        <v>201</v>
      </c>
      <c r="C28" s="246" t="s">
        <v>62</v>
      </c>
      <c r="D28" s="183" t="s">
        <v>122</v>
      </c>
      <c r="E28" s="153">
        <f>AF28+AS28+BF28+BS28+CF28+CS28+DF28+S28+DG28</f>
        <v>66797.65938484951</v>
      </c>
      <c r="F28" s="153"/>
      <c r="G28" s="154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6"/>
      <c r="S28" s="157">
        <f t="shared" si="89"/>
        <v>0</v>
      </c>
      <c r="T28" s="378"/>
      <c r="U28" s="382"/>
      <c r="V28" s="382"/>
      <c r="W28" s="382"/>
      <c r="X28" s="382"/>
      <c r="Y28" s="382"/>
      <c r="Z28" s="382"/>
      <c r="AA28" s="382"/>
      <c r="AB28" s="382"/>
      <c r="AC28" s="382"/>
      <c r="AD28" s="382"/>
      <c r="AE28" s="382"/>
      <c r="AF28" s="157">
        <f t="shared" si="90"/>
        <v>0</v>
      </c>
      <c r="AG28" s="499"/>
      <c r="AH28" s="513"/>
      <c r="AI28" s="513"/>
      <c r="AJ28" s="513"/>
      <c r="AK28" s="513"/>
      <c r="AL28" s="513"/>
      <c r="AM28" s="513"/>
      <c r="AN28" s="513"/>
      <c r="AO28" s="513"/>
      <c r="AP28" s="513"/>
      <c r="AQ28" s="513"/>
      <c r="AR28" s="512"/>
      <c r="AS28" s="409">
        <f t="shared" ref="AS28:AS33" si="138">SUM(AG28:AR28)</f>
        <v>0</v>
      </c>
      <c r="AT28" s="500"/>
      <c r="AU28" s="513"/>
      <c r="AV28" s="512"/>
      <c r="AW28" s="500"/>
      <c r="AX28" s="513"/>
      <c r="AY28" s="513"/>
      <c r="AZ28" s="283"/>
      <c r="BA28" s="283"/>
      <c r="BB28" s="283"/>
      <c r="BC28" s="283"/>
      <c r="BD28" s="543"/>
      <c r="BE28" s="543"/>
      <c r="BF28" s="157">
        <f t="shared" ref="BF28:BF33" si="139">SUM(AT28:BE28)</f>
        <v>0</v>
      </c>
      <c r="BG28" s="543"/>
      <c r="BH28" s="543"/>
      <c r="BI28" s="544"/>
      <c r="BJ28" s="538">
        <v>13767.219743533191</v>
      </c>
      <c r="BK28" s="283">
        <v>4468.6109405151865</v>
      </c>
      <c r="BL28" s="283">
        <v>4841.9701056722542</v>
      </c>
      <c r="BM28" s="283">
        <v>5096.1038972501974</v>
      </c>
      <c r="BN28" s="283">
        <v>5224.7546978786713</v>
      </c>
      <c r="BO28" s="283">
        <v>5224.7546978786759</v>
      </c>
      <c r="BP28" s="155">
        <v>5096.1038972501974</v>
      </c>
      <c r="BQ28" s="283">
        <v>4841.9701056722506</v>
      </c>
      <c r="BR28" s="155">
        <v>4468.6109405151847</v>
      </c>
      <c r="BS28" s="157">
        <f t="shared" ref="BS28:BS33" si="140">SUM(BG28:BR28)</f>
        <v>53030.099026165815</v>
      </c>
      <c r="BT28" s="359">
        <v>3985.2197435332037</v>
      </c>
      <c r="BU28" s="283">
        <v>3403.6992102793624</v>
      </c>
      <c r="BV28" s="283">
        <v>2738.3683062384298</v>
      </c>
      <c r="BW28" s="283">
        <v>2005.609686374542</v>
      </c>
      <c r="BX28" s="283">
        <v>1223.4662997951705</v>
      </c>
      <c r="BY28" s="283">
        <v>411.19711246299357</v>
      </c>
      <c r="BZ28" s="155"/>
      <c r="CA28" s="158"/>
      <c r="CB28" s="155"/>
      <c r="CC28" s="155"/>
      <c r="CD28" s="155"/>
      <c r="CE28" s="155"/>
      <c r="CF28" s="157">
        <f t="shared" si="97"/>
        <v>13767.560358683702</v>
      </c>
      <c r="CG28" s="359"/>
      <c r="CH28" s="283"/>
      <c r="CI28" s="283"/>
      <c r="CJ28" s="283"/>
      <c r="CK28" s="283"/>
      <c r="CL28" s="283"/>
      <c r="CM28" s="155"/>
      <c r="CN28" s="158"/>
      <c r="CO28" s="155"/>
      <c r="CP28" s="155"/>
      <c r="CQ28" s="155"/>
      <c r="CR28" s="155"/>
      <c r="CS28" s="157">
        <f t="shared" si="98"/>
        <v>0</v>
      </c>
      <c r="CT28" s="359"/>
      <c r="CU28" s="283"/>
      <c r="CV28" s="283"/>
      <c r="CW28" s="283"/>
      <c r="CX28" s="283"/>
      <c r="CY28" s="283"/>
      <c r="CZ28" s="155"/>
      <c r="DA28" s="158"/>
      <c r="DB28" s="155"/>
      <c r="DC28" s="155"/>
      <c r="DD28" s="155"/>
      <c r="DE28" s="155"/>
      <c r="DF28" s="157">
        <f t="shared" si="99"/>
        <v>0</v>
      </c>
      <c r="DG28" s="280"/>
      <c r="DH28" s="159">
        <f t="shared" ref="DH28:DH33" si="141">+F28+S28+AF28+AS28+BF28+BS28+DG28</f>
        <v>53030.099026165815</v>
      </c>
      <c r="DI28" s="160">
        <f t="shared" ref="DI28:DI33" si="142">+E28</f>
        <v>66797.65938484951</v>
      </c>
      <c r="DJ28" s="161">
        <f t="shared" ref="DJ28:DJ33" si="143">+DI28-DH28</f>
        <v>13767.560358683695</v>
      </c>
      <c r="DM28" s="134">
        <f>AS28+BF28+BS28+CF28+CS28+DG28+DF28+S28+AF28+DO28</f>
        <v>66797.65938484951</v>
      </c>
    </row>
    <row r="29" spans="1:118" ht="15" customHeight="1" outlineLevel="1">
      <c r="A29" s="607"/>
      <c r="B29" s="558"/>
      <c r="C29" s="245" t="s">
        <v>63</v>
      </c>
      <c r="D29" s="184" t="s">
        <v>119</v>
      </c>
      <c r="E29" s="136">
        <f>AF29+AS29+BF29+BS29+CF29+CS29+DF29+S29+DG29</f>
        <v>60118.200000000004</v>
      </c>
      <c r="F29" s="136"/>
      <c r="G29" s="137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9"/>
      <c r="S29" s="162">
        <f t="shared" si="89"/>
        <v>0</v>
      </c>
      <c r="T29" s="380"/>
      <c r="U29" s="381"/>
      <c r="V29" s="381"/>
      <c r="W29" s="381"/>
      <c r="X29" s="381"/>
      <c r="Y29" s="381"/>
      <c r="Z29" s="381"/>
      <c r="AA29" s="381"/>
      <c r="AB29" s="381"/>
      <c r="AC29" s="381"/>
      <c r="AD29" s="381"/>
      <c r="AE29" s="392"/>
      <c r="AF29" s="162">
        <f t="shared" si="90"/>
        <v>0</v>
      </c>
      <c r="AG29" s="497"/>
      <c r="AH29" s="499"/>
      <c r="AI29" s="499"/>
      <c r="AJ29" s="499"/>
      <c r="AK29" s="499"/>
      <c r="AL29" s="499"/>
      <c r="AM29" s="499"/>
      <c r="AN29" s="499"/>
      <c r="AO29" s="499"/>
      <c r="AP29" s="499"/>
      <c r="AQ29" s="499"/>
      <c r="AR29" s="511"/>
      <c r="AS29" s="410">
        <f t="shared" si="138"/>
        <v>0</v>
      </c>
      <c r="AT29" s="501"/>
      <c r="AU29" s="499"/>
      <c r="AV29" s="511"/>
      <c r="AW29" s="501"/>
      <c r="AX29" s="499"/>
      <c r="AY29" s="499"/>
      <c r="AZ29" s="253"/>
      <c r="BA29" s="253"/>
      <c r="BB29" s="253"/>
      <c r="BC29" s="253"/>
      <c r="BD29" s="253">
        <v>370.07740121669428</v>
      </c>
      <c r="BE29" s="253">
        <v>1101.119669815653</v>
      </c>
      <c r="BF29" s="162">
        <f t="shared" si="139"/>
        <v>1471.1970710323471</v>
      </c>
      <c r="BG29" s="253">
        <v>1805.0487177370835</v>
      </c>
      <c r="BH29" s="253">
        <v>2464.531475614584</v>
      </c>
      <c r="BI29" s="338">
        <v>3063.3292892514305</v>
      </c>
      <c r="BJ29" s="353">
        <v>3586.6977691798711</v>
      </c>
      <c r="BK29" s="253">
        <v>4021.7498464636683</v>
      </c>
      <c r="BL29" s="253">
        <v>4357.7730951050289</v>
      </c>
      <c r="BM29" s="253">
        <v>4586.4935075251778</v>
      </c>
      <c r="BN29" s="253">
        <v>4702.2792280908052</v>
      </c>
      <c r="BO29" s="253">
        <v>4702.2792280908079</v>
      </c>
      <c r="BP29" s="138">
        <v>4586.4935075251778</v>
      </c>
      <c r="BQ29" s="253">
        <v>4357.7730951050253</v>
      </c>
      <c r="BR29" s="138">
        <v>4021.749846463666</v>
      </c>
      <c r="BS29" s="162">
        <f t="shared" si="140"/>
        <v>46256.198606152328</v>
      </c>
      <c r="BT29" s="353">
        <v>3586.6977691798834</v>
      </c>
      <c r="BU29" s="253">
        <v>3063.329289251426</v>
      </c>
      <c r="BV29" s="253">
        <v>2464.5314756145867</v>
      </c>
      <c r="BW29" s="253">
        <v>1805.0487177370878</v>
      </c>
      <c r="BX29" s="253">
        <v>1101.1196698156534</v>
      </c>
      <c r="BY29" s="253">
        <v>370.07740121669423</v>
      </c>
      <c r="BZ29" s="138"/>
      <c r="CA29" s="141"/>
      <c r="CB29" s="138"/>
      <c r="CC29" s="138"/>
      <c r="CD29" s="138"/>
      <c r="CE29" s="138"/>
      <c r="CF29" s="162">
        <f t="shared" si="97"/>
        <v>12390.804322815333</v>
      </c>
      <c r="CG29" s="353"/>
      <c r="CH29" s="253"/>
      <c r="CI29" s="253"/>
      <c r="CJ29" s="253"/>
      <c r="CK29" s="253"/>
      <c r="CL29" s="253"/>
      <c r="CM29" s="138"/>
      <c r="CN29" s="141"/>
      <c r="CO29" s="138"/>
      <c r="CP29" s="138"/>
      <c r="CQ29" s="138"/>
      <c r="CR29" s="138"/>
      <c r="CS29" s="162">
        <f t="shared" si="98"/>
        <v>0</v>
      </c>
      <c r="CT29" s="353"/>
      <c r="CU29" s="253"/>
      <c r="CV29" s="253"/>
      <c r="CW29" s="253"/>
      <c r="CX29" s="253"/>
      <c r="CY29" s="253"/>
      <c r="CZ29" s="138"/>
      <c r="DA29" s="141"/>
      <c r="DB29" s="138"/>
      <c r="DC29" s="138"/>
      <c r="DD29" s="138"/>
      <c r="DE29" s="138"/>
      <c r="DF29" s="162">
        <f t="shared" si="99"/>
        <v>0</v>
      </c>
      <c r="DG29" s="279"/>
      <c r="DH29" s="90">
        <f t="shared" si="141"/>
        <v>47727.395677184672</v>
      </c>
      <c r="DI29" s="91">
        <f t="shared" si="142"/>
        <v>60118.200000000004</v>
      </c>
      <c r="DJ29" s="92">
        <f t="shared" si="143"/>
        <v>12390.804322815333</v>
      </c>
      <c r="DK29" s="64">
        <f>+DH29/DH28</f>
        <v>0.90000578074793502</v>
      </c>
      <c r="DM29" s="134">
        <f>AS29+BF29+BS29+CF29+CS29+DG29+DF29+S29+AF29+DO29</f>
        <v>60118.200000000004</v>
      </c>
      <c r="DN29" s="533">
        <f>DM29/DM28</f>
        <v>0.90000458928708382</v>
      </c>
    </row>
    <row r="30" spans="1:118" ht="15" customHeight="1" outlineLevel="1">
      <c r="A30" s="607"/>
      <c r="B30" s="559"/>
      <c r="C30" s="357" t="s">
        <v>11</v>
      </c>
      <c r="D30" s="358"/>
      <c r="E30" s="143">
        <f t="shared" ref="E30:R30" si="144">+E28-E29</f>
        <v>6679.459384849506</v>
      </c>
      <c r="F30" s="144">
        <f t="shared" si="144"/>
        <v>0</v>
      </c>
      <c r="G30" s="145">
        <f t="shared" si="144"/>
        <v>0</v>
      </c>
      <c r="H30" s="145">
        <f t="shared" si="144"/>
        <v>0</v>
      </c>
      <c r="I30" s="145">
        <f t="shared" si="144"/>
        <v>0</v>
      </c>
      <c r="J30" s="145">
        <f t="shared" si="144"/>
        <v>0</v>
      </c>
      <c r="K30" s="145">
        <f t="shared" si="144"/>
        <v>0</v>
      </c>
      <c r="L30" s="145">
        <f t="shared" si="144"/>
        <v>0</v>
      </c>
      <c r="M30" s="145">
        <f t="shared" si="144"/>
        <v>0</v>
      </c>
      <c r="N30" s="145">
        <f t="shared" si="144"/>
        <v>0</v>
      </c>
      <c r="O30" s="145">
        <f t="shared" si="144"/>
        <v>0</v>
      </c>
      <c r="P30" s="145">
        <f t="shared" si="144"/>
        <v>0</v>
      </c>
      <c r="Q30" s="145">
        <f t="shared" si="144"/>
        <v>0</v>
      </c>
      <c r="R30" s="146">
        <f t="shared" si="144"/>
        <v>0</v>
      </c>
      <c r="S30" s="147">
        <f t="shared" si="89"/>
        <v>0</v>
      </c>
      <c r="T30" s="148">
        <f t="shared" ref="T30:AE30" si="145">+T28-T29</f>
        <v>0</v>
      </c>
      <c r="U30" s="145">
        <f t="shared" si="145"/>
        <v>0</v>
      </c>
      <c r="V30" s="145">
        <f t="shared" si="145"/>
        <v>0</v>
      </c>
      <c r="W30" s="145">
        <f t="shared" si="145"/>
        <v>0</v>
      </c>
      <c r="X30" s="145">
        <f t="shared" si="145"/>
        <v>0</v>
      </c>
      <c r="Y30" s="145">
        <f t="shared" si="145"/>
        <v>0</v>
      </c>
      <c r="Z30" s="145">
        <f t="shared" si="145"/>
        <v>0</v>
      </c>
      <c r="AA30" s="145">
        <f t="shared" si="145"/>
        <v>0</v>
      </c>
      <c r="AB30" s="145">
        <f t="shared" si="145"/>
        <v>0</v>
      </c>
      <c r="AC30" s="145">
        <f t="shared" si="145"/>
        <v>0</v>
      </c>
      <c r="AD30" s="145">
        <f t="shared" si="145"/>
        <v>0</v>
      </c>
      <c r="AE30" s="146">
        <f t="shared" si="145"/>
        <v>0</v>
      </c>
      <c r="AF30" s="147">
        <f t="shared" si="90"/>
        <v>0</v>
      </c>
      <c r="AG30" s="148">
        <f t="shared" ref="AG30:AR30" si="146">+AG28-AG29</f>
        <v>0</v>
      </c>
      <c r="AH30" s="145">
        <f t="shared" si="146"/>
        <v>0</v>
      </c>
      <c r="AI30" s="145">
        <f t="shared" si="146"/>
        <v>0</v>
      </c>
      <c r="AJ30" s="145">
        <f t="shared" si="146"/>
        <v>0</v>
      </c>
      <c r="AK30" s="145">
        <f t="shared" si="146"/>
        <v>0</v>
      </c>
      <c r="AL30" s="145">
        <f t="shared" si="146"/>
        <v>0</v>
      </c>
      <c r="AM30" s="145">
        <f t="shared" si="146"/>
        <v>0</v>
      </c>
      <c r="AN30" s="145">
        <f t="shared" si="146"/>
        <v>0</v>
      </c>
      <c r="AO30" s="145">
        <f t="shared" si="146"/>
        <v>0</v>
      </c>
      <c r="AP30" s="145">
        <f t="shared" si="146"/>
        <v>0</v>
      </c>
      <c r="AQ30" s="145">
        <f t="shared" si="146"/>
        <v>0</v>
      </c>
      <c r="AR30" s="146">
        <f t="shared" si="146"/>
        <v>0</v>
      </c>
      <c r="AS30" s="408">
        <f t="shared" si="138"/>
        <v>0</v>
      </c>
      <c r="AT30" s="148">
        <f t="shared" ref="AT30:BE30" si="147">+AT28-AT29</f>
        <v>0</v>
      </c>
      <c r="AU30" s="145">
        <f t="shared" si="147"/>
        <v>0</v>
      </c>
      <c r="AV30" s="145">
        <f t="shared" si="147"/>
        <v>0</v>
      </c>
      <c r="AW30" s="145">
        <f t="shared" si="147"/>
        <v>0</v>
      </c>
      <c r="AX30" s="145">
        <f t="shared" si="147"/>
        <v>0</v>
      </c>
      <c r="AY30" s="145">
        <f t="shared" si="147"/>
        <v>0</v>
      </c>
      <c r="AZ30" s="145">
        <f t="shared" si="147"/>
        <v>0</v>
      </c>
      <c r="BA30" s="145">
        <f t="shared" si="147"/>
        <v>0</v>
      </c>
      <c r="BB30" s="145">
        <f t="shared" si="147"/>
        <v>0</v>
      </c>
      <c r="BC30" s="145">
        <f t="shared" si="147"/>
        <v>0</v>
      </c>
      <c r="BD30" s="145">
        <f t="shared" si="147"/>
        <v>-370.07740121669428</v>
      </c>
      <c r="BE30" s="146">
        <f t="shared" si="147"/>
        <v>-1101.119669815653</v>
      </c>
      <c r="BF30" s="147">
        <f t="shared" si="139"/>
        <v>-1471.1970710323471</v>
      </c>
      <c r="BG30" s="148">
        <f t="shared" ref="BG30:BR30" si="148">+BG28-BG29</f>
        <v>-1805.0487177370835</v>
      </c>
      <c r="BH30" s="145">
        <f t="shared" si="148"/>
        <v>-2464.531475614584</v>
      </c>
      <c r="BI30" s="145">
        <f t="shared" si="148"/>
        <v>-3063.3292892514305</v>
      </c>
      <c r="BJ30" s="145">
        <f t="shared" si="148"/>
        <v>10180.52197435332</v>
      </c>
      <c r="BK30" s="145">
        <f t="shared" si="148"/>
        <v>446.86109405151819</v>
      </c>
      <c r="BL30" s="145">
        <f t="shared" si="148"/>
        <v>484.19701056722533</v>
      </c>
      <c r="BM30" s="145">
        <f t="shared" si="148"/>
        <v>509.61038972501956</v>
      </c>
      <c r="BN30" s="145">
        <f t="shared" si="148"/>
        <v>522.47546978786613</v>
      </c>
      <c r="BO30" s="145">
        <f t="shared" si="148"/>
        <v>522.47546978786795</v>
      </c>
      <c r="BP30" s="145">
        <f t="shared" si="148"/>
        <v>509.61038972501956</v>
      </c>
      <c r="BQ30" s="145">
        <f t="shared" si="148"/>
        <v>484.19701056722533</v>
      </c>
      <c r="BR30" s="146">
        <f t="shared" si="148"/>
        <v>446.86109405151865</v>
      </c>
      <c r="BS30" s="147">
        <f t="shared" si="140"/>
        <v>6773.9004200134823</v>
      </c>
      <c r="BT30" s="148">
        <f t="shared" ref="BT30:CE30" si="149">+BT28-BT29</f>
        <v>398.52197435332027</v>
      </c>
      <c r="BU30" s="145">
        <f t="shared" si="149"/>
        <v>340.36992102793647</v>
      </c>
      <c r="BV30" s="145">
        <f t="shared" si="149"/>
        <v>273.83683062384307</v>
      </c>
      <c r="BW30" s="145">
        <f t="shared" si="149"/>
        <v>200.56096863745415</v>
      </c>
      <c r="BX30" s="145">
        <f t="shared" si="149"/>
        <v>122.34662997951705</v>
      </c>
      <c r="BY30" s="145">
        <f t="shared" si="149"/>
        <v>41.119711246299346</v>
      </c>
      <c r="BZ30" s="145">
        <f t="shared" si="149"/>
        <v>0</v>
      </c>
      <c r="CA30" s="145">
        <f t="shared" si="149"/>
        <v>0</v>
      </c>
      <c r="CB30" s="145">
        <f t="shared" si="149"/>
        <v>0</v>
      </c>
      <c r="CC30" s="145">
        <f t="shared" si="149"/>
        <v>0</v>
      </c>
      <c r="CD30" s="145">
        <f t="shared" si="149"/>
        <v>0</v>
      </c>
      <c r="CE30" s="146">
        <f t="shared" si="149"/>
        <v>0</v>
      </c>
      <c r="CF30" s="147">
        <f t="shared" si="97"/>
        <v>1376.7560358683704</v>
      </c>
      <c r="CG30" s="148">
        <f t="shared" ref="CG30:CR30" si="150">+CG28-CG29</f>
        <v>0</v>
      </c>
      <c r="CH30" s="145">
        <f t="shared" si="150"/>
        <v>0</v>
      </c>
      <c r="CI30" s="145">
        <f t="shared" si="150"/>
        <v>0</v>
      </c>
      <c r="CJ30" s="145">
        <f t="shared" si="150"/>
        <v>0</v>
      </c>
      <c r="CK30" s="145">
        <f t="shared" si="150"/>
        <v>0</v>
      </c>
      <c r="CL30" s="145">
        <f t="shared" si="150"/>
        <v>0</v>
      </c>
      <c r="CM30" s="145">
        <f t="shared" si="150"/>
        <v>0</v>
      </c>
      <c r="CN30" s="145">
        <f t="shared" si="150"/>
        <v>0</v>
      </c>
      <c r="CO30" s="145">
        <f t="shared" si="150"/>
        <v>0</v>
      </c>
      <c r="CP30" s="145">
        <f t="shared" si="150"/>
        <v>0</v>
      </c>
      <c r="CQ30" s="145">
        <f t="shared" si="150"/>
        <v>0</v>
      </c>
      <c r="CR30" s="146">
        <f t="shared" si="150"/>
        <v>0</v>
      </c>
      <c r="CS30" s="147">
        <f t="shared" si="98"/>
        <v>0</v>
      </c>
      <c r="CT30" s="148">
        <f t="shared" ref="CT30:DE30" si="151">+CT28-CT29</f>
        <v>0</v>
      </c>
      <c r="CU30" s="145">
        <f t="shared" si="151"/>
        <v>0</v>
      </c>
      <c r="CV30" s="145">
        <f t="shared" si="151"/>
        <v>0</v>
      </c>
      <c r="CW30" s="145">
        <f t="shared" si="151"/>
        <v>0</v>
      </c>
      <c r="CX30" s="145">
        <f t="shared" si="151"/>
        <v>0</v>
      </c>
      <c r="CY30" s="145">
        <f t="shared" si="151"/>
        <v>0</v>
      </c>
      <c r="CZ30" s="145">
        <f t="shared" si="151"/>
        <v>0</v>
      </c>
      <c r="DA30" s="145">
        <f t="shared" si="151"/>
        <v>0</v>
      </c>
      <c r="DB30" s="145">
        <f t="shared" si="151"/>
        <v>0</v>
      </c>
      <c r="DC30" s="145">
        <f t="shared" si="151"/>
        <v>0</v>
      </c>
      <c r="DD30" s="145">
        <f t="shared" si="151"/>
        <v>0</v>
      </c>
      <c r="DE30" s="146">
        <f t="shared" si="151"/>
        <v>0</v>
      </c>
      <c r="DF30" s="147">
        <f t="shared" si="99"/>
        <v>0</v>
      </c>
      <c r="DG30" s="146">
        <f>+DG28-DG29</f>
        <v>0</v>
      </c>
      <c r="DH30" s="98">
        <f t="shared" si="141"/>
        <v>5302.7033489811347</v>
      </c>
      <c r="DI30" s="99">
        <f t="shared" si="142"/>
        <v>6679.459384849506</v>
      </c>
      <c r="DJ30" s="100">
        <f t="shared" si="143"/>
        <v>1376.7560358683713</v>
      </c>
    </row>
    <row r="31" spans="1:118" ht="15" customHeight="1" outlineLevel="1">
      <c r="A31" s="607"/>
      <c r="B31" s="557" t="s">
        <v>202</v>
      </c>
      <c r="C31" s="246" t="s">
        <v>62</v>
      </c>
      <c r="D31" s="183" t="s">
        <v>122</v>
      </c>
      <c r="E31" s="153">
        <f>AF31+AS31+BF31+BS31+CF31+CS31+DF31+S31+DG31</f>
        <v>65588.399999999994</v>
      </c>
      <c r="F31" s="153"/>
      <c r="G31" s="154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6"/>
      <c r="S31" s="157">
        <f t="shared" si="89"/>
        <v>0</v>
      </c>
      <c r="T31" s="378"/>
      <c r="U31" s="382"/>
      <c r="V31" s="382"/>
      <c r="W31" s="382"/>
      <c r="X31" s="382"/>
      <c r="Y31" s="382"/>
      <c r="Z31" s="382"/>
      <c r="AA31" s="382"/>
      <c r="AB31" s="382"/>
      <c r="AC31" s="382"/>
      <c r="AD31" s="382"/>
      <c r="AE31" s="382"/>
      <c r="AF31" s="157">
        <f t="shared" si="90"/>
        <v>0</v>
      </c>
      <c r="AG31" s="499"/>
      <c r="AH31" s="513"/>
      <c r="AI31" s="513"/>
      <c r="AJ31" s="513"/>
      <c r="AK31" s="513"/>
      <c r="AL31" s="513"/>
      <c r="AM31" s="513"/>
      <c r="AN31" s="513"/>
      <c r="AO31" s="513"/>
      <c r="AP31" s="513"/>
      <c r="AQ31" s="513"/>
      <c r="AR31" s="512"/>
      <c r="AS31" s="409">
        <f t="shared" si="138"/>
        <v>0</v>
      </c>
      <c r="AT31" s="500"/>
      <c r="AU31" s="513"/>
      <c r="AV31" s="513"/>
      <c r="AW31" s="513"/>
      <c r="AX31" s="513"/>
      <c r="AY31" s="513"/>
      <c r="AZ31" s="155"/>
      <c r="BA31" s="155"/>
      <c r="BB31" s="155"/>
      <c r="BC31" s="155"/>
      <c r="BD31" s="155"/>
      <c r="BE31" s="156"/>
      <c r="BF31" s="157">
        <f t="shared" si="139"/>
        <v>0</v>
      </c>
      <c r="BG31" s="158"/>
      <c r="BH31" s="283"/>
      <c r="BI31" s="283"/>
      <c r="BJ31" s="283"/>
      <c r="BK31" s="283"/>
      <c r="BL31" s="283"/>
      <c r="BM31" s="283"/>
      <c r="BN31" s="359"/>
      <c r="BO31" s="283"/>
      <c r="BP31" s="283"/>
      <c r="BQ31" s="283"/>
      <c r="BR31" s="283"/>
      <c r="BS31" s="157">
        <f t="shared" si="140"/>
        <v>0</v>
      </c>
      <c r="BT31" s="359"/>
      <c r="BU31" s="283"/>
      <c r="BV31" s="283"/>
      <c r="BW31" s="283">
        <v>403.75102085493296</v>
      </c>
      <c r="BX31" s="283">
        <v>1201.3113724585394</v>
      </c>
      <c r="BY31" s="283">
        <v>1969.291451148353</v>
      </c>
      <c r="BZ31" s="283">
        <v>2688.7810386072692</v>
      </c>
      <c r="CA31" s="359">
        <v>3342.0639133430232</v>
      </c>
      <c r="CB31" s="283">
        <v>3913.0540828580529</v>
      </c>
      <c r="CC31" s="283">
        <v>4387.6918741711797</v>
      </c>
      <c r="CD31" s="283">
        <v>4754.2901296277423</v>
      </c>
      <c r="CE31" s="283">
        <v>5003.8219835085611</v>
      </c>
      <c r="CF31" s="157">
        <f t="shared" si="97"/>
        <v>27664.056866577652</v>
      </c>
      <c r="CG31" s="158">
        <v>5130.1431334223416</v>
      </c>
      <c r="CH31" s="283">
        <v>5130.1431334223416</v>
      </c>
      <c r="CI31" s="283">
        <v>5003.8219835085656</v>
      </c>
      <c r="CJ31" s="283">
        <v>4754.2901296277378</v>
      </c>
      <c r="CK31" s="283">
        <v>4387.6918741711816</v>
      </c>
      <c r="CL31" s="283">
        <v>3913.0540828580606</v>
      </c>
      <c r="CM31" s="283">
        <v>3342.0639133430209</v>
      </c>
      <c r="CN31" s="359">
        <v>2688.7810386072729</v>
      </c>
      <c r="CO31" s="283">
        <v>1969.2914511483559</v>
      </c>
      <c r="CP31" s="283">
        <v>1201.3113724585371</v>
      </c>
      <c r="CQ31" s="283">
        <v>403.75102085493654</v>
      </c>
      <c r="CR31" s="283"/>
      <c r="CS31" s="157">
        <f t="shared" si="98"/>
        <v>37924.343133422342</v>
      </c>
      <c r="CT31" s="158"/>
      <c r="CU31" s="283"/>
      <c r="CV31" s="283"/>
      <c r="CW31" s="283"/>
      <c r="CX31" s="283"/>
      <c r="CY31" s="283"/>
      <c r="CZ31" s="283"/>
      <c r="DA31" s="359"/>
      <c r="DB31" s="283"/>
      <c r="DC31" s="283"/>
      <c r="DD31" s="283"/>
      <c r="DE31" s="283"/>
      <c r="DF31" s="157">
        <f t="shared" si="99"/>
        <v>0</v>
      </c>
      <c r="DG31" s="280"/>
      <c r="DH31" s="159">
        <f t="shared" si="141"/>
        <v>0</v>
      </c>
      <c r="DI31" s="160">
        <f t="shared" si="142"/>
        <v>65588.399999999994</v>
      </c>
      <c r="DJ31" s="161">
        <f t="shared" si="143"/>
        <v>65588.399999999994</v>
      </c>
      <c r="DM31" s="134">
        <f>AS31+BF31+BS31+CF31+CS31+DG31+DF31+S31+AF31+DO31</f>
        <v>65588.399999999994</v>
      </c>
    </row>
    <row r="32" spans="1:118" ht="15" customHeight="1" outlineLevel="1">
      <c r="A32" s="607"/>
      <c r="B32" s="558"/>
      <c r="C32" s="245" t="s">
        <v>63</v>
      </c>
      <c r="D32" s="184" t="s">
        <v>119</v>
      </c>
      <c r="E32" s="136">
        <f>AF32+AS32+BF32+BS32+CF32+CS32+DF32+S32+DG32</f>
        <v>59029.56</v>
      </c>
      <c r="F32" s="136"/>
      <c r="G32" s="137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9"/>
      <c r="S32" s="162">
        <f t="shared" si="89"/>
        <v>0</v>
      </c>
      <c r="T32" s="380"/>
      <c r="U32" s="381"/>
      <c r="V32" s="381"/>
      <c r="W32" s="381"/>
      <c r="X32" s="381"/>
      <c r="Y32" s="381"/>
      <c r="Z32" s="381"/>
      <c r="AA32" s="381"/>
      <c r="AB32" s="381"/>
      <c r="AC32" s="381"/>
      <c r="AD32" s="381"/>
      <c r="AE32" s="392"/>
      <c r="AF32" s="162">
        <f t="shared" si="90"/>
        <v>0</v>
      </c>
      <c r="AG32" s="497"/>
      <c r="AH32" s="499"/>
      <c r="AI32" s="499"/>
      <c r="AJ32" s="499"/>
      <c r="AK32" s="499"/>
      <c r="AL32" s="499"/>
      <c r="AM32" s="499"/>
      <c r="AN32" s="499"/>
      <c r="AO32" s="499"/>
      <c r="AP32" s="499"/>
      <c r="AQ32" s="499"/>
      <c r="AR32" s="511"/>
      <c r="AS32" s="410">
        <f t="shared" si="138"/>
        <v>0</v>
      </c>
      <c r="AT32" s="501"/>
      <c r="AU32" s="499"/>
      <c r="AV32" s="499"/>
      <c r="AW32" s="499"/>
      <c r="AX32" s="499"/>
      <c r="AY32" s="499"/>
      <c r="AZ32" s="138"/>
      <c r="BA32" s="138"/>
      <c r="BB32" s="138"/>
      <c r="BC32" s="138"/>
      <c r="BD32" s="138"/>
      <c r="BE32" s="139"/>
      <c r="BF32" s="162">
        <f t="shared" si="139"/>
        <v>0</v>
      </c>
      <c r="BG32" s="141"/>
      <c r="BH32" s="253"/>
      <c r="BI32" s="253"/>
      <c r="BJ32" s="253"/>
      <c r="BK32" s="253"/>
      <c r="BL32" s="253"/>
      <c r="BM32" s="253"/>
      <c r="BN32" s="353"/>
      <c r="BO32" s="253"/>
      <c r="BP32" s="253"/>
      <c r="BQ32" s="253"/>
      <c r="BR32" s="253"/>
      <c r="BS32" s="162">
        <f t="shared" si="140"/>
        <v>0</v>
      </c>
      <c r="BT32" s="353"/>
      <c r="BU32" s="253"/>
      <c r="BV32" s="253"/>
      <c r="BW32" s="253">
        <v>363.37591876943969</v>
      </c>
      <c r="BX32" s="253">
        <v>1081.1802352126856</v>
      </c>
      <c r="BY32" s="253">
        <v>1772.3623060335178</v>
      </c>
      <c r="BZ32" s="253">
        <v>2419.9029347465421</v>
      </c>
      <c r="CA32" s="353">
        <v>3007.8575220087209</v>
      </c>
      <c r="CB32" s="253">
        <v>3521.7486745722476</v>
      </c>
      <c r="CC32" s="253">
        <v>3948.9226867540615</v>
      </c>
      <c r="CD32" s="253">
        <v>4278.861116664968</v>
      </c>
      <c r="CE32" s="253">
        <v>4503.439785157706</v>
      </c>
      <c r="CF32" s="162">
        <f t="shared" si="97"/>
        <v>24897.651179919889</v>
      </c>
      <c r="CG32" s="141">
        <v>4617.1288200801073</v>
      </c>
      <c r="CH32" s="253">
        <v>4617.1288200801073</v>
      </c>
      <c r="CI32" s="253">
        <v>4503.4397851577087</v>
      </c>
      <c r="CJ32" s="253">
        <v>4278.8611166649644</v>
      </c>
      <c r="CK32" s="253">
        <v>3948.9226867540633</v>
      </c>
      <c r="CL32" s="253">
        <v>3521.7486745722545</v>
      </c>
      <c r="CM32" s="253">
        <v>3007.8575220087191</v>
      </c>
      <c r="CN32" s="353">
        <v>2419.9029347465457</v>
      </c>
      <c r="CO32" s="253">
        <v>1772.3623060335206</v>
      </c>
      <c r="CP32" s="253">
        <v>1081.1802352126833</v>
      </c>
      <c r="CQ32" s="253">
        <v>363.37591876944288</v>
      </c>
      <c r="CR32" s="253"/>
      <c r="CS32" s="162">
        <f t="shared" si="98"/>
        <v>34131.908820080112</v>
      </c>
      <c r="CT32" s="141"/>
      <c r="CU32" s="253"/>
      <c r="CV32" s="253"/>
      <c r="CW32" s="253"/>
      <c r="CX32" s="253"/>
      <c r="CY32" s="253"/>
      <c r="CZ32" s="253"/>
      <c r="DA32" s="353"/>
      <c r="DB32" s="253"/>
      <c r="DC32" s="253"/>
      <c r="DD32" s="253"/>
      <c r="DE32" s="253"/>
      <c r="DF32" s="162">
        <f t="shared" si="99"/>
        <v>0</v>
      </c>
      <c r="DG32" s="279"/>
      <c r="DH32" s="90">
        <f t="shared" si="141"/>
        <v>0</v>
      </c>
      <c r="DI32" s="91">
        <f t="shared" si="142"/>
        <v>59029.56</v>
      </c>
      <c r="DJ32" s="92">
        <f t="shared" si="143"/>
        <v>59029.56</v>
      </c>
      <c r="DK32" s="64" t="e">
        <f>+DH32/DH31</f>
        <v>#DIV/0!</v>
      </c>
      <c r="DM32" s="134">
        <f>AS32+BF32+BS32+CF32+CS32+DG32+DF32+S32+AF32+DO32</f>
        <v>59029.56</v>
      </c>
      <c r="DN32" s="533">
        <f>DM32/DM31</f>
        <v>0.9</v>
      </c>
    </row>
    <row r="33" spans="1:118" ht="15" customHeight="1" outlineLevel="1">
      <c r="A33" s="607"/>
      <c r="B33" s="559"/>
      <c r="C33" s="357" t="s">
        <v>11</v>
      </c>
      <c r="D33" s="358"/>
      <c r="E33" s="143">
        <f t="shared" ref="E33:R33" si="152">+E31-E32</f>
        <v>6558.8399999999965</v>
      </c>
      <c r="F33" s="144">
        <f t="shared" si="152"/>
        <v>0</v>
      </c>
      <c r="G33" s="145">
        <f t="shared" si="152"/>
        <v>0</v>
      </c>
      <c r="H33" s="145">
        <f t="shared" si="152"/>
        <v>0</v>
      </c>
      <c r="I33" s="145">
        <f t="shared" si="152"/>
        <v>0</v>
      </c>
      <c r="J33" s="145">
        <f t="shared" si="152"/>
        <v>0</v>
      </c>
      <c r="K33" s="145">
        <f t="shared" si="152"/>
        <v>0</v>
      </c>
      <c r="L33" s="145">
        <f t="shared" si="152"/>
        <v>0</v>
      </c>
      <c r="M33" s="145">
        <f t="shared" si="152"/>
        <v>0</v>
      </c>
      <c r="N33" s="145">
        <f t="shared" si="152"/>
        <v>0</v>
      </c>
      <c r="O33" s="145">
        <f t="shared" si="152"/>
        <v>0</v>
      </c>
      <c r="P33" s="145">
        <f t="shared" si="152"/>
        <v>0</v>
      </c>
      <c r="Q33" s="145">
        <f t="shared" si="152"/>
        <v>0</v>
      </c>
      <c r="R33" s="146">
        <f t="shared" si="152"/>
        <v>0</v>
      </c>
      <c r="S33" s="147">
        <f t="shared" si="89"/>
        <v>0</v>
      </c>
      <c r="T33" s="148">
        <f t="shared" ref="T33:AE33" si="153">+T31-T32</f>
        <v>0</v>
      </c>
      <c r="U33" s="145">
        <f t="shared" si="153"/>
        <v>0</v>
      </c>
      <c r="V33" s="145">
        <f t="shared" si="153"/>
        <v>0</v>
      </c>
      <c r="W33" s="145">
        <f t="shared" si="153"/>
        <v>0</v>
      </c>
      <c r="X33" s="145">
        <f t="shared" si="153"/>
        <v>0</v>
      </c>
      <c r="Y33" s="145">
        <f t="shared" si="153"/>
        <v>0</v>
      </c>
      <c r="Z33" s="145">
        <f t="shared" si="153"/>
        <v>0</v>
      </c>
      <c r="AA33" s="145">
        <f t="shared" si="153"/>
        <v>0</v>
      </c>
      <c r="AB33" s="145">
        <f t="shared" si="153"/>
        <v>0</v>
      </c>
      <c r="AC33" s="145">
        <f t="shared" si="153"/>
        <v>0</v>
      </c>
      <c r="AD33" s="145">
        <f t="shared" si="153"/>
        <v>0</v>
      </c>
      <c r="AE33" s="146">
        <f t="shared" si="153"/>
        <v>0</v>
      </c>
      <c r="AF33" s="147">
        <f t="shared" si="90"/>
        <v>0</v>
      </c>
      <c r="AG33" s="148">
        <f t="shared" ref="AG33:AR33" si="154">+AG31-AG32</f>
        <v>0</v>
      </c>
      <c r="AH33" s="145">
        <f t="shared" si="154"/>
        <v>0</v>
      </c>
      <c r="AI33" s="145">
        <f t="shared" si="154"/>
        <v>0</v>
      </c>
      <c r="AJ33" s="145">
        <f t="shared" si="154"/>
        <v>0</v>
      </c>
      <c r="AK33" s="145">
        <f t="shared" si="154"/>
        <v>0</v>
      </c>
      <c r="AL33" s="145">
        <f t="shared" si="154"/>
        <v>0</v>
      </c>
      <c r="AM33" s="145">
        <f t="shared" si="154"/>
        <v>0</v>
      </c>
      <c r="AN33" s="145">
        <f t="shared" si="154"/>
        <v>0</v>
      </c>
      <c r="AO33" s="145">
        <f t="shared" si="154"/>
        <v>0</v>
      </c>
      <c r="AP33" s="145">
        <f t="shared" si="154"/>
        <v>0</v>
      </c>
      <c r="AQ33" s="145">
        <f t="shared" si="154"/>
        <v>0</v>
      </c>
      <c r="AR33" s="146">
        <f t="shared" si="154"/>
        <v>0</v>
      </c>
      <c r="AS33" s="408">
        <f t="shared" si="138"/>
        <v>0</v>
      </c>
      <c r="AT33" s="148">
        <f t="shared" ref="AT33:BE33" si="155">+AT31-AT32</f>
        <v>0</v>
      </c>
      <c r="AU33" s="145">
        <f t="shared" si="155"/>
        <v>0</v>
      </c>
      <c r="AV33" s="145">
        <f t="shared" si="155"/>
        <v>0</v>
      </c>
      <c r="AW33" s="145">
        <f t="shared" si="155"/>
        <v>0</v>
      </c>
      <c r="AX33" s="145">
        <f t="shared" si="155"/>
        <v>0</v>
      </c>
      <c r="AY33" s="145">
        <f t="shared" si="155"/>
        <v>0</v>
      </c>
      <c r="AZ33" s="145">
        <f t="shared" si="155"/>
        <v>0</v>
      </c>
      <c r="BA33" s="145">
        <f t="shared" si="155"/>
        <v>0</v>
      </c>
      <c r="BB33" s="145">
        <f t="shared" si="155"/>
        <v>0</v>
      </c>
      <c r="BC33" s="145">
        <f t="shared" si="155"/>
        <v>0</v>
      </c>
      <c r="BD33" s="145">
        <f t="shared" si="155"/>
        <v>0</v>
      </c>
      <c r="BE33" s="146">
        <f t="shared" si="155"/>
        <v>0</v>
      </c>
      <c r="BF33" s="147">
        <f t="shared" si="139"/>
        <v>0</v>
      </c>
      <c r="BG33" s="148">
        <f t="shared" ref="BG33:BR33" si="156">+BG31-BG32</f>
        <v>0</v>
      </c>
      <c r="BH33" s="145">
        <f t="shared" si="156"/>
        <v>0</v>
      </c>
      <c r="BI33" s="145">
        <f t="shared" si="156"/>
        <v>0</v>
      </c>
      <c r="BJ33" s="145">
        <f t="shared" si="156"/>
        <v>0</v>
      </c>
      <c r="BK33" s="145">
        <f t="shared" si="156"/>
        <v>0</v>
      </c>
      <c r="BL33" s="145">
        <f t="shared" si="156"/>
        <v>0</v>
      </c>
      <c r="BM33" s="145">
        <f t="shared" si="156"/>
        <v>0</v>
      </c>
      <c r="BN33" s="145">
        <f t="shared" si="156"/>
        <v>0</v>
      </c>
      <c r="BO33" s="145">
        <f t="shared" si="156"/>
        <v>0</v>
      </c>
      <c r="BP33" s="145">
        <f t="shared" si="156"/>
        <v>0</v>
      </c>
      <c r="BQ33" s="145">
        <f t="shared" si="156"/>
        <v>0</v>
      </c>
      <c r="BR33" s="146">
        <f t="shared" si="156"/>
        <v>0</v>
      </c>
      <c r="BS33" s="147">
        <f t="shared" si="140"/>
        <v>0</v>
      </c>
      <c r="BT33" s="148">
        <f t="shared" ref="BT33:CE33" si="157">+BT31-BT32</f>
        <v>0</v>
      </c>
      <c r="BU33" s="145">
        <f t="shared" si="157"/>
        <v>0</v>
      </c>
      <c r="BV33" s="145">
        <f t="shared" si="157"/>
        <v>0</v>
      </c>
      <c r="BW33" s="145">
        <f t="shared" si="157"/>
        <v>40.375102085493268</v>
      </c>
      <c r="BX33" s="145">
        <f t="shared" si="157"/>
        <v>120.13113724585378</v>
      </c>
      <c r="BY33" s="145">
        <f t="shared" si="157"/>
        <v>196.92914511483514</v>
      </c>
      <c r="BZ33" s="145">
        <f t="shared" si="157"/>
        <v>268.87810386072715</v>
      </c>
      <c r="CA33" s="145">
        <f t="shared" si="157"/>
        <v>334.20639133430223</v>
      </c>
      <c r="CB33" s="145">
        <f t="shared" si="157"/>
        <v>391.30540828580524</v>
      </c>
      <c r="CC33" s="145">
        <f t="shared" si="157"/>
        <v>438.76918741711825</v>
      </c>
      <c r="CD33" s="145">
        <f t="shared" si="157"/>
        <v>475.42901296277432</v>
      </c>
      <c r="CE33" s="146">
        <f t="shared" si="157"/>
        <v>500.38219835085511</v>
      </c>
      <c r="CF33" s="147">
        <f t="shared" si="97"/>
        <v>2766.4056866577644</v>
      </c>
      <c r="CG33" s="148">
        <f t="shared" ref="CG33:CR33" si="158">+CG31-CG32</f>
        <v>513.01431334223435</v>
      </c>
      <c r="CH33" s="145">
        <f t="shared" si="158"/>
        <v>513.01431334223435</v>
      </c>
      <c r="CI33" s="145">
        <f t="shared" si="158"/>
        <v>500.38219835085692</v>
      </c>
      <c r="CJ33" s="145">
        <f t="shared" si="158"/>
        <v>475.42901296277341</v>
      </c>
      <c r="CK33" s="145">
        <f t="shared" si="158"/>
        <v>438.76918741711825</v>
      </c>
      <c r="CL33" s="145">
        <f t="shared" si="158"/>
        <v>391.30540828580615</v>
      </c>
      <c r="CM33" s="145">
        <f t="shared" si="158"/>
        <v>334.20639133430177</v>
      </c>
      <c r="CN33" s="145">
        <f t="shared" si="158"/>
        <v>268.87810386072715</v>
      </c>
      <c r="CO33" s="145">
        <f t="shared" si="158"/>
        <v>196.92914511483536</v>
      </c>
      <c r="CP33" s="145">
        <f t="shared" si="158"/>
        <v>120.13113724585378</v>
      </c>
      <c r="CQ33" s="145">
        <f t="shared" si="158"/>
        <v>40.375102085493666</v>
      </c>
      <c r="CR33" s="146">
        <f t="shared" si="158"/>
        <v>0</v>
      </c>
      <c r="CS33" s="147">
        <f t="shared" si="98"/>
        <v>3792.4343133422358</v>
      </c>
      <c r="CT33" s="148">
        <f t="shared" ref="CT33:DE33" si="159">+CT31-CT32</f>
        <v>0</v>
      </c>
      <c r="CU33" s="145">
        <f t="shared" si="159"/>
        <v>0</v>
      </c>
      <c r="CV33" s="145">
        <f t="shared" si="159"/>
        <v>0</v>
      </c>
      <c r="CW33" s="145">
        <f t="shared" si="159"/>
        <v>0</v>
      </c>
      <c r="CX33" s="145">
        <f t="shared" si="159"/>
        <v>0</v>
      </c>
      <c r="CY33" s="145">
        <f t="shared" si="159"/>
        <v>0</v>
      </c>
      <c r="CZ33" s="145">
        <f t="shared" si="159"/>
        <v>0</v>
      </c>
      <c r="DA33" s="145">
        <f t="shared" si="159"/>
        <v>0</v>
      </c>
      <c r="DB33" s="145">
        <f t="shared" si="159"/>
        <v>0</v>
      </c>
      <c r="DC33" s="145">
        <f t="shared" si="159"/>
        <v>0</v>
      </c>
      <c r="DD33" s="145">
        <f t="shared" si="159"/>
        <v>0</v>
      </c>
      <c r="DE33" s="146">
        <f t="shared" si="159"/>
        <v>0</v>
      </c>
      <c r="DF33" s="147">
        <f t="shared" si="99"/>
        <v>0</v>
      </c>
      <c r="DG33" s="146">
        <f>+DG31-DG32</f>
        <v>0</v>
      </c>
      <c r="DH33" s="98">
        <f t="shared" si="141"/>
        <v>0</v>
      </c>
      <c r="DI33" s="99">
        <f t="shared" si="142"/>
        <v>6558.8399999999965</v>
      </c>
      <c r="DJ33" s="100">
        <f t="shared" si="143"/>
        <v>6558.8399999999965</v>
      </c>
    </row>
    <row r="34" spans="1:118" ht="15" customHeight="1" outlineLevel="1">
      <c r="A34" s="607"/>
      <c r="B34" s="557" t="s">
        <v>198</v>
      </c>
      <c r="C34" s="246" t="s">
        <v>185</v>
      </c>
      <c r="D34" s="183" t="s">
        <v>122</v>
      </c>
      <c r="E34" s="153">
        <f>AF34+AS34+BF34+BS34+CF34+CS34+DF34+S34+DG34</f>
        <v>157409.35100897355</v>
      </c>
      <c r="F34" s="153"/>
      <c r="G34" s="154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284"/>
      <c r="S34" s="157">
        <f t="shared" si="89"/>
        <v>0</v>
      </c>
      <c r="T34" s="378"/>
      <c r="U34" s="382"/>
      <c r="V34" s="382"/>
      <c r="W34" s="382"/>
      <c r="X34" s="382"/>
      <c r="Y34" s="382"/>
      <c r="Z34" s="382"/>
      <c r="AA34" s="382"/>
      <c r="AB34" s="382"/>
      <c r="AC34" s="382"/>
      <c r="AD34" s="382"/>
      <c r="AE34" s="481"/>
      <c r="AF34" s="157">
        <f t="shared" si="90"/>
        <v>0</v>
      </c>
      <c r="AG34" s="500"/>
      <c r="AH34" s="513"/>
      <c r="AI34" s="513"/>
      <c r="AJ34" s="513"/>
      <c r="AK34" s="513"/>
      <c r="AL34" s="513"/>
      <c r="AM34" s="513"/>
      <c r="AN34" s="513"/>
      <c r="AO34" s="513"/>
      <c r="AP34" s="513"/>
      <c r="AQ34" s="513"/>
      <c r="AR34" s="512"/>
      <c r="AS34" s="409">
        <f t="shared" si="124"/>
        <v>0</v>
      </c>
      <c r="AT34" s="500"/>
      <c r="AU34" s="513"/>
      <c r="AV34" s="513"/>
      <c r="AW34" s="513"/>
      <c r="AX34" s="513"/>
      <c r="AY34" s="513"/>
      <c r="AZ34" s="155"/>
      <c r="BA34" s="155"/>
      <c r="BB34" s="155"/>
      <c r="BC34" s="155"/>
      <c r="BD34" s="155"/>
      <c r="BE34" s="156"/>
      <c r="BF34" s="157">
        <f t="shared" si="125"/>
        <v>0</v>
      </c>
      <c r="BG34" s="158"/>
      <c r="BH34" s="155"/>
      <c r="BI34" s="283"/>
      <c r="BJ34" s="283"/>
      <c r="BK34" s="283"/>
      <c r="BL34" s="283"/>
      <c r="BM34" s="283"/>
      <c r="BN34" s="283"/>
      <c r="BO34" s="283"/>
      <c r="BP34" s="283"/>
      <c r="BQ34" s="283"/>
      <c r="BR34" s="285"/>
      <c r="BS34" s="157">
        <f t="shared" si="126"/>
        <v>0</v>
      </c>
      <c r="BT34" s="359"/>
      <c r="BU34" s="283"/>
      <c r="BV34" s="283">
        <v>593.74261592965991</v>
      </c>
      <c r="BW34" s="283">
        <v>913.07864959431345</v>
      </c>
      <c r="BX34" s="283">
        <v>1295.2650829362603</v>
      </c>
      <c r="BY34" s="283">
        <v>1588.1817239536167</v>
      </c>
      <c r="BZ34" s="283">
        <v>1811.0054349452801</v>
      </c>
      <c r="CA34" s="283">
        <v>1981.109631958903</v>
      </c>
      <c r="CB34" s="283">
        <v>2114.1140703487463</v>
      </c>
      <c r="CC34" s="283">
        <v>2223.934630333551</v>
      </c>
      <c r="CD34" s="283">
        <v>2322.8331025543926</v>
      </c>
      <c r="CE34" s="285">
        <v>2421.4669736324904</v>
      </c>
      <c r="CF34" s="157">
        <f t="shared" si="97"/>
        <v>17264.731916187215</v>
      </c>
      <c r="CG34" s="158">
        <v>2528.9392117271527</v>
      </c>
      <c r="CH34" s="155">
        <v>2652.8480520935327</v>
      </c>
      <c r="CI34" s="283">
        <v>2799.3367826405583</v>
      </c>
      <c r="CJ34" s="283">
        <v>2973.1435294887624</v>
      </c>
      <c r="CK34" s="283">
        <v>3177.6510425281281</v>
      </c>
      <c r="CL34" s="283">
        <v>3414.9364809758936</v>
      </c>
      <c r="CM34" s="283">
        <v>3685.8211989346592</v>
      </c>
      <c r="CN34" s="283">
        <v>3989.9205309497884</v>
      </c>
      <c r="CO34" s="283">
        <v>4325.6935775676875</v>
      </c>
      <c r="CP34" s="283">
        <v>4690.4929908934992</v>
      </c>
      <c r="CQ34" s="283">
        <v>5080.614760148821</v>
      </c>
      <c r="CR34" s="285">
        <v>5491.3479972300465</v>
      </c>
      <c r="CS34" s="157">
        <f t="shared" si="98"/>
        <v>44810.746155178531</v>
      </c>
      <c r="CT34" s="158">
        <v>2662.6611250194355</v>
      </c>
      <c r="CU34" s="155">
        <v>2857.9813421280328</v>
      </c>
      <c r="CV34" s="283">
        <v>3053.7224870494533</v>
      </c>
      <c r="CW34" s="283">
        <v>3246.1763159611683</v>
      </c>
      <c r="CX34" s="283">
        <v>3431.2935077495517</v>
      </c>
      <c r="CY34" s="283">
        <v>3604.7060675106504</v>
      </c>
      <c r="CZ34" s="283">
        <v>3761.7497300511191</v>
      </c>
      <c r="DA34" s="283">
        <v>3897.4863633895916</v>
      </c>
      <c r="DB34" s="283">
        <v>4006.7263722571624</v>
      </c>
      <c r="DC34" s="283">
        <v>4084.0511015995089</v>
      </c>
      <c r="DD34" s="283">
        <v>4123.8352400763215</v>
      </c>
      <c r="DE34" s="285">
        <v>56603.483284815797</v>
      </c>
      <c r="DF34" s="157">
        <f t="shared" si="99"/>
        <v>95333.872937607797</v>
      </c>
      <c r="DG34" s="280"/>
      <c r="DH34" s="159">
        <f t="shared" si="127"/>
        <v>0</v>
      </c>
      <c r="DI34" s="160">
        <f t="shared" si="128"/>
        <v>157409.35100897355</v>
      </c>
      <c r="DJ34" s="161">
        <f t="shared" si="129"/>
        <v>157409.35100897355</v>
      </c>
      <c r="DM34" s="134">
        <f>AS34+BF34+BS34+CF34+CS34+DG34+DF34+S34+AF34+DO34</f>
        <v>157409.35100897355</v>
      </c>
    </row>
    <row r="35" spans="1:118" ht="15" customHeight="1" outlineLevel="1">
      <c r="A35" s="607"/>
      <c r="B35" s="558"/>
      <c r="C35" s="245" t="s">
        <v>63</v>
      </c>
      <c r="D35" s="184" t="s">
        <v>124</v>
      </c>
      <c r="E35" s="136">
        <f>AF35+AS35+BF35+BS35+CF35+CS35+DF35+S35+DG35</f>
        <v>138556.1330089735</v>
      </c>
      <c r="F35" s="136"/>
      <c r="G35" s="137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9"/>
      <c r="S35" s="162">
        <f t="shared" si="89"/>
        <v>0</v>
      </c>
      <c r="T35" s="380"/>
      <c r="U35" s="381"/>
      <c r="V35" s="381"/>
      <c r="W35" s="381"/>
      <c r="X35" s="381"/>
      <c r="Y35" s="381"/>
      <c r="Z35" s="381"/>
      <c r="AA35" s="381"/>
      <c r="AB35" s="381"/>
      <c r="AC35" s="381"/>
      <c r="AD35" s="381"/>
      <c r="AE35" s="392"/>
      <c r="AF35" s="162">
        <f t="shared" si="90"/>
        <v>0</v>
      </c>
      <c r="AG35" s="501"/>
      <c r="AH35" s="499"/>
      <c r="AI35" s="499"/>
      <c r="AJ35" s="499"/>
      <c r="AK35" s="499"/>
      <c r="AL35" s="499"/>
      <c r="AM35" s="499"/>
      <c r="AN35" s="499"/>
      <c r="AO35" s="499"/>
      <c r="AP35" s="499"/>
      <c r="AQ35" s="499"/>
      <c r="AR35" s="511"/>
      <c r="AS35" s="410">
        <f t="shared" si="124"/>
        <v>0</v>
      </c>
      <c r="AT35" s="501"/>
      <c r="AU35" s="499"/>
      <c r="AV35" s="499"/>
      <c r="AW35" s="499"/>
      <c r="AX35" s="499"/>
      <c r="AY35" s="499"/>
      <c r="AZ35" s="138"/>
      <c r="BA35" s="138"/>
      <c r="BB35" s="138"/>
      <c r="BC35" s="138"/>
      <c r="BD35" s="138"/>
      <c r="BE35" s="139"/>
      <c r="BF35" s="162">
        <f t="shared" si="125"/>
        <v>0</v>
      </c>
      <c r="BG35" s="141"/>
      <c r="BH35" s="138"/>
      <c r="BI35" s="253"/>
      <c r="BJ35" s="253"/>
      <c r="BK35" s="253"/>
      <c r="BL35" s="253"/>
      <c r="BM35" s="253"/>
      <c r="BN35" s="253"/>
      <c r="BO35" s="253"/>
      <c r="BP35" s="253"/>
      <c r="BQ35" s="253"/>
      <c r="BR35" s="338"/>
      <c r="BS35" s="162">
        <f t="shared" si="126"/>
        <v>0</v>
      </c>
      <c r="BT35" s="353"/>
      <c r="BU35" s="253"/>
      <c r="BV35" s="253">
        <v>522.62893111830442</v>
      </c>
      <c r="BW35" s="253">
        <v>803.71747936138456</v>
      </c>
      <c r="BX35" s="253">
        <v>1140.1287151165791</v>
      </c>
      <c r="BY35" s="253">
        <v>1397.9621717263387</v>
      </c>
      <c r="BZ35" s="253">
        <v>1594.0978621400163</v>
      </c>
      <c r="CA35" s="253">
        <v>1743.8283552506866</v>
      </c>
      <c r="CB35" s="253">
        <v>1860.9025985418389</v>
      </c>
      <c r="CC35" s="253">
        <v>1957.5697407340911</v>
      </c>
      <c r="CD35" s="253">
        <v>2044.6229544318846</v>
      </c>
      <c r="CE35" s="338">
        <v>2131.4432587701431</v>
      </c>
      <c r="CF35" s="162">
        <f t="shared" si="97"/>
        <v>15196.902067191268</v>
      </c>
      <c r="CG35" s="141">
        <v>2226.0433420610475</v>
      </c>
      <c r="CH35" s="138">
        <v>2335.1113844406464</v>
      </c>
      <c r="CI35" s="253">
        <v>2464.0548805156172</v>
      </c>
      <c r="CJ35" s="253">
        <v>2617.0444620099465</v>
      </c>
      <c r="CK35" s="253">
        <v>2797.0577204116112</v>
      </c>
      <c r="CL35" s="253">
        <v>3005.9230296192386</v>
      </c>
      <c r="CM35" s="253">
        <v>3244.3633685890204</v>
      </c>
      <c r="CN35" s="253">
        <v>3512.0401439810121</v>
      </c>
      <c r="CO35" s="253">
        <v>3807.5970128062045</v>
      </c>
      <c r="CP35" s="253">
        <v>4128.7037050730778</v>
      </c>
      <c r="CQ35" s="253">
        <v>4472.0998464341774</v>
      </c>
      <c r="CR35" s="338">
        <v>4833.638780833242</v>
      </c>
      <c r="CS35" s="162">
        <f t="shared" si="98"/>
        <v>39443.677676774838</v>
      </c>
      <c r="CT35" s="141">
        <v>2343.7491269180332</v>
      </c>
      <c r="CU35" s="138">
        <v>2515.6754693339781</v>
      </c>
      <c r="CV35" s="253">
        <v>2687.9723242362957</v>
      </c>
      <c r="CW35" s="253">
        <v>2857.3755912331694</v>
      </c>
      <c r="CX35" s="253">
        <v>3020.3209441189506</v>
      </c>
      <c r="CY35" s="253">
        <v>3172.9635510649355</v>
      </c>
      <c r="CZ35" s="253">
        <v>3311.1977948102958</v>
      </c>
      <c r="DA35" s="253">
        <v>3430.6769928533881</v>
      </c>
      <c r="DB35" s="253">
        <v>3526.8331176422753</v>
      </c>
      <c r="DC35" s="253">
        <v>3594.8965167667038</v>
      </c>
      <c r="DD35" s="253">
        <v>3629.9156331477016</v>
      </c>
      <c r="DE35" s="338">
        <v>49823.976202881677</v>
      </c>
      <c r="DF35" s="162">
        <f t="shared" si="99"/>
        <v>83915.553265007402</v>
      </c>
      <c r="DG35" s="279"/>
      <c r="DH35" s="90">
        <f t="shared" si="127"/>
        <v>0</v>
      </c>
      <c r="DI35" s="91">
        <f t="shared" si="128"/>
        <v>138556.1330089735</v>
      </c>
      <c r="DJ35" s="92">
        <f t="shared" si="129"/>
        <v>138556.1330089735</v>
      </c>
      <c r="DK35" s="64" t="e">
        <f>+DH35/DH34</f>
        <v>#DIV/0!</v>
      </c>
      <c r="DM35" s="134">
        <f>AS35+BF35+BS35+CF35+CS35+DG35+DF35+S35+AF35+DO35</f>
        <v>138556.1330089735</v>
      </c>
      <c r="DN35" s="533">
        <f>DM35/DM34</f>
        <v>0.88022809395278379</v>
      </c>
    </row>
    <row r="36" spans="1:118" ht="15" customHeight="1" outlineLevel="1">
      <c r="A36" s="607"/>
      <c r="B36" s="559"/>
      <c r="C36" s="357" t="s">
        <v>11</v>
      </c>
      <c r="D36" s="358"/>
      <c r="E36" s="143">
        <f t="shared" ref="E36:R36" si="160">+E34-E35</f>
        <v>18853.218000000052</v>
      </c>
      <c r="F36" s="144">
        <f t="shared" si="160"/>
        <v>0</v>
      </c>
      <c r="G36" s="145">
        <f t="shared" si="160"/>
        <v>0</v>
      </c>
      <c r="H36" s="145">
        <f t="shared" si="160"/>
        <v>0</v>
      </c>
      <c r="I36" s="145">
        <f t="shared" si="160"/>
        <v>0</v>
      </c>
      <c r="J36" s="145">
        <f t="shared" si="160"/>
        <v>0</v>
      </c>
      <c r="K36" s="145">
        <f t="shared" si="160"/>
        <v>0</v>
      </c>
      <c r="L36" s="145">
        <f t="shared" si="160"/>
        <v>0</v>
      </c>
      <c r="M36" s="145">
        <f t="shared" si="160"/>
        <v>0</v>
      </c>
      <c r="N36" s="145">
        <f t="shared" si="160"/>
        <v>0</v>
      </c>
      <c r="O36" s="145">
        <f t="shared" si="160"/>
        <v>0</v>
      </c>
      <c r="P36" s="145">
        <f t="shared" si="160"/>
        <v>0</v>
      </c>
      <c r="Q36" s="145">
        <f t="shared" si="160"/>
        <v>0</v>
      </c>
      <c r="R36" s="146">
        <f t="shared" si="160"/>
        <v>0</v>
      </c>
      <c r="S36" s="147">
        <f t="shared" si="89"/>
        <v>0</v>
      </c>
      <c r="T36" s="148">
        <f t="shared" ref="T36:AE36" si="161">+T34-T35</f>
        <v>0</v>
      </c>
      <c r="U36" s="145">
        <f t="shared" si="161"/>
        <v>0</v>
      </c>
      <c r="V36" s="145">
        <f t="shared" si="161"/>
        <v>0</v>
      </c>
      <c r="W36" s="145">
        <f t="shared" si="161"/>
        <v>0</v>
      </c>
      <c r="X36" s="145">
        <f t="shared" si="161"/>
        <v>0</v>
      </c>
      <c r="Y36" s="145">
        <f t="shared" si="161"/>
        <v>0</v>
      </c>
      <c r="Z36" s="145">
        <f t="shared" si="161"/>
        <v>0</v>
      </c>
      <c r="AA36" s="145">
        <f t="shared" si="161"/>
        <v>0</v>
      </c>
      <c r="AB36" s="145">
        <f t="shared" si="161"/>
        <v>0</v>
      </c>
      <c r="AC36" s="145">
        <f t="shared" si="161"/>
        <v>0</v>
      </c>
      <c r="AD36" s="145">
        <f t="shared" si="161"/>
        <v>0</v>
      </c>
      <c r="AE36" s="146">
        <f t="shared" si="161"/>
        <v>0</v>
      </c>
      <c r="AF36" s="147">
        <f t="shared" si="90"/>
        <v>0</v>
      </c>
      <c r="AG36" s="148">
        <f t="shared" ref="AG36:AR36" si="162">+AG34-AG35</f>
        <v>0</v>
      </c>
      <c r="AH36" s="145">
        <f t="shared" si="162"/>
        <v>0</v>
      </c>
      <c r="AI36" s="145">
        <f t="shared" si="162"/>
        <v>0</v>
      </c>
      <c r="AJ36" s="145">
        <f t="shared" si="162"/>
        <v>0</v>
      </c>
      <c r="AK36" s="145">
        <f t="shared" si="162"/>
        <v>0</v>
      </c>
      <c r="AL36" s="145">
        <f t="shared" si="162"/>
        <v>0</v>
      </c>
      <c r="AM36" s="145">
        <f t="shared" si="162"/>
        <v>0</v>
      </c>
      <c r="AN36" s="145">
        <f t="shared" si="162"/>
        <v>0</v>
      </c>
      <c r="AO36" s="145">
        <f t="shared" si="162"/>
        <v>0</v>
      </c>
      <c r="AP36" s="145">
        <f t="shared" si="162"/>
        <v>0</v>
      </c>
      <c r="AQ36" s="145">
        <f t="shared" si="162"/>
        <v>0</v>
      </c>
      <c r="AR36" s="146">
        <f t="shared" si="162"/>
        <v>0</v>
      </c>
      <c r="AS36" s="408">
        <f t="shared" si="124"/>
        <v>0</v>
      </c>
      <c r="AT36" s="148">
        <f t="shared" ref="AT36:BE36" si="163">+AT34-AT35</f>
        <v>0</v>
      </c>
      <c r="AU36" s="145">
        <f t="shared" si="163"/>
        <v>0</v>
      </c>
      <c r="AV36" s="145">
        <f t="shared" si="163"/>
        <v>0</v>
      </c>
      <c r="AW36" s="145">
        <f t="shared" si="163"/>
        <v>0</v>
      </c>
      <c r="AX36" s="145">
        <f t="shared" si="163"/>
        <v>0</v>
      </c>
      <c r="AY36" s="145">
        <f t="shared" si="163"/>
        <v>0</v>
      </c>
      <c r="AZ36" s="145">
        <f t="shared" si="163"/>
        <v>0</v>
      </c>
      <c r="BA36" s="145">
        <f t="shared" si="163"/>
        <v>0</v>
      </c>
      <c r="BB36" s="145">
        <f t="shared" si="163"/>
        <v>0</v>
      </c>
      <c r="BC36" s="145">
        <f t="shared" si="163"/>
        <v>0</v>
      </c>
      <c r="BD36" s="145">
        <f t="shared" si="163"/>
        <v>0</v>
      </c>
      <c r="BE36" s="146">
        <f t="shared" si="163"/>
        <v>0</v>
      </c>
      <c r="BF36" s="147">
        <f t="shared" si="125"/>
        <v>0</v>
      </c>
      <c r="BG36" s="148">
        <f t="shared" ref="BG36:BR36" si="164">+BG34-BG35</f>
        <v>0</v>
      </c>
      <c r="BH36" s="145">
        <f t="shared" si="164"/>
        <v>0</v>
      </c>
      <c r="BI36" s="145">
        <f t="shared" si="164"/>
        <v>0</v>
      </c>
      <c r="BJ36" s="145">
        <f t="shared" si="164"/>
        <v>0</v>
      </c>
      <c r="BK36" s="145">
        <f t="shared" si="164"/>
        <v>0</v>
      </c>
      <c r="BL36" s="145">
        <f t="shared" si="164"/>
        <v>0</v>
      </c>
      <c r="BM36" s="145">
        <f t="shared" si="164"/>
        <v>0</v>
      </c>
      <c r="BN36" s="145">
        <f t="shared" si="164"/>
        <v>0</v>
      </c>
      <c r="BO36" s="145">
        <f t="shared" si="164"/>
        <v>0</v>
      </c>
      <c r="BP36" s="145">
        <f t="shared" si="164"/>
        <v>0</v>
      </c>
      <c r="BQ36" s="145">
        <f t="shared" si="164"/>
        <v>0</v>
      </c>
      <c r="BR36" s="146">
        <f t="shared" si="164"/>
        <v>0</v>
      </c>
      <c r="BS36" s="147">
        <f t="shared" si="126"/>
        <v>0</v>
      </c>
      <c r="BT36" s="148">
        <f t="shared" ref="BT36:CE36" si="165">+BT34-BT35</f>
        <v>0</v>
      </c>
      <c r="BU36" s="145">
        <f t="shared" si="165"/>
        <v>0</v>
      </c>
      <c r="BV36" s="145">
        <f t="shared" si="165"/>
        <v>71.113684811355483</v>
      </c>
      <c r="BW36" s="145">
        <f t="shared" si="165"/>
        <v>109.36117023292888</v>
      </c>
      <c r="BX36" s="145">
        <f t="shared" si="165"/>
        <v>155.13636781968125</v>
      </c>
      <c r="BY36" s="145">
        <f t="shared" si="165"/>
        <v>190.21955222727797</v>
      </c>
      <c r="BZ36" s="145">
        <f t="shared" si="165"/>
        <v>216.90757280526373</v>
      </c>
      <c r="CA36" s="145">
        <f t="shared" si="165"/>
        <v>237.28127670821641</v>
      </c>
      <c r="CB36" s="145">
        <f t="shared" si="165"/>
        <v>253.21147180690741</v>
      </c>
      <c r="CC36" s="145">
        <f t="shared" si="165"/>
        <v>266.36488959945996</v>
      </c>
      <c r="CD36" s="145">
        <f t="shared" si="165"/>
        <v>278.21014812250792</v>
      </c>
      <c r="CE36" s="146">
        <f t="shared" si="165"/>
        <v>290.02371486234733</v>
      </c>
      <c r="CF36" s="147">
        <f t="shared" si="97"/>
        <v>2067.8298489959461</v>
      </c>
      <c r="CG36" s="148">
        <f t="shared" ref="CG36:CR36" si="166">+CG34-CG35</f>
        <v>302.89586966610523</v>
      </c>
      <c r="CH36" s="145">
        <f t="shared" si="166"/>
        <v>317.73666765288635</v>
      </c>
      <c r="CI36" s="145">
        <f t="shared" si="166"/>
        <v>335.2819021249411</v>
      </c>
      <c r="CJ36" s="145">
        <f t="shared" si="166"/>
        <v>356.09906747881587</v>
      </c>
      <c r="CK36" s="145">
        <f t="shared" si="166"/>
        <v>380.5933221165169</v>
      </c>
      <c r="CL36" s="145">
        <f t="shared" si="166"/>
        <v>409.01345135665497</v>
      </c>
      <c r="CM36" s="145">
        <f t="shared" si="166"/>
        <v>441.45783034563874</v>
      </c>
      <c r="CN36" s="145">
        <f t="shared" si="166"/>
        <v>477.88038696877629</v>
      </c>
      <c r="CO36" s="145">
        <f t="shared" si="166"/>
        <v>518.09656476148302</v>
      </c>
      <c r="CP36" s="145">
        <f t="shared" si="166"/>
        <v>561.78928582042136</v>
      </c>
      <c r="CQ36" s="145">
        <f t="shared" si="166"/>
        <v>608.51491371464363</v>
      </c>
      <c r="CR36" s="146">
        <f t="shared" si="166"/>
        <v>657.70921639680455</v>
      </c>
      <c r="CS36" s="147">
        <f t="shared" si="98"/>
        <v>5367.0684784036875</v>
      </c>
      <c r="CT36" s="148">
        <f t="shared" ref="CT36:DE36" si="167">+CT34-CT35</f>
        <v>318.91199810140233</v>
      </c>
      <c r="CU36" s="145">
        <f t="shared" si="167"/>
        <v>342.30587279405472</v>
      </c>
      <c r="CV36" s="145">
        <f t="shared" si="167"/>
        <v>365.75016281315766</v>
      </c>
      <c r="CW36" s="145">
        <f t="shared" si="167"/>
        <v>388.80072472799884</v>
      </c>
      <c r="CX36" s="145">
        <f t="shared" si="167"/>
        <v>410.97256363060114</v>
      </c>
      <c r="CY36" s="145">
        <f t="shared" si="167"/>
        <v>431.74251644571495</v>
      </c>
      <c r="CZ36" s="145">
        <f t="shared" si="167"/>
        <v>450.55193524082324</v>
      </c>
      <c r="DA36" s="145">
        <f t="shared" si="167"/>
        <v>466.80937053620346</v>
      </c>
      <c r="DB36" s="145">
        <f t="shared" si="167"/>
        <v>479.89325461488716</v>
      </c>
      <c r="DC36" s="145">
        <f t="shared" si="167"/>
        <v>489.15458483280509</v>
      </c>
      <c r="DD36" s="145">
        <f t="shared" si="167"/>
        <v>493.91960692861994</v>
      </c>
      <c r="DE36" s="146">
        <f t="shared" si="167"/>
        <v>6779.5070819341199</v>
      </c>
      <c r="DF36" s="147">
        <f t="shared" si="99"/>
        <v>11418.319672600388</v>
      </c>
      <c r="DG36" s="146">
        <f>+DG34-DG35</f>
        <v>0</v>
      </c>
      <c r="DH36" s="98">
        <f t="shared" si="127"/>
        <v>0</v>
      </c>
      <c r="DI36" s="99">
        <f t="shared" si="128"/>
        <v>18853.218000000052</v>
      </c>
      <c r="DJ36" s="100">
        <f t="shared" si="129"/>
        <v>18853.218000000052</v>
      </c>
    </row>
    <row r="37" spans="1:118" ht="15" customHeight="1" outlineLevel="1">
      <c r="A37" s="607"/>
      <c r="B37" s="557" t="s">
        <v>199</v>
      </c>
      <c r="C37" s="246" t="s">
        <v>62</v>
      </c>
      <c r="D37" s="183" t="s">
        <v>122</v>
      </c>
      <c r="E37" s="153">
        <f>AF37+AS37+BF37+BS37+CF37+CS37+DF37+S37+DG37</f>
        <v>132215.76000000018</v>
      </c>
      <c r="F37" s="153"/>
      <c r="G37" s="154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284"/>
      <c r="S37" s="157">
        <f t="shared" si="89"/>
        <v>0</v>
      </c>
      <c r="T37" s="378"/>
      <c r="U37" s="382"/>
      <c r="V37" s="382"/>
      <c r="W37" s="382"/>
      <c r="X37" s="382"/>
      <c r="Y37" s="382"/>
      <c r="Z37" s="382"/>
      <c r="AA37" s="382"/>
      <c r="AB37" s="382"/>
      <c r="AC37" s="382"/>
      <c r="AD37" s="382"/>
      <c r="AE37" s="481"/>
      <c r="AF37" s="157">
        <f t="shared" si="90"/>
        <v>0</v>
      </c>
      <c r="AG37" s="500"/>
      <c r="AH37" s="513"/>
      <c r="AI37" s="513"/>
      <c r="AJ37" s="513"/>
      <c r="AK37" s="513"/>
      <c r="AL37" s="513"/>
      <c r="AM37" s="513"/>
      <c r="AN37" s="513"/>
      <c r="AO37" s="513"/>
      <c r="AP37" s="513"/>
      <c r="AQ37" s="513"/>
      <c r="AR37" s="512"/>
      <c r="AS37" s="409">
        <f>SUM(AG37:AR37)</f>
        <v>0</v>
      </c>
      <c r="AT37" s="500"/>
      <c r="AU37" s="513"/>
      <c r="AV37" s="513"/>
      <c r="AW37" s="513"/>
      <c r="AX37" s="513"/>
      <c r="AY37" s="512"/>
      <c r="AZ37" s="359"/>
      <c r="BA37" s="283"/>
      <c r="BB37" s="283"/>
      <c r="BC37" s="283"/>
      <c r="BD37" s="283">
        <v>467.29097554526993</v>
      </c>
      <c r="BE37" s="283">
        <v>695.75708250251398</v>
      </c>
      <c r="BF37" s="157">
        <f>SUM(AT37:BE37)</f>
        <v>1163.0480580477838</v>
      </c>
      <c r="BG37" s="283">
        <v>990.33125051081254</v>
      </c>
      <c r="BH37" s="283">
        <v>1219.7691949219752</v>
      </c>
      <c r="BI37" s="283">
        <v>1397.0899297170533</v>
      </c>
      <c r="BJ37" s="283">
        <v>1534.1681081357158</v>
      </c>
      <c r="BK37" s="283">
        <v>1641.7636993056242</v>
      </c>
      <c r="BL37" s="285">
        <v>1729.5516648717942</v>
      </c>
      <c r="BM37" s="359">
        <v>1806.1516356259765</v>
      </c>
      <c r="BN37" s="283">
        <v>1879.1575881360343</v>
      </c>
      <c r="BO37" s="283">
        <v>1955.1675213752958</v>
      </c>
      <c r="BP37" s="283">
        <v>2039.8131333519545</v>
      </c>
      <c r="BQ37" s="283">
        <v>2137.7894977384358</v>
      </c>
      <c r="BR37" s="283">
        <v>2252.8847405007068</v>
      </c>
      <c r="BS37" s="157">
        <f>SUM(BG37:BR37)</f>
        <v>20583.637964191377</v>
      </c>
      <c r="BT37" s="283">
        <v>2388.0097165277871</v>
      </c>
      <c r="BU37" s="283">
        <v>2545.227686260977</v>
      </c>
      <c r="BV37" s="283">
        <v>2725.7839923232805</v>
      </c>
      <c r="BW37" s="283">
        <v>2930.1357361488408</v>
      </c>
      <c r="BX37" s="283">
        <v>3157.9814546122166</v>
      </c>
      <c r="BY37" s="285">
        <v>3408.2907966577964</v>
      </c>
      <c r="BZ37" s="359">
        <v>3679.3341999292306</v>
      </c>
      <c r="CA37" s="283">
        <v>3968.7125673986297</v>
      </c>
      <c r="CB37" s="283">
        <v>4273.3869439961782</v>
      </c>
      <c r="CC37" s="283">
        <v>4589.7081932392957</v>
      </c>
      <c r="CD37" s="283">
        <v>4913.446673862205</v>
      </c>
      <c r="CE37" s="283">
        <v>5239.8219164449347</v>
      </c>
      <c r="CF37" s="157">
        <f t="shared" si="97"/>
        <v>43819.839877401369</v>
      </c>
      <c r="CG37" s="283">
        <v>5563.5323000431554</v>
      </c>
      <c r="CH37" s="283">
        <v>5878.7847288174971</v>
      </c>
      <c r="CI37" s="283">
        <v>6179.324308662598</v>
      </c>
      <c r="CJ37" s="283">
        <v>6458.4640238363427</v>
      </c>
      <c r="CK37" s="283">
        <v>6709.114413590185</v>
      </c>
      <c r="CL37" s="283">
        <v>6923.8132487971143</v>
      </c>
      <c r="CM37" s="283">
        <v>7094.7552085826474</v>
      </c>
      <c r="CN37" s="283">
        <v>7213.8215569530876</v>
      </c>
      <c r="CO37" s="283">
        <v>7272.6098194240385</v>
      </c>
      <c r="CP37" s="283">
        <v>7355.0144916529798</v>
      </c>
      <c r="CQ37" s="283"/>
      <c r="CR37" s="285"/>
      <c r="CS37" s="157">
        <f t="shared" si="98"/>
        <v>66649.234100359652</v>
      </c>
      <c r="CT37" s="283"/>
      <c r="CU37" s="283"/>
      <c r="CV37" s="283"/>
      <c r="CW37" s="283"/>
      <c r="CX37" s="283"/>
      <c r="CY37" s="283"/>
      <c r="CZ37" s="283"/>
      <c r="DA37" s="283"/>
      <c r="DB37" s="283"/>
      <c r="DC37" s="283"/>
      <c r="DD37" s="283"/>
      <c r="DE37" s="285"/>
      <c r="DF37" s="157">
        <f t="shared" si="99"/>
        <v>0</v>
      </c>
      <c r="DG37" s="280"/>
      <c r="DH37" s="159">
        <f>+F37+S37+AF37+AS37+BF37+BS37+DG37</f>
        <v>21746.686022239162</v>
      </c>
      <c r="DI37" s="160">
        <f>+E37</f>
        <v>132215.76000000018</v>
      </c>
      <c r="DJ37" s="161">
        <f>+DI37-DH37</f>
        <v>110469.07397776103</v>
      </c>
      <c r="DM37" s="134">
        <f>AS37+BF37+BS37+CF37+CS37+DG37+DF37+S37+AF37+DO37</f>
        <v>132215.76000000018</v>
      </c>
    </row>
    <row r="38" spans="1:118" ht="15" customHeight="1" outlineLevel="1">
      <c r="A38" s="607"/>
      <c r="B38" s="558"/>
      <c r="C38" s="245" t="s">
        <v>63</v>
      </c>
      <c r="D38" s="184" t="s">
        <v>124</v>
      </c>
      <c r="E38" s="136">
        <f>AF38+AS38+BF38+BS38+CF38+CS38+DF38+S38+DG38</f>
        <v>118994.18400000018</v>
      </c>
      <c r="F38" s="136"/>
      <c r="G38" s="137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9"/>
      <c r="S38" s="162">
        <f t="shared" si="89"/>
        <v>0</v>
      </c>
      <c r="T38" s="380"/>
      <c r="U38" s="381"/>
      <c r="V38" s="381"/>
      <c r="W38" s="381"/>
      <c r="X38" s="381"/>
      <c r="Y38" s="381"/>
      <c r="Z38" s="381"/>
      <c r="AA38" s="381"/>
      <c r="AB38" s="381"/>
      <c r="AC38" s="381"/>
      <c r="AD38" s="381"/>
      <c r="AE38" s="392"/>
      <c r="AF38" s="162">
        <f t="shared" si="90"/>
        <v>0</v>
      </c>
      <c r="AG38" s="501"/>
      <c r="AH38" s="499"/>
      <c r="AI38" s="499"/>
      <c r="AJ38" s="499"/>
      <c r="AK38" s="499"/>
      <c r="AL38" s="499"/>
      <c r="AM38" s="499"/>
      <c r="AN38" s="499"/>
      <c r="AO38" s="499"/>
      <c r="AP38" s="499"/>
      <c r="AQ38" s="499"/>
      <c r="AR38" s="511"/>
      <c r="AS38" s="410">
        <f>SUM(AG38:AR38)</f>
        <v>0</v>
      </c>
      <c r="AT38" s="501"/>
      <c r="AU38" s="499"/>
      <c r="AV38" s="499"/>
      <c r="AW38" s="499"/>
      <c r="AX38" s="499"/>
      <c r="AY38" s="511"/>
      <c r="AZ38" s="353"/>
      <c r="BA38" s="253"/>
      <c r="BB38" s="253"/>
      <c r="BC38" s="253"/>
      <c r="BD38" s="253">
        <v>420.56187799074303</v>
      </c>
      <c r="BE38" s="253">
        <v>626.18137425226257</v>
      </c>
      <c r="BF38" s="162">
        <f>SUM(AT38:BE38)</f>
        <v>1046.7432522430056</v>
      </c>
      <c r="BG38" s="253">
        <v>891.2981254597313</v>
      </c>
      <c r="BH38" s="253">
        <v>1097.7922754297779</v>
      </c>
      <c r="BI38" s="253">
        <v>1257.3809367453482</v>
      </c>
      <c r="BJ38" s="253">
        <v>1380.7512973221442</v>
      </c>
      <c r="BK38" s="253">
        <v>1477.5873293750617</v>
      </c>
      <c r="BL38" s="338">
        <v>1556.5964983846147</v>
      </c>
      <c r="BM38" s="353">
        <v>1625.5364720633788</v>
      </c>
      <c r="BN38" s="253">
        <v>1691.2418293224309</v>
      </c>
      <c r="BO38" s="253">
        <v>1759.6507692377663</v>
      </c>
      <c r="BP38" s="253">
        <v>1835.8318200167591</v>
      </c>
      <c r="BQ38" s="253">
        <v>1924.0105479645922</v>
      </c>
      <c r="BR38" s="253">
        <v>2027.5962664506362</v>
      </c>
      <c r="BS38" s="162">
        <f>SUM(BG38:BR38)</f>
        <v>18525.274167772244</v>
      </c>
      <c r="BT38" s="253">
        <v>2149.2087448750081</v>
      </c>
      <c r="BU38" s="253">
        <v>2290.7049176348792</v>
      </c>
      <c r="BV38" s="253">
        <v>2453.2055930909523</v>
      </c>
      <c r="BW38" s="253">
        <v>2637.1221625339572</v>
      </c>
      <c r="BX38" s="253">
        <v>2842.1833091509948</v>
      </c>
      <c r="BY38" s="338">
        <v>3067.4617169920166</v>
      </c>
      <c r="BZ38" s="353">
        <v>3311.400779936308</v>
      </c>
      <c r="CA38" s="253">
        <v>3571.8413106587668</v>
      </c>
      <c r="CB38" s="253">
        <v>3846.0482495965603</v>
      </c>
      <c r="CC38" s="253">
        <v>4130.7373739153654</v>
      </c>
      <c r="CD38" s="253">
        <v>4422.1020064759841</v>
      </c>
      <c r="CE38" s="253">
        <v>4715.8397248004421</v>
      </c>
      <c r="CF38" s="162">
        <f t="shared" si="97"/>
        <v>39437.855889661238</v>
      </c>
      <c r="CG38" s="253">
        <v>5007.1790700388401</v>
      </c>
      <c r="CH38" s="253">
        <v>5290.9062559357471</v>
      </c>
      <c r="CI38" s="253">
        <v>5561.3918777963381</v>
      </c>
      <c r="CJ38" s="253">
        <v>5812.6176214527086</v>
      </c>
      <c r="CK38" s="253">
        <v>6038.2029722311663</v>
      </c>
      <c r="CL38" s="253">
        <v>6231.4319239174038</v>
      </c>
      <c r="CM38" s="253">
        <v>6385.2796877243836</v>
      </c>
      <c r="CN38" s="253">
        <v>6492.4394012577777</v>
      </c>
      <c r="CO38" s="253">
        <v>6545.3488374816343</v>
      </c>
      <c r="CP38" s="253">
        <v>6619.5130424876825</v>
      </c>
      <c r="CQ38" s="253"/>
      <c r="CR38" s="338"/>
      <c r="CS38" s="162">
        <f t="shared" si="98"/>
        <v>59984.310690323684</v>
      </c>
      <c r="CT38" s="253"/>
      <c r="CU38" s="253"/>
      <c r="CV38" s="253"/>
      <c r="CW38" s="253"/>
      <c r="CX38" s="253"/>
      <c r="CY38" s="253"/>
      <c r="CZ38" s="253"/>
      <c r="DA38" s="253"/>
      <c r="DB38" s="253"/>
      <c r="DC38" s="253"/>
      <c r="DD38" s="253"/>
      <c r="DE38" s="338"/>
      <c r="DF38" s="162">
        <f t="shared" si="99"/>
        <v>0</v>
      </c>
      <c r="DG38" s="279"/>
      <c r="DH38" s="90">
        <f>+F38+S38+AF38+AS38+BF38+BS38+DG38</f>
        <v>19572.017420015251</v>
      </c>
      <c r="DI38" s="91">
        <f>+E38</f>
        <v>118994.18400000018</v>
      </c>
      <c r="DJ38" s="92">
        <f>+DI38-DH38</f>
        <v>99422.166579984929</v>
      </c>
      <c r="DK38" s="64">
        <f>+DH38/DH37</f>
        <v>0.90000000000000024</v>
      </c>
      <c r="DM38" s="134">
        <f>AS38+BF38+BS38+CF38+CS38+DG38+DF38+S38+AF38+DO38</f>
        <v>118994.18400000018</v>
      </c>
      <c r="DN38" s="533">
        <f>DM38/DM37</f>
        <v>0.90000000000000013</v>
      </c>
    </row>
    <row r="39" spans="1:118" ht="15" customHeight="1" outlineLevel="1">
      <c r="A39" s="607"/>
      <c r="B39" s="559"/>
      <c r="C39" s="357" t="s">
        <v>11</v>
      </c>
      <c r="D39" s="358"/>
      <c r="E39" s="143">
        <f t="shared" ref="E39:R39" si="168">+E37-E38</f>
        <v>13221.576000000001</v>
      </c>
      <c r="F39" s="144">
        <f t="shared" si="168"/>
        <v>0</v>
      </c>
      <c r="G39" s="145">
        <f t="shared" si="168"/>
        <v>0</v>
      </c>
      <c r="H39" s="145">
        <f t="shared" si="168"/>
        <v>0</v>
      </c>
      <c r="I39" s="145">
        <f t="shared" si="168"/>
        <v>0</v>
      </c>
      <c r="J39" s="145">
        <f t="shared" si="168"/>
        <v>0</v>
      </c>
      <c r="K39" s="145">
        <f t="shared" si="168"/>
        <v>0</v>
      </c>
      <c r="L39" s="145">
        <f t="shared" si="168"/>
        <v>0</v>
      </c>
      <c r="M39" s="145">
        <f t="shared" si="168"/>
        <v>0</v>
      </c>
      <c r="N39" s="145">
        <f t="shared" si="168"/>
        <v>0</v>
      </c>
      <c r="O39" s="145">
        <f t="shared" si="168"/>
        <v>0</v>
      </c>
      <c r="P39" s="145">
        <f t="shared" si="168"/>
        <v>0</v>
      </c>
      <c r="Q39" s="145">
        <f t="shared" si="168"/>
        <v>0</v>
      </c>
      <c r="R39" s="146">
        <f t="shared" si="168"/>
        <v>0</v>
      </c>
      <c r="S39" s="147">
        <f t="shared" si="89"/>
        <v>0</v>
      </c>
      <c r="T39" s="148">
        <f t="shared" ref="T39:AE39" si="169">+T37-T38</f>
        <v>0</v>
      </c>
      <c r="U39" s="145">
        <f t="shared" si="169"/>
        <v>0</v>
      </c>
      <c r="V39" s="145">
        <f t="shared" si="169"/>
        <v>0</v>
      </c>
      <c r="W39" s="145">
        <f t="shared" si="169"/>
        <v>0</v>
      </c>
      <c r="X39" s="145">
        <f t="shared" si="169"/>
        <v>0</v>
      </c>
      <c r="Y39" s="145">
        <f t="shared" si="169"/>
        <v>0</v>
      </c>
      <c r="Z39" s="145">
        <f t="shared" si="169"/>
        <v>0</v>
      </c>
      <c r="AA39" s="145">
        <f t="shared" si="169"/>
        <v>0</v>
      </c>
      <c r="AB39" s="145">
        <f t="shared" si="169"/>
        <v>0</v>
      </c>
      <c r="AC39" s="145">
        <f t="shared" si="169"/>
        <v>0</v>
      </c>
      <c r="AD39" s="145">
        <f t="shared" si="169"/>
        <v>0</v>
      </c>
      <c r="AE39" s="146">
        <f t="shared" si="169"/>
        <v>0</v>
      </c>
      <c r="AF39" s="147">
        <f t="shared" si="90"/>
        <v>0</v>
      </c>
      <c r="AG39" s="148">
        <f t="shared" ref="AG39:AR39" si="170">+AG37-AG38</f>
        <v>0</v>
      </c>
      <c r="AH39" s="145">
        <f t="shared" si="170"/>
        <v>0</v>
      </c>
      <c r="AI39" s="145">
        <f t="shared" si="170"/>
        <v>0</v>
      </c>
      <c r="AJ39" s="145">
        <f t="shared" si="170"/>
        <v>0</v>
      </c>
      <c r="AK39" s="145">
        <f t="shared" si="170"/>
        <v>0</v>
      </c>
      <c r="AL39" s="145">
        <f t="shared" si="170"/>
        <v>0</v>
      </c>
      <c r="AM39" s="145">
        <f t="shared" si="170"/>
        <v>0</v>
      </c>
      <c r="AN39" s="145">
        <f t="shared" si="170"/>
        <v>0</v>
      </c>
      <c r="AO39" s="145">
        <f t="shared" si="170"/>
        <v>0</v>
      </c>
      <c r="AP39" s="145">
        <f t="shared" si="170"/>
        <v>0</v>
      </c>
      <c r="AQ39" s="145">
        <f t="shared" si="170"/>
        <v>0</v>
      </c>
      <c r="AR39" s="146">
        <f t="shared" si="170"/>
        <v>0</v>
      </c>
      <c r="AS39" s="408">
        <f>SUM(AG39:AR39)</f>
        <v>0</v>
      </c>
      <c r="AT39" s="148">
        <f t="shared" ref="AT39:BE39" si="171">+AT37-AT38</f>
        <v>0</v>
      </c>
      <c r="AU39" s="145">
        <f t="shared" si="171"/>
        <v>0</v>
      </c>
      <c r="AV39" s="145">
        <f t="shared" si="171"/>
        <v>0</v>
      </c>
      <c r="AW39" s="145">
        <f t="shared" si="171"/>
        <v>0</v>
      </c>
      <c r="AX39" s="145">
        <f t="shared" si="171"/>
        <v>0</v>
      </c>
      <c r="AY39" s="145">
        <f>+AY37-AY38</f>
        <v>0</v>
      </c>
      <c r="AZ39" s="145">
        <f t="shared" si="171"/>
        <v>0</v>
      </c>
      <c r="BA39" s="145">
        <f t="shared" si="171"/>
        <v>0</v>
      </c>
      <c r="BB39" s="145">
        <f t="shared" si="171"/>
        <v>0</v>
      </c>
      <c r="BC39" s="145">
        <f t="shared" si="171"/>
        <v>0</v>
      </c>
      <c r="BD39" s="145">
        <f t="shared" si="171"/>
        <v>46.729097554526902</v>
      </c>
      <c r="BE39" s="146">
        <f t="shared" si="171"/>
        <v>69.575708250251409</v>
      </c>
      <c r="BF39" s="147">
        <f>SUM(AT39:BE39)</f>
        <v>116.30480580477831</v>
      </c>
      <c r="BG39" s="148">
        <f t="shared" ref="BG39:BR39" si="172">+BG37-BG38</f>
        <v>99.033125051081242</v>
      </c>
      <c r="BH39" s="145">
        <f t="shared" si="172"/>
        <v>121.97691949219734</v>
      </c>
      <c r="BI39" s="145">
        <f t="shared" si="172"/>
        <v>139.70899297170513</v>
      </c>
      <c r="BJ39" s="145">
        <f t="shared" si="172"/>
        <v>153.4168108135716</v>
      </c>
      <c r="BK39" s="145">
        <f t="shared" si="172"/>
        <v>164.17636993056249</v>
      </c>
      <c r="BL39" s="145">
        <f t="shared" si="172"/>
        <v>172.95516648717944</v>
      </c>
      <c r="BM39" s="145">
        <f t="shared" si="172"/>
        <v>180.61516356259767</v>
      </c>
      <c r="BN39" s="145">
        <f t="shared" si="172"/>
        <v>187.91575881360336</v>
      </c>
      <c r="BO39" s="145">
        <f t="shared" si="172"/>
        <v>195.51675213752947</v>
      </c>
      <c r="BP39" s="145">
        <f t="shared" si="172"/>
        <v>203.98131333519541</v>
      </c>
      <c r="BQ39" s="145">
        <f t="shared" si="172"/>
        <v>213.77894977384358</v>
      </c>
      <c r="BR39" s="146">
        <f t="shared" si="172"/>
        <v>225.28847405007059</v>
      </c>
      <c r="BS39" s="147">
        <f>SUM(BG39:BR39)</f>
        <v>2058.3637964191375</v>
      </c>
      <c r="BT39" s="148">
        <f t="shared" ref="BT39:CE39" si="173">+BT37-BT38</f>
        <v>238.80097165277903</v>
      </c>
      <c r="BU39" s="145">
        <f t="shared" si="173"/>
        <v>254.52276862609779</v>
      </c>
      <c r="BV39" s="145">
        <f t="shared" si="173"/>
        <v>272.57839923232814</v>
      </c>
      <c r="BW39" s="145">
        <f t="shared" si="173"/>
        <v>293.01357361488363</v>
      </c>
      <c r="BX39" s="145">
        <f t="shared" si="173"/>
        <v>315.79814546122179</v>
      </c>
      <c r="BY39" s="145">
        <f t="shared" si="173"/>
        <v>340.82907966577977</v>
      </c>
      <c r="BZ39" s="145">
        <f t="shared" si="173"/>
        <v>367.93341999292261</v>
      </c>
      <c r="CA39" s="145">
        <f t="shared" si="173"/>
        <v>396.87125673986293</v>
      </c>
      <c r="CB39" s="145">
        <f t="shared" si="173"/>
        <v>427.33869439961791</v>
      </c>
      <c r="CC39" s="145">
        <f t="shared" si="173"/>
        <v>458.9708193239303</v>
      </c>
      <c r="CD39" s="145">
        <f t="shared" si="173"/>
        <v>491.34466738622086</v>
      </c>
      <c r="CE39" s="146">
        <f t="shared" si="173"/>
        <v>523.98219164449256</v>
      </c>
      <c r="CF39" s="147">
        <f t="shared" si="97"/>
        <v>4381.9839877401373</v>
      </c>
      <c r="CG39" s="148">
        <f t="shared" ref="CG39:CR39" si="174">+CG37-CG38</f>
        <v>556.35323000431526</v>
      </c>
      <c r="CH39" s="145">
        <f t="shared" si="174"/>
        <v>587.87847288174999</v>
      </c>
      <c r="CI39" s="145">
        <f t="shared" si="174"/>
        <v>617.93243086625989</v>
      </c>
      <c r="CJ39" s="145">
        <f t="shared" si="174"/>
        <v>645.84640238363409</v>
      </c>
      <c r="CK39" s="145">
        <f t="shared" si="174"/>
        <v>670.91144135901868</v>
      </c>
      <c r="CL39" s="145">
        <f t="shared" si="174"/>
        <v>692.38132487971052</v>
      </c>
      <c r="CM39" s="145">
        <f t="shared" si="174"/>
        <v>709.47552085826374</v>
      </c>
      <c r="CN39" s="145">
        <f t="shared" si="174"/>
        <v>721.38215569530985</v>
      </c>
      <c r="CO39" s="145">
        <f t="shared" si="174"/>
        <v>727.26098194240421</v>
      </c>
      <c r="CP39" s="145">
        <f t="shared" si="174"/>
        <v>735.50144916529734</v>
      </c>
      <c r="CQ39" s="145">
        <f t="shared" si="174"/>
        <v>0</v>
      </c>
      <c r="CR39" s="146">
        <f t="shared" si="174"/>
        <v>0</v>
      </c>
      <c r="CS39" s="147">
        <f t="shared" si="98"/>
        <v>6664.9234100359636</v>
      </c>
      <c r="CT39" s="148">
        <f t="shared" ref="CT39:DE39" si="175">+CT37-CT38</f>
        <v>0</v>
      </c>
      <c r="CU39" s="145">
        <f t="shared" si="175"/>
        <v>0</v>
      </c>
      <c r="CV39" s="145">
        <f t="shared" si="175"/>
        <v>0</v>
      </c>
      <c r="CW39" s="145">
        <f t="shared" si="175"/>
        <v>0</v>
      </c>
      <c r="CX39" s="145">
        <f t="shared" si="175"/>
        <v>0</v>
      </c>
      <c r="CY39" s="145">
        <f t="shared" si="175"/>
        <v>0</v>
      </c>
      <c r="CZ39" s="145">
        <f t="shared" si="175"/>
        <v>0</v>
      </c>
      <c r="DA39" s="145">
        <f t="shared" si="175"/>
        <v>0</v>
      </c>
      <c r="DB39" s="145">
        <f t="shared" si="175"/>
        <v>0</v>
      </c>
      <c r="DC39" s="145">
        <f t="shared" si="175"/>
        <v>0</v>
      </c>
      <c r="DD39" s="145">
        <f t="shared" si="175"/>
        <v>0</v>
      </c>
      <c r="DE39" s="146">
        <f t="shared" si="175"/>
        <v>0</v>
      </c>
      <c r="DF39" s="147">
        <f t="shared" si="99"/>
        <v>0</v>
      </c>
      <c r="DG39" s="146">
        <f>+DG37-DG38</f>
        <v>0</v>
      </c>
      <c r="DH39" s="98">
        <f>+F39+S39+AF39+AS39+BF39+BS39+DG39</f>
        <v>2174.668602223916</v>
      </c>
      <c r="DI39" s="99">
        <f>+E39</f>
        <v>13221.576000000001</v>
      </c>
      <c r="DJ39" s="100">
        <f>+DI39-DH39</f>
        <v>11046.907397776085</v>
      </c>
    </row>
    <row r="40" spans="1:118" ht="15" customHeight="1" outlineLevel="1">
      <c r="A40" s="607"/>
      <c r="B40" s="557" t="s">
        <v>200</v>
      </c>
      <c r="C40" s="246" t="s">
        <v>185</v>
      </c>
      <c r="D40" s="183" t="s">
        <v>122</v>
      </c>
      <c r="E40" s="153">
        <f>AF40+AS40+BF40+BS40+CF40+CS40+DF40+S40+DG40</f>
        <v>138391.04000000001</v>
      </c>
      <c r="F40" s="153"/>
      <c r="G40" s="154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284"/>
      <c r="S40" s="157">
        <f t="shared" si="89"/>
        <v>0</v>
      </c>
      <c r="T40" s="378"/>
      <c r="U40" s="382"/>
      <c r="V40" s="382"/>
      <c r="W40" s="382"/>
      <c r="X40" s="382"/>
      <c r="Y40" s="382"/>
      <c r="Z40" s="382"/>
      <c r="AA40" s="382"/>
      <c r="AB40" s="382"/>
      <c r="AC40" s="382"/>
      <c r="AD40" s="382"/>
      <c r="AE40" s="481"/>
      <c r="AF40" s="157">
        <f t="shared" si="90"/>
        <v>0</v>
      </c>
      <c r="AG40" s="500"/>
      <c r="AH40" s="513"/>
      <c r="AI40" s="513"/>
      <c r="AJ40" s="513"/>
      <c r="AK40" s="513"/>
      <c r="AL40" s="513"/>
      <c r="AM40" s="513"/>
      <c r="AN40" s="513"/>
      <c r="AO40" s="513"/>
      <c r="AP40" s="513"/>
      <c r="AQ40" s="513"/>
      <c r="AR40" s="513"/>
      <c r="AS40" s="409">
        <f t="shared" si="124"/>
        <v>0</v>
      </c>
      <c r="AT40" s="513"/>
      <c r="AU40" s="513"/>
      <c r="AV40" s="513"/>
      <c r="AW40" s="513"/>
      <c r="AX40" s="513"/>
      <c r="AY40" s="512"/>
      <c r="AZ40" s="359"/>
      <c r="BA40" s="283"/>
      <c r="BB40" s="283"/>
      <c r="BC40" s="283"/>
      <c r="BD40" s="283"/>
      <c r="BE40" s="283"/>
      <c r="BF40" s="157">
        <f t="shared" si="125"/>
        <v>0</v>
      </c>
      <c r="BG40" s="283"/>
      <c r="BH40" s="283"/>
      <c r="BI40" s="283"/>
      <c r="BJ40" s="283"/>
      <c r="BK40" s="283"/>
      <c r="BL40" s="285"/>
      <c r="BM40" s="359"/>
      <c r="BN40" s="283"/>
      <c r="BO40" s="283"/>
      <c r="BP40" s="283">
        <v>522.00620601086121</v>
      </c>
      <c r="BQ40" s="283">
        <v>802.75983039882442</v>
      </c>
      <c r="BR40" s="283">
        <v>1138.7702239685655</v>
      </c>
      <c r="BS40" s="157">
        <f t="shared" si="126"/>
        <v>2463.536260378251</v>
      </c>
      <c r="BT40" s="283">
        <v>1396.2964657315956</v>
      </c>
      <c r="BU40" s="283">
        <v>1592.1984556904879</v>
      </c>
      <c r="BV40" s="283">
        <v>1741.7505412698142</v>
      </c>
      <c r="BW40" s="283">
        <v>1858.6852877470867</v>
      </c>
      <c r="BX40" s="283">
        <v>1955.2372486837223</v>
      </c>
      <c r="BY40" s="285">
        <v>2042.1867363559832</v>
      </c>
      <c r="BZ40" s="359">
        <v>2128.9035921858867</v>
      </c>
      <c r="CA40" s="283">
        <v>2223.3909571722279</v>
      </c>
      <c r="CB40" s="283">
        <v>2332.3290423214376</v>
      </c>
      <c r="CC40" s="283">
        <v>2461.1188990785931</v>
      </c>
      <c r="CD40" s="283">
        <v>2613.9261897583474</v>
      </c>
      <c r="CE40" s="285">
        <v>2793.72495797586</v>
      </c>
      <c r="CF40" s="157">
        <f t="shared" si="97"/>
        <v>25139.748373971041</v>
      </c>
      <c r="CG40" s="359">
        <v>3002.3413990776985</v>
      </c>
      <c r="CH40" s="283">
        <v>3240.4976305730129</v>
      </c>
      <c r="CI40" s="283">
        <v>3507.8554625640727</v>
      </c>
      <c r="CJ40" s="283">
        <v>3803.0601681775947</v>
      </c>
      <c r="CK40" s="283">
        <v>4123.7842539955391</v>
      </c>
      <c r="CL40" s="283">
        <v>4466.7712304859397</v>
      </c>
      <c r="CM40" s="283">
        <v>4827.8793824342747</v>
      </c>
      <c r="CN40" s="283">
        <v>2601.0627696868532</v>
      </c>
      <c r="CO40" s="283">
        <v>2791.8644230082527</v>
      </c>
      <c r="CP40" s="283">
        <v>2983.0772663426706</v>
      </c>
      <c r="CQ40" s="283">
        <v>3171.0788428715996</v>
      </c>
      <c r="CR40" s="285">
        <v>3351.9135090126883</v>
      </c>
      <c r="CS40" s="157">
        <f t="shared" si="98"/>
        <v>41871.186338230196</v>
      </c>
      <c r="CT40" s="359">
        <v>3521.3143196349552</v>
      </c>
      <c r="CU40" s="283">
        <v>3674.7249132741654</v>
      </c>
      <c r="CV40" s="283">
        <v>3807.3213973486309</v>
      </c>
      <c r="CW40" s="283">
        <v>3914.0342333741405</v>
      </c>
      <c r="CX40" s="283">
        <v>3989.5701221805025</v>
      </c>
      <c r="CY40" s="283">
        <v>4028.4338891254406</v>
      </c>
      <c r="CZ40" s="283">
        <v>45981.170152482671</v>
      </c>
      <c r="DA40" s="283"/>
      <c r="DB40" s="283"/>
      <c r="DC40" s="283"/>
      <c r="DD40" s="283"/>
      <c r="DE40" s="285"/>
      <c r="DF40" s="157">
        <f t="shared" si="99"/>
        <v>68916.569027420512</v>
      </c>
      <c r="DG40" s="280"/>
      <c r="DH40" s="159">
        <f t="shared" si="127"/>
        <v>2463.536260378251</v>
      </c>
      <c r="DI40" s="160">
        <f t="shared" si="128"/>
        <v>138391.04000000001</v>
      </c>
      <c r="DJ40" s="161">
        <f t="shared" si="129"/>
        <v>135927.50373962175</v>
      </c>
      <c r="DM40" s="134">
        <f>AS40+BF40+BS40+CF40+CS40+DG40+DF40+S40+AF40+DO40</f>
        <v>138391.04000000001</v>
      </c>
    </row>
    <row r="41" spans="1:118" ht="15" customHeight="1" outlineLevel="1">
      <c r="A41" s="607"/>
      <c r="B41" s="558"/>
      <c r="C41" s="245" t="s">
        <v>63</v>
      </c>
      <c r="D41" s="184" t="s">
        <v>124</v>
      </c>
      <c r="E41" s="136">
        <f>AF41+AS41+BF41+BS41+CF41+CS41+DF41+S41+DG41</f>
        <v>121784.1152</v>
      </c>
      <c r="F41" s="136"/>
      <c r="G41" s="137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9"/>
      <c r="S41" s="162">
        <f t="shared" si="89"/>
        <v>0</v>
      </c>
      <c r="T41" s="380"/>
      <c r="U41" s="381"/>
      <c r="V41" s="381"/>
      <c r="W41" s="381"/>
      <c r="X41" s="381"/>
      <c r="Y41" s="381"/>
      <c r="Z41" s="381"/>
      <c r="AA41" s="381"/>
      <c r="AB41" s="381"/>
      <c r="AC41" s="381"/>
      <c r="AD41" s="381"/>
      <c r="AE41" s="392"/>
      <c r="AF41" s="162">
        <f t="shared" si="90"/>
        <v>0</v>
      </c>
      <c r="AG41" s="501"/>
      <c r="AH41" s="499"/>
      <c r="AI41" s="499"/>
      <c r="AJ41" s="499"/>
      <c r="AK41" s="499"/>
      <c r="AL41" s="499"/>
      <c r="AM41" s="499"/>
      <c r="AN41" s="499"/>
      <c r="AO41" s="499"/>
      <c r="AP41" s="499"/>
      <c r="AQ41" s="499"/>
      <c r="AR41" s="511"/>
      <c r="AS41" s="410">
        <f t="shared" si="124"/>
        <v>0</v>
      </c>
      <c r="AT41" s="499"/>
      <c r="AU41" s="499"/>
      <c r="AV41" s="511"/>
      <c r="AW41" s="499"/>
      <c r="AX41" s="499"/>
      <c r="AY41" s="511"/>
      <c r="AZ41" s="353"/>
      <c r="BA41" s="253"/>
      <c r="BB41" s="253"/>
      <c r="BC41" s="253"/>
      <c r="BD41" s="253"/>
      <c r="BE41" s="253"/>
      <c r="BF41" s="162">
        <f t="shared" si="125"/>
        <v>0</v>
      </c>
      <c r="BG41" s="253"/>
      <c r="BH41" s="253"/>
      <c r="BI41" s="253"/>
      <c r="BJ41" s="253"/>
      <c r="BK41" s="253"/>
      <c r="BL41" s="338"/>
      <c r="BM41" s="353"/>
      <c r="BN41" s="253"/>
      <c r="BO41" s="253"/>
      <c r="BP41" s="253">
        <v>459.36546128955786</v>
      </c>
      <c r="BQ41" s="253">
        <v>706.42865075096552</v>
      </c>
      <c r="BR41" s="253">
        <v>1002.1177970923376</v>
      </c>
      <c r="BS41" s="162">
        <f t="shared" si="126"/>
        <v>2167.9119091328612</v>
      </c>
      <c r="BT41" s="253">
        <v>1228.7408898438041</v>
      </c>
      <c r="BU41" s="253">
        <v>1401.1346410076294</v>
      </c>
      <c r="BV41" s="253">
        <v>1532.7404763174363</v>
      </c>
      <c r="BW41" s="253">
        <v>1635.6430532174363</v>
      </c>
      <c r="BX41" s="253">
        <v>1720.6087788416755</v>
      </c>
      <c r="BY41" s="338">
        <v>1797.1243279932651</v>
      </c>
      <c r="BZ41" s="353">
        <v>1873.4351611235802</v>
      </c>
      <c r="CA41" s="253">
        <v>1956.5840423115606</v>
      </c>
      <c r="CB41" s="253">
        <v>2052.449557242865</v>
      </c>
      <c r="CC41" s="253">
        <v>2165.7846311891617</v>
      </c>
      <c r="CD41" s="253">
        <v>2300.2550469873458</v>
      </c>
      <c r="CE41" s="338">
        <v>2458.4779630187568</v>
      </c>
      <c r="CF41" s="162">
        <f t="shared" si="97"/>
        <v>22122.978569094521</v>
      </c>
      <c r="CG41" s="353">
        <v>2642.0604311883749</v>
      </c>
      <c r="CH41" s="253">
        <v>2851.6379149042514</v>
      </c>
      <c r="CI41" s="253">
        <v>3086.9128070563838</v>
      </c>
      <c r="CJ41" s="253">
        <v>3346.6929479962832</v>
      </c>
      <c r="CK41" s="253">
        <v>3628.9301435160746</v>
      </c>
      <c r="CL41" s="253">
        <v>3930.7586828276267</v>
      </c>
      <c r="CM41" s="253">
        <v>4248.5338565421616</v>
      </c>
      <c r="CN41" s="253">
        <v>2288.9352373244305</v>
      </c>
      <c r="CO41" s="253">
        <v>2456.8406922472627</v>
      </c>
      <c r="CP41" s="253">
        <v>2625.1079943815503</v>
      </c>
      <c r="CQ41" s="253">
        <v>2790.5493817270076</v>
      </c>
      <c r="CR41" s="338">
        <v>2949.6838879311658</v>
      </c>
      <c r="CS41" s="162">
        <f t="shared" si="98"/>
        <v>36846.643977642576</v>
      </c>
      <c r="CT41" s="353">
        <v>3098.7566012787611</v>
      </c>
      <c r="CU41" s="253">
        <v>3233.7579236812653</v>
      </c>
      <c r="CV41" s="253">
        <v>3350.4428296667952</v>
      </c>
      <c r="CW41" s="253">
        <v>3444.3501253692439</v>
      </c>
      <c r="CX41" s="253">
        <v>3510.8217075188422</v>
      </c>
      <c r="CY41" s="253">
        <v>3545.0218224303881</v>
      </c>
      <c r="CZ41" s="253">
        <v>40463.429734184749</v>
      </c>
      <c r="DA41" s="253"/>
      <c r="DB41" s="253"/>
      <c r="DC41" s="253"/>
      <c r="DD41" s="253"/>
      <c r="DE41" s="338"/>
      <c r="DF41" s="162">
        <f t="shared" si="99"/>
        <v>60646.580744130049</v>
      </c>
      <c r="DG41" s="279"/>
      <c r="DH41" s="90">
        <f t="shared" si="127"/>
        <v>2167.9119091328612</v>
      </c>
      <c r="DI41" s="91">
        <f t="shared" si="128"/>
        <v>121784.1152</v>
      </c>
      <c r="DJ41" s="92">
        <f t="shared" si="129"/>
        <v>119616.20329086714</v>
      </c>
      <c r="DK41" s="64">
        <f>+DH41/DH40</f>
        <v>0.88000000000000012</v>
      </c>
      <c r="DM41" s="134">
        <f>AS41+BF41+BS41+CF41+CS41+DG41+DF41+S41+AF41+DO41</f>
        <v>121784.1152</v>
      </c>
      <c r="DN41" s="533">
        <f>DM41/DM40</f>
        <v>0.88</v>
      </c>
    </row>
    <row r="42" spans="1:118" ht="15" customHeight="1" outlineLevel="1">
      <c r="A42" s="607"/>
      <c r="B42" s="559"/>
      <c r="C42" s="357" t="s">
        <v>11</v>
      </c>
      <c r="D42" s="358"/>
      <c r="E42" s="143">
        <f t="shared" ref="E42:R42" si="176">+E40-E41</f>
        <v>16606.924800000008</v>
      </c>
      <c r="F42" s="144">
        <f t="shared" si="176"/>
        <v>0</v>
      </c>
      <c r="G42" s="145">
        <f t="shared" si="176"/>
        <v>0</v>
      </c>
      <c r="H42" s="145">
        <f t="shared" si="176"/>
        <v>0</v>
      </c>
      <c r="I42" s="145">
        <f t="shared" si="176"/>
        <v>0</v>
      </c>
      <c r="J42" s="145">
        <f t="shared" si="176"/>
        <v>0</v>
      </c>
      <c r="K42" s="145">
        <f t="shared" si="176"/>
        <v>0</v>
      </c>
      <c r="L42" s="145">
        <f t="shared" si="176"/>
        <v>0</v>
      </c>
      <c r="M42" s="145">
        <f t="shared" si="176"/>
        <v>0</v>
      </c>
      <c r="N42" s="145">
        <f t="shared" si="176"/>
        <v>0</v>
      </c>
      <c r="O42" s="145">
        <f t="shared" si="176"/>
        <v>0</v>
      </c>
      <c r="P42" s="145">
        <f t="shared" si="176"/>
        <v>0</v>
      </c>
      <c r="Q42" s="145">
        <f t="shared" si="176"/>
        <v>0</v>
      </c>
      <c r="R42" s="146">
        <f t="shared" si="176"/>
        <v>0</v>
      </c>
      <c r="S42" s="147">
        <f t="shared" si="89"/>
        <v>0</v>
      </c>
      <c r="T42" s="148">
        <f t="shared" ref="T42:AE42" si="177">+T40-T41</f>
        <v>0</v>
      </c>
      <c r="U42" s="145">
        <f t="shared" si="177"/>
        <v>0</v>
      </c>
      <c r="V42" s="145">
        <f t="shared" si="177"/>
        <v>0</v>
      </c>
      <c r="W42" s="145">
        <f t="shared" si="177"/>
        <v>0</v>
      </c>
      <c r="X42" s="145">
        <f t="shared" si="177"/>
        <v>0</v>
      </c>
      <c r="Y42" s="145">
        <f t="shared" si="177"/>
        <v>0</v>
      </c>
      <c r="Z42" s="145">
        <f t="shared" si="177"/>
        <v>0</v>
      </c>
      <c r="AA42" s="145">
        <f t="shared" si="177"/>
        <v>0</v>
      </c>
      <c r="AB42" s="145">
        <f t="shared" si="177"/>
        <v>0</v>
      </c>
      <c r="AC42" s="145">
        <f t="shared" si="177"/>
        <v>0</v>
      </c>
      <c r="AD42" s="145">
        <f t="shared" si="177"/>
        <v>0</v>
      </c>
      <c r="AE42" s="146">
        <f t="shared" si="177"/>
        <v>0</v>
      </c>
      <c r="AF42" s="147">
        <f t="shared" si="90"/>
        <v>0</v>
      </c>
      <c r="AG42" s="148">
        <f t="shared" ref="AG42:AR42" si="178">+AG40-AG41</f>
        <v>0</v>
      </c>
      <c r="AH42" s="145">
        <f t="shared" si="178"/>
        <v>0</v>
      </c>
      <c r="AI42" s="145">
        <f t="shared" si="178"/>
        <v>0</v>
      </c>
      <c r="AJ42" s="145">
        <f t="shared" si="178"/>
        <v>0</v>
      </c>
      <c r="AK42" s="145">
        <f t="shared" si="178"/>
        <v>0</v>
      </c>
      <c r="AL42" s="145">
        <f t="shared" si="178"/>
        <v>0</v>
      </c>
      <c r="AM42" s="145">
        <f t="shared" si="178"/>
        <v>0</v>
      </c>
      <c r="AN42" s="145">
        <f t="shared" si="178"/>
        <v>0</v>
      </c>
      <c r="AO42" s="145">
        <f t="shared" si="178"/>
        <v>0</v>
      </c>
      <c r="AP42" s="145">
        <f t="shared" si="178"/>
        <v>0</v>
      </c>
      <c r="AQ42" s="145">
        <f t="shared" si="178"/>
        <v>0</v>
      </c>
      <c r="AR42" s="146">
        <f t="shared" si="178"/>
        <v>0</v>
      </c>
      <c r="AS42" s="408">
        <f t="shared" si="124"/>
        <v>0</v>
      </c>
      <c r="AT42" s="148">
        <f t="shared" ref="AT42:BE42" si="179">+AT40-AT41</f>
        <v>0</v>
      </c>
      <c r="AU42" s="145">
        <f t="shared" si="179"/>
        <v>0</v>
      </c>
      <c r="AV42" s="145">
        <f t="shared" si="179"/>
        <v>0</v>
      </c>
      <c r="AW42" s="145">
        <f t="shared" si="179"/>
        <v>0</v>
      </c>
      <c r="AX42" s="145">
        <f t="shared" si="179"/>
        <v>0</v>
      </c>
      <c r="AY42" s="145">
        <f t="shared" si="179"/>
        <v>0</v>
      </c>
      <c r="AZ42" s="145">
        <f t="shared" si="179"/>
        <v>0</v>
      </c>
      <c r="BA42" s="145">
        <f t="shared" si="179"/>
        <v>0</v>
      </c>
      <c r="BB42" s="145">
        <f t="shared" si="179"/>
        <v>0</v>
      </c>
      <c r="BC42" s="145">
        <f t="shared" si="179"/>
        <v>0</v>
      </c>
      <c r="BD42" s="145">
        <f t="shared" si="179"/>
        <v>0</v>
      </c>
      <c r="BE42" s="146">
        <f t="shared" si="179"/>
        <v>0</v>
      </c>
      <c r="BF42" s="147">
        <f t="shared" si="125"/>
        <v>0</v>
      </c>
      <c r="BG42" s="148">
        <f t="shared" ref="BG42:BR42" si="180">+BG40-BG41</f>
        <v>0</v>
      </c>
      <c r="BH42" s="145">
        <f t="shared" si="180"/>
        <v>0</v>
      </c>
      <c r="BI42" s="145">
        <f t="shared" si="180"/>
        <v>0</v>
      </c>
      <c r="BJ42" s="145">
        <f t="shared" si="180"/>
        <v>0</v>
      </c>
      <c r="BK42" s="145">
        <f t="shared" si="180"/>
        <v>0</v>
      </c>
      <c r="BL42" s="145">
        <f t="shared" si="180"/>
        <v>0</v>
      </c>
      <c r="BM42" s="145">
        <f t="shared" si="180"/>
        <v>0</v>
      </c>
      <c r="BN42" s="145">
        <f t="shared" si="180"/>
        <v>0</v>
      </c>
      <c r="BO42" s="145">
        <f t="shared" si="180"/>
        <v>0</v>
      </c>
      <c r="BP42" s="145">
        <f t="shared" si="180"/>
        <v>62.640744721303349</v>
      </c>
      <c r="BQ42" s="145">
        <f t="shared" si="180"/>
        <v>96.331179647858903</v>
      </c>
      <c r="BR42" s="146">
        <f t="shared" si="180"/>
        <v>136.65242687622788</v>
      </c>
      <c r="BS42" s="147">
        <f t="shared" si="126"/>
        <v>295.62435124539013</v>
      </c>
      <c r="BT42" s="148">
        <f t="shared" ref="BT42:CE42" si="181">+BT40-BT41</f>
        <v>167.55557588779152</v>
      </c>
      <c r="BU42" s="145">
        <f t="shared" si="181"/>
        <v>191.06381468285849</v>
      </c>
      <c r="BV42" s="145">
        <f t="shared" si="181"/>
        <v>209.01006495237789</v>
      </c>
      <c r="BW42" s="145">
        <f t="shared" si="181"/>
        <v>223.04223452965039</v>
      </c>
      <c r="BX42" s="145">
        <f t="shared" si="181"/>
        <v>234.6284698420468</v>
      </c>
      <c r="BY42" s="145">
        <f t="shared" si="181"/>
        <v>245.06240836271809</v>
      </c>
      <c r="BZ42" s="145">
        <f t="shared" si="181"/>
        <v>255.46843106230654</v>
      </c>
      <c r="CA42" s="145">
        <f t="shared" si="181"/>
        <v>266.80691486066735</v>
      </c>
      <c r="CB42" s="145">
        <f t="shared" si="181"/>
        <v>279.87948507857254</v>
      </c>
      <c r="CC42" s="145">
        <f t="shared" si="181"/>
        <v>295.33426788943143</v>
      </c>
      <c r="CD42" s="145">
        <f t="shared" si="181"/>
        <v>313.67114277100154</v>
      </c>
      <c r="CE42" s="146">
        <f t="shared" si="181"/>
        <v>335.2469949571032</v>
      </c>
      <c r="CF42" s="147">
        <f t="shared" si="97"/>
        <v>3016.769804876526</v>
      </c>
      <c r="CG42" s="148">
        <f t="shared" ref="CG42:CR42" si="182">+CG40-CG41</f>
        <v>360.28096788932362</v>
      </c>
      <c r="CH42" s="145">
        <f t="shared" si="182"/>
        <v>388.85971566876151</v>
      </c>
      <c r="CI42" s="145">
        <f t="shared" si="182"/>
        <v>420.94265550768887</v>
      </c>
      <c r="CJ42" s="145">
        <f t="shared" si="182"/>
        <v>456.3672201813115</v>
      </c>
      <c r="CK42" s="145">
        <f t="shared" si="182"/>
        <v>494.85411047946445</v>
      </c>
      <c r="CL42" s="145">
        <f t="shared" si="182"/>
        <v>536.012547658313</v>
      </c>
      <c r="CM42" s="145">
        <f t="shared" si="182"/>
        <v>579.34552589211307</v>
      </c>
      <c r="CN42" s="145">
        <f t="shared" si="182"/>
        <v>312.1275323624227</v>
      </c>
      <c r="CO42" s="145">
        <f t="shared" si="182"/>
        <v>335.02373076099002</v>
      </c>
      <c r="CP42" s="145">
        <f t="shared" si="182"/>
        <v>357.96927196112028</v>
      </c>
      <c r="CQ42" s="145">
        <f t="shared" si="182"/>
        <v>380.52946114459201</v>
      </c>
      <c r="CR42" s="146">
        <f t="shared" si="182"/>
        <v>402.22962108152251</v>
      </c>
      <c r="CS42" s="147">
        <f t="shared" si="98"/>
        <v>5024.5423605876222</v>
      </c>
      <c r="CT42" s="148">
        <f t="shared" ref="CT42:DE42" si="183">+CT40-CT41</f>
        <v>422.55771835619407</v>
      </c>
      <c r="CU42" s="145">
        <f t="shared" si="183"/>
        <v>440.96698959290006</v>
      </c>
      <c r="CV42" s="145">
        <f t="shared" si="183"/>
        <v>456.87856768183565</v>
      </c>
      <c r="CW42" s="145">
        <f t="shared" si="183"/>
        <v>469.68410800489664</v>
      </c>
      <c r="CX42" s="145">
        <f t="shared" si="183"/>
        <v>478.74841466166026</v>
      </c>
      <c r="CY42" s="145">
        <f t="shared" si="183"/>
        <v>483.41206669505254</v>
      </c>
      <c r="CZ42" s="145">
        <f t="shared" si="183"/>
        <v>5517.7404182979226</v>
      </c>
      <c r="DA42" s="145">
        <f t="shared" si="183"/>
        <v>0</v>
      </c>
      <c r="DB42" s="145">
        <f t="shared" si="183"/>
        <v>0</v>
      </c>
      <c r="DC42" s="145">
        <f t="shared" si="183"/>
        <v>0</v>
      </c>
      <c r="DD42" s="145">
        <f t="shared" si="183"/>
        <v>0</v>
      </c>
      <c r="DE42" s="146">
        <f t="shared" si="183"/>
        <v>0</v>
      </c>
      <c r="DF42" s="147">
        <f t="shared" si="99"/>
        <v>8269.9882832904623</v>
      </c>
      <c r="DG42" s="146">
        <f>+DG40-DG41</f>
        <v>0</v>
      </c>
      <c r="DH42" s="98">
        <f t="shared" si="127"/>
        <v>295.62435124539013</v>
      </c>
      <c r="DI42" s="99">
        <f t="shared" si="128"/>
        <v>16606.924800000008</v>
      </c>
      <c r="DJ42" s="100">
        <f t="shared" si="129"/>
        <v>16311.300448754619</v>
      </c>
    </row>
    <row r="43" spans="1:118" ht="15" customHeight="1" outlineLevel="1">
      <c r="A43" s="607"/>
      <c r="B43" s="546" t="s">
        <v>58</v>
      </c>
      <c r="C43" s="246" t="s">
        <v>62</v>
      </c>
      <c r="D43" s="183" t="s">
        <v>122</v>
      </c>
      <c r="E43" s="153">
        <f>AF43+AS43+BF43+BS43+CF43+CS43+DF43+S43+DG43</f>
        <v>194033.20900000006</v>
      </c>
      <c r="F43" s="153"/>
      <c r="G43" s="154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6"/>
      <c r="S43" s="157">
        <f t="shared" ref="S43:S48" si="184">SUM(G43:R43)</f>
        <v>0</v>
      </c>
      <c r="T43" s="378"/>
      <c r="U43" s="382"/>
      <c r="V43" s="382"/>
      <c r="W43" s="382"/>
      <c r="X43" s="382"/>
      <c r="Y43" s="382"/>
      <c r="Z43" s="382"/>
      <c r="AA43" s="382"/>
      <c r="AB43" s="382"/>
      <c r="AC43" s="382"/>
      <c r="AD43" s="382"/>
      <c r="AE43" s="484">
        <v>25733.515743611886</v>
      </c>
      <c r="AF43" s="157">
        <f t="shared" si="90"/>
        <v>25733.515743611886</v>
      </c>
      <c r="AG43" s="499"/>
      <c r="AH43" s="513"/>
      <c r="AI43" s="513"/>
      <c r="AJ43" s="513"/>
      <c r="AK43" s="513"/>
      <c r="AL43" s="499"/>
      <c r="AM43" s="499"/>
      <c r="AN43" s="513"/>
      <c r="AO43" s="513"/>
      <c r="AP43" s="513"/>
      <c r="AQ43" s="513"/>
      <c r="AR43" s="500">
        <v>4665.6339897260277</v>
      </c>
      <c r="AS43" s="409">
        <f t="shared" si="124"/>
        <v>4665.6339897260277</v>
      </c>
      <c r="AT43" s="513">
        <v>2386.7263601354211</v>
      </c>
      <c r="AU43" s="513">
        <v>1964.1306455730164</v>
      </c>
      <c r="AV43" s="513">
        <v>1684.7636742395509</v>
      </c>
      <c r="AW43" s="513">
        <v>1027.6619382753493</v>
      </c>
      <c r="AX43" s="543"/>
      <c r="AY43" s="543"/>
      <c r="AZ43" s="543"/>
      <c r="BA43" s="283">
        <v>1819.5914730067</v>
      </c>
      <c r="BB43" s="283">
        <v>2615.507813977672</v>
      </c>
      <c r="BC43" s="283">
        <v>2204.44403321554</v>
      </c>
      <c r="BD43" s="285">
        <v>4022.9160676337201</v>
      </c>
      <c r="BE43" s="359">
        <v>5191.7394934941103</v>
      </c>
      <c r="BF43" s="157">
        <f t="shared" si="125"/>
        <v>22917.481499551082</v>
      </c>
      <c r="BG43" s="283">
        <v>6967.9477527024628</v>
      </c>
      <c r="BH43" s="283">
        <v>6433.6243216578287</v>
      </c>
      <c r="BI43" s="283">
        <v>4643.8197017131115</v>
      </c>
      <c r="BJ43" s="283">
        <v>7993.9899896556981</v>
      </c>
      <c r="BK43" s="283">
        <v>6506.2467776687981</v>
      </c>
      <c r="BL43" s="283">
        <v>5762.4250789764192</v>
      </c>
      <c r="BM43" s="538">
        <v>19432.599999999999</v>
      </c>
      <c r="BN43" s="283">
        <v>9675.6769700898803</v>
      </c>
      <c r="BO43" s="283">
        <v>9489.8922544106863</v>
      </c>
      <c r="BP43" s="283">
        <v>5633.2307119152711</v>
      </c>
      <c r="BQ43" s="283">
        <v>8323.9065943415062</v>
      </c>
      <c r="BR43" s="359">
        <v>10381.7692204551</v>
      </c>
      <c r="BS43" s="157">
        <f t="shared" si="126"/>
        <v>101245.12937358675</v>
      </c>
      <c r="BT43" s="283">
        <v>9753.7022356970774</v>
      </c>
      <c r="BU43" s="283">
        <v>8988.7785671837501</v>
      </c>
      <c r="BV43" s="283">
        <v>4639.2957267590955</v>
      </c>
      <c r="BW43" s="283">
        <v>4909.0498099926681</v>
      </c>
      <c r="BX43" s="283">
        <v>3069.6817139650921</v>
      </c>
      <c r="BY43" s="283">
        <v>2750.7555688330353</v>
      </c>
      <c r="BZ43" s="359">
        <v>3006.4167176515848</v>
      </c>
      <c r="CA43" s="283">
        <v>2353.7680534419997</v>
      </c>
      <c r="CB43" s="283"/>
      <c r="CC43" s="283"/>
      <c r="CD43" s="283"/>
      <c r="CE43" s="283"/>
      <c r="CF43" s="157">
        <f t="shared" ref="CF43:CF48" si="185">SUM(BT43:CE43)</f>
        <v>39471.448393524304</v>
      </c>
      <c r="CG43" s="359"/>
      <c r="CH43" s="283"/>
      <c r="CI43" s="283"/>
      <c r="CJ43" s="283"/>
      <c r="CK43" s="283"/>
      <c r="CL43" s="283"/>
      <c r="CM43" s="283"/>
      <c r="CN43" s="359"/>
      <c r="CO43" s="283"/>
      <c r="CP43" s="283"/>
      <c r="CQ43" s="283"/>
      <c r="CR43" s="283"/>
      <c r="CS43" s="157">
        <f t="shared" ref="CS43:CS48" si="186">SUM(CG43:CR43)</f>
        <v>0</v>
      </c>
      <c r="CT43" s="359"/>
      <c r="CU43" s="283"/>
      <c r="CV43" s="283"/>
      <c r="CW43" s="283"/>
      <c r="CX43" s="283"/>
      <c r="CY43" s="283"/>
      <c r="CZ43" s="283"/>
      <c r="DA43" s="359"/>
      <c r="DB43" s="283"/>
      <c r="DC43" s="283"/>
      <c r="DD43" s="283"/>
      <c r="DE43" s="283"/>
      <c r="DF43" s="157">
        <f t="shared" ref="DF43:DF48" si="187">SUM(CT43:DE43)</f>
        <v>0</v>
      </c>
      <c r="DG43" s="280"/>
      <c r="DH43" s="159">
        <f t="shared" si="127"/>
        <v>154561.76060647576</v>
      </c>
      <c r="DI43" s="160">
        <f t="shared" si="128"/>
        <v>194033.20900000006</v>
      </c>
      <c r="DJ43" s="161">
        <f t="shared" si="129"/>
        <v>39471.448393524304</v>
      </c>
      <c r="DM43" s="134">
        <f>AS43+BF43+BS43+CF43+CS43+DG43+DF43+S43+AF43+DO43</f>
        <v>194033.20900000003</v>
      </c>
    </row>
    <row r="44" spans="1:118" ht="15" customHeight="1" outlineLevel="1">
      <c r="A44" s="607"/>
      <c r="B44" s="548"/>
      <c r="C44" s="245" t="s">
        <v>63</v>
      </c>
      <c r="D44" s="184" t="s">
        <v>119</v>
      </c>
      <c r="E44" s="136">
        <f>AF44+AS44+BF44+BS44+CF44+CS44+DF44+S44+DG44</f>
        <v>164157.33245262169</v>
      </c>
      <c r="F44" s="136"/>
      <c r="G44" s="137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9"/>
      <c r="S44" s="162">
        <f t="shared" si="184"/>
        <v>0</v>
      </c>
      <c r="T44" s="380"/>
      <c r="U44" s="381"/>
      <c r="V44" s="381"/>
      <c r="W44" s="381"/>
      <c r="X44" s="381"/>
      <c r="Y44" s="381"/>
      <c r="Z44" s="381"/>
      <c r="AA44" s="381"/>
      <c r="AB44" s="381"/>
      <c r="AC44" s="381"/>
      <c r="AD44" s="381"/>
      <c r="AE44" s="392"/>
      <c r="AF44" s="162">
        <f t="shared" si="90"/>
        <v>0</v>
      </c>
      <c r="AG44" s="497"/>
      <c r="AH44" s="499"/>
      <c r="AI44" s="499"/>
      <c r="AJ44" s="499"/>
      <c r="AK44" s="499"/>
      <c r="AL44" s="499"/>
      <c r="AM44" s="499"/>
      <c r="AN44" s="499"/>
      <c r="AO44" s="499"/>
      <c r="AP44" s="499">
        <v>20.562684380583114</v>
      </c>
      <c r="AQ44" s="499">
        <v>517.10870370931684</v>
      </c>
      <c r="AR44" s="501">
        <v>2482.1710560502283</v>
      </c>
      <c r="AS44" s="410">
        <f t="shared" si="124"/>
        <v>3019.8424441401285</v>
      </c>
      <c r="AT44" s="499">
        <v>1673.3642672642634</v>
      </c>
      <c r="AU44" s="499">
        <v>1111.6412366807206</v>
      </c>
      <c r="AV44" s="499">
        <v>500.01869923386181</v>
      </c>
      <c r="AW44" s="499">
        <v>1264.0884406843961</v>
      </c>
      <c r="AX44" s="499">
        <v>2499.2971022222223</v>
      </c>
      <c r="AY44" s="499">
        <v>3499.1164236837103</v>
      </c>
      <c r="AZ44" s="253">
        <f>2741.32600629864-75</f>
        <v>2666.3260062986401</v>
      </c>
      <c r="BA44" s="253">
        <v>2658.5700034234364</v>
      </c>
      <c r="BB44" s="253">
        <v>2559.3619249953699</v>
      </c>
      <c r="BC44" s="253">
        <v>1961.4024784937865</v>
      </c>
      <c r="BD44" s="338">
        <v>4119.9352298349695</v>
      </c>
      <c r="BE44" s="353">
        <v>5051.5545280072838</v>
      </c>
      <c r="BF44" s="162">
        <f t="shared" si="125"/>
        <v>29564.676340822662</v>
      </c>
      <c r="BG44" s="253">
        <v>4446.8959135732812</v>
      </c>
      <c r="BH44" s="253">
        <v>6922.4286317140686</v>
      </c>
      <c r="BI44" s="253">
        <v>5452.9673134611203</v>
      </c>
      <c r="BJ44" s="253">
        <v>8875.5385701090054</v>
      </c>
      <c r="BK44" s="253">
        <v>8401.6822363511001</v>
      </c>
      <c r="BL44" s="253">
        <v>8334.3241634168007</v>
      </c>
      <c r="BM44" s="353">
        <v>8738.0078991981209</v>
      </c>
      <c r="BN44" s="253">
        <v>9590.5292007936696</v>
      </c>
      <c r="BO44" s="253">
        <v>8689.6582639048902</v>
      </c>
      <c r="BP44" s="253">
        <v>6107.7089035967247</v>
      </c>
      <c r="BQ44" s="253">
        <v>5804.6142632246419</v>
      </c>
      <c r="BR44" s="353">
        <v>5878.4223441404092</v>
      </c>
      <c r="BS44" s="162">
        <f t="shared" si="126"/>
        <v>87242.777703483822</v>
      </c>
      <c r="BT44" s="253">
        <v>3868.9254962418595</v>
      </c>
      <c r="BU44" s="253">
        <v>6556.6656531622684</v>
      </c>
      <c r="BV44" s="253">
        <v>5740.5924801048759</v>
      </c>
      <c r="BW44" s="253">
        <v>5394.0754609836204</v>
      </c>
      <c r="BX44" s="253">
        <v>2876.3175417637053</v>
      </c>
      <c r="BY44" s="253">
        <v>3137.9792822252257</v>
      </c>
      <c r="BZ44" s="353">
        <v>2651.20830764123</v>
      </c>
      <c r="CA44" s="253">
        <v>14104.271742052282</v>
      </c>
      <c r="CB44" s="253"/>
      <c r="CC44" s="253"/>
      <c r="CD44" s="253"/>
      <c r="CE44" s="253"/>
      <c r="CF44" s="162">
        <f t="shared" si="185"/>
        <v>44330.035964175069</v>
      </c>
      <c r="CG44" s="353"/>
      <c r="CH44" s="253"/>
      <c r="CI44" s="253"/>
      <c r="CJ44" s="253"/>
      <c r="CK44" s="253"/>
      <c r="CL44" s="253"/>
      <c r="CM44" s="253"/>
      <c r="CN44" s="353"/>
      <c r="CO44" s="253"/>
      <c r="CP44" s="253"/>
      <c r="CQ44" s="253"/>
      <c r="CR44" s="253"/>
      <c r="CS44" s="162">
        <f t="shared" si="186"/>
        <v>0</v>
      </c>
      <c r="CT44" s="353"/>
      <c r="CU44" s="253"/>
      <c r="CV44" s="253"/>
      <c r="CW44" s="253"/>
      <c r="CX44" s="253"/>
      <c r="CY44" s="253"/>
      <c r="CZ44" s="253"/>
      <c r="DA44" s="353"/>
      <c r="DB44" s="253"/>
      <c r="DC44" s="253"/>
      <c r="DD44" s="253"/>
      <c r="DE44" s="253"/>
      <c r="DF44" s="162">
        <f t="shared" si="187"/>
        <v>0</v>
      </c>
      <c r="DG44" s="279"/>
      <c r="DH44" s="90">
        <f t="shared" si="127"/>
        <v>119827.29648844662</v>
      </c>
      <c r="DI44" s="91">
        <f t="shared" si="128"/>
        <v>164157.33245262169</v>
      </c>
      <c r="DJ44" s="92">
        <f t="shared" si="129"/>
        <v>44330.035964175069</v>
      </c>
      <c r="DK44" s="64">
        <f>+DH44/DH43</f>
        <v>0.77527129620071211</v>
      </c>
      <c r="DM44" s="134">
        <f>AS44+BF44+BS44+CF44+CS44+DG44+DF44+S44+AF44+DO44</f>
        <v>164157.33245262169</v>
      </c>
      <c r="DN44" s="533">
        <f>DM44/DM43</f>
        <v>0.84602699351646382</v>
      </c>
    </row>
    <row r="45" spans="1:118" ht="15" customHeight="1" outlineLevel="1">
      <c r="A45" s="607"/>
      <c r="B45" s="549"/>
      <c r="C45" s="554" t="s">
        <v>11</v>
      </c>
      <c r="D45" s="555"/>
      <c r="E45" s="143">
        <f t="shared" ref="E45:R45" si="188">+E43-E44</f>
        <v>29875.876547378371</v>
      </c>
      <c r="F45" s="144">
        <f t="shared" si="188"/>
        <v>0</v>
      </c>
      <c r="G45" s="145">
        <f t="shared" si="188"/>
        <v>0</v>
      </c>
      <c r="H45" s="145">
        <f t="shared" si="188"/>
        <v>0</v>
      </c>
      <c r="I45" s="145">
        <f t="shared" si="188"/>
        <v>0</v>
      </c>
      <c r="J45" s="145">
        <f t="shared" si="188"/>
        <v>0</v>
      </c>
      <c r="K45" s="145">
        <f t="shared" si="188"/>
        <v>0</v>
      </c>
      <c r="L45" s="145">
        <f t="shared" si="188"/>
        <v>0</v>
      </c>
      <c r="M45" s="145">
        <f t="shared" si="188"/>
        <v>0</v>
      </c>
      <c r="N45" s="145">
        <f t="shared" si="188"/>
        <v>0</v>
      </c>
      <c r="O45" s="145">
        <f t="shared" si="188"/>
        <v>0</v>
      </c>
      <c r="P45" s="145">
        <f t="shared" si="188"/>
        <v>0</v>
      </c>
      <c r="Q45" s="145">
        <f t="shared" si="188"/>
        <v>0</v>
      </c>
      <c r="R45" s="146">
        <f t="shared" si="188"/>
        <v>0</v>
      </c>
      <c r="S45" s="147">
        <f t="shared" si="184"/>
        <v>0</v>
      </c>
      <c r="T45" s="148">
        <f t="shared" ref="T45:AE45" si="189">+T43-T44</f>
        <v>0</v>
      </c>
      <c r="U45" s="145">
        <f t="shared" si="189"/>
        <v>0</v>
      </c>
      <c r="V45" s="145">
        <f t="shared" si="189"/>
        <v>0</v>
      </c>
      <c r="W45" s="145">
        <f t="shared" si="189"/>
        <v>0</v>
      </c>
      <c r="X45" s="145">
        <f t="shared" si="189"/>
        <v>0</v>
      </c>
      <c r="Y45" s="145">
        <f t="shared" si="189"/>
        <v>0</v>
      </c>
      <c r="Z45" s="145">
        <f t="shared" si="189"/>
        <v>0</v>
      </c>
      <c r="AA45" s="145">
        <f t="shared" si="189"/>
        <v>0</v>
      </c>
      <c r="AB45" s="145">
        <f t="shared" si="189"/>
        <v>0</v>
      </c>
      <c r="AC45" s="145">
        <f t="shared" si="189"/>
        <v>0</v>
      </c>
      <c r="AD45" s="145">
        <f t="shared" si="189"/>
        <v>0</v>
      </c>
      <c r="AE45" s="146">
        <f t="shared" si="189"/>
        <v>25733.515743611886</v>
      </c>
      <c r="AF45" s="147">
        <f t="shared" si="90"/>
        <v>25733.515743611886</v>
      </c>
      <c r="AG45" s="148">
        <f t="shared" ref="AG45:AR45" si="190">+AG43-AG44</f>
        <v>0</v>
      </c>
      <c r="AH45" s="145">
        <f t="shared" si="190"/>
        <v>0</v>
      </c>
      <c r="AI45" s="145">
        <f t="shared" si="190"/>
        <v>0</v>
      </c>
      <c r="AJ45" s="145">
        <f t="shared" si="190"/>
        <v>0</v>
      </c>
      <c r="AK45" s="145">
        <f t="shared" si="190"/>
        <v>0</v>
      </c>
      <c r="AL45" s="145">
        <f t="shared" si="190"/>
        <v>0</v>
      </c>
      <c r="AM45" s="145">
        <f t="shared" si="190"/>
        <v>0</v>
      </c>
      <c r="AN45" s="145">
        <f t="shared" si="190"/>
        <v>0</v>
      </c>
      <c r="AO45" s="145">
        <f t="shared" si="190"/>
        <v>0</v>
      </c>
      <c r="AP45" s="145">
        <f t="shared" si="190"/>
        <v>-20.562684380583114</v>
      </c>
      <c r="AQ45" s="145">
        <f t="shared" si="190"/>
        <v>-517.10870370931684</v>
      </c>
      <c r="AR45" s="146">
        <f t="shared" si="190"/>
        <v>2183.4629336757994</v>
      </c>
      <c r="AS45" s="408">
        <f t="shared" si="124"/>
        <v>1645.7915455858993</v>
      </c>
      <c r="AT45" s="148">
        <f t="shared" ref="AT45:BE45" si="191">+AT43-AT44</f>
        <v>713.36209287115776</v>
      </c>
      <c r="AU45" s="145">
        <f t="shared" si="191"/>
        <v>852.48940889229584</v>
      </c>
      <c r="AV45" s="145">
        <f t="shared" si="191"/>
        <v>1184.7449750056892</v>
      </c>
      <c r="AW45" s="145">
        <f t="shared" si="191"/>
        <v>-236.42650240904686</v>
      </c>
      <c r="AX45" s="145">
        <f t="shared" si="191"/>
        <v>-2499.2971022222223</v>
      </c>
      <c r="AY45" s="145">
        <f t="shared" si="191"/>
        <v>-3499.1164236837103</v>
      </c>
      <c r="AZ45" s="145">
        <f t="shared" si="191"/>
        <v>-2666.3260062986401</v>
      </c>
      <c r="BA45" s="145">
        <f t="shared" si="191"/>
        <v>-838.97853041673648</v>
      </c>
      <c r="BB45" s="145">
        <f t="shared" si="191"/>
        <v>56.14588898230204</v>
      </c>
      <c r="BC45" s="145">
        <f t="shared" si="191"/>
        <v>243.04155472175353</v>
      </c>
      <c r="BD45" s="145">
        <f t="shared" si="191"/>
        <v>-97.019162201249401</v>
      </c>
      <c r="BE45" s="146">
        <f t="shared" si="191"/>
        <v>140.18496548682651</v>
      </c>
      <c r="BF45" s="147">
        <f t="shared" si="125"/>
        <v>-6647.1948412715801</v>
      </c>
      <c r="BG45" s="148">
        <f t="shared" ref="BG45:BR45" si="192">+BG43-BG44</f>
        <v>2521.0518391291816</v>
      </c>
      <c r="BH45" s="145">
        <f t="shared" si="192"/>
        <v>-488.80431005623996</v>
      </c>
      <c r="BI45" s="145">
        <f t="shared" si="192"/>
        <v>-809.14761174800879</v>
      </c>
      <c r="BJ45" s="145">
        <f t="shared" si="192"/>
        <v>-881.5485804533073</v>
      </c>
      <c r="BK45" s="145">
        <f t="shared" si="192"/>
        <v>-1895.4354586823019</v>
      </c>
      <c r="BL45" s="145">
        <f t="shared" si="192"/>
        <v>-2571.8990844403816</v>
      </c>
      <c r="BM45" s="145">
        <f t="shared" si="192"/>
        <v>10694.592100801878</v>
      </c>
      <c r="BN45" s="145">
        <f t="shared" si="192"/>
        <v>85.147769296210754</v>
      </c>
      <c r="BO45" s="145">
        <f t="shared" si="192"/>
        <v>800.2339905057961</v>
      </c>
      <c r="BP45" s="145">
        <f t="shared" si="192"/>
        <v>-474.47819168145361</v>
      </c>
      <c r="BQ45" s="145">
        <f t="shared" si="192"/>
        <v>2519.2923311168643</v>
      </c>
      <c r="BR45" s="146">
        <f t="shared" si="192"/>
        <v>4503.3468763146911</v>
      </c>
      <c r="BS45" s="147">
        <f t="shared" si="126"/>
        <v>14002.351670102929</v>
      </c>
      <c r="BT45" s="148">
        <f t="shared" ref="BT45:CE45" si="193">+BT43-BT44</f>
        <v>5884.7767394552175</v>
      </c>
      <c r="BU45" s="145">
        <f t="shared" si="193"/>
        <v>2432.1129140214816</v>
      </c>
      <c r="BV45" s="145">
        <f t="shared" si="193"/>
        <v>-1101.2967533457804</v>
      </c>
      <c r="BW45" s="145">
        <f t="shared" si="193"/>
        <v>-485.02565099095227</v>
      </c>
      <c r="BX45" s="145">
        <f t="shared" si="193"/>
        <v>193.36417220138674</v>
      </c>
      <c r="BY45" s="145">
        <f t="shared" si="193"/>
        <v>-387.22371339219035</v>
      </c>
      <c r="BZ45" s="145">
        <f t="shared" si="193"/>
        <v>355.20841001035478</v>
      </c>
      <c r="CA45" s="145">
        <f t="shared" si="193"/>
        <v>-11750.503688610283</v>
      </c>
      <c r="CB45" s="145">
        <f t="shared" si="193"/>
        <v>0</v>
      </c>
      <c r="CC45" s="145">
        <f t="shared" si="193"/>
        <v>0</v>
      </c>
      <c r="CD45" s="145">
        <f t="shared" si="193"/>
        <v>0</v>
      </c>
      <c r="CE45" s="146">
        <f t="shared" si="193"/>
        <v>0</v>
      </c>
      <c r="CF45" s="147">
        <f t="shared" si="185"/>
        <v>-4858.587570650765</v>
      </c>
      <c r="CG45" s="148">
        <f t="shared" ref="CG45:CR45" si="194">+CG43-CG44</f>
        <v>0</v>
      </c>
      <c r="CH45" s="145">
        <f t="shared" si="194"/>
        <v>0</v>
      </c>
      <c r="CI45" s="145">
        <f t="shared" si="194"/>
        <v>0</v>
      </c>
      <c r="CJ45" s="145">
        <f t="shared" si="194"/>
        <v>0</v>
      </c>
      <c r="CK45" s="145">
        <f t="shared" si="194"/>
        <v>0</v>
      </c>
      <c r="CL45" s="145">
        <f t="shared" si="194"/>
        <v>0</v>
      </c>
      <c r="CM45" s="145">
        <f t="shared" si="194"/>
        <v>0</v>
      </c>
      <c r="CN45" s="145">
        <f t="shared" si="194"/>
        <v>0</v>
      </c>
      <c r="CO45" s="145">
        <f t="shared" si="194"/>
        <v>0</v>
      </c>
      <c r="CP45" s="145">
        <f t="shared" si="194"/>
        <v>0</v>
      </c>
      <c r="CQ45" s="145">
        <f t="shared" si="194"/>
        <v>0</v>
      </c>
      <c r="CR45" s="146">
        <f t="shared" si="194"/>
        <v>0</v>
      </c>
      <c r="CS45" s="147">
        <f t="shared" si="186"/>
        <v>0</v>
      </c>
      <c r="CT45" s="148">
        <f t="shared" ref="CT45:DE45" si="195">+CT43-CT44</f>
        <v>0</v>
      </c>
      <c r="CU45" s="145">
        <f t="shared" si="195"/>
        <v>0</v>
      </c>
      <c r="CV45" s="145">
        <f t="shared" si="195"/>
        <v>0</v>
      </c>
      <c r="CW45" s="145">
        <f t="shared" si="195"/>
        <v>0</v>
      </c>
      <c r="CX45" s="145">
        <f t="shared" si="195"/>
        <v>0</v>
      </c>
      <c r="CY45" s="145">
        <f t="shared" si="195"/>
        <v>0</v>
      </c>
      <c r="CZ45" s="145">
        <f t="shared" si="195"/>
        <v>0</v>
      </c>
      <c r="DA45" s="145">
        <f t="shared" si="195"/>
        <v>0</v>
      </c>
      <c r="DB45" s="145">
        <f t="shared" si="195"/>
        <v>0</v>
      </c>
      <c r="DC45" s="145">
        <f t="shared" si="195"/>
        <v>0</v>
      </c>
      <c r="DD45" s="145">
        <f t="shared" si="195"/>
        <v>0</v>
      </c>
      <c r="DE45" s="146">
        <f t="shared" si="195"/>
        <v>0</v>
      </c>
      <c r="DF45" s="147">
        <f t="shared" si="187"/>
        <v>0</v>
      </c>
      <c r="DG45" s="146">
        <f>+DG43-DG44</f>
        <v>0</v>
      </c>
      <c r="DH45" s="98">
        <f t="shared" si="127"/>
        <v>34734.464118029136</v>
      </c>
      <c r="DI45" s="99">
        <f t="shared" si="128"/>
        <v>29875.876547378371</v>
      </c>
      <c r="DJ45" s="100">
        <f t="shared" si="129"/>
        <v>-4858.587570650765</v>
      </c>
    </row>
    <row r="46" spans="1:118" ht="15" customHeight="1" outlineLevel="1">
      <c r="A46" s="607"/>
      <c r="B46" s="547" t="s">
        <v>60</v>
      </c>
      <c r="C46" s="244" t="s">
        <v>62</v>
      </c>
      <c r="D46" s="183" t="s">
        <v>122</v>
      </c>
      <c r="E46" s="153">
        <f>AF46+AS46+BF46+BS46+CF46+CS46+DF46+S46+DG46</f>
        <v>237742.46716147489</v>
      </c>
      <c r="F46" s="128"/>
      <c r="G46" s="129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1"/>
      <c r="S46" s="163">
        <f t="shared" si="184"/>
        <v>0</v>
      </c>
      <c r="T46" s="380"/>
      <c r="U46" s="381"/>
      <c r="V46" s="381"/>
      <c r="W46" s="381"/>
      <c r="X46" s="381"/>
      <c r="Y46" s="381"/>
      <c r="Z46" s="381"/>
      <c r="AA46" s="381"/>
      <c r="AB46" s="381"/>
      <c r="AC46" s="381"/>
      <c r="AD46" s="381"/>
      <c r="AE46" s="381"/>
      <c r="AF46" s="163">
        <f t="shared" si="90"/>
        <v>0</v>
      </c>
      <c r="AG46" s="502"/>
      <c r="AH46" s="499"/>
      <c r="AI46" s="499"/>
      <c r="AJ46" s="499"/>
      <c r="AK46" s="499"/>
      <c r="AL46" s="499"/>
      <c r="AM46" s="499"/>
      <c r="AN46" s="513"/>
      <c r="AO46" s="513"/>
      <c r="AP46" s="502"/>
      <c r="AQ46" s="513"/>
      <c r="AR46" s="502"/>
      <c r="AS46" s="409">
        <f t="shared" si="124"/>
        <v>0</v>
      </c>
      <c r="AT46" s="500"/>
      <c r="AU46" s="502"/>
      <c r="AV46" s="502"/>
      <c r="AW46" s="502"/>
      <c r="AX46" s="543"/>
      <c r="AY46" s="545"/>
      <c r="AZ46" s="543"/>
      <c r="BA46" s="283"/>
      <c r="BB46" s="283"/>
      <c r="BC46" s="283"/>
      <c r="BD46" s="283">
        <v>472.78589208552137</v>
      </c>
      <c r="BE46" s="285">
        <v>1414.5510822470587</v>
      </c>
      <c r="BF46" s="157">
        <f t="shared" si="125"/>
        <v>1887.3369743325802</v>
      </c>
      <c r="BG46" s="359">
        <v>2344.927138836933</v>
      </c>
      <c r="BH46" s="283">
        <v>3256.4232208997169</v>
      </c>
      <c r="BI46" s="283">
        <v>4141.7004979336662</v>
      </c>
      <c r="BJ46" s="283">
        <v>4993.6312378387647</v>
      </c>
      <c r="BK46" s="283">
        <v>5805.3561952242317</v>
      </c>
      <c r="BL46" s="283">
        <v>6570.3398380200206</v>
      </c>
      <c r="BM46" s="537">
        <v>38282.422967737468</v>
      </c>
      <c r="BN46" s="283">
        <v>6697.1492723225338</v>
      </c>
      <c r="BO46" s="283">
        <v>7194.679150343426</v>
      </c>
      <c r="BP46" s="283">
        <v>7634.2817022485997</v>
      </c>
      <c r="BQ46" s="283">
        <v>8012.4175067722845</v>
      </c>
      <c r="BR46" s="285">
        <v>8326.0420367564038</v>
      </c>
      <c r="BS46" s="157">
        <f t="shared" si="126"/>
        <v>103259.37076493405</v>
      </c>
      <c r="BT46" s="359">
        <v>8572.6301718943196</v>
      </c>
      <c r="BU46" s="283">
        <v>8750.1965295127193</v>
      </c>
      <c r="BV46" s="283">
        <v>8857.3114497079987</v>
      </c>
      <c r="BW46" s="283">
        <v>8893.1125061248931</v>
      </c>
      <c r="BX46" s="283">
        <v>8857.3114497079987</v>
      </c>
      <c r="BY46" s="283">
        <v>8750.1965295128157</v>
      </c>
      <c r="BZ46" s="283">
        <v>8572.630171894245</v>
      </c>
      <c r="CA46" s="283">
        <v>8326.0420367564875</v>
      </c>
      <c r="CB46" s="283">
        <v>8012.4175067721799</v>
      </c>
      <c r="CC46" s="283">
        <v>7634.2817022486197</v>
      </c>
      <c r="CD46" s="283">
        <v>7194.679150343426</v>
      </c>
      <c r="CE46" s="285">
        <v>6697.1492723225201</v>
      </c>
      <c r="CF46" s="157">
        <f t="shared" si="185"/>
        <v>99117.958476798201</v>
      </c>
      <c r="CG46" s="359">
        <v>5529.8838919701229</v>
      </c>
      <c r="CH46" s="283">
        <v>5529.8838919701229</v>
      </c>
      <c r="CI46" s="283">
        <v>5529.8838919701229</v>
      </c>
      <c r="CJ46" s="283">
        <v>3485.835350000631</v>
      </c>
      <c r="CK46" s="283">
        <v>3485.835350000631</v>
      </c>
      <c r="CL46" s="283">
        <v>3485.835350000631</v>
      </c>
      <c r="CM46" s="283">
        <v>1190.5477398326043</v>
      </c>
      <c r="CN46" s="283">
        <v>1190.5477398326043</v>
      </c>
      <c r="CO46" s="283">
        <v>1190.5477398326043</v>
      </c>
      <c r="CP46" s="283">
        <v>2859</v>
      </c>
      <c r="CQ46" s="283"/>
      <c r="CR46" s="285"/>
      <c r="CS46" s="157">
        <f t="shared" si="186"/>
        <v>33477.800945410068</v>
      </c>
      <c r="CT46" s="359"/>
      <c r="CU46" s="283"/>
      <c r="CV46" s="283"/>
      <c r="CW46" s="283"/>
      <c r="CX46" s="283"/>
      <c r="CY46" s="283"/>
      <c r="CZ46" s="283"/>
      <c r="DA46" s="283"/>
      <c r="DB46" s="283"/>
      <c r="DC46" s="283"/>
      <c r="DD46" s="283"/>
      <c r="DE46" s="285"/>
      <c r="DF46" s="157">
        <f t="shared" si="187"/>
        <v>0</v>
      </c>
      <c r="DG46" s="278"/>
      <c r="DH46" s="159">
        <f t="shared" si="127"/>
        <v>105146.70773926663</v>
      </c>
      <c r="DI46" s="165">
        <f t="shared" si="128"/>
        <v>237742.46716147489</v>
      </c>
      <c r="DJ46" s="166">
        <f t="shared" si="129"/>
        <v>132595.75942220827</v>
      </c>
      <c r="DM46" s="134">
        <f>AS46+BF46+BS46+CF46+CS46+DG46</f>
        <v>237742.46716147489</v>
      </c>
    </row>
    <row r="47" spans="1:118" ht="15" customHeight="1" outlineLevel="1">
      <c r="A47" s="607"/>
      <c r="B47" s="548"/>
      <c r="C47" s="245" t="s">
        <v>63</v>
      </c>
      <c r="D47" s="184" t="s">
        <v>119</v>
      </c>
      <c r="E47" s="136">
        <f>AF47+AS47+BF47+BS47+CF47+CS47+DF47+S47+DG47</f>
        <v>202450.94708725373</v>
      </c>
      <c r="F47" s="136"/>
      <c r="G47" s="137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9"/>
      <c r="S47" s="162">
        <f t="shared" si="184"/>
        <v>0</v>
      </c>
      <c r="T47" s="380"/>
      <c r="U47" s="381"/>
      <c r="V47" s="381"/>
      <c r="W47" s="381"/>
      <c r="X47" s="381"/>
      <c r="Y47" s="381"/>
      <c r="Z47" s="381"/>
      <c r="AA47" s="381"/>
      <c r="AB47" s="381"/>
      <c r="AC47" s="381"/>
      <c r="AD47" s="381"/>
      <c r="AE47" s="392"/>
      <c r="AF47" s="162">
        <f t="shared" si="90"/>
        <v>0</v>
      </c>
      <c r="AG47" s="497"/>
      <c r="AH47" s="499"/>
      <c r="AI47" s="499"/>
      <c r="AJ47" s="499"/>
      <c r="AK47" s="499"/>
      <c r="AL47" s="499"/>
      <c r="AM47" s="499"/>
      <c r="AN47" s="499"/>
      <c r="AO47" s="499"/>
      <c r="AP47" s="499"/>
      <c r="AQ47" s="499"/>
      <c r="AR47" s="511"/>
      <c r="AS47" s="410">
        <f t="shared" si="124"/>
        <v>0</v>
      </c>
      <c r="AT47" s="501"/>
      <c r="AU47" s="499"/>
      <c r="AV47" s="499"/>
      <c r="AW47" s="499"/>
      <c r="AX47" s="499"/>
      <c r="AY47" s="499"/>
      <c r="AZ47" s="253"/>
      <c r="BA47" s="253"/>
      <c r="BB47" s="253"/>
      <c r="BC47" s="253"/>
      <c r="BD47" s="253">
        <v>401.8680082726932</v>
      </c>
      <c r="BE47" s="338">
        <v>1202.3684199100001</v>
      </c>
      <c r="BF47" s="162">
        <f t="shared" si="125"/>
        <v>1604.2364281826933</v>
      </c>
      <c r="BG47" s="353">
        <v>1993.1880680113932</v>
      </c>
      <c r="BH47" s="253">
        <v>2767.9597377647592</v>
      </c>
      <c r="BI47" s="253">
        <v>3520.4454232436165</v>
      </c>
      <c r="BJ47" s="253">
        <v>4244.5865521629503</v>
      </c>
      <c r="BK47" s="253">
        <v>4934.5527659405971</v>
      </c>
      <c r="BL47" s="253">
        <v>5584.7888623170174</v>
      </c>
      <c r="BM47" s="253">
        <v>6190.0595225768529</v>
      </c>
      <c r="BN47" s="253">
        <v>6745.4914632567989</v>
      </c>
      <c r="BO47" s="253">
        <v>7246.6126729593943</v>
      </c>
      <c r="BP47" s="253">
        <v>7689.3884183585851</v>
      </c>
      <c r="BQ47" s="253">
        <v>8070.253729500394</v>
      </c>
      <c r="BR47" s="338">
        <v>8386.1421028443747</v>
      </c>
      <c r="BS47" s="162">
        <f t="shared" si="126"/>
        <v>67373.469318936739</v>
      </c>
      <c r="BT47" s="353">
        <v>8634.5101909482837</v>
      </c>
      <c r="BU47" s="253">
        <v>8813.3582800041113</v>
      </c>
      <c r="BV47" s="253">
        <v>8921.2463903603712</v>
      </c>
      <c r="BW47" s="253">
        <v>8957.305870389253</v>
      </c>
      <c r="BX47" s="253">
        <v>8921.2463903603712</v>
      </c>
      <c r="BY47" s="253">
        <v>8813.3582800042095</v>
      </c>
      <c r="BZ47" s="253">
        <v>8634.5101909482091</v>
      </c>
      <c r="CA47" s="253">
        <v>8386.1421028444602</v>
      </c>
      <c r="CB47" s="253">
        <v>8070.2537295002894</v>
      </c>
      <c r="CC47" s="253">
        <v>7689.3884183586042</v>
      </c>
      <c r="CD47" s="253">
        <v>7246.6126729593943</v>
      </c>
      <c r="CE47" s="338">
        <v>6745.4914632567852</v>
      </c>
      <c r="CF47" s="162">
        <f t="shared" si="185"/>
        <v>99833.423979934349</v>
      </c>
      <c r="CG47" s="353">
        <v>5569.8003836115322</v>
      </c>
      <c r="CH47" s="253">
        <v>5569.8003836115322</v>
      </c>
      <c r="CI47" s="253">
        <v>5569.8003836115322</v>
      </c>
      <c r="CJ47" s="253">
        <v>3510.9972377237486</v>
      </c>
      <c r="CK47" s="253">
        <v>3510.9972377237486</v>
      </c>
      <c r="CL47" s="253">
        <v>3510.9972377237486</v>
      </c>
      <c r="CM47" s="253">
        <v>1199.1414987313642</v>
      </c>
      <c r="CN47" s="253">
        <v>1199.1414987313642</v>
      </c>
      <c r="CO47" s="253">
        <v>1199.1414987313642</v>
      </c>
      <c r="CP47" s="253">
        <v>2800</v>
      </c>
      <c r="CQ47" s="253"/>
      <c r="CR47" s="338"/>
      <c r="CS47" s="162">
        <f t="shared" si="186"/>
        <v>33639.817360199944</v>
      </c>
      <c r="CT47" s="353"/>
      <c r="CU47" s="253"/>
      <c r="CV47" s="253"/>
      <c r="CW47" s="253"/>
      <c r="CX47" s="253"/>
      <c r="CY47" s="253"/>
      <c r="CZ47" s="253"/>
      <c r="DA47" s="253"/>
      <c r="DB47" s="253"/>
      <c r="DC47" s="253"/>
      <c r="DD47" s="253"/>
      <c r="DE47" s="338"/>
      <c r="DF47" s="162">
        <f t="shared" si="187"/>
        <v>0</v>
      </c>
      <c r="DG47" s="279"/>
      <c r="DH47" s="90">
        <f t="shared" si="127"/>
        <v>68977.705747119428</v>
      </c>
      <c r="DI47" s="91">
        <f t="shared" si="128"/>
        <v>202450.94708725373</v>
      </c>
      <c r="DJ47" s="92">
        <f t="shared" si="129"/>
        <v>133473.24134013429</v>
      </c>
      <c r="DK47" s="64">
        <f>+DH47/DH46</f>
        <v>0.65601393738512626</v>
      </c>
      <c r="DM47" s="134">
        <f>AS47+BF47+BS47+CF47+CS47+DG47</f>
        <v>202450.94708725373</v>
      </c>
      <c r="DN47" s="533">
        <f>DM47/DM46</f>
        <v>0.8515556749469958</v>
      </c>
    </row>
    <row r="48" spans="1:118" ht="15" customHeight="1" outlineLevel="1">
      <c r="A48" s="607"/>
      <c r="B48" s="556"/>
      <c r="C48" s="554" t="s">
        <v>11</v>
      </c>
      <c r="D48" s="555"/>
      <c r="E48" s="143">
        <f t="shared" ref="E48:R48" si="196">+E46-E47</f>
        <v>35291.52007422116</v>
      </c>
      <c r="F48" s="144">
        <f t="shared" si="196"/>
        <v>0</v>
      </c>
      <c r="G48" s="145">
        <f t="shared" si="196"/>
        <v>0</v>
      </c>
      <c r="H48" s="145">
        <f t="shared" si="196"/>
        <v>0</v>
      </c>
      <c r="I48" s="145">
        <f t="shared" si="196"/>
        <v>0</v>
      </c>
      <c r="J48" s="145">
        <f t="shared" si="196"/>
        <v>0</v>
      </c>
      <c r="K48" s="145">
        <f t="shared" si="196"/>
        <v>0</v>
      </c>
      <c r="L48" s="145">
        <f t="shared" si="196"/>
        <v>0</v>
      </c>
      <c r="M48" s="145">
        <f t="shared" si="196"/>
        <v>0</v>
      </c>
      <c r="N48" s="145">
        <f t="shared" si="196"/>
        <v>0</v>
      </c>
      <c r="O48" s="145">
        <f t="shared" si="196"/>
        <v>0</v>
      </c>
      <c r="P48" s="145">
        <f t="shared" si="196"/>
        <v>0</v>
      </c>
      <c r="Q48" s="145">
        <f t="shared" si="196"/>
        <v>0</v>
      </c>
      <c r="R48" s="146">
        <f t="shared" si="196"/>
        <v>0</v>
      </c>
      <c r="S48" s="147">
        <f t="shared" si="184"/>
        <v>0</v>
      </c>
      <c r="T48" s="148">
        <f t="shared" ref="T48:AE48" si="197">+T46-T47</f>
        <v>0</v>
      </c>
      <c r="U48" s="145">
        <f t="shared" si="197"/>
        <v>0</v>
      </c>
      <c r="V48" s="145">
        <f t="shared" si="197"/>
        <v>0</v>
      </c>
      <c r="W48" s="145">
        <f t="shared" si="197"/>
        <v>0</v>
      </c>
      <c r="X48" s="145">
        <f t="shared" si="197"/>
        <v>0</v>
      </c>
      <c r="Y48" s="145">
        <f t="shared" si="197"/>
        <v>0</v>
      </c>
      <c r="Z48" s="145">
        <f t="shared" si="197"/>
        <v>0</v>
      </c>
      <c r="AA48" s="145">
        <f t="shared" si="197"/>
        <v>0</v>
      </c>
      <c r="AB48" s="145">
        <f t="shared" si="197"/>
        <v>0</v>
      </c>
      <c r="AC48" s="145">
        <f t="shared" si="197"/>
        <v>0</v>
      </c>
      <c r="AD48" s="145">
        <f t="shared" si="197"/>
        <v>0</v>
      </c>
      <c r="AE48" s="146">
        <f t="shared" si="197"/>
        <v>0</v>
      </c>
      <c r="AF48" s="147">
        <f t="shared" si="90"/>
        <v>0</v>
      </c>
      <c r="AG48" s="148">
        <f t="shared" ref="AG48:AR48" si="198">+AG46-AG47</f>
        <v>0</v>
      </c>
      <c r="AH48" s="145">
        <f t="shared" si="198"/>
        <v>0</v>
      </c>
      <c r="AI48" s="145">
        <f t="shared" si="198"/>
        <v>0</v>
      </c>
      <c r="AJ48" s="145">
        <f t="shared" si="198"/>
        <v>0</v>
      </c>
      <c r="AK48" s="145">
        <f t="shared" si="198"/>
        <v>0</v>
      </c>
      <c r="AL48" s="145">
        <f t="shared" si="198"/>
        <v>0</v>
      </c>
      <c r="AM48" s="145">
        <f t="shared" si="198"/>
        <v>0</v>
      </c>
      <c r="AN48" s="145">
        <f t="shared" si="198"/>
        <v>0</v>
      </c>
      <c r="AO48" s="145">
        <f t="shared" si="198"/>
        <v>0</v>
      </c>
      <c r="AP48" s="145">
        <f t="shared" si="198"/>
        <v>0</v>
      </c>
      <c r="AQ48" s="145">
        <f t="shared" si="198"/>
        <v>0</v>
      </c>
      <c r="AR48" s="146">
        <f t="shared" si="198"/>
        <v>0</v>
      </c>
      <c r="AS48" s="408">
        <f t="shared" si="124"/>
        <v>0</v>
      </c>
      <c r="AT48" s="148">
        <f t="shared" ref="AT48:BE48" si="199">+AT46-AT47</f>
        <v>0</v>
      </c>
      <c r="AU48" s="145">
        <f>+AU46-AU47</f>
        <v>0</v>
      </c>
      <c r="AV48" s="145">
        <f>+AV46-AV47</f>
        <v>0</v>
      </c>
      <c r="AW48" s="145">
        <f t="shared" si="199"/>
        <v>0</v>
      </c>
      <c r="AX48" s="145">
        <f t="shared" si="199"/>
        <v>0</v>
      </c>
      <c r="AY48" s="145">
        <f t="shared" si="199"/>
        <v>0</v>
      </c>
      <c r="AZ48" s="145">
        <f t="shared" si="199"/>
        <v>0</v>
      </c>
      <c r="BA48" s="145">
        <f t="shared" si="199"/>
        <v>0</v>
      </c>
      <c r="BB48" s="145">
        <f t="shared" si="199"/>
        <v>0</v>
      </c>
      <c r="BC48" s="145">
        <f t="shared" si="199"/>
        <v>0</v>
      </c>
      <c r="BD48" s="145">
        <f t="shared" si="199"/>
        <v>70.917883812828165</v>
      </c>
      <c r="BE48" s="146">
        <f t="shared" si="199"/>
        <v>212.18266233705867</v>
      </c>
      <c r="BF48" s="147">
        <f t="shared" si="125"/>
        <v>283.10054614988684</v>
      </c>
      <c r="BG48" s="148">
        <f t="shared" ref="BG48:BR48" si="200">+BG46-BG47</f>
        <v>351.73907082553978</v>
      </c>
      <c r="BH48" s="145">
        <f t="shared" si="200"/>
        <v>488.46348313495764</v>
      </c>
      <c r="BI48" s="145">
        <f t="shared" si="200"/>
        <v>621.2550746900497</v>
      </c>
      <c r="BJ48" s="145">
        <f t="shared" si="200"/>
        <v>749.04468567581443</v>
      </c>
      <c r="BK48" s="145">
        <f t="shared" si="200"/>
        <v>870.80342928363461</v>
      </c>
      <c r="BL48" s="145">
        <f t="shared" si="200"/>
        <v>985.55097570300313</v>
      </c>
      <c r="BM48" s="145">
        <f t="shared" si="200"/>
        <v>32092.363445160616</v>
      </c>
      <c r="BN48" s="145">
        <f t="shared" si="200"/>
        <v>-48.342190934265091</v>
      </c>
      <c r="BO48" s="145">
        <f t="shared" si="200"/>
        <v>-51.933522615968286</v>
      </c>
      <c r="BP48" s="145">
        <f t="shared" si="200"/>
        <v>-55.106716109985427</v>
      </c>
      <c r="BQ48" s="145">
        <f t="shared" si="200"/>
        <v>-57.836222728109533</v>
      </c>
      <c r="BR48" s="146">
        <f t="shared" si="200"/>
        <v>-60.100066087970845</v>
      </c>
      <c r="BS48" s="147">
        <f t="shared" si="126"/>
        <v>35885.901445997311</v>
      </c>
      <c r="BT48" s="148">
        <f t="shared" ref="BT48:CE48" si="201">+BT46-BT47</f>
        <v>-61.880019053964133</v>
      </c>
      <c r="BU48" s="145">
        <f t="shared" si="201"/>
        <v>-63.161750491392013</v>
      </c>
      <c r="BV48" s="145">
        <f t="shared" si="201"/>
        <v>-63.934940652372461</v>
      </c>
      <c r="BW48" s="145">
        <f t="shared" si="201"/>
        <v>-64.193364264359843</v>
      </c>
      <c r="BX48" s="145">
        <f t="shared" si="201"/>
        <v>-63.934940652372461</v>
      </c>
      <c r="BY48" s="145">
        <f t="shared" si="201"/>
        <v>-63.161750491393832</v>
      </c>
      <c r="BZ48" s="145">
        <f t="shared" si="201"/>
        <v>-61.880019053964133</v>
      </c>
      <c r="CA48" s="145">
        <f t="shared" si="201"/>
        <v>-60.100066087972664</v>
      </c>
      <c r="CB48" s="145">
        <f t="shared" si="201"/>
        <v>-57.836222728109533</v>
      </c>
      <c r="CC48" s="145">
        <f t="shared" si="201"/>
        <v>-55.106716109984518</v>
      </c>
      <c r="CD48" s="145">
        <f t="shared" si="201"/>
        <v>-51.933522615968286</v>
      </c>
      <c r="CE48" s="146">
        <f t="shared" si="201"/>
        <v>-48.342190934265091</v>
      </c>
      <c r="CF48" s="147">
        <f t="shared" si="185"/>
        <v>-715.46550313611897</v>
      </c>
      <c r="CG48" s="148">
        <f t="shared" ref="CG48:CR48" si="202">+CG46-CG47</f>
        <v>-39.916491641409266</v>
      </c>
      <c r="CH48" s="145">
        <f t="shared" si="202"/>
        <v>-39.916491641409266</v>
      </c>
      <c r="CI48" s="145">
        <f t="shared" si="202"/>
        <v>-39.916491641409266</v>
      </c>
      <c r="CJ48" s="145">
        <f t="shared" si="202"/>
        <v>-25.161887723117616</v>
      </c>
      <c r="CK48" s="145">
        <f t="shared" si="202"/>
        <v>-25.161887723117616</v>
      </c>
      <c r="CL48" s="145">
        <f t="shared" si="202"/>
        <v>-25.161887723117616</v>
      </c>
      <c r="CM48" s="145">
        <f t="shared" si="202"/>
        <v>-8.5937588987599156</v>
      </c>
      <c r="CN48" s="145">
        <f t="shared" si="202"/>
        <v>-8.5937588987599156</v>
      </c>
      <c r="CO48" s="145">
        <f t="shared" si="202"/>
        <v>-8.5937588987599156</v>
      </c>
      <c r="CP48" s="145">
        <f t="shared" si="202"/>
        <v>59</v>
      </c>
      <c r="CQ48" s="145">
        <f t="shared" si="202"/>
        <v>0</v>
      </c>
      <c r="CR48" s="146">
        <f t="shared" si="202"/>
        <v>0</v>
      </c>
      <c r="CS48" s="147">
        <f t="shared" si="186"/>
        <v>-162.01641478986039</v>
      </c>
      <c r="CT48" s="148">
        <f t="shared" ref="CT48:DE48" si="203">+CT46-CT47</f>
        <v>0</v>
      </c>
      <c r="CU48" s="145">
        <f t="shared" si="203"/>
        <v>0</v>
      </c>
      <c r="CV48" s="145">
        <f t="shared" si="203"/>
        <v>0</v>
      </c>
      <c r="CW48" s="145">
        <f t="shared" si="203"/>
        <v>0</v>
      </c>
      <c r="CX48" s="145">
        <f t="shared" si="203"/>
        <v>0</v>
      </c>
      <c r="CY48" s="145">
        <f t="shared" si="203"/>
        <v>0</v>
      </c>
      <c r="CZ48" s="145">
        <f t="shared" si="203"/>
        <v>0</v>
      </c>
      <c r="DA48" s="145">
        <f t="shared" si="203"/>
        <v>0</v>
      </c>
      <c r="DB48" s="145">
        <f t="shared" si="203"/>
        <v>0</v>
      </c>
      <c r="DC48" s="145">
        <f t="shared" si="203"/>
        <v>0</v>
      </c>
      <c r="DD48" s="145">
        <f t="shared" si="203"/>
        <v>0</v>
      </c>
      <c r="DE48" s="146">
        <f t="shared" si="203"/>
        <v>0</v>
      </c>
      <c r="DF48" s="147">
        <f t="shared" si="187"/>
        <v>0</v>
      </c>
      <c r="DG48" s="146">
        <f>+DG46-DG47</f>
        <v>0</v>
      </c>
      <c r="DH48" s="98">
        <f t="shared" si="127"/>
        <v>36169.001992147198</v>
      </c>
      <c r="DI48" s="150">
        <f t="shared" si="128"/>
        <v>35291.52007422116</v>
      </c>
      <c r="DJ48" s="151">
        <f t="shared" si="129"/>
        <v>-877.48191792603757</v>
      </c>
    </row>
    <row r="49" spans="1:118" ht="15" hidden="1" customHeight="1" outlineLevel="1">
      <c r="A49" s="607"/>
      <c r="B49" s="557" t="s">
        <v>342</v>
      </c>
      <c r="C49" s="246" t="s">
        <v>62</v>
      </c>
      <c r="D49" s="183" t="s">
        <v>122</v>
      </c>
      <c r="E49" s="153">
        <f>AF49+AS49+BF49+BS49+CF49+CS49+DF49+S49+DG49</f>
        <v>0</v>
      </c>
      <c r="F49" s="153"/>
      <c r="G49" s="154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284"/>
      <c r="S49" s="157">
        <f t="shared" ref="S49:S80" si="204">SUM(G49:R49)</f>
        <v>0</v>
      </c>
      <c r="T49" s="378"/>
      <c r="U49" s="382"/>
      <c r="V49" s="382"/>
      <c r="W49" s="382"/>
      <c r="X49" s="382"/>
      <c r="Y49" s="382"/>
      <c r="Z49" s="382"/>
      <c r="AA49" s="382"/>
      <c r="AB49" s="382"/>
      <c r="AC49" s="382"/>
      <c r="AD49" s="382"/>
      <c r="AE49" s="481"/>
      <c r="AF49" s="157">
        <f t="shared" si="90"/>
        <v>0</v>
      </c>
      <c r="AG49" s="500"/>
      <c r="AH49" s="513"/>
      <c r="AI49" s="513"/>
      <c r="AJ49" s="513"/>
      <c r="AK49" s="513"/>
      <c r="AL49" s="513"/>
      <c r="AM49" s="513"/>
      <c r="AN49" s="513"/>
      <c r="AO49" s="513"/>
      <c r="AP49" s="155"/>
      <c r="AQ49" s="155"/>
      <c r="AR49" s="283"/>
      <c r="AS49" s="409">
        <f t="shared" ref="AS49:AS60" si="205">SUM(AG49:AR49)</f>
        <v>0</v>
      </c>
      <c r="AT49" s="283"/>
      <c r="AU49" s="283"/>
      <c r="AV49" s="285"/>
      <c r="AW49" s="359"/>
      <c r="AX49" s="283"/>
      <c r="AY49" s="283"/>
      <c r="AZ49" s="283"/>
      <c r="BA49" s="145">
        <f t="shared" ref="BA49" si="206">+BA47-BA48</f>
        <v>0</v>
      </c>
      <c r="BB49" s="283"/>
      <c r="BC49" s="283"/>
      <c r="BD49" s="283"/>
      <c r="BE49" s="283"/>
      <c r="BF49" s="157">
        <f t="shared" ref="BF49:BF60" si="207">SUM(AT49:BE49)</f>
        <v>0</v>
      </c>
      <c r="BG49" s="283"/>
      <c r="BH49" s="283"/>
      <c r="BI49" s="285"/>
      <c r="BJ49" s="359"/>
      <c r="BK49" s="283"/>
      <c r="BL49" s="283"/>
      <c r="BM49" s="283"/>
      <c r="BN49" s="283"/>
      <c r="BO49" s="283"/>
      <c r="BP49" s="283"/>
      <c r="BQ49" s="283"/>
      <c r="BR49" s="283"/>
      <c r="BS49" s="157">
        <f t="shared" ref="BS49:BS60" si="208">SUM(BG49:BR49)</f>
        <v>0</v>
      </c>
      <c r="BT49" s="283"/>
      <c r="BU49" s="283"/>
      <c r="BV49" s="285"/>
      <c r="BW49" s="359"/>
      <c r="BX49" s="283"/>
      <c r="BY49" s="283"/>
      <c r="BZ49" s="283"/>
      <c r="CA49" s="283"/>
      <c r="CB49" s="283"/>
      <c r="CC49" s="283"/>
      <c r="CD49" s="283"/>
      <c r="CE49" s="285"/>
      <c r="CF49" s="157">
        <f t="shared" ref="CF49:CF54" si="209">SUM(BT49:CE49)</f>
        <v>0</v>
      </c>
      <c r="CG49" s="359"/>
      <c r="CH49" s="283"/>
      <c r="CI49" s="283"/>
      <c r="CJ49" s="283"/>
      <c r="CK49" s="283"/>
      <c r="CL49" s="283"/>
      <c r="CM49" s="283"/>
      <c r="CN49" s="283"/>
      <c r="CO49" s="283"/>
      <c r="CP49" s="283"/>
      <c r="CQ49" s="283"/>
      <c r="CR49" s="285"/>
      <c r="CS49" s="157">
        <f t="shared" ref="CS49:CS54" si="210">SUM(CG49:CR49)</f>
        <v>0</v>
      </c>
      <c r="CT49" s="359"/>
      <c r="CU49" s="283"/>
      <c r="CV49" s="283"/>
      <c r="CW49" s="283"/>
      <c r="CX49" s="283"/>
      <c r="CY49" s="283"/>
      <c r="CZ49" s="283"/>
      <c r="DA49" s="283"/>
      <c r="DB49" s="283"/>
      <c r="DC49" s="283"/>
      <c r="DD49" s="283"/>
      <c r="DE49" s="285"/>
      <c r="DF49" s="157">
        <f t="shared" si="99"/>
        <v>0</v>
      </c>
      <c r="DG49" s="280"/>
      <c r="DH49" s="159">
        <f t="shared" ref="DH49:DH60" si="211">+F49+S49+AF49+AS49+BF49+BS49+DG49</f>
        <v>0</v>
      </c>
      <c r="DI49" s="160">
        <f t="shared" ref="DI49:DI60" si="212">+E49</f>
        <v>0</v>
      </c>
      <c r="DJ49" s="161">
        <f t="shared" ref="DJ49:DJ60" si="213">+DI49-DH49</f>
        <v>0</v>
      </c>
      <c r="DM49" s="134">
        <f>AS49+BF49+BS49+CF49+CS49+DG49</f>
        <v>0</v>
      </c>
    </row>
    <row r="50" spans="1:118" ht="15" hidden="1" customHeight="1" outlineLevel="1">
      <c r="A50" s="607"/>
      <c r="B50" s="558"/>
      <c r="C50" s="245" t="s">
        <v>63</v>
      </c>
      <c r="D50" s="184" t="s">
        <v>124</v>
      </c>
      <c r="E50" s="136">
        <f>AF50+AS50+BF50+BS50+CF50+CS50+DF50+S50+DG50</f>
        <v>0</v>
      </c>
      <c r="F50" s="136"/>
      <c r="G50" s="137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9"/>
      <c r="S50" s="162">
        <f t="shared" si="204"/>
        <v>0</v>
      </c>
      <c r="T50" s="380"/>
      <c r="U50" s="381"/>
      <c r="V50" s="381"/>
      <c r="W50" s="381"/>
      <c r="X50" s="381"/>
      <c r="Y50" s="381"/>
      <c r="Z50" s="381"/>
      <c r="AA50" s="381"/>
      <c r="AB50" s="381"/>
      <c r="AC50" s="381"/>
      <c r="AD50" s="381"/>
      <c r="AE50" s="392"/>
      <c r="AF50" s="162">
        <f t="shared" si="90"/>
        <v>0</v>
      </c>
      <c r="AG50" s="501"/>
      <c r="AH50" s="499"/>
      <c r="AI50" s="499"/>
      <c r="AJ50" s="499"/>
      <c r="AK50" s="499"/>
      <c r="AL50" s="499"/>
      <c r="AM50" s="499"/>
      <c r="AN50" s="499"/>
      <c r="AO50" s="499"/>
      <c r="AP50" s="138"/>
      <c r="AQ50" s="138"/>
      <c r="AR50" s="139"/>
      <c r="AS50" s="410">
        <f t="shared" si="205"/>
        <v>0</v>
      </c>
      <c r="AT50" s="253"/>
      <c r="AU50" s="253"/>
      <c r="AV50" s="338"/>
      <c r="AW50" s="353"/>
      <c r="AX50" s="253"/>
      <c r="AY50" s="253"/>
      <c r="AZ50" s="253"/>
      <c r="BA50" s="145">
        <f t="shared" ref="BA50" si="214">+BA48-BA49</f>
        <v>0</v>
      </c>
      <c r="BB50" s="253"/>
      <c r="BC50" s="253"/>
      <c r="BD50" s="253"/>
      <c r="BE50" s="253"/>
      <c r="BF50" s="162">
        <f t="shared" si="207"/>
        <v>0</v>
      </c>
      <c r="BG50" s="253"/>
      <c r="BH50" s="253"/>
      <c r="BI50" s="338"/>
      <c r="BJ50" s="353"/>
      <c r="BK50" s="253"/>
      <c r="BL50" s="253"/>
      <c r="BM50" s="253"/>
      <c r="BN50" s="253"/>
      <c r="BO50" s="253"/>
      <c r="BP50" s="253"/>
      <c r="BQ50" s="253"/>
      <c r="BR50" s="253"/>
      <c r="BS50" s="162">
        <f t="shared" si="208"/>
        <v>0</v>
      </c>
      <c r="BT50" s="253"/>
      <c r="BU50" s="253"/>
      <c r="BV50" s="338"/>
      <c r="BW50" s="353"/>
      <c r="BX50" s="253"/>
      <c r="BY50" s="253"/>
      <c r="BZ50" s="253"/>
      <c r="CA50" s="253"/>
      <c r="CB50" s="253"/>
      <c r="CC50" s="253"/>
      <c r="CD50" s="253"/>
      <c r="CE50" s="338"/>
      <c r="CF50" s="162">
        <f t="shared" si="209"/>
        <v>0</v>
      </c>
      <c r="CG50" s="353"/>
      <c r="CH50" s="253"/>
      <c r="CI50" s="253"/>
      <c r="CJ50" s="253"/>
      <c r="CK50" s="253"/>
      <c r="CL50" s="253"/>
      <c r="CM50" s="253"/>
      <c r="CN50" s="253"/>
      <c r="CO50" s="253"/>
      <c r="CP50" s="253"/>
      <c r="CQ50" s="253"/>
      <c r="CR50" s="338"/>
      <c r="CS50" s="162">
        <f t="shared" si="210"/>
        <v>0</v>
      </c>
      <c r="CT50" s="353"/>
      <c r="CU50" s="253"/>
      <c r="CV50" s="253"/>
      <c r="CW50" s="253"/>
      <c r="CX50" s="253"/>
      <c r="CY50" s="253"/>
      <c r="CZ50" s="253"/>
      <c r="DA50" s="253"/>
      <c r="DB50" s="253"/>
      <c r="DC50" s="253"/>
      <c r="DD50" s="253"/>
      <c r="DE50" s="338"/>
      <c r="DF50" s="162">
        <f t="shared" si="99"/>
        <v>0</v>
      </c>
      <c r="DG50" s="279"/>
      <c r="DH50" s="90">
        <f t="shared" si="211"/>
        <v>0</v>
      </c>
      <c r="DI50" s="91">
        <f t="shared" si="212"/>
        <v>0</v>
      </c>
      <c r="DJ50" s="92">
        <f t="shared" si="213"/>
        <v>0</v>
      </c>
      <c r="DK50" s="64" t="e">
        <f>+DH50/DH49</f>
        <v>#DIV/0!</v>
      </c>
      <c r="DM50" s="134">
        <f>AS50+BF50+BS50+CF50+CS50+DG50</f>
        <v>0</v>
      </c>
    </row>
    <row r="51" spans="1:118" ht="15" hidden="1" customHeight="1" outlineLevel="1">
      <c r="A51" s="607"/>
      <c r="B51" s="559"/>
      <c r="C51" s="357" t="s">
        <v>11</v>
      </c>
      <c r="D51" s="358"/>
      <c r="E51" s="143">
        <f t="shared" ref="E51:R51" si="215">+E49-E50</f>
        <v>0</v>
      </c>
      <c r="F51" s="144">
        <f t="shared" si="215"/>
        <v>0</v>
      </c>
      <c r="G51" s="145">
        <f t="shared" si="215"/>
        <v>0</v>
      </c>
      <c r="H51" s="145">
        <f t="shared" si="215"/>
        <v>0</v>
      </c>
      <c r="I51" s="145">
        <f t="shared" si="215"/>
        <v>0</v>
      </c>
      <c r="J51" s="145">
        <f t="shared" si="215"/>
        <v>0</v>
      </c>
      <c r="K51" s="145">
        <f t="shared" si="215"/>
        <v>0</v>
      </c>
      <c r="L51" s="145">
        <f t="shared" si="215"/>
        <v>0</v>
      </c>
      <c r="M51" s="145">
        <f t="shared" si="215"/>
        <v>0</v>
      </c>
      <c r="N51" s="145">
        <f t="shared" si="215"/>
        <v>0</v>
      </c>
      <c r="O51" s="145">
        <f t="shared" si="215"/>
        <v>0</v>
      </c>
      <c r="P51" s="145">
        <f t="shared" si="215"/>
        <v>0</v>
      </c>
      <c r="Q51" s="145">
        <f t="shared" si="215"/>
        <v>0</v>
      </c>
      <c r="R51" s="146">
        <f t="shared" si="215"/>
        <v>0</v>
      </c>
      <c r="S51" s="147">
        <f t="shared" si="204"/>
        <v>0</v>
      </c>
      <c r="T51" s="148">
        <f t="shared" ref="T51:AE51" si="216">+T49-T50</f>
        <v>0</v>
      </c>
      <c r="U51" s="145">
        <f t="shared" si="216"/>
        <v>0</v>
      </c>
      <c r="V51" s="145">
        <f t="shared" si="216"/>
        <v>0</v>
      </c>
      <c r="W51" s="145">
        <f t="shared" si="216"/>
        <v>0</v>
      </c>
      <c r="X51" s="145">
        <f t="shared" si="216"/>
        <v>0</v>
      </c>
      <c r="Y51" s="145">
        <f t="shared" si="216"/>
        <v>0</v>
      </c>
      <c r="Z51" s="145">
        <f t="shared" si="216"/>
        <v>0</v>
      </c>
      <c r="AA51" s="145">
        <f t="shared" si="216"/>
        <v>0</v>
      </c>
      <c r="AB51" s="145">
        <f t="shared" si="216"/>
        <v>0</v>
      </c>
      <c r="AC51" s="145">
        <f t="shared" si="216"/>
        <v>0</v>
      </c>
      <c r="AD51" s="145">
        <f t="shared" si="216"/>
        <v>0</v>
      </c>
      <c r="AE51" s="146">
        <f t="shared" si="216"/>
        <v>0</v>
      </c>
      <c r="AF51" s="147">
        <f t="shared" si="90"/>
        <v>0</v>
      </c>
      <c r="AG51" s="148">
        <f t="shared" ref="AG51:AR51" si="217">+AG49-AG50</f>
        <v>0</v>
      </c>
      <c r="AH51" s="145">
        <f t="shared" si="217"/>
        <v>0</v>
      </c>
      <c r="AI51" s="145">
        <f t="shared" si="217"/>
        <v>0</v>
      </c>
      <c r="AJ51" s="145">
        <f t="shared" si="217"/>
        <v>0</v>
      </c>
      <c r="AK51" s="145">
        <f t="shared" si="217"/>
        <v>0</v>
      </c>
      <c r="AL51" s="145">
        <f t="shared" si="217"/>
        <v>0</v>
      </c>
      <c r="AM51" s="145">
        <f t="shared" si="217"/>
        <v>0</v>
      </c>
      <c r="AN51" s="145">
        <f t="shared" si="217"/>
        <v>0</v>
      </c>
      <c r="AO51" s="145">
        <f t="shared" si="217"/>
        <v>0</v>
      </c>
      <c r="AP51" s="145">
        <f t="shared" si="217"/>
        <v>0</v>
      </c>
      <c r="AQ51" s="145">
        <f t="shared" si="217"/>
        <v>0</v>
      </c>
      <c r="AR51" s="146">
        <f t="shared" si="217"/>
        <v>0</v>
      </c>
      <c r="AS51" s="408">
        <f t="shared" si="205"/>
        <v>0</v>
      </c>
      <c r="AT51" s="148">
        <f t="shared" ref="AT51:BE51" si="218">+AT49-AT50</f>
        <v>0</v>
      </c>
      <c r="AU51" s="145">
        <f t="shared" si="218"/>
        <v>0</v>
      </c>
      <c r="AV51" s="145">
        <f t="shared" si="218"/>
        <v>0</v>
      </c>
      <c r="AW51" s="145">
        <f t="shared" si="218"/>
        <v>0</v>
      </c>
      <c r="AX51" s="145">
        <f t="shared" si="218"/>
        <v>0</v>
      </c>
      <c r="AY51" s="145">
        <f t="shared" si="218"/>
        <v>0</v>
      </c>
      <c r="AZ51" s="145">
        <f t="shared" si="218"/>
        <v>0</v>
      </c>
      <c r="BA51" s="145">
        <f t="shared" si="218"/>
        <v>0</v>
      </c>
      <c r="BB51" s="145">
        <f t="shared" si="218"/>
        <v>0</v>
      </c>
      <c r="BC51" s="145">
        <f t="shared" si="218"/>
        <v>0</v>
      </c>
      <c r="BD51" s="145">
        <f t="shared" si="218"/>
        <v>0</v>
      </c>
      <c r="BE51" s="146">
        <f t="shared" si="218"/>
        <v>0</v>
      </c>
      <c r="BF51" s="147">
        <f t="shared" si="207"/>
        <v>0</v>
      </c>
      <c r="BG51" s="148">
        <f t="shared" ref="BG51:BR51" si="219">+BG49-BG50</f>
        <v>0</v>
      </c>
      <c r="BH51" s="145">
        <f t="shared" si="219"/>
        <v>0</v>
      </c>
      <c r="BI51" s="145">
        <f t="shared" si="219"/>
        <v>0</v>
      </c>
      <c r="BJ51" s="145">
        <f t="shared" si="219"/>
        <v>0</v>
      </c>
      <c r="BK51" s="145">
        <f t="shared" si="219"/>
        <v>0</v>
      </c>
      <c r="BL51" s="145">
        <f t="shared" si="219"/>
        <v>0</v>
      </c>
      <c r="BM51" s="145">
        <f t="shared" si="219"/>
        <v>0</v>
      </c>
      <c r="BN51" s="145">
        <f t="shared" si="219"/>
        <v>0</v>
      </c>
      <c r="BO51" s="145">
        <f t="shared" si="219"/>
        <v>0</v>
      </c>
      <c r="BP51" s="145">
        <f t="shared" si="219"/>
        <v>0</v>
      </c>
      <c r="BQ51" s="145">
        <f t="shared" si="219"/>
        <v>0</v>
      </c>
      <c r="BR51" s="146">
        <f t="shared" si="219"/>
        <v>0</v>
      </c>
      <c r="BS51" s="147">
        <f t="shared" si="208"/>
        <v>0</v>
      </c>
      <c r="BT51" s="148">
        <f t="shared" ref="BT51:CE51" si="220">+BT49-BT50</f>
        <v>0</v>
      </c>
      <c r="BU51" s="145">
        <f t="shared" si="220"/>
        <v>0</v>
      </c>
      <c r="BV51" s="145">
        <f t="shared" si="220"/>
        <v>0</v>
      </c>
      <c r="BW51" s="145">
        <f t="shared" si="220"/>
        <v>0</v>
      </c>
      <c r="BX51" s="145">
        <f t="shared" si="220"/>
        <v>0</v>
      </c>
      <c r="BY51" s="145">
        <f t="shared" si="220"/>
        <v>0</v>
      </c>
      <c r="BZ51" s="145">
        <f t="shared" si="220"/>
        <v>0</v>
      </c>
      <c r="CA51" s="145">
        <f t="shared" si="220"/>
        <v>0</v>
      </c>
      <c r="CB51" s="145">
        <f t="shared" si="220"/>
        <v>0</v>
      </c>
      <c r="CC51" s="145">
        <f t="shared" si="220"/>
        <v>0</v>
      </c>
      <c r="CD51" s="145">
        <f t="shared" si="220"/>
        <v>0</v>
      </c>
      <c r="CE51" s="146">
        <f t="shared" si="220"/>
        <v>0</v>
      </c>
      <c r="CF51" s="147">
        <f t="shared" si="209"/>
        <v>0</v>
      </c>
      <c r="CG51" s="148">
        <f t="shared" ref="CG51:CR51" si="221">+CG49-CG50</f>
        <v>0</v>
      </c>
      <c r="CH51" s="145">
        <f t="shared" si="221"/>
        <v>0</v>
      </c>
      <c r="CI51" s="145">
        <f t="shared" si="221"/>
        <v>0</v>
      </c>
      <c r="CJ51" s="145">
        <f t="shared" si="221"/>
        <v>0</v>
      </c>
      <c r="CK51" s="145">
        <f t="shared" si="221"/>
        <v>0</v>
      </c>
      <c r="CL51" s="145">
        <f t="shared" si="221"/>
        <v>0</v>
      </c>
      <c r="CM51" s="145">
        <f t="shared" si="221"/>
        <v>0</v>
      </c>
      <c r="CN51" s="145">
        <f t="shared" si="221"/>
        <v>0</v>
      </c>
      <c r="CO51" s="145">
        <f t="shared" si="221"/>
        <v>0</v>
      </c>
      <c r="CP51" s="145">
        <f t="shared" si="221"/>
        <v>0</v>
      </c>
      <c r="CQ51" s="145">
        <f t="shared" si="221"/>
        <v>0</v>
      </c>
      <c r="CR51" s="146">
        <f t="shared" si="221"/>
        <v>0</v>
      </c>
      <c r="CS51" s="147">
        <f t="shared" si="210"/>
        <v>0</v>
      </c>
      <c r="CT51" s="148">
        <f t="shared" ref="CT51:DE51" si="222">+CT49-CT50</f>
        <v>0</v>
      </c>
      <c r="CU51" s="145">
        <f t="shared" si="222"/>
        <v>0</v>
      </c>
      <c r="CV51" s="145">
        <f t="shared" si="222"/>
        <v>0</v>
      </c>
      <c r="CW51" s="145">
        <f t="shared" si="222"/>
        <v>0</v>
      </c>
      <c r="CX51" s="145">
        <f t="shared" si="222"/>
        <v>0</v>
      </c>
      <c r="CY51" s="145">
        <f t="shared" si="222"/>
        <v>0</v>
      </c>
      <c r="CZ51" s="145">
        <f t="shared" si="222"/>
        <v>0</v>
      </c>
      <c r="DA51" s="145">
        <f t="shared" si="222"/>
        <v>0</v>
      </c>
      <c r="DB51" s="145">
        <f t="shared" si="222"/>
        <v>0</v>
      </c>
      <c r="DC51" s="145">
        <f t="shared" si="222"/>
        <v>0</v>
      </c>
      <c r="DD51" s="145">
        <f t="shared" si="222"/>
        <v>0</v>
      </c>
      <c r="DE51" s="146">
        <f t="shared" si="222"/>
        <v>0</v>
      </c>
      <c r="DF51" s="147">
        <f t="shared" si="99"/>
        <v>0</v>
      </c>
      <c r="DG51" s="146">
        <f>+DG49-DG50</f>
        <v>0</v>
      </c>
      <c r="DH51" s="98">
        <f t="shared" si="211"/>
        <v>0</v>
      </c>
      <c r="DI51" s="99">
        <f t="shared" si="212"/>
        <v>0</v>
      </c>
      <c r="DJ51" s="100">
        <f t="shared" si="213"/>
        <v>0</v>
      </c>
    </row>
    <row r="52" spans="1:118" ht="15" hidden="1" customHeight="1" outlineLevel="1">
      <c r="A52" s="607"/>
      <c r="B52" s="557" t="s">
        <v>343</v>
      </c>
      <c r="C52" s="246" t="s">
        <v>62</v>
      </c>
      <c r="D52" s="183" t="s">
        <v>122</v>
      </c>
      <c r="E52" s="153">
        <f>AF52+AS52+BF52+BS52+CF52+CS52+DF52+S52+DG52</f>
        <v>0</v>
      </c>
      <c r="F52" s="153"/>
      <c r="G52" s="154"/>
      <c r="H52" s="155"/>
      <c r="I52" s="155"/>
      <c r="J52" s="155"/>
      <c r="K52" s="155"/>
      <c r="L52" s="155"/>
      <c r="M52" s="155"/>
      <c r="N52" s="155"/>
      <c r="O52" s="155"/>
      <c r="P52" s="155"/>
      <c r="Q52" s="155"/>
      <c r="R52" s="284"/>
      <c r="S52" s="157">
        <f t="shared" si="204"/>
        <v>0</v>
      </c>
      <c r="T52" s="378"/>
      <c r="U52" s="382"/>
      <c r="V52" s="382"/>
      <c r="W52" s="382"/>
      <c r="X52" s="382"/>
      <c r="Y52" s="382"/>
      <c r="Z52" s="382"/>
      <c r="AA52" s="382"/>
      <c r="AB52" s="382"/>
      <c r="AC52" s="382"/>
      <c r="AD52" s="382"/>
      <c r="AE52" s="481"/>
      <c r="AF52" s="157">
        <f t="shared" si="90"/>
        <v>0</v>
      </c>
      <c r="AG52" s="500"/>
      <c r="AH52" s="513"/>
      <c r="AI52" s="513"/>
      <c r="AJ52" s="513"/>
      <c r="AK52" s="513"/>
      <c r="AL52" s="513"/>
      <c r="AM52" s="513"/>
      <c r="AN52" s="513"/>
      <c r="AO52" s="513"/>
      <c r="AP52" s="155"/>
      <c r="AQ52" s="155"/>
      <c r="AR52" s="283"/>
      <c r="AS52" s="409">
        <f t="shared" si="205"/>
        <v>0</v>
      </c>
      <c r="AT52" s="283"/>
      <c r="AU52" s="283"/>
      <c r="AV52" s="285"/>
      <c r="AW52" s="359"/>
      <c r="AX52" s="283"/>
      <c r="AY52" s="283"/>
      <c r="AZ52" s="283"/>
      <c r="BA52" s="145">
        <f t="shared" ref="BA52" si="223">+BA50-BA51</f>
        <v>0</v>
      </c>
      <c r="BB52" s="283"/>
      <c r="BC52" s="283"/>
      <c r="BD52" s="283"/>
      <c r="BE52" s="283"/>
      <c r="BF52" s="157">
        <f t="shared" si="207"/>
        <v>0</v>
      </c>
      <c r="BG52" s="283"/>
      <c r="BH52" s="283"/>
      <c r="BI52" s="285"/>
      <c r="BJ52" s="359"/>
      <c r="BK52" s="283"/>
      <c r="BL52" s="283"/>
      <c r="BM52" s="283"/>
      <c r="BN52" s="283"/>
      <c r="BO52" s="283"/>
      <c r="BP52" s="283"/>
      <c r="BQ52" s="283"/>
      <c r="BR52" s="283"/>
      <c r="BS52" s="157">
        <f t="shared" si="208"/>
        <v>0</v>
      </c>
      <c r="BT52" s="283"/>
      <c r="BU52" s="283"/>
      <c r="BV52" s="285"/>
      <c r="BW52" s="359"/>
      <c r="BX52" s="283"/>
      <c r="BY52" s="283"/>
      <c r="BZ52" s="283"/>
      <c r="CA52" s="283"/>
      <c r="CB52" s="283"/>
      <c r="CC52" s="283"/>
      <c r="CD52" s="283"/>
      <c r="CE52" s="285"/>
      <c r="CF52" s="157">
        <f t="shared" si="209"/>
        <v>0</v>
      </c>
      <c r="CG52" s="359"/>
      <c r="CH52" s="283"/>
      <c r="CI52" s="283"/>
      <c r="CJ52" s="283"/>
      <c r="CK52" s="283"/>
      <c r="CL52" s="283"/>
      <c r="CM52" s="283"/>
      <c r="CN52" s="283"/>
      <c r="CO52" s="283"/>
      <c r="CP52" s="283"/>
      <c r="CQ52" s="283"/>
      <c r="CR52" s="285"/>
      <c r="CS52" s="157">
        <f t="shared" si="210"/>
        <v>0</v>
      </c>
      <c r="CT52" s="359"/>
      <c r="CU52" s="283"/>
      <c r="CV52" s="283"/>
      <c r="CW52" s="283"/>
      <c r="CX52" s="283"/>
      <c r="CY52" s="283"/>
      <c r="CZ52" s="283"/>
      <c r="DA52" s="283"/>
      <c r="DB52" s="283"/>
      <c r="DC52" s="283"/>
      <c r="DD52" s="283"/>
      <c r="DE52" s="285"/>
      <c r="DF52" s="157">
        <f t="shared" si="99"/>
        <v>0</v>
      </c>
      <c r="DG52" s="280"/>
      <c r="DH52" s="159">
        <f t="shared" si="211"/>
        <v>0</v>
      </c>
      <c r="DI52" s="160">
        <f t="shared" si="212"/>
        <v>0</v>
      </c>
      <c r="DJ52" s="161">
        <f t="shared" si="213"/>
        <v>0</v>
      </c>
      <c r="DM52" s="134">
        <f>AS52+BF52+BS52+CF52+CS52+DG52</f>
        <v>0</v>
      </c>
    </row>
    <row r="53" spans="1:118" ht="15" hidden="1" customHeight="1" outlineLevel="1">
      <c r="A53" s="607"/>
      <c r="B53" s="558"/>
      <c r="C53" s="245" t="s">
        <v>63</v>
      </c>
      <c r="D53" s="184" t="s">
        <v>124</v>
      </c>
      <c r="E53" s="136">
        <f>AF53+AS53+BF53+BS53+CF53+CS53+DF53+S53+DG53</f>
        <v>0</v>
      </c>
      <c r="F53" s="136"/>
      <c r="G53" s="137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9"/>
      <c r="S53" s="162">
        <f t="shared" si="204"/>
        <v>0</v>
      </c>
      <c r="T53" s="380"/>
      <c r="U53" s="381"/>
      <c r="V53" s="381"/>
      <c r="W53" s="381"/>
      <c r="X53" s="381"/>
      <c r="Y53" s="381"/>
      <c r="Z53" s="381"/>
      <c r="AA53" s="381"/>
      <c r="AB53" s="381"/>
      <c r="AC53" s="381"/>
      <c r="AD53" s="381"/>
      <c r="AE53" s="392"/>
      <c r="AF53" s="162">
        <f t="shared" si="90"/>
        <v>0</v>
      </c>
      <c r="AG53" s="501"/>
      <c r="AH53" s="499"/>
      <c r="AI53" s="499"/>
      <c r="AJ53" s="499"/>
      <c r="AK53" s="499"/>
      <c r="AL53" s="499"/>
      <c r="AM53" s="499"/>
      <c r="AN53" s="499"/>
      <c r="AO53" s="499"/>
      <c r="AP53" s="138"/>
      <c r="AQ53" s="138"/>
      <c r="AR53" s="139"/>
      <c r="AS53" s="410">
        <f t="shared" si="205"/>
        <v>0</v>
      </c>
      <c r="AT53" s="253"/>
      <c r="AU53" s="253"/>
      <c r="AV53" s="338"/>
      <c r="AW53" s="353"/>
      <c r="AX53" s="253"/>
      <c r="AY53" s="253"/>
      <c r="AZ53" s="253"/>
      <c r="BA53" s="145">
        <f t="shared" ref="BA53" si="224">+BA51-BA52</f>
        <v>0</v>
      </c>
      <c r="BB53" s="253"/>
      <c r="BC53" s="253"/>
      <c r="BD53" s="253"/>
      <c r="BE53" s="253"/>
      <c r="BF53" s="162">
        <f t="shared" si="207"/>
        <v>0</v>
      </c>
      <c r="BG53" s="253"/>
      <c r="BH53" s="253"/>
      <c r="BI53" s="338"/>
      <c r="BJ53" s="353"/>
      <c r="BK53" s="253"/>
      <c r="BL53" s="253"/>
      <c r="BM53" s="253"/>
      <c r="BN53" s="253"/>
      <c r="BO53" s="253"/>
      <c r="BP53" s="253"/>
      <c r="BQ53" s="253"/>
      <c r="BR53" s="253"/>
      <c r="BS53" s="162">
        <f t="shared" si="208"/>
        <v>0</v>
      </c>
      <c r="BT53" s="253"/>
      <c r="BU53" s="253"/>
      <c r="BV53" s="338"/>
      <c r="BW53" s="353"/>
      <c r="BX53" s="253"/>
      <c r="BY53" s="253"/>
      <c r="BZ53" s="253"/>
      <c r="CA53" s="253"/>
      <c r="CB53" s="253"/>
      <c r="CC53" s="253"/>
      <c r="CD53" s="253"/>
      <c r="CE53" s="338"/>
      <c r="CF53" s="162">
        <f t="shared" si="209"/>
        <v>0</v>
      </c>
      <c r="CG53" s="353"/>
      <c r="CH53" s="253"/>
      <c r="CI53" s="253"/>
      <c r="CJ53" s="253"/>
      <c r="CK53" s="253"/>
      <c r="CL53" s="253"/>
      <c r="CM53" s="253"/>
      <c r="CN53" s="253"/>
      <c r="CO53" s="253"/>
      <c r="CP53" s="253"/>
      <c r="CQ53" s="253"/>
      <c r="CR53" s="338"/>
      <c r="CS53" s="162">
        <f t="shared" si="210"/>
        <v>0</v>
      </c>
      <c r="CT53" s="353"/>
      <c r="CU53" s="253"/>
      <c r="CV53" s="253"/>
      <c r="CW53" s="253"/>
      <c r="CX53" s="253"/>
      <c r="CY53" s="253"/>
      <c r="CZ53" s="253"/>
      <c r="DA53" s="253"/>
      <c r="DB53" s="253"/>
      <c r="DC53" s="253"/>
      <c r="DD53" s="253"/>
      <c r="DE53" s="338"/>
      <c r="DF53" s="162">
        <f t="shared" si="99"/>
        <v>0</v>
      </c>
      <c r="DG53" s="279"/>
      <c r="DH53" s="90">
        <f t="shared" si="211"/>
        <v>0</v>
      </c>
      <c r="DI53" s="91">
        <f t="shared" si="212"/>
        <v>0</v>
      </c>
      <c r="DJ53" s="92">
        <f t="shared" si="213"/>
        <v>0</v>
      </c>
      <c r="DK53" s="64" t="e">
        <f>+DH53/DH52</f>
        <v>#DIV/0!</v>
      </c>
      <c r="DM53" s="134">
        <f>AS53+BF53+BS53+CF53+CS53+DG53</f>
        <v>0</v>
      </c>
    </row>
    <row r="54" spans="1:118" ht="15" hidden="1" customHeight="1" outlineLevel="1">
      <c r="A54" s="607"/>
      <c r="B54" s="559"/>
      <c r="C54" s="357" t="s">
        <v>11</v>
      </c>
      <c r="D54" s="358"/>
      <c r="E54" s="143">
        <f t="shared" ref="E54:R54" si="225">+E52-E53</f>
        <v>0</v>
      </c>
      <c r="F54" s="144">
        <f t="shared" si="225"/>
        <v>0</v>
      </c>
      <c r="G54" s="145">
        <f t="shared" si="225"/>
        <v>0</v>
      </c>
      <c r="H54" s="145">
        <f t="shared" si="225"/>
        <v>0</v>
      </c>
      <c r="I54" s="145">
        <f t="shared" si="225"/>
        <v>0</v>
      </c>
      <c r="J54" s="145">
        <f t="shared" si="225"/>
        <v>0</v>
      </c>
      <c r="K54" s="145">
        <f t="shared" si="225"/>
        <v>0</v>
      </c>
      <c r="L54" s="145">
        <f t="shared" si="225"/>
        <v>0</v>
      </c>
      <c r="M54" s="145">
        <f t="shared" si="225"/>
        <v>0</v>
      </c>
      <c r="N54" s="145">
        <f t="shared" si="225"/>
        <v>0</v>
      </c>
      <c r="O54" s="145">
        <f t="shared" si="225"/>
        <v>0</v>
      </c>
      <c r="P54" s="145">
        <f t="shared" si="225"/>
        <v>0</v>
      </c>
      <c r="Q54" s="145">
        <f t="shared" si="225"/>
        <v>0</v>
      </c>
      <c r="R54" s="146">
        <f t="shared" si="225"/>
        <v>0</v>
      </c>
      <c r="S54" s="147">
        <f t="shared" si="204"/>
        <v>0</v>
      </c>
      <c r="T54" s="148">
        <f t="shared" ref="T54:AE54" si="226">+T52-T53</f>
        <v>0</v>
      </c>
      <c r="U54" s="145">
        <f t="shared" si="226"/>
        <v>0</v>
      </c>
      <c r="V54" s="145">
        <f t="shared" si="226"/>
        <v>0</v>
      </c>
      <c r="W54" s="145">
        <f t="shared" si="226"/>
        <v>0</v>
      </c>
      <c r="X54" s="145">
        <f t="shared" si="226"/>
        <v>0</v>
      </c>
      <c r="Y54" s="145">
        <f t="shared" si="226"/>
        <v>0</v>
      </c>
      <c r="Z54" s="145">
        <f t="shared" si="226"/>
        <v>0</v>
      </c>
      <c r="AA54" s="145">
        <f t="shared" si="226"/>
        <v>0</v>
      </c>
      <c r="AB54" s="145">
        <f t="shared" si="226"/>
        <v>0</v>
      </c>
      <c r="AC54" s="145">
        <f t="shared" si="226"/>
        <v>0</v>
      </c>
      <c r="AD54" s="145">
        <f t="shared" si="226"/>
        <v>0</v>
      </c>
      <c r="AE54" s="146">
        <f t="shared" si="226"/>
        <v>0</v>
      </c>
      <c r="AF54" s="147">
        <f t="shared" si="90"/>
        <v>0</v>
      </c>
      <c r="AG54" s="148">
        <f t="shared" ref="AG54:AR54" si="227">+AG52-AG53</f>
        <v>0</v>
      </c>
      <c r="AH54" s="145">
        <f t="shared" si="227"/>
        <v>0</v>
      </c>
      <c r="AI54" s="145">
        <f t="shared" si="227"/>
        <v>0</v>
      </c>
      <c r="AJ54" s="145">
        <f t="shared" si="227"/>
        <v>0</v>
      </c>
      <c r="AK54" s="145">
        <f t="shared" si="227"/>
        <v>0</v>
      </c>
      <c r="AL54" s="145">
        <f t="shared" si="227"/>
        <v>0</v>
      </c>
      <c r="AM54" s="145">
        <f t="shared" si="227"/>
        <v>0</v>
      </c>
      <c r="AN54" s="145">
        <f t="shared" si="227"/>
        <v>0</v>
      </c>
      <c r="AO54" s="145">
        <f t="shared" si="227"/>
        <v>0</v>
      </c>
      <c r="AP54" s="145">
        <f t="shared" si="227"/>
        <v>0</v>
      </c>
      <c r="AQ54" s="145">
        <f t="shared" si="227"/>
        <v>0</v>
      </c>
      <c r="AR54" s="146">
        <f t="shared" si="227"/>
        <v>0</v>
      </c>
      <c r="AS54" s="408">
        <f t="shared" si="205"/>
        <v>0</v>
      </c>
      <c r="AT54" s="148">
        <f t="shared" ref="AT54:BE54" si="228">+AT52-AT53</f>
        <v>0</v>
      </c>
      <c r="AU54" s="145">
        <f t="shared" si="228"/>
        <v>0</v>
      </c>
      <c r="AV54" s="145">
        <f t="shared" si="228"/>
        <v>0</v>
      </c>
      <c r="AW54" s="145">
        <f t="shared" si="228"/>
        <v>0</v>
      </c>
      <c r="AX54" s="145">
        <f t="shared" si="228"/>
        <v>0</v>
      </c>
      <c r="AY54" s="145">
        <f t="shared" si="228"/>
        <v>0</v>
      </c>
      <c r="AZ54" s="145">
        <f t="shared" si="228"/>
        <v>0</v>
      </c>
      <c r="BA54" s="145">
        <f t="shared" si="228"/>
        <v>0</v>
      </c>
      <c r="BB54" s="145">
        <f t="shared" si="228"/>
        <v>0</v>
      </c>
      <c r="BC54" s="145">
        <f t="shared" si="228"/>
        <v>0</v>
      </c>
      <c r="BD54" s="145">
        <f t="shared" si="228"/>
        <v>0</v>
      </c>
      <c r="BE54" s="146">
        <f t="shared" si="228"/>
        <v>0</v>
      </c>
      <c r="BF54" s="147">
        <f t="shared" si="207"/>
        <v>0</v>
      </c>
      <c r="BG54" s="148">
        <f t="shared" ref="BG54:BR54" si="229">+BG52-BG53</f>
        <v>0</v>
      </c>
      <c r="BH54" s="145">
        <f t="shared" si="229"/>
        <v>0</v>
      </c>
      <c r="BI54" s="145">
        <f t="shared" si="229"/>
        <v>0</v>
      </c>
      <c r="BJ54" s="145">
        <f t="shared" si="229"/>
        <v>0</v>
      </c>
      <c r="BK54" s="145">
        <f t="shared" si="229"/>
        <v>0</v>
      </c>
      <c r="BL54" s="145">
        <f t="shared" si="229"/>
        <v>0</v>
      </c>
      <c r="BM54" s="145">
        <f t="shared" si="229"/>
        <v>0</v>
      </c>
      <c r="BN54" s="145">
        <f t="shared" si="229"/>
        <v>0</v>
      </c>
      <c r="BO54" s="145">
        <f t="shared" si="229"/>
        <v>0</v>
      </c>
      <c r="BP54" s="145">
        <f t="shared" si="229"/>
        <v>0</v>
      </c>
      <c r="BQ54" s="145">
        <f t="shared" si="229"/>
        <v>0</v>
      </c>
      <c r="BR54" s="146">
        <f t="shared" si="229"/>
        <v>0</v>
      </c>
      <c r="BS54" s="147">
        <f t="shared" si="208"/>
        <v>0</v>
      </c>
      <c r="BT54" s="148">
        <f t="shared" ref="BT54:CE54" si="230">+BT52-BT53</f>
        <v>0</v>
      </c>
      <c r="BU54" s="145">
        <f t="shared" si="230"/>
        <v>0</v>
      </c>
      <c r="BV54" s="145">
        <f t="shared" si="230"/>
        <v>0</v>
      </c>
      <c r="BW54" s="145">
        <f t="shared" si="230"/>
        <v>0</v>
      </c>
      <c r="BX54" s="145">
        <f t="shared" si="230"/>
        <v>0</v>
      </c>
      <c r="BY54" s="145">
        <f t="shared" si="230"/>
        <v>0</v>
      </c>
      <c r="BZ54" s="145">
        <f t="shared" si="230"/>
        <v>0</v>
      </c>
      <c r="CA54" s="145">
        <f t="shared" si="230"/>
        <v>0</v>
      </c>
      <c r="CB54" s="145">
        <f t="shared" si="230"/>
        <v>0</v>
      </c>
      <c r="CC54" s="145">
        <f t="shared" si="230"/>
        <v>0</v>
      </c>
      <c r="CD54" s="145">
        <f t="shared" si="230"/>
        <v>0</v>
      </c>
      <c r="CE54" s="146">
        <f t="shared" si="230"/>
        <v>0</v>
      </c>
      <c r="CF54" s="147">
        <f t="shared" si="209"/>
        <v>0</v>
      </c>
      <c r="CG54" s="148">
        <f t="shared" ref="CG54:CR54" si="231">+CG52-CG53</f>
        <v>0</v>
      </c>
      <c r="CH54" s="145">
        <f t="shared" si="231"/>
        <v>0</v>
      </c>
      <c r="CI54" s="145">
        <f t="shared" si="231"/>
        <v>0</v>
      </c>
      <c r="CJ54" s="145">
        <f t="shared" si="231"/>
        <v>0</v>
      </c>
      <c r="CK54" s="145">
        <f t="shared" si="231"/>
        <v>0</v>
      </c>
      <c r="CL54" s="145">
        <f t="shared" si="231"/>
        <v>0</v>
      </c>
      <c r="CM54" s="145">
        <f t="shared" si="231"/>
        <v>0</v>
      </c>
      <c r="CN54" s="145">
        <f t="shared" si="231"/>
        <v>0</v>
      </c>
      <c r="CO54" s="145">
        <f t="shared" si="231"/>
        <v>0</v>
      </c>
      <c r="CP54" s="145">
        <f t="shared" si="231"/>
        <v>0</v>
      </c>
      <c r="CQ54" s="145">
        <f t="shared" si="231"/>
        <v>0</v>
      </c>
      <c r="CR54" s="146">
        <f t="shared" si="231"/>
        <v>0</v>
      </c>
      <c r="CS54" s="147">
        <f t="shared" si="210"/>
        <v>0</v>
      </c>
      <c r="CT54" s="148">
        <f t="shared" ref="CT54:DE54" si="232">+CT52-CT53</f>
        <v>0</v>
      </c>
      <c r="CU54" s="145">
        <f t="shared" si="232"/>
        <v>0</v>
      </c>
      <c r="CV54" s="145">
        <f t="shared" si="232"/>
        <v>0</v>
      </c>
      <c r="CW54" s="145">
        <f t="shared" si="232"/>
        <v>0</v>
      </c>
      <c r="CX54" s="145">
        <f t="shared" si="232"/>
        <v>0</v>
      </c>
      <c r="CY54" s="145">
        <f t="shared" si="232"/>
        <v>0</v>
      </c>
      <c r="CZ54" s="145">
        <f t="shared" si="232"/>
        <v>0</v>
      </c>
      <c r="DA54" s="145">
        <f t="shared" si="232"/>
        <v>0</v>
      </c>
      <c r="DB54" s="145">
        <f t="shared" si="232"/>
        <v>0</v>
      </c>
      <c r="DC54" s="145">
        <f t="shared" si="232"/>
        <v>0</v>
      </c>
      <c r="DD54" s="145">
        <f t="shared" si="232"/>
        <v>0</v>
      </c>
      <c r="DE54" s="146">
        <f t="shared" si="232"/>
        <v>0</v>
      </c>
      <c r="DF54" s="147">
        <f t="shared" si="99"/>
        <v>0</v>
      </c>
      <c r="DG54" s="146">
        <f>+DG52-DG53</f>
        <v>0</v>
      </c>
      <c r="DH54" s="98">
        <f t="shared" si="211"/>
        <v>0</v>
      </c>
      <c r="DI54" s="99">
        <f t="shared" si="212"/>
        <v>0</v>
      </c>
      <c r="DJ54" s="100">
        <f t="shared" si="213"/>
        <v>0</v>
      </c>
    </row>
    <row r="55" spans="1:118" ht="15" customHeight="1" outlineLevel="1">
      <c r="A55" s="607"/>
      <c r="B55" s="557" t="s">
        <v>203</v>
      </c>
      <c r="C55" s="246" t="s">
        <v>62</v>
      </c>
      <c r="D55" s="183" t="s">
        <v>122</v>
      </c>
      <c r="E55" s="153">
        <f>AF55+AS55+BF55+BS55+CF55+CS55+DF55+S55+DG55</f>
        <v>56894.311852476509</v>
      </c>
      <c r="F55" s="153"/>
      <c r="G55" s="154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284"/>
      <c r="S55" s="157">
        <f t="shared" si="204"/>
        <v>0</v>
      </c>
      <c r="T55" s="378"/>
      <c r="U55" s="382"/>
      <c r="V55" s="382"/>
      <c r="W55" s="382"/>
      <c r="X55" s="382"/>
      <c r="Y55" s="382"/>
      <c r="Z55" s="382"/>
      <c r="AA55" s="382"/>
      <c r="AB55" s="382"/>
      <c r="AC55" s="382"/>
      <c r="AD55" s="382"/>
      <c r="AE55" s="481"/>
      <c r="AF55" s="157">
        <f t="shared" si="90"/>
        <v>0</v>
      </c>
      <c r="AG55" s="500"/>
      <c r="AH55" s="513"/>
      <c r="AI55" s="513"/>
      <c r="AJ55" s="513"/>
      <c r="AK55" s="513"/>
      <c r="AL55" s="513"/>
      <c r="AM55" s="513"/>
      <c r="AN55" s="513"/>
      <c r="AO55" s="513"/>
      <c r="AP55" s="513"/>
      <c r="AQ55" s="513"/>
      <c r="AR55" s="512"/>
      <c r="AS55" s="409">
        <f t="shared" si="205"/>
        <v>0</v>
      </c>
      <c r="AT55" s="500"/>
      <c r="AU55" s="513"/>
      <c r="AV55" s="513"/>
      <c r="AW55" s="513"/>
      <c r="AX55" s="513"/>
      <c r="AY55" s="513"/>
      <c r="AZ55" s="283"/>
      <c r="BA55" s="283"/>
      <c r="BB55" s="283"/>
      <c r="BC55" s="283"/>
      <c r="BD55" s="283">
        <v>2679.9136155629299</v>
      </c>
      <c r="BE55" s="283">
        <v>103</v>
      </c>
      <c r="BF55" s="157">
        <f t="shared" si="207"/>
        <v>2782.9136155629299</v>
      </c>
      <c r="BG55" s="283">
        <v>105.575</v>
      </c>
      <c r="BH55" s="283">
        <v>154.5</v>
      </c>
      <c r="BI55" s="283">
        <v>129.78</v>
      </c>
      <c r="BJ55" s="283">
        <v>196.73</v>
      </c>
      <c r="BK55" s="283">
        <v>203.94</v>
      </c>
      <c r="BL55" s="285">
        <v>550.10464770876251</v>
      </c>
      <c r="BM55" s="359">
        <v>618.8565671129079</v>
      </c>
      <c r="BN55" s="283">
        <v>685.91224368277778</v>
      </c>
      <c r="BO55" s="283">
        <v>751.0878824698799</v>
      </c>
      <c r="BP55" s="283">
        <v>814.20484157863314</v>
      </c>
      <c r="BQ55" s="283">
        <v>875.09012181129401</v>
      </c>
      <c r="BR55" s="283">
        <v>933.57684084681989</v>
      </c>
      <c r="BS55" s="157">
        <f t="shared" si="208"/>
        <v>6019.3581452110757</v>
      </c>
      <c r="BT55" s="283">
        <v>989.50469065374887</v>
      </c>
      <c r="BU55" s="285">
        <v>1042.7203768832076</v>
      </c>
      <c r="BV55" s="359">
        <v>1093.0780390382154</v>
      </c>
      <c r="BW55" s="283">
        <v>1140.4396502671777</v>
      </c>
      <c r="BX55" s="283">
        <v>1184.6753956857322</v>
      </c>
      <c r="BY55" s="283">
        <v>1225.6640281904613</v>
      </c>
      <c r="BZ55" s="283">
        <v>1263.2932007888312</v>
      </c>
      <c r="CA55" s="283">
        <v>1297.4597745342453</v>
      </c>
      <c r="CB55" s="283">
        <v>1328.0701012229686</v>
      </c>
      <c r="CC55" s="283">
        <v>1355.0402800772963</v>
      </c>
      <c r="CD55" s="283">
        <v>1378.2963877116117</v>
      </c>
      <c r="CE55" s="283">
        <v>1397.7746807513945</v>
      </c>
      <c r="CF55" s="157">
        <f t="shared" si="97"/>
        <v>14696.016605804893</v>
      </c>
      <c r="CG55" s="283">
        <v>1413.4217705494066</v>
      </c>
      <c r="CH55" s="285">
        <v>1425.1947695200645</v>
      </c>
      <c r="CI55" s="359">
        <v>1433.0614086915164</v>
      </c>
      <c r="CJ55" s="283">
        <v>1437.0001261526718</v>
      </c>
      <c r="CK55" s="283">
        <v>1437.0001261526756</v>
      </c>
      <c r="CL55" s="283">
        <v>1433.0614086915125</v>
      </c>
      <c r="CM55" s="283">
        <v>1425.1947695200681</v>
      </c>
      <c r="CN55" s="283">
        <v>1413.4217705494066</v>
      </c>
      <c r="CO55" s="283">
        <v>1397.7746807513906</v>
      </c>
      <c r="CP55" s="283">
        <v>1378.2963877116154</v>
      </c>
      <c r="CQ55" s="283">
        <v>1355.0402800773002</v>
      </c>
      <c r="CR55" s="283">
        <v>1328.0701012229874</v>
      </c>
      <c r="CS55" s="157">
        <f t="shared" si="98"/>
        <v>16876.537599590618</v>
      </c>
      <c r="CT55" s="283">
        <v>1297.4597745342246</v>
      </c>
      <c r="CU55" s="285">
        <v>1263.2932007888276</v>
      </c>
      <c r="CV55" s="359">
        <v>1225.6640281904893</v>
      </c>
      <c r="CW55" s="283">
        <v>1184.6753956857078</v>
      </c>
      <c r="CX55" s="283">
        <v>1140.4396502671759</v>
      </c>
      <c r="CY55" s="283">
        <v>1093.078039038234</v>
      </c>
      <c r="CZ55" s="283">
        <v>1042.7203768831926</v>
      </c>
      <c r="DA55" s="283">
        <v>989.504690653745</v>
      </c>
      <c r="DB55" s="283">
        <v>933.57684084684058</v>
      </c>
      <c r="DC55" s="283">
        <v>875.09012181127628</v>
      </c>
      <c r="DD55" s="283">
        <v>814.20484157863791</v>
      </c>
      <c r="DE55" s="283">
        <v>751.08788246989025</v>
      </c>
      <c r="DF55" s="157">
        <f t="shared" si="99"/>
        <v>12610.794842748242</v>
      </c>
      <c r="DG55" s="280">
        <v>3908.6910435587506</v>
      </c>
      <c r="DH55" s="159">
        <f t="shared" si="211"/>
        <v>12710.962804332756</v>
      </c>
      <c r="DI55" s="160">
        <f t="shared" si="212"/>
        <v>56894.311852476509</v>
      </c>
      <c r="DJ55" s="161">
        <f t="shared" si="213"/>
        <v>44183.349048143755</v>
      </c>
      <c r="DM55" s="134">
        <f>AS55+BF55+BS55+CF55+CS55+DG55</f>
        <v>44283.517009728268</v>
      </c>
    </row>
    <row r="56" spans="1:118" ht="15" customHeight="1" outlineLevel="1">
      <c r="A56" s="607"/>
      <c r="B56" s="558"/>
      <c r="C56" s="245" t="s">
        <v>63</v>
      </c>
      <c r="D56" s="184" t="s">
        <v>124</v>
      </c>
      <c r="E56" s="136">
        <f>AF56+AS56+BF56+BS56+CF56+CS56+DF56+S56+DG56</f>
        <v>51174.913627456306</v>
      </c>
      <c r="F56" s="136"/>
      <c r="G56" s="137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9"/>
      <c r="S56" s="162">
        <f t="shared" si="204"/>
        <v>0</v>
      </c>
      <c r="T56" s="380"/>
      <c r="U56" s="381"/>
      <c r="V56" s="381"/>
      <c r="W56" s="381"/>
      <c r="X56" s="381"/>
      <c r="Y56" s="381"/>
      <c r="Z56" s="381"/>
      <c r="AA56" s="381"/>
      <c r="AB56" s="381"/>
      <c r="AC56" s="381"/>
      <c r="AD56" s="381"/>
      <c r="AE56" s="392"/>
      <c r="AF56" s="162">
        <f t="shared" si="90"/>
        <v>0</v>
      </c>
      <c r="AG56" s="501"/>
      <c r="AH56" s="499"/>
      <c r="AI56" s="499"/>
      <c r="AJ56" s="499"/>
      <c r="AK56" s="499"/>
      <c r="AL56" s="499"/>
      <c r="AM56" s="499"/>
      <c r="AN56" s="499"/>
      <c r="AO56" s="499"/>
      <c r="AP56" s="499"/>
      <c r="AQ56" s="499"/>
      <c r="AR56" s="511"/>
      <c r="AS56" s="410">
        <f t="shared" si="205"/>
        <v>0</v>
      </c>
      <c r="AT56" s="501"/>
      <c r="AU56" s="499"/>
      <c r="AV56" s="499"/>
      <c r="AW56" s="499"/>
      <c r="AX56" s="499"/>
      <c r="AY56" s="499"/>
      <c r="AZ56" s="253"/>
      <c r="BA56" s="253"/>
      <c r="BB56" s="253"/>
      <c r="BC56" s="253"/>
      <c r="BD56" s="253">
        <v>13.365</v>
      </c>
      <c r="BE56" s="253">
        <v>97.2</v>
      </c>
      <c r="BF56" s="162">
        <f t="shared" si="207"/>
        <v>110.565</v>
      </c>
      <c r="BG56" s="253">
        <v>99.63000000000001</v>
      </c>
      <c r="BH56" s="253">
        <v>145.80000000000001</v>
      </c>
      <c r="BI56" s="253">
        <v>122.47200000000001</v>
      </c>
      <c r="BJ56" s="253">
        <v>185.65200000000002</v>
      </c>
      <c r="BK56" s="253">
        <v>192.45600000000002</v>
      </c>
      <c r="BL56" s="338">
        <v>519.12788113875445</v>
      </c>
      <c r="BM56" s="353">
        <v>584.0083332366471</v>
      </c>
      <c r="BN56" s="253">
        <v>647.28805908704862</v>
      </c>
      <c r="BO56" s="253">
        <v>708.79361335992564</v>
      </c>
      <c r="BP56" s="253">
        <v>768.35641360624413</v>
      </c>
      <c r="BQ56" s="253">
        <v>825.8132023306581</v>
      </c>
      <c r="BR56" s="253">
        <v>881.00649446903788</v>
      </c>
      <c r="BS56" s="162">
        <f t="shared" si="208"/>
        <v>5680.4039972283153</v>
      </c>
      <c r="BT56" s="253">
        <v>933.78500904412022</v>
      </c>
      <c r="BU56" s="338">
        <v>984.00408381599777</v>
      </c>
      <c r="BV56" s="353">
        <v>1031.5260717914032</v>
      </c>
      <c r="BW56" s="253">
        <v>1076.22071850456</v>
      </c>
      <c r="BX56" s="253">
        <v>1117.9655190354674</v>
      </c>
      <c r="BY56" s="253">
        <v>1156.6460537875032</v>
      </c>
      <c r="BZ56" s="253">
        <v>1192.156302103635</v>
      </c>
      <c r="CA56" s="253">
        <v>1224.3989328614432</v>
      </c>
      <c r="CB56" s="253">
        <v>1253.2855712511896</v>
      </c>
      <c r="CC56" s="253">
        <v>1278.7370410049825</v>
      </c>
      <c r="CD56" s="253">
        <v>1300.6835814132878</v>
      </c>
      <c r="CE56" s="253">
        <v>1319.0650385343256</v>
      </c>
      <c r="CF56" s="162">
        <f t="shared" si="97"/>
        <v>13868.473923147914</v>
      </c>
      <c r="CG56" s="253">
        <v>1333.8310300718674</v>
      </c>
      <c r="CH56" s="338">
        <v>1344.9410834694202</v>
      </c>
      <c r="CI56" s="353">
        <v>1352.3647468428678</v>
      </c>
      <c r="CJ56" s="253">
        <v>1356.0816724469873</v>
      </c>
      <c r="CK56" s="253">
        <v>1356.081672446991</v>
      </c>
      <c r="CL56" s="253">
        <v>1352.3647468428642</v>
      </c>
      <c r="CM56" s="253">
        <v>1344.9410834694236</v>
      </c>
      <c r="CN56" s="253">
        <v>1333.8310300718674</v>
      </c>
      <c r="CO56" s="253">
        <v>1319.0650385343222</v>
      </c>
      <c r="CP56" s="253">
        <v>1300.6835814132914</v>
      </c>
      <c r="CQ56" s="253">
        <v>1278.7370410049864</v>
      </c>
      <c r="CR56" s="253">
        <v>1253.2855712512073</v>
      </c>
      <c r="CS56" s="162">
        <f t="shared" si="98"/>
        <v>15926.208297866098</v>
      </c>
      <c r="CT56" s="253">
        <v>1224.3989328614236</v>
      </c>
      <c r="CU56" s="338">
        <v>1192.1563021036316</v>
      </c>
      <c r="CV56" s="353">
        <v>1156.6460537875298</v>
      </c>
      <c r="CW56" s="253">
        <v>1117.9655190354447</v>
      </c>
      <c r="CX56" s="253">
        <v>1076.2207185045581</v>
      </c>
      <c r="CY56" s="253">
        <v>1031.5260717914209</v>
      </c>
      <c r="CZ56" s="253">
        <v>984.00408381598368</v>
      </c>
      <c r="DA56" s="253">
        <v>933.78500904411669</v>
      </c>
      <c r="DB56" s="253">
        <v>881.00649446905732</v>
      </c>
      <c r="DC56" s="253">
        <v>825.81320233064127</v>
      </c>
      <c r="DD56" s="253">
        <v>768.35641360624857</v>
      </c>
      <c r="DE56" s="253">
        <v>708.79361335993531</v>
      </c>
      <c r="DF56" s="162">
        <f t="shared" si="99"/>
        <v>11900.67241470999</v>
      </c>
      <c r="DG56" s="279">
        <v>3688.5899945039864</v>
      </c>
      <c r="DH56" s="90">
        <f t="shared" si="211"/>
        <v>9479.5589917323014</v>
      </c>
      <c r="DI56" s="91">
        <f t="shared" si="212"/>
        <v>51174.913627456306</v>
      </c>
      <c r="DJ56" s="92">
        <f t="shared" si="213"/>
        <v>41695.354635724005</v>
      </c>
      <c r="DK56" s="64">
        <f>+DH56/DH55</f>
        <v>0.7457782024585129</v>
      </c>
      <c r="DM56" s="134">
        <f>AS56+BF56+BS56+CF56+CS56+DG56</f>
        <v>39274.241212746318</v>
      </c>
      <c r="DN56" s="533">
        <f>DM56/DM55</f>
        <v>0.8868817082464</v>
      </c>
    </row>
    <row r="57" spans="1:118" ht="15" customHeight="1" outlineLevel="1">
      <c r="A57" s="607"/>
      <c r="B57" s="559"/>
      <c r="C57" s="357" t="s">
        <v>11</v>
      </c>
      <c r="D57" s="358"/>
      <c r="E57" s="143">
        <f t="shared" ref="E57:R57" si="233">+E55-E56</f>
        <v>5719.3982250202025</v>
      </c>
      <c r="F57" s="144">
        <f t="shared" si="233"/>
        <v>0</v>
      </c>
      <c r="G57" s="145">
        <f t="shared" si="233"/>
        <v>0</v>
      </c>
      <c r="H57" s="145">
        <f t="shared" si="233"/>
        <v>0</v>
      </c>
      <c r="I57" s="145">
        <f t="shared" si="233"/>
        <v>0</v>
      </c>
      <c r="J57" s="145">
        <f t="shared" si="233"/>
        <v>0</v>
      </c>
      <c r="K57" s="145">
        <f t="shared" si="233"/>
        <v>0</v>
      </c>
      <c r="L57" s="145">
        <f t="shared" si="233"/>
        <v>0</v>
      </c>
      <c r="M57" s="145">
        <f t="shared" si="233"/>
        <v>0</v>
      </c>
      <c r="N57" s="145">
        <f t="shared" si="233"/>
        <v>0</v>
      </c>
      <c r="O57" s="145">
        <f t="shared" si="233"/>
        <v>0</v>
      </c>
      <c r="P57" s="145">
        <f t="shared" si="233"/>
        <v>0</v>
      </c>
      <c r="Q57" s="145">
        <f t="shared" si="233"/>
        <v>0</v>
      </c>
      <c r="R57" s="146">
        <f t="shared" si="233"/>
        <v>0</v>
      </c>
      <c r="S57" s="147">
        <f t="shared" si="204"/>
        <v>0</v>
      </c>
      <c r="T57" s="148">
        <f t="shared" ref="T57:AE57" si="234">+T55-T56</f>
        <v>0</v>
      </c>
      <c r="U57" s="145">
        <f t="shared" si="234"/>
        <v>0</v>
      </c>
      <c r="V57" s="145">
        <f t="shared" si="234"/>
        <v>0</v>
      </c>
      <c r="W57" s="145">
        <f t="shared" si="234"/>
        <v>0</v>
      </c>
      <c r="X57" s="145">
        <f t="shared" si="234"/>
        <v>0</v>
      </c>
      <c r="Y57" s="145">
        <f t="shared" si="234"/>
        <v>0</v>
      </c>
      <c r="Z57" s="145">
        <f t="shared" si="234"/>
        <v>0</v>
      </c>
      <c r="AA57" s="145">
        <f t="shared" si="234"/>
        <v>0</v>
      </c>
      <c r="AB57" s="145">
        <f t="shared" si="234"/>
        <v>0</v>
      </c>
      <c r="AC57" s="145">
        <f t="shared" si="234"/>
        <v>0</v>
      </c>
      <c r="AD57" s="145">
        <f t="shared" si="234"/>
        <v>0</v>
      </c>
      <c r="AE57" s="146">
        <f t="shared" si="234"/>
        <v>0</v>
      </c>
      <c r="AF57" s="147">
        <f t="shared" si="90"/>
        <v>0</v>
      </c>
      <c r="AG57" s="148">
        <f t="shared" ref="AG57:AR57" si="235">+AG55-AG56</f>
        <v>0</v>
      </c>
      <c r="AH57" s="145">
        <f t="shared" si="235"/>
        <v>0</v>
      </c>
      <c r="AI57" s="145">
        <f t="shared" si="235"/>
        <v>0</v>
      </c>
      <c r="AJ57" s="145">
        <f t="shared" si="235"/>
        <v>0</v>
      </c>
      <c r="AK57" s="145">
        <f t="shared" si="235"/>
        <v>0</v>
      </c>
      <c r="AL57" s="145">
        <f t="shared" si="235"/>
        <v>0</v>
      </c>
      <c r="AM57" s="145">
        <f t="shared" si="235"/>
        <v>0</v>
      </c>
      <c r="AN57" s="145">
        <f t="shared" si="235"/>
        <v>0</v>
      </c>
      <c r="AO57" s="145">
        <f t="shared" si="235"/>
        <v>0</v>
      </c>
      <c r="AP57" s="145">
        <f t="shared" si="235"/>
        <v>0</v>
      </c>
      <c r="AQ57" s="145">
        <f t="shared" si="235"/>
        <v>0</v>
      </c>
      <c r="AR57" s="146">
        <f t="shared" si="235"/>
        <v>0</v>
      </c>
      <c r="AS57" s="408">
        <f t="shared" si="205"/>
        <v>0</v>
      </c>
      <c r="AT57" s="148">
        <f t="shared" ref="AT57:BE57" si="236">+AT55-AT56</f>
        <v>0</v>
      </c>
      <c r="AU57" s="145">
        <f t="shared" si="236"/>
        <v>0</v>
      </c>
      <c r="AV57" s="145">
        <f t="shared" si="236"/>
        <v>0</v>
      </c>
      <c r="AW57" s="145">
        <f t="shared" si="236"/>
        <v>0</v>
      </c>
      <c r="AX57" s="145">
        <f t="shared" si="236"/>
        <v>0</v>
      </c>
      <c r="AY57" s="145">
        <f t="shared" si="236"/>
        <v>0</v>
      </c>
      <c r="AZ57" s="145">
        <f t="shared" si="236"/>
        <v>0</v>
      </c>
      <c r="BA57" s="145">
        <f t="shared" si="236"/>
        <v>0</v>
      </c>
      <c r="BB57" s="145">
        <f t="shared" si="236"/>
        <v>0</v>
      </c>
      <c r="BC57" s="145">
        <f t="shared" si="236"/>
        <v>0</v>
      </c>
      <c r="BD57" s="145">
        <f t="shared" si="236"/>
        <v>2666.5486155629301</v>
      </c>
      <c r="BE57" s="146">
        <f t="shared" si="236"/>
        <v>5.7999999999999972</v>
      </c>
      <c r="BF57" s="147">
        <f t="shared" si="207"/>
        <v>2672.3486155629303</v>
      </c>
      <c r="BG57" s="148">
        <f t="shared" ref="BG57:BR57" si="237">+BG55-BG56</f>
        <v>5.9449999999999932</v>
      </c>
      <c r="BH57" s="145">
        <f t="shared" si="237"/>
        <v>8.6999999999999886</v>
      </c>
      <c r="BI57" s="145">
        <f t="shared" si="237"/>
        <v>7.3079999999999927</v>
      </c>
      <c r="BJ57" s="145">
        <f t="shared" si="237"/>
        <v>11.077999999999975</v>
      </c>
      <c r="BK57" s="145">
        <f t="shared" si="237"/>
        <v>11.48399999999998</v>
      </c>
      <c r="BL57" s="145">
        <f t="shared" si="237"/>
        <v>30.976766570008067</v>
      </c>
      <c r="BM57" s="145">
        <f t="shared" si="237"/>
        <v>34.848233876260792</v>
      </c>
      <c r="BN57" s="145">
        <f t="shared" si="237"/>
        <v>38.624184595729162</v>
      </c>
      <c r="BO57" s="145">
        <f t="shared" si="237"/>
        <v>42.294269109954257</v>
      </c>
      <c r="BP57" s="145">
        <f t="shared" si="237"/>
        <v>45.848427972389004</v>
      </c>
      <c r="BQ57" s="145">
        <f t="shared" si="237"/>
        <v>49.276919480635911</v>
      </c>
      <c r="BR57" s="146">
        <f t="shared" si="237"/>
        <v>52.570346377782016</v>
      </c>
      <c r="BS57" s="147">
        <f t="shared" si="208"/>
        <v>338.95414798275914</v>
      </c>
      <c r="BT57" s="148">
        <f t="shared" ref="BT57:CE57" si="238">+BT55-BT56</f>
        <v>55.719681609628651</v>
      </c>
      <c r="BU57" s="145">
        <f t="shared" si="238"/>
        <v>58.71629306720979</v>
      </c>
      <c r="BV57" s="145">
        <f t="shared" si="238"/>
        <v>61.551967246812183</v>
      </c>
      <c r="BW57" s="145">
        <f t="shared" si="238"/>
        <v>64.218931762617785</v>
      </c>
      <c r="BX57" s="145">
        <f t="shared" si="238"/>
        <v>66.709876650264732</v>
      </c>
      <c r="BY57" s="145">
        <f t="shared" si="238"/>
        <v>69.017974402958089</v>
      </c>
      <c r="BZ57" s="145">
        <f t="shared" si="238"/>
        <v>71.136898685196229</v>
      </c>
      <c r="CA57" s="145">
        <f t="shared" si="238"/>
        <v>73.060841672802098</v>
      </c>
      <c r="CB57" s="145">
        <f t="shared" si="238"/>
        <v>74.784529971778966</v>
      </c>
      <c r="CC57" s="145">
        <f t="shared" si="238"/>
        <v>76.303239072313772</v>
      </c>
      <c r="CD57" s="145">
        <f t="shared" si="238"/>
        <v>77.612806298323903</v>
      </c>
      <c r="CE57" s="146">
        <f t="shared" si="238"/>
        <v>78.709642217068904</v>
      </c>
      <c r="CF57" s="147">
        <f t="shared" si="97"/>
        <v>827.5426826569751</v>
      </c>
      <c r="CG57" s="148">
        <f t="shared" ref="CG57:CR57" si="239">+CG55-CG56</f>
        <v>79.590740477539157</v>
      </c>
      <c r="CH57" s="145">
        <f t="shared" si="239"/>
        <v>80.253686050644319</v>
      </c>
      <c r="CI57" s="145">
        <f t="shared" si="239"/>
        <v>80.696661848648546</v>
      </c>
      <c r="CJ57" s="145">
        <f t="shared" si="239"/>
        <v>80.918453705684442</v>
      </c>
      <c r="CK57" s="145">
        <f t="shared" si="239"/>
        <v>80.918453705684669</v>
      </c>
      <c r="CL57" s="145">
        <f t="shared" si="239"/>
        <v>80.696661848648318</v>
      </c>
      <c r="CM57" s="145">
        <f t="shared" si="239"/>
        <v>80.253686050644546</v>
      </c>
      <c r="CN57" s="145">
        <f t="shared" si="239"/>
        <v>79.590740477539157</v>
      </c>
      <c r="CO57" s="145">
        <f t="shared" si="239"/>
        <v>78.709642217068449</v>
      </c>
      <c r="CP57" s="145">
        <f t="shared" si="239"/>
        <v>77.612806298323903</v>
      </c>
      <c r="CQ57" s="145">
        <f t="shared" si="239"/>
        <v>76.303239072313772</v>
      </c>
      <c r="CR57" s="146">
        <f t="shared" si="239"/>
        <v>74.784529971780103</v>
      </c>
      <c r="CS57" s="147">
        <f t="shared" si="98"/>
        <v>950.32930172451938</v>
      </c>
      <c r="CT57" s="148">
        <f t="shared" ref="CT57:DE57" si="240">+CT55-CT56</f>
        <v>73.060841672800962</v>
      </c>
      <c r="CU57" s="145">
        <f t="shared" si="240"/>
        <v>71.136898685196002</v>
      </c>
      <c r="CV57" s="145">
        <f t="shared" si="240"/>
        <v>69.017974402959453</v>
      </c>
      <c r="CW57" s="145">
        <f t="shared" si="240"/>
        <v>66.709876650263141</v>
      </c>
      <c r="CX57" s="145">
        <f t="shared" si="240"/>
        <v>64.218931762617785</v>
      </c>
      <c r="CY57" s="145">
        <f t="shared" si="240"/>
        <v>61.551967246813092</v>
      </c>
      <c r="CZ57" s="145">
        <f t="shared" si="240"/>
        <v>58.716293067208881</v>
      </c>
      <c r="DA57" s="145">
        <f t="shared" si="240"/>
        <v>55.71968160962831</v>
      </c>
      <c r="DB57" s="145">
        <f t="shared" si="240"/>
        <v>52.570346377783267</v>
      </c>
      <c r="DC57" s="145">
        <f t="shared" si="240"/>
        <v>49.276919480635001</v>
      </c>
      <c r="DD57" s="145">
        <f t="shared" si="240"/>
        <v>45.848427972389345</v>
      </c>
      <c r="DE57" s="146">
        <f t="shared" si="240"/>
        <v>42.294269109954939</v>
      </c>
      <c r="DF57" s="147">
        <f t="shared" si="99"/>
        <v>710.12242803825018</v>
      </c>
      <c r="DG57" s="146">
        <f>+DG55-DG56</f>
        <v>220.10104905476419</v>
      </c>
      <c r="DH57" s="98">
        <f t="shared" si="211"/>
        <v>3231.4038126004534</v>
      </c>
      <c r="DI57" s="99">
        <f t="shared" si="212"/>
        <v>5719.3982250202025</v>
      </c>
      <c r="DJ57" s="100">
        <f t="shared" si="213"/>
        <v>2487.9944124197491</v>
      </c>
    </row>
    <row r="58" spans="1:118" ht="15" customHeight="1" outlineLevel="1">
      <c r="A58" s="607"/>
      <c r="B58" s="557" t="s">
        <v>204</v>
      </c>
      <c r="C58" s="246" t="s">
        <v>62</v>
      </c>
      <c r="D58" s="183" t="s">
        <v>122</v>
      </c>
      <c r="E58" s="153">
        <f>AF58+AS58+BF58+BS58+CF58+CS58+DF58+S58+DG58</f>
        <v>60287.760000000009</v>
      </c>
      <c r="F58" s="153"/>
      <c r="G58" s="154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284"/>
      <c r="S58" s="157">
        <f t="shared" si="204"/>
        <v>0</v>
      </c>
      <c r="T58" s="378"/>
      <c r="U58" s="382"/>
      <c r="V58" s="382"/>
      <c r="W58" s="382"/>
      <c r="X58" s="382"/>
      <c r="Y58" s="382"/>
      <c r="Z58" s="382"/>
      <c r="AA58" s="382"/>
      <c r="AB58" s="382"/>
      <c r="AC58" s="382"/>
      <c r="AD58" s="382"/>
      <c r="AE58" s="481"/>
      <c r="AF58" s="157">
        <f t="shared" si="90"/>
        <v>0</v>
      </c>
      <c r="AG58" s="500"/>
      <c r="AH58" s="513"/>
      <c r="AI58" s="513"/>
      <c r="AJ58" s="513"/>
      <c r="AK58" s="513"/>
      <c r="AL58" s="513"/>
      <c r="AM58" s="513"/>
      <c r="AN58" s="513"/>
      <c r="AO58" s="513"/>
      <c r="AP58" s="513"/>
      <c r="AQ58" s="513"/>
      <c r="AR58" s="512"/>
      <c r="AS58" s="409">
        <f t="shared" si="205"/>
        <v>0</v>
      </c>
      <c r="AT58" s="500"/>
      <c r="AU58" s="513"/>
      <c r="AV58" s="513"/>
      <c r="AW58" s="513"/>
      <c r="AX58" s="513"/>
      <c r="AY58" s="513"/>
      <c r="AZ58" s="155"/>
      <c r="BA58" s="155"/>
      <c r="BB58" s="155"/>
      <c r="BC58" s="155"/>
      <c r="BD58" s="155"/>
      <c r="BE58" s="156"/>
      <c r="BF58" s="157">
        <f t="shared" si="207"/>
        <v>0</v>
      </c>
      <c r="BG58" s="359"/>
      <c r="BH58" s="283"/>
      <c r="BI58" s="283"/>
      <c r="BJ58" s="283"/>
      <c r="BK58" s="283"/>
      <c r="BL58" s="283"/>
      <c r="BM58" s="283"/>
      <c r="BN58" s="283"/>
      <c r="BO58" s="283"/>
      <c r="BP58" s="283">
        <v>219.78282425314947</v>
      </c>
      <c r="BQ58" s="283">
        <v>656.14354427403316</v>
      </c>
      <c r="BR58" s="285">
        <v>1082.936213912795</v>
      </c>
      <c r="BS58" s="157">
        <f t="shared" si="208"/>
        <v>1958.8625824399776</v>
      </c>
      <c r="BT58" s="359">
        <v>1493.9372349927348</v>
      </c>
      <c r="BU58" s="283">
        <v>1883.1532871328279</v>
      </c>
      <c r="BV58" s="283">
        <v>2244.9087238545694</v>
      </c>
      <c r="BW58" s="283">
        <v>2573.9283362883393</v>
      </c>
      <c r="BX58" s="283">
        <v>2865.4142775971955</v>
      </c>
      <c r="BY58" s="283">
        <v>3115.1160263876486</v>
      </c>
      <c r="BZ58" s="283">
        <v>3319.3923688829477</v>
      </c>
      <c r="CA58" s="283">
        <v>3475.2644960193616</v>
      </c>
      <c r="CB58" s="283">
        <v>3580.4594411895814</v>
      </c>
      <c r="CC58" s="283">
        <v>3633.4432252148104</v>
      </c>
      <c r="CD58" s="283">
        <v>3633.4432252148104</v>
      </c>
      <c r="CE58" s="285">
        <v>3580.4594411896364</v>
      </c>
      <c r="CF58" s="157">
        <f t="shared" si="97"/>
        <v>35398.920083964469</v>
      </c>
      <c r="CG58" s="359">
        <v>3475.2644960193102</v>
      </c>
      <c r="CH58" s="283">
        <v>3319.3923688829459</v>
      </c>
      <c r="CI58" s="283">
        <v>3115.1160263876664</v>
      </c>
      <c r="CJ58" s="283">
        <v>2865.4142775971854</v>
      </c>
      <c r="CK58" s="283">
        <v>2573.9283362883348</v>
      </c>
      <c r="CL58" s="283">
        <v>2244.9087238545999</v>
      </c>
      <c r="CM58" s="283">
        <v>1883.153287132802</v>
      </c>
      <c r="CN58" s="283">
        <v>1493.9372349927391</v>
      </c>
      <c r="CO58" s="283">
        <v>1082.9362139128109</v>
      </c>
      <c r="CP58" s="283">
        <v>656.14354427401179</v>
      </c>
      <c r="CQ58" s="283">
        <v>219.78282425315703</v>
      </c>
      <c r="CR58" s="285"/>
      <c r="CS58" s="157">
        <f t="shared" si="98"/>
        <v>22929.977333595562</v>
      </c>
      <c r="CT58" s="359"/>
      <c r="CU58" s="283"/>
      <c r="CV58" s="283"/>
      <c r="CW58" s="283"/>
      <c r="CX58" s="283"/>
      <c r="CY58" s="283"/>
      <c r="CZ58" s="283"/>
      <c r="DA58" s="283"/>
      <c r="DB58" s="283"/>
      <c r="DC58" s="283"/>
      <c r="DD58" s="283"/>
      <c r="DE58" s="285"/>
      <c r="DF58" s="157">
        <f t="shared" si="99"/>
        <v>0</v>
      </c>
      <c r="DG58" s="280"/>
      <c r="DH58" s="159">
        <f t="shared" si="211"/>
        <v>1958.8625824399776</v>
      </c>
      <c r="DI58" s="160">
        <f t="shared" si="212"/>
        <v>60287.760000000009</v>
      </c>
      <c r="DJ58" s="161">
        <f t="shared" si="213"/>
        <v>58328.897417560031</v>
      </c>
      <c r="DM58" s="134">
        <f>AS58+BF58+BS58+CF58+CS58+DG58</f>
        <v>60287.760000000009</v>
      </c>
    </row>
    <row r="59" spans="1:118" ht="15" customHeight="1" outlineLevel="1">
      <c r="A59" s="607"/>
      <c r="B59" s="558"/>
      <c r="C59" s="245" t="s">
        <v>63</v>
      </c>
      <c r="D59" s="184" t="s">
        <v>124</v>
      </c>
      <c r="E59" s="136">
        <f>AF59+AS59+BF59+BS59+CF59+CS59+DF59+S59+DG59</f>
        <v>54258.983999999997</v>
      </c>
      <c r="F59" s="136"/>
      <c r="G59" s="137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9"/>
      <c r="S59" s="162">
        <f t="shared" si="204"/>
        <v>0</v>
      </c>
      <c r="T59" s="380"/>
      <c r="U59" s="381"/>
      <c r="V59" s="381"/>
      <c r="W59" s="381"/>
      <c r="X59" s="381"/>
      <c r="Y59" s="381"/>
      <c r="Z59" s="381"/>
      <c r="AA59" s="381"/>
      <c r="AB59" s="381"/>
      <c r="AC59" s="381"/>
      <c r="AD59" s="381"/>
      <c r="AE59" s="392"/>
      <c r="AF59" s="162">
        <f t="shared" si="90"/>
        <v>0</v>
      </c>
      <c r="AG59" s="501"/>
      <c r="AH59" s="499"/>
      <c r="AI59" s="499"/>
      <c r="AJ59" s="499"/>
      <c r="AK59" s="499"/>
      <c r="AL59" s="499"/>
      <c r="AM59" s="499"/>
      <c r="AN59" s="499"/>
      <c r="AO59" s="499"/>
      <c r="AP59" s="499"/>
      <c r="AQ59" s="499"/>
      <c r="AR59" s="511"/>
      <c r="AS59" s="410">
        <f t="shared" si="205"/>
        <v>0</v>
      </c>
      <c r="AT59" s="501"/>
      <c r="AU59" s="499"/>
      <c r="AV59" s="499"/>
      <c r="AW59" s="499"/>
      <c r="AX59" s="499"/>
      <c r="AY59" s="499"/>
      <c r="AZ59" s="138"/>
      <c r="BA59" s="138"/>
      <c r="BB59" s="138"/>
      <c r="BC59" s="138"/>
      <c r="BD59" s="138"/>
      <c r="BE59" s="139"/>
      <c r="BF59" s="162">
        <f t="shared" si="207"/>
        <v>0</v>
      </c>
      <c r="BG59" s="353"/>
      <c r="BH59" s="253"/>
      <c r="BI59" s="253"/>
      <c r="BJ59" s="253"/>
      <c r="BK59" s="253"/>
      <c r="BL59" s="253"/>
      <c r="BM59" s="253"/>
      <c r="BN59" s="253"/>
      <c r="BO59" s="253"/>
      <c r="BP59" s="253">
        <v>197.80454182783456</v>
      </c>
      <c r="BQ59" s="253">
        <v>590.52918984662983</v>
      </c>
      <c r="BR59" s="338">
        <v>974.64259252151555</v>
      </c>
      <c r="BS59" s="162">
        <f t="shared" si="208"/>
        <v>1762.9763241959799</v>
      </c>
      <c r="BT59" s="353">
        <v>1344.5435114934614</v>
      </c>
      <c r="BU59" s="253">
        <v>1694.8379584195452</v>
      </c>
      <c r="BV59" s="253">
        <v>2020.4178514691125</v>
      </c>
      <c r="BW59" s="253">
        <v>2316.5355026595057</v>
      </c>
      <c r="BX59" s="253">
        <v>2578.8728498374758</v>
      </c>
      <c r="BY59" s="253">
        <v>2803.6044237488841</v>
      </c>
      <c r="BZ59" s="253">
        <v>2987.4531319946532</v>
      </c>
      <c r="CA59" s="253">
        <v>3127.7380464174253</v>
      </c>
      <c r="CB59" s="253">
        <v>3222.4134970706232</v>
      </c>
      <c r="CC59" s="253">
        <v>3270.0989026933294</v>
      </c>
      <c r="CD59" s="253">
        <v>3270.0989026933294</v>
      </c>
      <c r="CE59" s="338">
        <v>3222.4134970706727</v>
      </c>
      <c r="CF59" s="162">
        <f t="shared" si="97"/>
        <v>31859.028075568014</v>
      </c>
      <c r="CG59" s="353">
        <v>3127.7380464173793</v>
      </c>
      <c r="CH59" s="253">
        <v>2987.4531319946514</v>
      </c>
      <c r="CI59" s="253">
        <v>2803.6044237488995</v>
      </c>
      <c r="CJ59" s="253">
        <v>2578.8728498374667</v>
      </c>
      <c r="CK59" s="253">
        <v>2316.5355026595012</v>
      </c>
      <c r="CL59" s="253">
        <v>2020.41785146914</v>
      </c>
      <c r="CM59" s="253">
        <v>1694.8379584195218</v>
      </c>
      <c r="CN59" s="253">
        <v>1344.5435114934653</v>
      </c>
      <c r="CO59" s="253">
        <v>974.64259252152976</v>
      </c>
      <c r="CP59" s="253">
        <v>590.52918984661073</v>
      </c>
      <c r="CQ59" s="253">
        <v>197.80454182784132</v>
      </c>
      <c r="CR59" s="338"/>
      <c r="CS59" s="162">
        <f t="shared" si="98"/>
        <v>20636.979600236005</v>
      </c>
      <c r="CT59" s="353"/>
      <c r="CU59" s="253"/>
      <c r="CV59" s="253"/>
      <c r="CW59" s="253"/>
      <c r="CX59" s="253"/>
      <c r="CY59" s="253"/>
      <c r="CZ59" s="253"/>
      <c r="DA59" s="253"/>
      <c r="DB59" s="253"/>
      <c r="DC59" s="253"/>
      <c r="DD59" s="253"/>
      <c r="DE59" s="338"/>
      <c r="DF59" s="162">
        <f t="shared" si="99"/>
        <v>0</v>
      </c>
      <c r="DG59" s="279"/>
      <c r="DH59" s="90">
        <f t="shared" si="211"/>
        <v>1762.9763241959799</v>
      </c>
      <c r="DI59" s="91">
        <f t="shared" si="212"/>
        <v>54258.983999999997</v>
      </c>
      <c r="DJ59" s="92">
        <f t="shared" si="213"/>
        <v>52496.007675804016</v>
      </c>
      <c r="DK59" s="64">
        <f>+DH59/DH58</f>
        <v>0.9</v>
      </c>
      <c r="DM59" s="134">
        <f>AS59+BF59+BS59+CF59+CS59+DG59</f>
        <v>54258.983999999997</v>
      </c>
      <c r="DN59" s="533">
        <f>DM59/DM58</f>
        <v>0.8999999999999998</v>
      </c>
    </row>
    <row r="60" spans="1:118" ht="15" customHeight="1" outlineLevel="1">
      <c r="A60" s="607"/>
      <c r="B60" s="559"/>
      <c r="C60" s="357" t="s">
        <v>11</v>
      </c>
      <c r="D60" s="358"/>
      <c r="E60" s="143">
        <f t="shared" ref="E60:R60" si="241">+E58-E59</f>
        <v>6028.7760000000126</v>
      </c>
      <c r="F60" s="144">
        <f t="shared" si="241"/>
        <v>0</v>
      </c>
      <c r="G60" s="145">
        <f t="shared" si="241"/>
        <v>0</v>
      </c>
      <c r="H60" s="145">
        <f t="shared" si="241"/>
        <v>0</v>
      </c>
      <c r="I60" s="145">
        <f t="shared" si="241"/>
        <v>0</v>
      </c>
      <c r="J60" s="145">
        <f t="shared" si="241"/>
        <v>0</v>
      </c>
      <c r="K60" s="145">
        <f t="shared" si="241"/>
        <v>0</v>
      </c>
      <c r="L60" s="145">
        <f t="shared" si="241"/>
        <v>0</v>
      </c>
      <c r="M60" s="145">
        <f t="shared" si="241"/>
        <v>0</v>
      </c>
      <c r="N60" s="145">
        <f t="shared" si="241"/>
        <v>0</v>
      </c>
      <c r="O60" s="145">
        <f t="shared" si="241"/>
        <v>0</v>
      </c>
      <c r="P60" s="145">
        <f t="shared" si="241"/>
        <v>0</v>
      </c>
      <c r="Q60" s="145">
        <f t="shared" si="241"/>
        <v>0</v>
      </c>
      <c r="R60" s="146">
        <f t="shared" si="241"/>
        <v>0</v>
      </c>
      <c r="S60" s="147">
        <f t="shared" si="204"/>
        <v>0</v>
      </c>
      <c r="T60" s="148">
        <f t="shared" ref="T60:AE60" si="242">+T58-T59</f>
        <v>0</v>
      </c>
      <c r="U60" s="145">
        <f t="shared" si="242"/>
        <v>0</v>
      </c>
      <c r="V60" s="145">
        <f t="shared" si="242"/>
        <v>0</v>
      </c>
      <c r="W60" s="145">
        <f t="shared" si="242"/>
        <v>0</v>
      </c>
      <c r="X60" s="145">
        <f t="shared" si="242"/>
        <v>0</v>
      </c>
      <c r="Y60" s="145">
        <f t="shared" si="242"/>
        <v>0</v>
      </c>
      <c r="Z60" s="145">
        <f t="shared" si="242"/>
        <v>0</v>
      </c>
      <c r="AA60" s="145">
        <f t="shared" si="242"/>
        <v>0</v>
      </c>
      <c r="AB60" s="145">
        <f t="shared" si="242"/>
        <v>0</v>
      </c>
      <c r="AC60" s="145">
        <f t="shared" si="242"/>
        <v>0</v>
      </c>
      <c r="AD60" s="145">
        <f t="shared" si="242"/>
        <v>0</v>
      </c>
      <c r="AE60" s="146">
        <f t="shared" si="242"/>
        <v>0</v>
      </c>
      <c r="AF60" s="147">
        <f t="shared" si="90"/>
        <v>0</v>
      </c>
      <c r="AG60" s="148">
        <f t="shared" ref="AG60:AR60" si="243">+AG58-AG59</f>
        <v>0</v>
      </c>
      <c r="AH60" s="145">
        <f t="shared" si="243"/>
        <v>0</v>
      </c>
      <c r="AI60" s="145">
        <f t="shared" si="243"/>
        <v>0</v>
      </c>
      <c r="AJ60" s="145">
        <f t="shared" si="243"/>
        <v>0</v>
      </c>
      <c r="AK60" s="145">
        <f t="shared" si="243"/>
        <v>0</v>
      </c>
      <c r="AL60" s="145">
        <f t="shared" si="243"/>
        <v>0</v>
      </c>
      <c r="AM60" s="145">
        <f t="shared" si="243"/>
        <v>0</v>
      </c>
      <c r="AN60" s="145">
        <f t="shared" si="243"/>
        <v>0</v>
      </c>
      <c r="AO60" s="145">
        <f t="shared" si="243"/>
        <v>0</v>
      </c>
      <c r="AP60" s="145">
        <f t="shared" si="243"/>
        <v>0</v>
      </c>
      <c r="AQ60" s="145">
        <f>+AQ58-AQ59</f>
        <v>0</v>
      </c>
      <c r="AR60" s="146">
        <f t="shared" si="243"/>
        <v>0</v>
      </c>
      <c r="AS60" s="408">
        <f t="shared" si="205"/>
        <v>0</v>
      </c>
      <c r="AT60" s="148">
        <f t="shared" ref="AT60:BE60" si="244">+AT58-AT59</f>
        <v>0</v>
      </c>
      <c r="AU60" s="145">
        <f t="shared" si="244"/>
        <v>0</v>
      </c>
      <c r="AV60" s="145">
        <f t="shared" si="244"/>
        <v>0</v>
      </c>
      <c r="AW60" s="145">
        <f t="shared" si="244"/>
        <v>0</v>
      </c>
      <c r="AX60" s="145">
        <f t="shared" si="244"/>
        <v>0</v>
      </c>
      <c r="AY60" s="145">
        <f t="shared" si="244"/>
        <v>0</v>
      </c>
      <c r="AZ60" s="145">
        <f t="shared" si="244"/>
        <v>0</v>
      </c>
      <c r="BA60" s="145">
        <f t="shared" si="244"/>
        <v>0</v>
      </c>
      <c r="BB60" s="145">
        <f t="shared" si="244"/>
        <v>0</v>
      </c>
      <c r="BC60" s="145">
        <f t="shared" si="244"/>
        <v>0</v>
      </c>
      <c r="BD60" s="145">
        <f t="shared" si="244"/>
        <v>0</v>
      </c>
      <c r="BE60" s="146">
        <f t="shared" si="244"/>
        <v>0</v>
      </c>
      <c r="BF60" s="147">
        <f t="shared" si="207"/>
        <v>0</v>
      </c>
      <c r="BG60" s="148">
        <f t="shared" ref="BG60:BR60" si="245">+BG58-BG59</f>
        <v>0</v>
      </c>
      <c r="BH60" s="145">
        <f t="shared" si="245"/>
        <v>0</v>
      </c>
      <c r="BI60" s="145">
        <f t="shared" si="245"/>
        <v>0</v>
      </c>
      <c r="BJ60" s="145">
        <f t="shared" si="245"/>
        <v>0</v>
      </c>
      <c r="BK60" s="145">
        <f t="shared" si="245"/>
        <v>0</v>
      </c>
      <c r="BL60" s="145">
        <f t="shared" si="245"/>
        <v>0</v>
      </c>
      <c r="BM60" s="145">
        <f t="shared" si="245"/>
        <v>0</v>
      </c>
      <c r="BN60" s="145">
        <f t="shared" si="245"/>
        <v>0</v>
      </c>
      <c r="BO60" s="145">
        <f t="shared" si="245"/>
        <v>0</v>
      </c>
      <c r="BP60" s="145">
        <f t="shared" si="245"/>
        <v>21.978282425314916</v>
      </c>
      <c r="BQ60" s="145">
        <f t="shared" si="245"/>
        <v>65.614354427403327</v>
      </c>
      <c r="BR60" s="146">
        <f t="shared" si="245"/>
        <v>108.29362139127943</v>
      </c>
      <c r="BS60" s="147">
        <f t="shared" si="208"/>
        <v>195.88625824399767</v>
      </c>
      <c r="BT60" s="148">
        <f t="shared" ref="BT60:CE60" si="246">+BT58-BT59</f>
        <v>149.39372349927339</v>
      </c>
      <c r="BU60" s="145">
        <f t="shared" si="246"/>
        <v>188.31532871328272</v>
      </c>
      <c r="BV60" s="145">
        <f t="shared" si="246"/>
        <v>224.4908723854569</v>
      </c>
      <c r="BW60" s="145">
        <f t="shared" si="246"/>
        <v>257.39283362883361</v>
      </c>
      <c r="BX60" s="145">
        <f t="shared" si="246"/>
        <v>286.54142775971968</v>
      </c>
      <c r="BY60" s="145">
        <f t="shared" si="246"/>
        <v>311.51160263876454</v>
      </c>
      <c r="BZ60" s="145">
        <f t="shared" si="246"/>
        <v>331.93923688829454</v>
      </c>
      <c r="CA60" s="145">
        <f t="shared" si="246"/>
        <v>347.52644960193629</v>
      </c>
      <c r="CB60" s="145">
        <f t="shared" si="246"/>
        <v>358.04594411895823</v>
      </c>
      <c r="CC60" s="145">
        <f t="shared" si="246"/>
        <v>363.34432252148099</v>
      </c>
      <c r="CD60" s="145">
        <f t="shared" si="246"/>
        <v>363.34432252148099</v>
      </c>
      <c r="CE60" s="146">
        <f t="shared" si="246"/>
        <v>358.04594411896369</v>
      </c>
      <c r="CF60" s="147">
        <f t="shared" si="97"/>
        <v>3539.8920083964458</v>
      </c>
      <c r="CG60" s="148">
        <f t="shared" ref="CG60:CR60" si="247">+CG58-CG59</f>
        <v>347.52644960193084</v>
      </c>
      <c r="CH60" s="145">
        <f t="shared" si="247"/>
        <v>331.93923688829454</v>
      </c>
      <c r="CI60" s="145">
        <f t="shared" si="247"/>
        <v>311.51160263876682</v>
      </c>
      <c r="CJ60" s="145">
        <f t="shared" si="247"/>
        <v>286.54142775971877</v>
      </c>
      <c r="CK60" s="145">
        <f t="shared" si="247"/>
        <v>257.39283362883361</v>
      </c>
      <c r="CL60" s="145">
        <f t="shared" si="247"/>
        <v>224.49087238545985</v>
      </c>
      <c r="CM60" s="145">
        <f t="shared" si="247"/>
        <v>188.31532871328022</v>
      </c>
      <c r="CN60" s="145">
        <f t="shared" si="247"/>
        <v>149.39372349927385</v>
      </c>
      <c r="CO60" s="145">
        <f t="shared" si="247"/>
        <v>108.29362139128114</v>
      </c>
      <c r="CP60" s="145">
        <f t="shared" si="247"/>
        <v>65.614354427401054</v>
      </c>
      <c r="CQ60" s="145">
        <f t="shared" si="247"/>
        <v>21.978282425315712</v>
      </c>
      <c r="CR60" s="146">
        <f t="shared" si="247"/>
        <v>0</v>
      </c>
      <c r="CS60" s="147">
        <f t="shared" si="98"/>
        <v>2292.9977333595562</v>
      </c>
      <c r="CT60" s="148">
        <f t="shared" ref="CT60:DE60" si="248">+CT58-CT59</f>
        <v>0</v>
      </c>
      <c r="CU60" s="145">
        <f t="shared" si="248"/>
        <v>0</v>
      </c>
      <c r="CV60" s="145">
        <f t="shared" si="248"/>
        <v>0</v>
      </c>
      <c r="CW60" s="145">
        <f t="shared" si="248"/>
        <v>0</v>
      </c>
      <c r="CX60" s="145">
        <f t="shared" si="248"/>
        <v>0</v>
      </c>
      <c r="CY60" s="145">
        <f t="shared" si="248"/>
        <v>0</v>
      </c>
      <c r="CZ60" s="145">
        <f t="shared" si="248"/>
        <v>0</v>
      </c>
      <c r="DA60" s="145">
        <f t="shared" si="248"/>
        <v>0</v>
      </c>
      <c r="DB60" s="145">
        <f t="shared" si="248"/>
        <v>0</v>
      </c>
      <c r="DC60" s="145">
        <f t="shared" si="248"/>
        <v>0</v>
      </c>
      <c r="DD60" s="145">
        <f t="shared" si="248"/>
        <v>0</v>
      </c>
      <c r="DE60" s="146">
        <f t="shared" si="248"/>
        <v>0</v>
      </c>
      <c r="DF60" s="147">
        <f t="shared" si="99"/>
        <v>0</v>
      </c>
      <c r="DG60" s="146">
        <f>+DG58-DG59</f>
        <v>0</v>
      </c>
      <c r="DH60" s="98">
        <f t="shared" si="211"/>
        <v>195.88625824399767</v>
      </c>
      <c r="DI60" s="99">
        <f t="shared" si="212"/>
        <v>6028.7760000000126</v>
      </c>
      <c r="DJ60" s="100">
        <f t="shared" si="213"/>
        <v>5832.8897417560147</v>
      </c>
    </row>
    <row r="61" spans="1:118" ht="15" customHeight="1" outlineLevel="1">
      <c r="A61" s="607"/>
      <c r="B61" s="557" t="s">
        <v>205</v>
      </c>
      <c r="C61" s="246" t="s">
        <v>62</v>
      </c>
      <c r="D61" s="183" t="s">
        <v>122</v>
      </c>
      <c r="E61" s="153">
        <f>AF61+AS61+BF61+BS61+CF61+CS61+DF61+S61+DG61</f>
        <v>90722.160000000018</v>
      </c>
      <c r="F61" s="153"/>
      <c r="G61" s="154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284"/>
      <c r="S61" s="157">
        <f t="shared" si="204"/>
        <v>0</v>
      </c>
      <c r="T61" s="378"/>
      <c r="U61" s="382"/>
      <c r="V61" s="382"/>
      <c r="W61" s="382"/>
      <c r="X61" s="382"/>
      <c r="Y61" s="382"/>
      <c r="Z61" s="382"/>
      <c r="AA61" s="382"/>
      <c r="AB61" s="382"/>
      <c r="AC61" s="382"/>
      <c r="AD61" s="382"/>
      <c r="AE61" s="481"/>
      <c r="AF61" s="157">
        <f t="shared" ref="AF61:AF75" si="249">SUM(T61:AE61)</f>
        <v>0</v>
      </c>
      <c r="AG61" s="500"/>
      <c r="AH61" s="513"/>
      <c r="AI61" s="513"/>
      <c r="AJ61" s="513"/>
      <c r="AK61" s="513"/>
      <c r="AL61" s="513"/>
      <c r="AM61" s="513"/>
      <c r="AN61" s="513"/>
      <c r="AO61" s="513"/>
      <c r="AP61" s="513"/>
      <c r="AQ61" s="513"/>
      <c r="AR61" s="512"/>
      <c r="AS61" s="409">
        <f t="shared" ref="AS61:AS75" si="250">SUM(AG61:AR61)</f>
        <v>0</v>
      </c>
      <c r="AT61" s="500"/>
      <c r="AU61" s="513"/>
      <c r="AV61" s="513"/>
      <c r="AW61" s="513"/>
      <c r="AX61" s="513"/>
      <c r="AY61" s="513"/>
      <c r="AZ61" s="155"/>
      <c r="BA61" s="155"/>
      <c r="BB61" s="155"/>
      <c r="BC61" s="155"/>
      <c r="BD61" s="155"/>
      <c r="BE61" s="156"/>
      <c r="BF61" s="157">
        <f t="shared" ref="BF61:BF75" si="251">SUM(AT61:BE61)</f>
        <v>0</v>
      </c>
      <c r="BG61" s="158"/>
      <c r="BH61" s="155"/>
      <c r="BI61" s="155"/>
      <c r="BJ61" s="155"/>
      <c r="BK61" s="155"/>
      <c r="BL61" s="155"/>
      <c r="BM61" s="155"/>
      <c r="BN61" s="155"/>
      <c r="BO61" s="155"/>
      <c r="BP61" s="155"/>
      <c r="BQ61" s="155"/>
      <c r="BR61" s="156"/>
      <c r="BS61" s="157">
        <f t="shared" ref="BS61:BS75" si="252">SUM(BG61:BR61)</f>
        <v>0</v>
      </c>
      <c r="BT61" s="158"/>
      <c r="BU61" s="155"/>
      <c r="BV61" s="155"/>
      <c r="BW61" s="155"/>
      <c r="BX61" s="155"/>
      <c r="BY61" s="155"/>
      <c r="BZ61" s="155"/>
      <c r="CA61" s="283"/>
      <c r="CB61" s="283"/>
      <c r="CC61" s="283"/>
      <c r="CD61" s="283"/>
      <c r="CE61" s="285"/>
      <c r="CF61" s="157">
        <f t="shared" si="97"/>
        <v>0</v>
      </c>
      <c r="CG61" s="158"/>
      <c r="CH61" s="155">
        <v>330.73334532824089</v>
      </c>
      <c r="CI61" s="155">
        <v>987.37719906322491</v>
      </c>
      <c r="CJ61" s="155">
        <v>1629.6228698560174</v>
      </c>
      <c r="CK61" s="155">
        <v>2248.1049696151999</v>
      </c>
      <c r="CL61" s="155">
        <v>2833.804636625915</v>
      </c>
      <c r="CM61" s="155">
        <v>3378.1810508622325</v>
      </c>
      <c r="CN61" s="155">
        <v>3873.2959783757842</v>
      </c>
      <c r="CO61" s="155">
        <v>4311.929528621682</v>
      </c>
      <c r="CP61" s="155">
        <v>4687.6854367205651</v>
      </c>
      <c r="CQ61" s="155">
        <v>4995.0843354036997</v>
      </c>
      <c r="CR61" s="156">
        <v>5229.6436565264285</v>
      </c>
      <c r="CS61" s="157">
        <f t="shared" si="98"/>
        <v>34505.463006998994</v>
      </c>
      <c r="CT61" s="158">
        <v>5387.9429970048996</v>
      </c>
      <c r="CU61" s="155">
        <v>5467.6739959961051</v>
      </c>
      <c r="CV61" s="155">
        <v>5467.6739959961051</v>
      </c>
      <c r="CW61" s="155">
        <v>5387.9429970049778</v>
      </c>
      <c r="CX61" s="155">
        <v>5229.6436565263421</v>
      </c>
      <c r="CY61" s="155">
        <v>4995.0843354037033</v>
      </c>
      <c r="CZ61" s="155">
        <v>4687.6854367205924</v>
      </c>
      <c r="DA61" s="155">
        <v>4311.9295286216611</v>
      </c>
      <c r="DB61" s="155">
        <v>3873.2959783757842</v>
      </c>
      <c r="DC61" s="155">
        <v>3378.1810508622807</v>
      </c>
      <c r="DD61" s="155">
        <v>2833.8046366258659</v>
      </c>
      <c r="DE61" s="156">
        <v>2248.1049696152022</v>
      </c>
      <c r="DF61" s="157">
        <f t="shared" si="99"/>
        <v>53268.963578753515</v>
      </c>
      <c r="DG61" s="280">
        <v>2947.7334142474956</v>
      </c>
      <c r="DH61" s="159">
        <f t="shared" ref="DH61:DH75" si="253">+F61+S61+AF61+AS61+BF61+BS61+DG61</f>
        <v>2947.7334142474956</v>
      </c>
      <c r="DI61" s="160">
        <f t="shared" ref="DI61:DI75" si="254">+E61</f>
        <v>90722.160000000018</v>
      </c>
      <c r="DJ61" s="161">
        <f t="shared" ref="DJ61:DJ75" si="255">+DI61-DH61</f>
        <v>87774.426585752517</v>
      </c>
      <c r="DM61" s="134">
        <f>AS61+BF61+BS61+CF61+CS61+DG61</f>
        <v>37453.196421246488</v>
      </c>
    </row>
    <row r="62" spans="1:118" ht="15" customHeight="1" outlineLevel="1">
      <c r="A62" s="607"/>
      <c r="B62" s="558"/>
      <c r="C62" s="245" t="s">
        <v>63</v>
      </c>
      <c r="D62" s="184" t="s">
        <v>124</v>
      </c>
      <c r="E62" s="136">
        <f>AF62+AS62+BF62+BS62+CF62+CS62+DF62+S62+DG62</f>
        <v>81649.944000000018</v>
      </c>
      <c r="F62" s="136"/>
      <c r="G62" s="137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9"/>
      <c r="S62" s="162">
        <f t="shared" si="204"/>
        <v>0</v>
      </c>
      <c r="T62" s="380"/>
      <c r="U62" s="381"/>
      <c r="V62" s="381"/>
      <c r="W62" s="381"/>
      <c r="X62" s="381"/>
      <c r="Y62" s="381"/>
      <c r="Z62" s="381"/>
      <c r="AA62" s="381"/>
      <c r="AB62" s="381"/>
      <c r="AC62" s="381"/>
      <c r="AD62" s="381"/>
      <c r="AE62" s="392"/>
      <c r="AF62" s="162">
        <f t="shared" si="249"/>
        <v>0</v>
      </c>
      <c r="AG62" s="501"/>
      <c r="AH62" s="499"/>
      <c r="AI62" s="499"/>
      <c r="AJ62" s="499"/>
      <c r="AK62" s="499"/>
      <c r="AL62" s="499"/>
      <c r="AM62" s="499"/>
      <c r="AN62" s="499"/>
      <c r="AO62" s="499"/>
      <c r="AP62" s="499"/>
      <c r="AQ62" s="499"/>
      <c r="AR62" s="511"/>
      <c r="AS62" s="410">
        <f t="shared" si="250"/>
        <v>0</v>
      </c>
      <c r="AT62" s="501"/>
      <c r="AU62" s="499"/>
      <c r="AV62" s="499"/>
      <c r="AW62" s="499"/>
      <c r="AX62" s="499"/>
      <c r="AY62" s="499"/>
      <c r="AZ62" s="138"/>
      <c r="BA62" s="138"/>
      <c r="BB62" s="138"/>
      <c r="BC62" s="138"/>
      <c r="BD62" s="138"/>
      <c r="BE62" s="139"/>
      <c r="BF62" s="162">
        <f t="shared" si="251"/>
        <v>0</v>
      </c>
      <c r="BG62" s="141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39"/>
      <c r="BS62" s="162">
        <f t="shared" si="252"/>
        <v>0</v>
      </c>
      <c r="BT62" s="141"/>
      <c r="BU62" s="138"/>
      <c r="BV62" s="138"/>
      <c r="BW62" s="138"/>
      <c r="BX62" s="138"/>
      <c r="BY62" s="138"/>
      <c r="BZ62" s="138"/>
      <c r="CA62" s="253"/>
      <c r="CB62" s="253"/>
      <c r="CC62" s="253"/>
      <c r="CD62" s="253"/>
      <c r="CE62" s="338"/>
      <c r="CF62" s="162">
        <f t="shared" si="97"/>
        <v>0</v>
      </c>
      <c r="CG62" s="141"/>
      <c r="CH62" s="138">
        <v>297.66001079541684</v>
      </c>
      <c r="CI62" s="138">
        <v>888.63947915690255</v>
      </c>
      <c r="CJ62" s="138">
        <v>1466.6605828704157</v>
      </c>
      <c r="CK62" s="138">
        <v>2023.29447265368</v>
      </c>
      <c r="CL62" s="138">
        <v>2550.4241729633236</v>
      </c>
      <c r="CM62" s="138">
        <v>3040.3629457760094</v>
      </c>
      <c r="CN62" s="138">
        <v>3485.9663805382061</v>
      </c>
      <c r="CO62" s="138">
        <v>3880.7365757595139</v>
      </c>
      <c r="CP62" s="138">
        <v>4218.9168930485084</v>
      </c>
      <c r="CQ62" s="138">
        <v>4495.5759018633298</v>
      </c>
      <c r="CR62" s="139">
        <v>4706.6792908737852</v>
      </c>
      <c r="CS62" s="162">
        <f t="shared" si="98"/>
        <v>31054.916706299085</v>
      </c>
      <c r="CT62" s="141">
        <v>4849.1486973044102</v>
      </c>
      <c r="CU62" s="138">
        <v>4920.9065963964949</v>
      </c>
      <c r="CV62" s="138">
        <v>4920.9065963964949</v>
      </c>
      <c r="CW62" s="138">
        <v>4849.1486973044812</v>
      </c>
      <c r="CX62" s="138">
        <v>4706.6792908737079</v>
      </c>
      <c r="CY62" s="138">
        <v>4495.5759018633335</v>
      </c>
      <c r="CZ62" s="138">
        <v>4218.916893048533</v>
      </c>
      <c r="DA62" s="138">
        <v>3880.7365757594948</v>
      </c>
      <c r="DB62" s="138">
        <v>3485.9663805382061</v>
      </c>
      <c r="DC62" s="138">
        <v>3040.3629457760526</v>
      </c>
      <c r="DD62" s="138">
        <v>2550.4241729632795</v>
      </c>
      <c r="DE62" s="139">
        <v>2023.2944726536823</v>
      </c>
      <c r="DF62" s="162">
        <f t="shared" si="99"/>
        <v>47942.067220878176</v>
      </c>
      <c r="DG62" s="279">
        <v>2652.960072822746</v>
      </c>
      <c r="DH62" s="90">
        <f t="shared" si="253"/>
        <v>2652.960072822746</v>
      </c>
      <c r="DI62" s="91">
        <f t="shared" si="254"/>
        <v>81649.944000000018</v>
      </c>
      <c r="DJ62" s="92">
        <f t="shared" si="255"/>
        <v>78996.983927177265</v>
      </c>
      <c r="DK62" s="64">
        <f>+DH62/DH61</f>
        <v>0.9</v>
      </c>
      <c r="DM62" s="134">
        <f>AS62+BF62+BS62+CF62+CS62+DG62</f>
        <v>33707.876779121834</v>
      </c>
      <c r="DN62" s="533">
        <f>DM62/DM61</f>
        <v>0.89999999999999991</v>
      </c>
    </row>
    <row r="63" spans="1:118" ht="15" customHeight="1" outlineLevel="1">
      <c r="A63" s="607"/>
      <c r="B63" s="559"/>
      <c r="C63" s="357" t="s">
        <v>11</v>
      </c>
      <c r="D63" s="358"/>
      <c r="E63" s="143">
        <f t="shared" ref="E63:R63" si="256">+E61-E62</f>
        <v>9072.2160000000003</v>
      </c>
      <c r="F63" s="144">
        <f t="shared" si="256"/>
        <v>0</v>
      </c>
      <c r="G63" s="145">
        <f t="shared" si="256"/>
        <v>0</v>
      </c>
      <c r="H63" s="145">
        <f t="shared" si="256"/>
        <v>0</v>
      </c>
      <c r="I63" s="145">
        <f t="shared" si="256"/>
        <v>0</v>
      </c>
      <c r="J63" s="145">
        <f t="shared" si="256"/>
        <v>0</v>
      </c>
      <c r="K63" s="145">
        <f t="shared" si="256"/>
        <v>0</v>
      </c>
      <c r="L63" s="145">
        <f t="shared" si="256"/>
        <v>0</v>
      </c>
      <c r="M63" s="145">
        <f t="shared" si="256"/>
        <v>0</v>
      </c>
      <c r="N63" s="145">
        <f t="shared" si="256"/>
        <v>0</v>
      </c>
      <c r="O63" s="145">
        <f t="shared" si="256"/>
        <v>0</v>
      </c>
      <c r="P63" s="145">
        <f t="shared" si="256"/>
        <v>0</v>
      </c>
      <c r="Q63" s="145">
        <f t="shared" si="256"/>
        <v>0</v>
      </c>
      <c r="R63" s="146">
        <f t="shared" si="256"/>
        <v>0</v>
      </c>
      <c r="S63" s="147">
        <f t="shared" si="204"/>
        <v>0</v>
      </c>
      <c r="T63" s="148">
        <f t="shared" ref="T63:AE63" si="257">+T61-T62</f>
        <v>0</v>
      </c>
      <c r="U63" s="145">
        <f t="shared" si="257"/>
        <v>0</v>
      </c>
      <c r="V63" s="145">
        <f t="shared" si="257"/>
        <v>0</v>
      </c>
      <c r="W63" s="145">
        <f t="shared" si="257"/>
        <v>0</v>
      </c>
      <c r="X63" s="145">
        <f t="shared" si="257"/>
        <v>0</v>
      </c>
      <c r="Y63" s="145">
        <f t="shared" si="257"/>
        <v>0</v>
      </c>
      <c r="Z63" s="145">
        <f t="shared" si="257"/>
        <v>0</v>
      </c>
      <c r="AA63" s="145">
        <f t="shared" si="257"/>
        <v>0</v>
      </c>
      <c r="AB63" s="145">
        <f t="shared" si="257"/>
        <v>0</v>
      </c>
      <c r="AC63" s="145">
        <f t="shared" si="257"/>
        <v>0</v>
      </c>
      <c r="AD63" s="145">
        <f t="shared" si="257"/>
        <v>0</v>
      </c>
      <c r="AE63" s="146">
        <f t="shared" si="257"/>
        <v>0</v>
      </c>
      <c r="AF63" s="147">
        <f t="shared" si="249"/>
        <v>0</v>
      </c>
      <c r="AG63" s="148">
        <f t="shared" ref="AG63:AR63" si="258">+AG61-AG62</f>
        <v>0</v>
      </c>
      <c r="AH63" s="145">
        <f t="shared" si="258"/>
        <v>0</v>
      </c>
      <c r="AI63" s="145">
        <f t="shared" si="258"/>
        <v>0</v>
      </c>
      <c r="AJ63" s="145">
        <f t="shared" si="258"/>
        <v>0</v>
      </c>
      <c r="AK63" s="145">
        <f t="shared" si="258"/>
        <v>0</v>
      </c>
      <c r="AL63" s="145">
        <f t="shared" si="258"/>
        <v>0</v>
      </c>
      <c r="AM63" s="145">
        <f t="shared" si="258"/>
        <v>0</v>
      </c>
      <c r="AN63" s="145">
        <f t="shared" si="258"/>
        <v>0</v>
      </c>
      <c r="AO63" s="145">
        <f t="shared" si="258"/>
        <v>0</v>
      </c>
      <c r="AP63" s="145">
        <f t="shared" si="258"/>
        <v>0</v>
      </c>
      <c r="AQ63" s="145">
        <f t="shared" si="258"/>
        <v>0</v>
      </c>
      <c r="AR63" s="146">
        <f t="shared" si="258"/>
        <v>0</v>
      </c>
      <c r="AS63" s="408">
        <f t="shared" si="250"/>
        <v>0</v>
      </c>
      <c r="AT63" s="148">
        <f t="shared" ref="AT63:BE63" si="259">+AT61-AT62</f>
        <v>0</v>
      </c>
      <c r="AU63" s="145">
        <f t="shared" si="259"/>
        <v>0</v>
      </c>
      <c r="AV63" s="145">
        <f t="shared" si="259"/>
        <v>0</v>
      </c>
      <c r="AW63" s="145">
        <f t="shared" si="259"/>
        <v>0</v>
      </c>
      <c r="AX63" s="145">
        <f t="shared" si="259"/>
        <v>0</v>
      </c>
      <c r="AY63" s="145">
        <f t="shared" si="259"/>
        <v>0</v>
      </c>
      <c r="AZ63" s="145">
        <f t="shared" si="259"/>
        <v>0</v>
      </c>
      <c r="BA63" s="145">
        <f t="shared" si="259"/>
        <v>0</v>
      </c>
      <c r="BB63" s="145">
        <f t="shared" si="259"/>
        <v>0</v>
      </c>
      <c r="BC63" s="145">
        <f t="shared" si="259"/>
        <v>0</v>
      </c>
      <c r="BD63" s="145">
        <f t="shared" si="259"/>
        <v>0</v>
      </c>
      <c r="BE63" s="146">
        <f t="shared" si="259"/>
        <v>0</v>
      </c>
      <c r="BF63" s="147">
        <f t="shared" si="251"/>
        <v>0</v>
      </c>
      <c r="BG63" s="148">
        <f t="shared" ref="BG63:BR63" si="260">+BG61-BG62</f>
        <v>0</v>
      </c>
      <c r="BH63" s="145">
        <f t="shared" si="260"/>
        <v>0</v>
      </c>
      <c r="BI63" s="145">
        <f t="shared" si="260"/>
        <v>0</v>
      </c>
      <c r="BJ63" s="145">
        <f t="shared" si="260"/>
        <v>0</v>
      </c>
      <c r="BK63" s="145">
        <f t="shared" si="260"/>
        <v>0</v>
      </c>
      <c r="BL63" s="145">
        <f t="shared" si="260"/>
        <v>0</v>
      </c>
      <c r="BM63" s="145">
        <f t="shared" si="260"/>
        <v>0</v>
      </c>
      <c r="BN63" s="145">
        <f t="shared" si="260"/>
        <v>0</v>
      </c>
      <c r="BO63" s="145">
        <f t="shared" si="260"/>
        <v>0</v>
      </c>
      <c r="BP63" s="145">
        <f t="shared" si="260"/>
        <v>0</v>
      </c>
      <c r="BQ63" s="145">
        <f t="shared" si="260"/>
        <v>0</v>
      </c>
      <c r="BR63" s="146">
        <f t="shared" si="260"/>
        <v>0</v>
      </c>
      <c r="BS63" s="147">
        <f t="shared" si="252"/>
        <v>0</v>
      </c>
      <c r="BT63" s="148">
        <f t="shared" ref="BT63:CE63" si="261">+BT61-BT62</f>
        <v>0</v>
      </c>
      <c r="BU63" s="145">
        <f t="shared" si="261"/>
        <v>0</v>
      </c>
      <c r="BV63" s="145">
        <f t="shared" si="261"/>
        <v>0</v>
      </c>
      <c r="BW63" s="145">
        <f t="shared" si="261"/>
        <v>0</v>
      </c>
      <c r="BX63" s="145">
        <f t="shared" si="261"/>
        <v>0</v>
      </c>
      <c r="BY63" s="145">
        <f t="shared" si="261"/>
        <v>0</v>
      </c>
      <c r="BZ63" s="145">
        <f t="shared" si="261"/>
        <v>0</v>
      </c>
      <c r="CA63" s="145">
        <f t="shared" si="261"/>
        <v>0</v>
      </c>
      <c r="CB63" s="145">
        <f t="shared" si="261"/>
        <v>0</v>
      </c>
      <c r="CC63" s="145">
        <f t="shared" si="261"/>
        <v>0</v>
      </c>
      <c r="CD63" s="145">
        <f t="shared" si="261"/>
        <v>0</v>
      </c>
      <c r="CE63" s="146">
        <f t="shared" si="261"/>
        <v>0</v>
      </c>
      <c r="CF63" s="147">
        <f t="shared" si="97"/>
        <v>0</v>
      </c>
      <c r="CG63" s="148">
        <f t="shared" ref="CG63:CR63" si="262">+CG61-CG62</f>
        <v>0</v>
      </c>
      <c r="CH63" s="145">
        <f t="shared" si="262"/>
        <v>33.073334532824049</v>
      </c>
      <c r="CI63" s="145">
        <f t="shared" si="262"/>
        <v>98.737719906322354</v>
      </c>
      <c r="CJ63" s="145">
        <f t="shared" si="262"/>
        <v>162.96228698560162</v>
      </c>
      <c r="CK63" s="145">
        <f t="shared" si="262"/>
        <v>224.8104969615199</v>
      </c>
      <c r="CL63" s="145">
        <f t="shared" si="262"/>
        <v>283.38046366259141</v>
      </c>
      <c r="CM63" s="145">
        <f t="shared" si="262"/>
        <v>337.81810508622311</v>
      </c>
      <c r="CN63" s="145">
        <f t="shared" si="262"/>
        <v>387.32959783757815</v>
      </c>
      <c r="CO63" s="145">
        <f t="shared" si="262"/>
        <v>431.19295286216811</v>
      </c>
      <c r="CP63" s="145">
        <f t="shared" si="262"/>
        <v>468.76854367205669</v>
      </c>
      <c r="CQ63" s="145">
        <f t="shared" si="262"/>
        <v>499.50843354036988</v>
      </c>
      <c r="CR63" s="146">
        <f t="shared" si="262"/>
        <v>522.96436565264321</v>
      </c>
      <c r="CS63" s="147">
        <f t="shared" si="98"/>
        <v>3450.5463006998984</v>
      </c>
      <c r="CT63" s="148">
        <f t="shared" ref="CT63:DE63" si="263">+CT61-CT62</f>
        <v>538.79429970048932</v>
      </c>
      <c r="CU63" s="145">
        <f t="shared" si="263"/>
        <v>546.76739959961014</v>
      </c>
      <c r="CV63" s="145">
        <f t="shared" si="263"/>
        <v>546.76739959961014</v>
      </c>
      <c r="CW63" s="145">
        <f t="shared" si="263"/>
        <v>538.79429970049659</v>
      </c>
      <c r="CX63" s="145">
        <f t="shared" si="263"/>
        <v>522.96436565263411</v>
      </c>
      <c r="CY63" s="145">
        <f t="shared" si="263"/>
        <v>499.50843354036988</v>
      </c>
      <c r="CZ63" s="145">
        <f t="shared" si="263"/>
        <v>468.76854367205942</v>
      </c>
      <c r="DA63" s="145">
        <f t="shared" si="263"/>
        <v>431.19295286216629</v>
      </c>
      <c r="DB63" s="145">
        <f t="shared" si="263"/>
        <v>387.32959783757815</v>
      </c>
      <c r="DC63" s="145">
        <f t="shared" si="263"/>
        <v>337.81810508622812</v>
      </c>
      <c r="DD63" s="145">
        <f t="shared" si="263"/>
        <v>283.38046366258641</v>
      </c>
      <c r="DE63" s="146">
        <f t="shared" si="263"/>
        <v>224.8104969615199</v>
      </c>
      <c r="DF63" s="147">
        <f t="shared" si="99"/>
        <v>5326.8963578753483</v>
      </c>
      <c r="DG63" s="146">
        <f>+DG61-DG62</f>
        <v>294.77334142474956</v>
      </c>
      <c r="DH63" s="98">
        <f t="shared" si="253"/>
        <v>294.77334142474956</v>
      </c>
      <c r="DI63" s="99">
        <f t="shared" si="254"/>
        <v>9072.2160000000003</v>
      </c>
      <c r="DJ63" s="100">
        <f t="shared" si="255"/>
        <v>8777.4426585752517</v>
      </c>
    </row>
    <row r="64" spans="1:118" ht="15" customHeight="1" outlineLevel="1">
      <c r="A64" s="607"/>
      <c r="B64" s="557" t="s">
        <v>349</v>
      </c>
      <c r="C64" s="246" t="s">
        <v>62</v>
      </c>
      <c r="D64" s="183" t="s">
        <v>122</v>
      </c>
      <c r="E64" s="153">
        <f>AF64+AS64+BF64+BS64+CF64+CS64+DF64+S64+DG64</f>
        <v>19798.559999999998</v>
      </c>
      <c r="F64" s="153"/>
      <c r="G64" s="154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284"/>
      <c r="S64" s="157">
        <f t="shared" si="204"/>
        <v>0</v>
      </c>
      <c r="T64" s="378"/>
      <c r="U64" s="382"/>
      <c r="V64" s="382"/>
      <c r="W64" s="382"/>
      <c r="X64" s="382"/>
      <c r="Y64" s="382"/>
      <c r="Z64" s="382"/>
      <c r="AA64" s="382"/>
      <c r="AB64" s="382"/>
      <c r="AC64" s="382"/>
      <c r="AD64" s="382"/>
      <c r="AE64" s="481"/>
      <c r="AF64" s="157">
        <f t="shared" si="249"/>
        <v>0</v>
      </c>
      <c r="AG64" s="500"/>
      <c r="AH64" s="513"/>
      <c r="AI64" s="513"/>
      <c r="AJ64" s="513"/>
      <c r="AK64" s="513"/>
      <c r="AL64" s="513"/>
      <c r="AM64" s="513"/>
      <c r="AN64" s="513"/>
      <c r="AO64" s="513"/>
      <c r="AP64" s="513"/>
      <c r="AQ64" s="513"/>
      <c r="AR64" s="512"/>
      <c r="AS64" s="409">
        <f t="shared" si="250"/>
        <v>0</v>
      </c>
      <c r="AT64" s="500"/>
      <c r="AU64" s="513"/>
      <c r="AV64" s="513"/>
      <c r="AW64" s="513"/>
      <c r="AX64" s="513"/>
      <c r="AY64" s="513"/>
      <c r="AZ64" s="155"/>
      <c r="BA64" s="155"/>
      <c r="BB64" s="155"/>
      <c r="BC64" s="155"/>
      <c r="BD64" s="155"/>
      <c r="BE64" s="156"/>
      <c r="BF64" s="157">
        <f t="shared" si="251"/>
        <v>0</v>
      </c>
      <c r="BG64" s="359"/>
      <c r="BH64" s="283"/>
      <c r="BI64" s="283"/>
      <c r="BJ64" s="283"/>
      <c r="BK64" s="283"/>
      <c r="BL64" s="283"/>
      <c r="BM64" s="283"/>
      <c r="BN64" s="283"/>
      <c r="BO64" s="283"/>
      <c r="BP64" s="283"/>
      <c r="BQ64" s="283"/>
      <c r="BR64" s="285"/>
      <c r="BS64" s="157">
        <f t="shared" si="252"/>
        <v>0</v>
      </c>
      <c r="BT64" s="359"/>
      <c r="BU64" s="283"/>
      <c r="BV64" s="283"/>
      <c r="BW64" s="283"/>
      <c r="BX64" s="283"/>
      <c r="BY64" s="283"/>
      <c r="BZ64" s="283"/>
      <c r="CA64" s="283"/>
      <c r="CB64" s="283"/>
      <c r="CC64" s="283"/>
      <c r="CD64" s="283"/>
      <c r="CE64" s="285"/>
      <c r="CF64" s="157">
        <f t="shared" ref="CF64:CF69" si="264">SUM(BT64:CE64)</f>
        <v>0</v>
      </c>
      <c r="CG64" s="359"/>
      <c r="CH64" s="283"/>
      <c r="CI64" s="283"/>
      <c r="CJ64" s="283"/>
      <c r="CK64" s="283"/>
      <c r="CL64" s="283"/>
      <c r="CM64" s="283"/>
      <c r="CN64" s="283"/>
      <c r="CO64" s="283"/>
      <c r="CP64" s="283"/>
      <c r="CQ64" s="283"/>
      <c r="CR64" s="285"/>
      <c r="CS64" s="157">
        <f t="shared" ref="CS64:CS69" si="265">SUM(CG64:CR64)</f>
        <v>0</v>
      </c>
      <c r="CT64" s="359"/>
      <c r="CU64" s="283"/>
      <c r="CV64" s="283"/>
      <c r="CW64" s="283"/>
      <c r="CX64" s="283">
        <v>72.176896818615162</v>
      </c>
      <c r="CY64" s="283">
        <v>215.4781887720178</v>
      </c>
      <c r="CZ64" s="283">
        <v>355.6373235184937</v>
      </c>
      <c r="DA64" s="283">
        <v>490.61046526256331</v>
      </c>
      <c r="DB64" s="283">
        <v>618.4294016645589</v>
      </c>
      <c r="DC64" s="283">
        <v>737.23024480853383</v>
      </c>
      <c r="DD64" s="283">
        <v>845.28061088527534</v>
      </c>
      <c r="DE64" s="285">
        <v>941.00488224914511</v>
      </c>
      <c r="DF64" s="157">
        <f t="shared" ref="DF64:DF69" si="266">SUM(CT64:DE64)</f>
        <v>4275.8480139792036</v>
      </c>
      <c r="DG64" s="280">
        <v>15522.711986020795</v>
      </c>
      <c r="DH64" s="159">
        <f t="shared" si="253"/>
        <v>15522.711986020795</v>
      </c>
      <c r="DI64" s="160">
        <f t="shared" si="254"/>
        <v>19798.559999999998</v>
      </c>
      <c r="DJ64" s="161">
        <f t="shared" si="255"/>
        <v>4275.8480139792027</v>
      </c>
      <c r="DM64" s="134">
        <f>AS64+BF64+BS64+CF64+CS64+DG64</f>
        <v>15522.711986020795</v>
      </c>
    </row>
    <row r="65" spans="1:118" ht="15" customHeight="1" outlineLevel="1">
      <c r="A65" s="607"/>
      <c r="B65" s="558"/>
      <c r="C65" s="245" t="s">
        <v>63</v>
      </c>
      <c r="D65" s="184" t="s">
        <v>124</v>
      </c>
      <c r="E65" s="136">
        <f>AF65+AS65+BF65+BS65+CF65+CS65+DF65+S65+DG65</f>
        <v>17818.704000000002</v>
      </c>
      <c r="F65" s="136"/>
      <c r="G65" s="137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9"/>
      <c r="S65" s="162">
        <f t="shared" si="204"/>
        <v>0</v>
      </c>
      <c r="T65" s="380"/>
      <c r="U65" s="381"/>
      <c r="V65" s="381"/>
      <c r="W65" s="381"/>
      <c r="X65" s="381"/>
      <c r="Y65" s="381"/>
      <c r="Z65" s="381"/>
      <c r="AA65" s="381"/>
      <c r="AB65" s="381"/>
      <c r="AC65" s="381"/>
      <c r="AD65" s="381"/>
      <c r="AE65" s="392"/>
      <c r="AF65" s="162">
        <f t="shared" si="249"/>
        <v>0</v>
      </c>
      <c r="AG65" s="501"/>
      <c r="AH65" s="499"/>
      <c r="AI65" s="499"/>
      <c r="AJ65" s="499"/>
      <c r="AK65" s="499"/>
      <c r="AL65" s="499"/>
      <c r="AM65" s="499"/>
      <c r="AN65" s="499"/>
      <c r="AO65" s="499"/>
      <c r="AP65" s="499"/>
      <c r="AQ65" s="499"/>
      <c r="AR65" s="511"/>
      <c r="AS65" s="410">
        <f t="shared" si="250"/>
        <v>0</v>
      </c>
      <c r="AT65" s="501"/>
      <c r="AU65" s="499"/>
      <c r="AV65" s="499"/>
      <c r="AW65" s="499"/>
      <c r="AX65" s="499"/>
      <c r="AY65" s="499"/>
      <c r="AZ65" s="138"/>
      <c r="BA65" s="138"/>
      <c r="BB65" s="138"/>
      <c r="BC65" s="138"/>
      <c r="BD65" s="138"/>
      <c r="BE65" s="139"/>
      <c r="BF65" s="162">
        <f t="shared" si="251"/>
        <v>0</v>
      </c>
      <c r="BG65" s="353"/>
      <c r="BH65" s="253"/>
      <c r="BI65" s="253"/>
      <c r="BJ65" s="253"/>
      <c r="BK65" s="253"/>
      <c r="BL65" s="253"/>
      <c r="BM65" s="253"/>
      <c r="BN65" s="253"/>
      <c r="BO65" s="253"/>
      <c r="BP65" s="253"/>
      <c r="BQ65" s="253"/>
      <c r="BR65" s="338"/>
      <c r="BS65" s="162">
        <f t="shared" si="252"/>
        <v>0</v>
      </c>
      <c r="BT65" s="353"/>
      <c r="BU65" s="253"/>
      <c r="BV65" s="253"/>
      <c r="BW65" s="253"/>
      <c r="BX65" s="253"/>
      <c r="BY65" s="253"/>
      <c r="BZ65" s="253"/>
      <c r="CA65" s="253"/>
      <c r="CB65" s="253"/>
      <c r="CC65" s="253"/>
      <c r="CD65" s="253"/>
      <c r="CE65" s="338"/>
      <c r="CF65" s="162">
        <f t="shared" si="264"/>
        <v>0</v>
      </c>
      <c r="CG65" s="353"/>
      <c r="CH65" s="253"/>
      <c r="CI65" s="253"/>
      <c r="CJ65" s="253"/>
      <c r="CK65" s="253"/>
      <c r="CL65" s="253"/>
      <c r="CM65" s="253"/>
      <c r="CN65" s="253"/>
      <c r="CO65" s="253"/>
      <c r="CP65" s="253"/>
      <c r="CQ65" s="253"/>
      <c r="CR65" s="338"/>
      <c r="CS65" s="162">
        <f t="shared" si="265"/>
        <v>0</v>
      </c>
      <c r="CT65" s="353"/>
      <c r="CU65" s="253"/>
      <c r="CV65" s="253"/>
      <c r="CW65" s="253"/>
      <c r="CX65" s="253">
        <v>64.959207136753648</v>
      </c>
      <c r="CY65" s="253">
        <v>193.93036989481601</v>
      </c>
      <c r="CZ65" s="253">
        <v>320.07359116664435</v>
      </c>
      <c r="DA65" s="253">
        <v>441.54941873630696</v>
      </c>
      <c r="DB65" s="253">
        <v>556.58646149810295</v>
      </c>
      <c r="DC65" s="253">
        <v>663.50722032768044</v>
      </c>
      <c r="DD65" s="253">
        <v>760.75254979674776</v>
      </c>
      <c r="DE65" s="338">
        <v>846.90439402423056</v>
      </c>
      <c r="DF65" s="162">
        <f t="shared" si="266"/>
        <v>3848.2632125812825</v>
      </c>
      <c r="DG65" s="279">
        <v>13970.44078741872</v>
      </c>
      <c r="DH65" s="90">
        <f t="shared" si="253"/>
        <v>13970.44078741872</v>
      </c>
      <c r="DI65" s="91">
        <f t="shared" si="254"/>
        <v>17818.704000000002</v>
      </c>
      <c r="DJ65" s="92">
        <f t="shared" si="255"/>
        <v>3848.2632125812816</v>
      </c>
      <c r="DK65" s="64">
        <f>+DH65/DH64</f>
        <v>0.90000000000000024</v>
      </c>
      <c r="DM65" s="134">
        <f>AS65+BF65+BS65+CF65+CS65+DG65</f>
        <v>13970.44078741872</v>
      </c>
      <c r="DN65" s="533">
        <f>DM65/DM64</f>
        <v>0.90000000000000024</v>
      </c>
    </row>
    <row r="66" spans="1:118" ht="15" customHeight="1" outlineLevel="1">
      <c r="A66" s="607"/>
      <c r="B66" s="559"/>
      <c r="C66" s="357" t="s">
        <v>11</v>
      </c>
      <c r="D66" s="358"/>
      <c r="E66" s="143">
        <f t="shared" ref="E66:R66" si="267">+E64-E65</f>
        <v>1979.8559999999961</v>
      </c>
      <c r="F66" s="144">
        <f t="shared" si="267"/>
        <v>0</v>
      </c>
      <c r="G66" s="145">
        <f t="shared" si="267"/>
        <v>0</v>
      </c>
      <c r="H66" s="145">
        <f t="shared" si="267"/>
        <v>0</v>
      </c>
      <c r="I66" s="145">
        <f t="shared" si="267"/>
        <v>0</v>
      </c>
      <c r="J66" s="145">
        <f t="shared" si="267"/>
        <v>0</v>
      </c>
      <c r="K66" s="145">
        <f t="shared" si="267"/>
        <v>0</v>
      </c>
      <c r="L66" s="145">
        <f t="shared" si="267"/>
        <v>0</v>
      </c>
      <c r="M66" s="145">
        <f t="shared" si="267"/>
        <v>0</v>
      </c>
      <c r="N66" s="145">
        <f t="shared" si="267"/>
        <v>0</v>
      </c>
      <c r="O66" s="145">
        <f t="shared" si="267"/>
        <v>0</v>
      </c>
      <c r="P66" s="145">
        <f t="shared" si="267"/>
        <v>0</v>
      </c>
      <c r="Q66" s="145">
        <f t="shared" si="267"/>
        <v>0</v>
      </c>
      <c r="R66" s="146">
        <f t="shared" si="267"/>
        <v>0</v>
      </c>
      <c r="S66" s="147">
        <f t="shared" si="204"/>
        <v>0</v>
      </c>
      <c r="T66" s="148">
        <f t="shared" ref="T66:AE66" si="268">+T64-T65</f>
        <v>0</v>
      </c>
      <c r="U66" s="145">
        <f t="shared" si="268"/>
        <v>0</v>
      </c>
      <c r="V66" s="145">
        <f t="shared" si="268"/>
        <v>0</v>
      </c>
      <c r="W66" s="145">
        <f t="shared" si="268"/>
        <v>0</v>
      </c>
      <c r="X66" s="145">
        <f t="shared" si="268"/>
        <v>0</v>
      </c>
      <c r="Y66" s="145">
        <f t="shared" si="268"/>
        <v>0</v>
      </c>
      <c r="Z66" s="145">
        <f t="shared" si="268"/>
        <v>0</v>
      </c>
      <c r="AA66" s="145">
        <f t="shared" si="268"/>
        <v>0</v>
      </c>
      <c r="AB66" s="145">
        <f t="shared" si="268"/>
        <v>0</v>
      </c>
      <c r="AC66" s="145">
        <f t="shared" si="268"/>
        <v>0</v>
      </c>
      <c r="AD66" s="145">
        <f t="shared" si="268"/>
        <v>0</v>
      </c>
      <c r="AE66" s="146">
        <f t="shared" si="268"/>
        <v>0</v>
      </c>
      <c r="AF66" s="147">
        <f t="shared" si="249"/>
        <v>0</v>
      </c>
      <c r="AG66" s="148">
        <f t="shared" ref="AG66:AR66" si="269">+AG64-AG65</f>
        <v>0</v>
      </c>
      <c r="AH66" s="145">
        <f t="shared" si="269"/>
        <v>0</v>
      </c>
      <c r="AI66" s="145">
        <f t="shared" si="269"/>
        <v>0</v>
      </c>
      <c r="AJ66" s="145">
        <f t="shared" si="269"/>
        <v>0</v>
      </c>
      <c r="AK66" s="145">
        <f t="shared" si="269"/>
        <v>0</v>
      </c>
      <c r="AL66" s="145">
        <f t="shared" si="269"/>
        <v>0</v>
      </c>
      <c r="AM66" s="145">
        <f t="shared" si="269"/>
        <v>0</v>
      </c>
      <c r="AN66" s="145">
        <f t="shared" si="269"/>
        <v>0</v>
      </c>
      <c r="AO66" s="145">
        <f t="shared" si="269"/>
        <v>0</v>
      </c>
      <c r="AP66" s="145">
        <f t="shared" si="269"/>
        <v>0</v>
      </c>
      <c r="AQ66" s="145">
        <f t="shared" si="269"/>
        <v>0</v>
      </c>
      <c r="AR66" s="146">
        <f t="shared" si="269"/>
        <v>0</v>
      </c>
      <c r="AS66" s="408">
        <f t="shared" si="250"/>
        <v>0</v>
      </c>
      <c r="AT66" s="148">
        <f t="shared" ref="AT66:BE66" si="270">+AT64-AT65</f>
        <v>0</v>
      </c>
      <c r="AU66" s="145">
        <f t="shared" si="270"/>
        <v>0</v>
      </c>
      <c r="AV66" s="145">
        <f t="shared" si="270"/>
        <v>0</v>
      </c>
      <c r="AW66" s="145">
        <f t="shared" si="270"/>
        <v>0</v>
      </c>
      <c r="AX66" s="145">
        <f t="shared" si="270"/>
        <v>0</v>
      </c>
      <c r="AY66" s="145">
        <f t="shared" si="270"/>
        <v>0</v>
      </c>
      <c r="AZ66" s="145">
        <f t="shared" si="270"/>
        <v>0</v>
      </c>
      <c r="BA66" s="145">
        <f t="shared" si="270"/>
        <v>0</v>
      </c>
      <c r="BB66" s="145">
        <f t="shared" si="270"/>
        <v>0</v>
      </c>
      <c r="BC66" s="145">
        <f t="shared" si="270"/>
        <v>0</v>
      </c>
      <c r="BD66" s="145">
        <f t="shared" si="270"/>
        <v>0</v>
      </c>
      <c r="BE66" s="146">
        <f t="shared" si="270"/>
        <v>0</v>
      </c>
      <c r="BF66" s="147">
        <f t="shared" si="251"/>
        <v>0</v>
      </c>
      <c r="BG66" s="148">
        <f t="shared" ref="BG66:BR66" si="271">+BG64-BG65</f>
        <v>0</v>
      </c>
      <c r="BH66" s="145">
        <f t="shared" si="271"/>
        <v>0</v>
      </c>
      <c r="BI66" s="145">
        <f t="shared" si="271"/>
        <v>0</v>
      </c>
      <c r="BJ66" s="145">
        <f t="shared" si="271"/>
        <v>0</v>
      </c>
      <c r="BK66" s="145">
        <f t="shared" si="271"/>
        <v>0</v>
      </c>
      <c r="BL66" s="145">
        <f t="shared" si="271"/>
        <v>0</v>
      </c>
      <c r="BM66" s="145">
        <f t="shared" si="271"/>
        <v>0</v>
      </c>
      <c r="BN66" s="145">
        <f t="shared" si="271"/>
        <v>0</v>
      </c>
      <c r="BO66" s="145">
        <f t="shared" si="271"/>
        <v>0</v>
      </c>
      <c r="BP66" s="145">
        <f t="shared" si="271"/>
        <v>0</v>
      </c>
      <c r="BQ66" s="145">
        <f t="shared" si="271"/>
        <v>0</v>
      </c>
      <c r="BR66" s="146">
        <f t="shared" si="271"/>
        <v>0</v>
      </c>
      <c r="BS66" s="147">
        <f t="shared" si="252"/>
        <v>0</v>
      </c>
      <c r="BT66" s="148">
        <f t="shared" ref="BT66:CE66" si="272">+BT64-BT65</f>
        <v>0</v>
      </c>
      <c r="BU66" s="145">
        <f t="shared" si="272"/>
        <v>0</v>
      </c>
      <c r="BV66" s="145">
        <f t="shared" si="272"/>
        <v>0</v>
      </c>
      <c r="BW66" s="145">
        <f t="shared" si="272"/>
        <v>0</v>
      </c>
      <c r="BX66" s="145">
        <f t="shared" si="272"/>
        <v>0</v>
      </c>
      <c r="BY66" s="145">
        <f t="shared" si="272"/>
        <v>0</v>
      </c>
      <c r="BZ66" s="145">
        <f t="shared" si="272"/>
        <v>0</v>
      </c>
      <c r="CA66" s="145">
        <f t="shared" si="272"/>
        <v>0</v>
      </c>
      <c r="CB66" s="145">
        <f t="shared" si="272"/>
        <v>0</v>
      </c>
      <c r="CC66" s="145">
        <f t="shared" si="272"/>
        <v>0</v>
      </c>
      <c r="CD66" s="145">
        <f t="shared" si="272"/>
        <v>0</v>
      </c>
      <c r="CE66" s="146">
        <f t="shared" si="272"/>
        <v>0</v>
      </c>
      <c r="CF66" s="147">
        <f t="shared" si="264"/>
        <v>0</v>
      </c>
      <c r="CG66" s="148">
        <f t="shared" ref="CG66:CR66" si="273">+CG64-CG65</f>
        <v>0</v>
      </c>
      <c r="CH66" s="145">
        <f t="shared" si="273"/>
        <v>0</v>
      </c>
      <c r="CI66" s="145">
        <f t="shared" si="273"/>
        <v>0</v>
      </c>
      <c r="CJ66" s="145">
        <f t="shared" si="273"/>
        <v>0</v>
      </c>
      <c r="CK66" s="145">
        <f t="shared" si="273"/>
        <v>0</v>
      </c>
      <c r="CL66" s="145">
        <f t="shared" si="273"/>
        <v>0</v>
      </c>
      <c r="CM66" s="145">
        <f t="shared" si="273"/>
        <v>0</v>
      </c>
      <c r="CN66" s="145">
        <f t="shared" si="273"/>
        <v>0</v>
      </c>
      <c r="CO66" s="145">
        <f t="shared" si="273"/>
        <v>0</v>
      </c>
      <c r="CP66" s="145">
        <f t="shared" si="273"/>
        <v>0</v>
      </c>
      <c r="CQ66" s="145">
        <f t="shared" si="273"/>
        <v>0</v>
      </c>
      <c r="CR66" s="146">
        <f t="shared" si="273"/>
        <v>0</v>
      </c>
      <c r="CS66" s="147">
        <f t="shared" si="265"/>
        <v>0</v>
      </c>
      <c r="CT66" s="148">
        <f t="shared" ref="CT66:DE66" si="274">+CT64-CT65</f>
        <v>0</v>
      </c>
      <c r="CU66" s="145">
        <f t="shared" si="274"/>
        <v>0</v>
      </c>
      <c r="CV66" s="145">
        <f t="shared" si="274"/>
        <v>0</v>
      </c>
      <c r="CW66" s="145">
        <f t="shared" si="274"/>
        <v>0</v>
      </c>
      <c r="CX66" s="145">
        <f t="shared" si="274"/>
        <v>7.2176896818615148</v>
      </c>
      <c r="CY66" s="145">
        <f t="shared" si="274"/>
        <v>21.547818877201792</v>
      </c>
      <c r="CZ66" s="145">
        <f t="shared" si="274"/>
        <v>35.563732351849353</v>
      </c>
      <c r="DA66" s="145">
        <f t="shared" si="274"/>
        <v>49.061046526256348</v>
      </c>
      <c r="DB66" s="145">
        <f t="shared" si="274"/>
        <v>61.842940166455946</v>
      </c>
      <c r="DC66" s="145">
        <f t="shared" si="274"/>
        <v>73.723024480853383</v>
      </c>
      <c r="DD66" s="145">
        <f t="shared" si="274"/>
        <v>84.528061088527579</v>
      </c>
      <c r="DE66" s="146">
        <f t="shared" si="274"/>
        <v>94.100488224914557</v>
      </c>
      <c r="DF66" s="147">
        <f t="shared" si="266"/>
        <v>427.5848013979205</v>
      </c>
      <c r="DG66" s="146">
        <f>+DG64-DG65</f>
        <v>1552.2711986020749</v>
      </c>
      <c r="DH66" s="98">
        <f t="shared" si="253"/>
        <v>1552.2711986020749</v>
      </c>
      <c r="DI66" s="99">
        <f t="shared" si="254"/>
        <v>1979.8559999999961</v>
      </c>
      <c r="DJ66" s="100">
        <f t="shared" si="255"/>
        <v>427.58480139792118</v>
      </c>
    </row>
    <row r="67" spans="1:118" ht="15" customHeight="1" outlineLevel="1">
      <c r="A67" s="607"/>
      <c r="B67" s="557" t="s">
        <v>350</v>
      </c>
      <c r="C67" s="246" t="s">
        <v>62</v>
      </c>
      <c r="D67" s="183" t="s">
        <v>122</v>
      </c>
      <c r="E67" s="153">
        <f>AF67+AS67+BF67+BS67+CF67+CS67+DF67+S67+DG67</f>
        <v>97300.439999999988</v>
      </c>
      <c r="F67" s="153"/>
      <c r="G67" s="154"/>
      <c r="H67" s="155"/>
      <c r="I67" s="155"/>
      <c r="J67" s="155"/>
      <c r="K67" s="155"/>
      <c r="L67" s="155"/>
      <c r="M67" s="155"/>
      <c r="N67" s="155"/>
      <c r="O67" s="155"/>
      <c r="P67" s="155"/>
      <c r="Q67" s="155"/>
      <c r="R67" s="284"/>
      <c r="S67" s="157">
        <f t="shared" si="204"/>
        <v>0</v>
      </c>
      <c r="T67" s="378"/>
      <c r="U67" s="382"/>
      <c r="V67" s="382"/>
      <c r="W67" s="382"/>
      <c r="X67" s="382"/>
      <c r="Y67" s="382"/>
      <c r="Z67" s="382"/>
      <c r="AA67" s="382"/>
      <c r="AB67" s="382"/>
      <c r="AC67" s="382"/>
      <c r="AD67" s="382"/>
      <c r="AE67" s="481"/>
      <c r="AF67" s="157">
        <f>SUM(T67:AE67)</f>
        <v>0</v>
      </c>
      <c r="AG67" s="500"/>
      <c r="AH67" s="513"/>
      <c r="AI67" s="513"/>
      <c r="AJ67" s="513"/>
      <c r="AK67" s="513"/>
      <c r="AL67" s="513"/>
      <c r="AM67" s="513"/>
      <c r="AN67" s="513"/>
      <c r="AO67" s="513"/>
      <c r="AP67" s="513"/>
      <c r="AQ67" s="513"/>
      <c r="AR67" s="512"/>
      <c r="AS67" s="409">
        <f>SUM(AG67:AR67)</f>
        <v>0</v>
      </c>
      <c r="AT67" s="500"/>
      <c r="AU67" s="513"/>
      <c r="AV67" s="513"/>
      <c r="AW67" s="513"/>
      <c r="AX67" s="513"/>
      <c r="AY67" s="513"/>
      <c r="AZ67" s="155"/>
      <c r="BA67" s="155"/>
      <c r="BB67" s="155"/>
      <c r="BC67" s="155"/>
      <c r="BD67" s="155"/>
      <c r="BE67" s="156"/>
      <c r="BF67" s="157">
        <f>SUM(AT67:BE67)</f>
        <v>0</v>
      </c>
      <c r="BG67" s="158"/>
      <c r="BH67" s="155"/>
      <c r="BI67" s="155"/>
      <c r="BJ67" s="155"/>
      <c r="BK67" s="155"/>
      <c r="BL67" s="155"/>
      <c r="BM67" s="155"/>
      <c r="BN67" s="155"/>
      <c r="BO67" s="155"/>
      <c r="BP67" s="155"/>
      <c r="BQ67" s="155"/>
      <c r="BR67" s="156"/>
      <c r="BS67" s="157">
        <f>SUM(BG67:BR67)</f>
        <v>0</v>
      </c>
      <c r="BT67" s="158"/>
      <c r="BU67" s="155"/>
      <c r="BV67" s="155"/>
      <c r="BW67" s="155"/>
      <c r="BX67" s="155"/>
      <c r="BY67" s="155"/>
      <c r="BZ67" s="155"/>
      <c r="CA67" s="283"/>
      <c r="CB67" s="283"/>
      <c r="CC67" s="283"/>
      <c r="CD67" s="283"/>
      <c r="CE67" s="285"/>
      <c r="CF67" s="157">
        <f t="shared" si="264"/>
        <v>0</v>
      </c>
      <c r="CG67" s="158"/>
      <c r="CH67" s="155"/>
      <c r="CI67" s="155"/>
      <c r="CJ67" s="155"/>
      <c r="CK67" s="155"/>
      <c r="CL67" s="155"/>
      <c r="CM67" s="155"/>
      <c r="CN67" s="155"/>
      <c r="CO67" s="155"/>
      <c r="CP67" s="155"/>
      <c r="CQ67" s="155"/>
      <c r="CR67" s="156"/>
      <c r="CS67" s="157">
        <f t="shared" si="265"/>
        <v>0</v>
      </c>
      <c r="CT67" s="158"/>
      <c r="CU67" s="155"/>
      <c r="CV67" s="155"/>
      <c r="CW67" s="155"/>
      <c r="CX67" s="155"/>
      <c r="CY67" s="155"/>
      <c r="CZ67" s="155"/>
      <c r="DA67" s="155"/>
      <c r="DB67" s="155"/>
      <c r="DC67" s="155"/>
      <c r="DD67" s="155"/>
      <c r="DE67" s="156"/>
      <c r="DF67" s="157">
        <f t="shared" si="266"/>
        <v>0</v>
      </c>
      <c r="DG67" s="280">
        <v>97300.439999999988</v>
      </c>
      <c r="DH67" s="159">
        <f>+F67+S67+AF67+AS67+BF67+BS67+DG67</f>
        <v>97300.439999999988</v>
      </c>
      <c r="DI67" s="160">
        <f>+E67</f>
        <v>97300.439999999988</v>
      </c>
      <c r="DJ67" s="161">
        <f>+DI67-DH67</f>
        <v>0</v>
      </c>
      <c r="DM67" s="134">
        <f>AS67+BF67+BS67+CF67+CS67+DG67</f>
        <v>97300.439999999988</v>
      </c>
    </row>
    <row r="68" spans="1:118" ht="15" customHeight="1" outlineLevel="1">
      <c r="A68" s="607"/>
      <c r="B68" s="558"/>
      <c r="C68" s="245" t="s">
        <v>63</v>
      </c>
      <c r="D68" s="184" t="s">
        <v>124</v>
      </c>
      <c r="E68" s="136">
        <f>AF68+AS68+BF68+BS68+CF68+CS68+DF68+S68+DG68</f>
        <v>87570.396000000008</v>
      </c>
      <c r="F68" s="136"/>
      <c r="G68" s="137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9"/>
      <c r="S68" s="162">
        <f t="shared" si="204"/>
        <v>0</v>
      </c>
      <c r="T68" s="380"/>
      <c r="U68" s="381"/>
      <c r="V68" s="381"/>
      <c r="W68" s="381"/>
      <c r="X68" s="381"/>
      <c r="Y68" s="381"/>
      <c r="Z68" s="381"/>
      <c r="AA68" s="381"/>
      <c r="AB68" s="381"/>
      <c r="AC68" s="381"/>
      <c r="AD68" s="381"/>
      <c r="AE68" s="392"/>
      <c r="AF68" s="162">
        <f>SUM(T68:AE68)</f>
        <v>0</v>
      </c>
      <c r="AG68" s="501"/>
      <c r="AH68" s="499"/>
      <c r="AI68" s="499"/>
      <c r="AJ68" s="499"/>
      <c r="AK68" s="499"/>
      <c r="AL68" s="499"/>
      <c r="AM68" s="499"/>
      <c r="AN68" s="499"/>
      <c r="AO68" s="499"/>
      <c r="AP68" s="499"/>
      <c r="AQ68" s="499"/>
      <c r="AR68" s="511"/>
      <c r="AS68" s="410">
        <f>SUM(AG68:AR68)</f>
        <v>0</v>
      </c>
      <c r="AT68" s="501"/>
      <c r="AU68" s="499"/>
      <c r="AV68" s="499"/>
      <c r="AW68" s="499"/>
      <c r="AX68" s="499"/>
      <c r="AY68" s="499"/>
      <c r="AZ68" s="138"/>
      <c r="BA68" s="138"/>
      <c r="BB68" s="138"/>
      <c r="BC68" s="138"/>
      <c r="BD68" s="138"/>
      <c r="BE68" s="139"/>
      <c r="BF68" s="162">
        <f>SUM(AT68:BE68)</f>
        <v>0</v>
      </c>
      <c r="BG68" s="141"/>
      <c r="BH68" s="138"/>
      <c r="BI68" s="138"/>
      <c r="BJ68" s="138"/>
      <c r="BK68" s="138"/>
      <c r="BL68" s="138"/>
      <c r="BM68" s="138"/>
      <c r="BN68" s="138"/>
      <c r="BO68" s="138"/>
      <c r="BP68" s="138"/>
      <c r="BQ68" s="138"/>
      <c r="BR68" s="139"/>
      <c r="BS68" s="162">
        <f>SUM(BG68:BR68)</f>
        <v>0</v>
      </c>
      <c r="BT68" s="141"/>
      <c r="BU68" s="138"/>
      <c r="BV68" s="138"/>
      <c r="BW68" s="138"/>
      <c r="BX68" s="138"/>
      <c r="BY68" s="138"/>
      <c r="BZ68" s="138"/>
      <c r="CA68" s="253"/>
      <c r="CB68" s="253"/>
      <c r="CC68" s="253"/>
      <c r="CD68" s="253"/>
      <c r="CE68" s="338"/>
      <c r="CF68" s="162">
        <f t="shared" si="264"/>
        <v>0</v>
      </c>
      <c r="CG68" s="141"/>
      <c r="CH68" s="138"/>
      <c r="CI68" s="138"/>
      <c r="CJ68" s="138"/>
      <c r="CK68" s="138"/>
      <c r="CL68" s="138"/>
      <c r="CM68" s="138"/>
      <c r="CN68" s="138"/>
      <c r="CO68" s="138"/>
      <c r="CP68" s="138"/>
      <c r="CQ68" s="138"/>
      <c r="CR68" s="139"/>
      <c r="CS68" s="162">
        <f t="shared" si="265"/>
        <v>0</v>
      </c>
      <c r="CT68" s="141"/>
      <c r="CU68" s="138"/>
      <c r="CV68" s="138"/>
      <c r="CW68" s="138"/>
      <c r="CX68" s="138"/>
      <c r="CY68" s="138"/>
      <c r="CZ68" s="138"/>
      <c r="DA68" s="138"/>
      <c r="DB68" s="138"/>
      <c r="DC68" s="138"/>
      <c r="DD68" s="138"/>
      <c r="DE68" s="139"/>
      <c r="DF68" s="162">
        <f t="shared" si="266"/>
        <v>0</v>
      </c>
      <c r="DG68" s="279">
        <v>87570.396000000008</v>
      </c>
      <c r="DH68" s="90">
        <f>+F68+S68+AF68+AS68+BF68+BS68+DG68</f>
        <v>87570.396000000008</v>
      </c>
      <c r="DI68" s="91">
        <f>+E68</f>
        <v>87570.396000000008</v>
      </c>
      <c r="DJ68" s="92">
        <f>+DI68-DH68</f>
        <v>0</v>
      </c>
      <c r="DK68" s="64">
        <f>+DH68/DH67</f>
        <v>0.90000000000000024</v>
      </c>
      <c r="DM68" s="134">
        <f>AS68+BF68+BS68+CF68+CS68+DG68</f>
        <v>87570.396000000008</v>
      </c>
      <c r="DN68" s="533">
        <f>DM68/DM67</f>
        <v>0.90000000000000024</v>
      </c>
    </row>
    <row r="69" spans="1:118" ht="15" customHeight="1" outlineLevel="1">
      <c r="A69" s="607"/>
      <c r="B69" s="559"/>
      <c r="C69" s="357" t="s">
        <v>11</v>
      </c>
      <c r="D69" s="358"/>
      <c r="E69" s="143">
        <f t="shared" ref="E69:R69" si="275">+E67-E68</f>
        <v>9730.0439999999799</v>
      </c>
      <c r="F69" s="144">
        <f t="shared" si="275"/>
        <v>0</v>
      </c>
      <c r="G69" s="145">
        <f t="shared" si="275"/>
        <v>0</v>
      </c>
      <c r="H69" s="145">
        <f t="shared" si="275"/>
        <v>0</v>
      </c>
      <c r="I69" s="145">
        <f t="shared" si="275"/>
        <v>0</v>
      </c>
      <c r="J69" s="145">
        <f t="shared" si="275"/>
        <v>0</v>
      </c>
      <c r="K69" s="145">
        <f t="shared" si="275"/>
        <v>0</v>
      </c>
      <c r="L69" s="145">
        <f t="shared" si="275"/>
        <v>0</v>
      </c>
      <c r="M69" s="145">
        <f t="shared" si="275"/>
        <v>0</v>
      </c>
      <c r="N69" s="145">
        <f t="shared" si="275"/>
        <v>0</v>
      </c>
      <c r="O69" s="145">
        <f t="shared" si="275"/>
        <v>0</v>
      </c>
      <c r="P69" s="145">
        <f t="shared" si="275"/>
        <v>0</v>
      </c>
      <c r="Q69" s="145">
        <f t="shared" si="275"/>
        <v>0</v>
      </c>
      <c r="R69" s="146">
        <f t="shared" si="275"/>
        <v>0</v>
      </c>
      <c r="S69" s="147">
        <f t="shared" si="204"/>
        <v>0</v>
      </c>
      <c r="T69" s="148">
        <f t="shared" ref="T69:AE69" si="276">+T67-T68</f>
        <v>0</v>
      </c>
      <c r="U69" s="145">
        <f t="shared" si="276"/>
        <v>0</v>
      </c>
      <c r="V69" s="145">
        <f t="shared" si="276"/>
        <v>0</v>
      </c>
      <c r="W69" s="145">
        <f t="shared" si="276"/>
        <v>0</v>
      </c>
      <c r="X69" s="145">
        <f t="shared" si="276"/>
        <v>0</v>
      </c>
      <c r="Y69" s="145">
        <f t="shared" si="276"/>
        <v>0</v>
      </c>
      <c r="Z69" s="145">
        <f t="shared" si="276"/>
        <v>0</v>
      </c>
      <c r="AA69" s="145">
        <f t="shared" si="276"/>
        <v>0</v>
      </c>
      <c r="AB69" s="145">
        <f t="shared" si="276"/>
        <v>0</v>
      </c>
      <c r="AC69" s="145">
        <f t="shared" si="276"/>
        <v>0</v>
      </c>
      <c r="AD69" s="145">
        <f t="shared" si="276"/>
        <v>0</v>
      </c>
      <c r="AE69" s="146">
        <f t="shared" si="276"/>
        <v>0</v>
      </c>
      <c r="AF69" s="147">
        <f>SUM(T69:AE69)</f>
        <v>0</v>
      </c>
      <c r="AG69" s="148">
        <f t="shared" ref="AG69:AR69" si="277">+AG67-AG68</f>
        <v>0</v>
      </c>
      <c r="AH69" s="145">
        <f t="shared" si="277"/>
        <v>0</v>
      </c>
      <c r="AI69" s="145">
        <f t="shared" si="277"/>
        <v>0</v>
      </c>
      <c r="AJ69" s="145">
        <f t="shared" si="277"/>
        <v>0</v>
      </c>
      <c r="AK69" s="145">
        <f t="shared" si="277"/>
        <v>0</v>
      </c>
      <c r="AL69" s="145">
        <f t="shared" si="277"/>
        <v>0</v>
      </c>
      <c r="AM69" s="145">
        <f t="shared" si="277"/>
        <v>0</v>
      </c>
      <c r="AN69" s="145">
        <f t="shared" si="277"/>
        <v>0</v>
      </c>
      <c r="AO69" s="145">
        <f t="shared" si="277"/>
        <v>0</v>
      </c>
      <c r="AP69" s="145">
        <f t="shared" si="277"/>
        <v>0</v>
      </c>
      <c r="AQ69" s="145">
        <f t="shared" si="277"/>
        <v>0</v>
      </c>
      <c r="AR69" s="146">
        <f t="shared" si="277"/>
        <v>0</v>
      </c>
      <c r="AS69" s="408">
        <f>SUM(AG69:AR69)</f>
        <v>0</v>
      </c>
      <c r="AT69" s="148">
        <f t="shared" ref="AT69:BE69" si="278">+AT67-AT68</f>
        <v>0</v>
      </c>
      <c r="AU69" s="145">
        <f t="shared" si="278"/>
        <v>0</v>
      </c>
      <c r="AV69" s="145">
        <f t="shared" si="278"/>
        <v>0</v>
      </c>
      <c r="AW69" s="145">
        <f t="shared" si="278"/>
        <v>0</v>
      </c>
      <c r="AX69" s="145">
        <f t="shared" si="278"/>
        <v>0</v>
      </c>
      <c r="AY69" s="145">
        <f t="shared" si="278"/>
        <v>0</v>
      </c>
      <c r="AZ69" s="145">
        <f t="shared" si="278"/>
        <v>0</v>
      </c>
      <c r="BA69" s="145">
        <f t="shared" si="278"/>
        <v>0</v>
      </c>
      <c r="BB69" s="145">
        <f t="shared" si="278"/>
        <v>0</v>
      </c>
      <c r="BC69" s="145">
        <f t="shared" si="278"/>
        <v>0</v>
      </c>
      <c r="BD69" s="145">
        <f t="shared" si="278"/>
        <v>0</v>
      </c>
      <c r="BE69" s="146">
        <f t="shared" si="278"/>
        <v>0</v>
      </c>
      <c r="BF69" s="147">
        <f>SUM(AT69:BE69)</f>
        <v>0</v>
      </c>
      <c r="BG69" s="148">
        <f t="shared" ref="BG69:BR69" si="279">+BG67-BG68</f>
        <v>0</v>
      </c>
      <c r="BH69" s="145">
        <f t="shared" si="279"/>
        <v>0</v>
      </c>
      <c r="BI69" s="145">
        <f t="shared" si="279"/>
        <v>0</v>
      </c>
      <c r="BJ69" s="145">
        <f t="shared" si="279"/>
        <v>0</v>
      </c>
      <c r="BK69" s="145">
        <f t="shared" si="279"/>
        <v>0</v>
      </c>
      <c r="BL69" s="145">
        <f t="shared" si="279"/>
        <v>0</v>
      </c>
      <c r="BM69" s="145">
        <f t="shared" si="279"/>
        <v>0</v>
      </c>
      <c r="BN69" s="145">
        <f t="shared" si="279"/>
        <v>0</v>
      </c>
      <c r="BO69" s="145">
        <f t="shared" si="279"/>
        <v>0</v>
      </c>
      <c r="BP69" s="145">
        <f t="shared" si="279"/>
        <v>0</v>
      </c>
      <c r="BQ69" s="145">
        <f t="shared" si="279"/>
        <v>0</v>
      </c>
      <c r="BR69" s="146">
        <f t="shared" si="279"/>
        <v>0</v>
      </c>
      <c r="BS69" s="147">
        <f>SUM(BG69:BR69)</f>
        <v>0</v>
      </c>
      <c r="BT69" s="148">
        <f t="shared" ref="BT69:CE69" si="280">+BT67-BT68</f>
        <v>0</v>
      </c>
      <c r="BU69" s="145">
        <f t="shared" si="280"/>
        <v>0</v>
      </c>
      <c r="BV69" s="145">
        <f t="shared" si="280"/>
        <v>0</v>
      </c>
      <c r="BW69" s="145">
        <f t="shared" si="280"/>
        <v>0</v>
      </c>
      <c r="BX69" s="145">
        <f t="shared" si="280"/>
        <v>0</v>
      </c>
      <c r="BY69" s="145">
        <f t="shared" si="280"/>
        <v>0</v>
      </c>
      <c r="BZ69" s="145">
        <f t="shared" si="280"/>
        <v>0</v>
      </c>
      <c r="CA69" s="145">
        <f t="shared" si="280"/>
        <v>0</v>
      </c>
      <c r="CB69" s="145">
        <f t="shared" si="280"/>
        <v>0</v>
      </c>
      <c r="CC69" s="145">
        <f t="shared" si="280"/>
        <v>0</v>
      </c>
      <c r="CD69" s="145">
        <f t="shared" si="280"/>
        <v>0</v>
      </c>
      <c r="CE69" s="146">
        <f t="shared" si="280"/>
        <v>0</v>
      </c>
      <c r="CF69" s="147">
        <f t="shared" si="264"/>
        <v>0</v>
      </c>
      <c r="CG69" s="148">
        <f t="shared" ref="CG69:CR69" si="281">+CG67-CG68</f>
        <v>0</v>
      </c>
      <c r="CH69" s="145">
        <f t="shared" si="281"/>
        <v>0</v>
      </c>
      <c r="CI69" s="145">
        <f t="shared" si="281"/>
        <v>0</v>
      </c>
      <c r="CJ69" s="145">
        <f t="shared" si="281"/>
        <v>0</v>
      </c>
      <c r="CK69" s="145">
        <f t="shared" si="281"/>
        <v>0</v>
      </c>
      <c r="CL69" s="145">
        <f t="shared" si="281"/>
        <v>0</v>
      </c>
      <c r="CM69" s="145">
        <f t="shared" si="281"/>
        <v>0</v>
      </c>
      <c r="CN69" s="145">
        <f t="shared" si="281"/>
        <v>0</v>
      </c>
      <c r="CO69" s="145">
        <f t="shared" si="281"/>
        <v>0</v>
      </c>
      <c r="CP69" s="145">
        <f t="shared" si="281"/>
        <v>0</v>
      </c>
      <c r="CQ69" s="145">
        <f t="shared" si="281"/>
        <v>0</v>
      </c>
      <c r="CR69" s="146">
        <f t="shared" si="281"/>
        <v>0</v>
      </c>
      <c r="CS69" s="147">
        <f t="shared" si="265"/>
        <v>0</v>
      </c>
      <c r="CT69" s="148">
        <f t="shared" ref="CT69:DE69" si="282">+CT67-CT68</f>
        <v>0</v>
      </c>
      <c r="CU69" s="145">
        <f t="shared" si="282"/>
        <v>0</v>
      </c>
      <c r="CV69" s="145">
        <f t="shared" si="282"/>
        <v>0</v>
      </c>
      <c r="CW69" s="145">
        <f t="shared" si="282"/>
        <v>0</v>
      </c>
      <c r="CX69" s="145">
        <f t="shared" si="282"/>
        <v>0</v>
      </c>
      <c r="CY69" s="145">
        <f t="shared" si="282"/>
        <v>0</v>
      </c>
      <c r="CZ69" s="145">
        <f t="shared" si="282"/>
        <v>0</v>
      </c>
      <c r="DA69" s="145">
        <f t="shared" si="282"/>
        <v>0</v>
      </c>
      <c r="DB69" s="145">
        <f t="shared" si="282"/>
        <v>0</v>
      </c>
      <c r="DC69" s="145">
        <f t="shared" si="282"/>
        <v>0</v>
      </c>
      <c r="DD69" s="145">
        <f t="shared" si="282"/>
        <v>0</v>
      </c>
      <c r="DE69" s="146">
        <f t="shared" si="282"/>
        <v>0</v>
      </c>
      <c r="DF69" s="147">
        <f t="shared" si="266"/>
        <v>0</v>
      </c>
      <c r="DG69" s="146">
        <f>+DG67-DG68</f>
        <v>9730.0439999999799</v>
      </c>
      <c r="DH69" s="98">
        <f>+F69+S69+AF69+AS69+BF69+BS69+DG69</f>
        <v>9730.0439999999799</v>
      </c>
      <c r="DI69" s="99">
        <f>+E69</f>
        <v>9730.0439999999799</v>
      </c>
      <c r="DJ69" s="100">
        <f>+DI69-DH69</f>
        <v>0</v>
      </c>
    </row>
    <row r="70" spans="1:118" ht="15" hidden="1" customHeight="1" outlineLevel="1">
      <c r="A70" s="607"/>
      <c r="B70" s="557" t="s">
        <v>206</v>
      </c>
      <c r="C70" s="246" t="s">
        <v>62</v>
      </c>
      <c r="D70" s="183" t="s">
        <v>122</v>
      </c>
      <c r="E70" s="153">
        <f>AF70+AS70+BF70+BS70+CF70+CS70+DF70+S70+DG70</f>
        <v>0</v>
      </c>
      <c r="F70" s="153"/>
      <c r="G70" s="154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284"/>
      <c r="S70" s="157">
        <f t="shared" si="204"/>
        <v>0</v>
      </c>
      <c r="T70" s="378"/>
      <c r="U70" s="382"/>
      <c r="V70" s="382"/>
      <c r="W70" s="382"/>
      <c r="X70" s="382"/>
      <c r="Y70" s="382"/>
      <c r="Z70" s="382"/>
      <c r="AA70" s="382"/>
      <c r="AB70" s="382"/>
      <c r="AC70" s="382"/>
      <c r="AD70" s="382"/>
      <c r="AE70" s="481"/>
      <c r="AF70" s="157">
        <f t="shared" si="249"/>
        <v>0</v>
      </c>
      <c r="AG70" s="500"/>
      <c r="AH70" s="513"/>
      <c r="AI70" s="513"/>
      <c r="AJ70" s="513"/>
      <c r="AK70" s="513"/>
      <c r="AL70" s="513"/>
      <c r="AM70" s="513"/>
      <c r="AN70" s="513"/>
      <c r="AO70" s="513"/>
      <c r="AP70" s="513"/>
      <c r="AQ70" s="513"/>
      <c r="AR70" s="512"/>
      <c r="AS70" s="409">
        <f t="shared" si="250"/>
        <v>0</v>
      </c>
      <c r="AT70" s="500"/>
      <c r="AU70" s="513"/>
      <c r="AV70" s="513"/>
      <c r="AW70" s="155"/>
      <c r="AX70" s="155"/>
      <c r="AY70" s="155"/>
      <c r="AZ70" s="155"/>
      <c r="BA70" s="155"/>
      <c r="BB70" s="155"/>
      <c r="BC70" s="155"/>
      <c r="BD70" s="155"/>
      <c r="BE70" s="285"/>
      <c r="BF70" s="157">
        <f t="shared" si="251"/>
        <v>0</v>
      </c>
      <c r="BG70" s="359"/>
      <c r="BH70" s="283"/>
      <c r="BI70" s="283"/>
      <c r="BJ70" s="283"/>
      <c r="BK70" s="283"/>
      <c r="BL70" s="283"/>
      <c r="BM70" s="283"/>
      <c r="BN70" s="283"/>
      <c r="BO70" s="283"/>
      <c r="BP70" s="283"/>
      <c r="BQ70" s="283"/>
      <c r="BR70" s="285"/>
      <c r="BS70" s="157">
        <f t="shared" si="252"/>
        <v>0</v>
      </c>
      <c r="BT70" s="359"/>
      <c r="BU70" s="283"/>
      <c r="BV70" s="283"/>
      <c r="BW70" s="283"/>
      <c r="BX70" s="283"/>
      <c r="BY70" s="283"/>
      <c r="BZ70" s="283"/>
      <c r="CA70" s="283"/>
      <c r="CB70" s="283"/>
      <c r="CC70" s="283"/>
      <c r="CD70" s="283"/>
      <c r="CE70" s="285"/>
      <c r="CF70" s="157">
        <f t="shared" si="97"/>
        <v>0</v>
      </c>
      <c r="CG70" s="359"/>
      <c r="CH70" s="283"/>
      <c r="CI70" s="283"/>
      <c r="CJ70" s="283"/>
      <c r="CK70" s="283"/>
      <c r="CL70" s="283"/>
      <c r="CM70" s="283"/>
      <c r="CN70" s="283"/>
      <c r="CO70" s="283"/>
      <c r="CP70" s="283"/>
      <c r="CQ70" s="283"/>
      <c r="CR70" s="285"/>
      <c r="CS70" s="157">
        <f t="shared" si="98"/>
        <v>0</v>
      </c>
      <c r="CT70" s="359"/>
      <c r="CU70" s="283"/>
      <c r="CV70" s="283"/>
      <c r="CW70" s="283"/>
      <c r="CX70" s="283"/>
      <c r="CY70" s="283"/>
      <c r="CZ70" s="283"/>
      <c r="DA70" s="283"/>
      <c r="DB70" s="283"/>
      <c r="DC70" s="283"/>
      <c r="DD70" s="283"/>
      <c r="DE70" s="285"/>
      <c r="DF70" s="157">
        <f t="shared" si="99"/>
        <v>0</v>
      </c>
      <c r="DG70" s="280"/>
      <c r="DH70" s="159">
        <f t="shared" si="253"/>
        <v>0</v>
      </c>
      <c r="DI70" s="160">
        <f t="shared" si="254"/>
        <v>0</v>
      </c>
      <c r="DJ70" s="161">
        <f t="shared" si="255"/>
        <v>0</v>
      </c>
      <c r="DM70" s="134">
        <f>AS70+BF70+BS70+CF70+CS70+DG70</f>
        <v>0</v>
      </c>
    </row>
    <row r="71" spans="1:118" ht="15" hidden="1" customHeight="1" outlineLevel="1">
      <c r="A71" s="607"/>
      <c r="B71" s="558"/>
      <c r="C71" s="245" t="s">
        <v>63</v>
      </c>
      <c r="D71" s="184" t="s">
        <v>124</v>
      </c>
      <c r="E71" s="136">
        <f>AF71+AS71+BF71+BS71+CF71+CS71+DF71+S71+DG71</f>
        <v>0</v>
      </c>
      <c r="F71" s="136"/>
      <c r="G71" s="137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9"/>
      <c r="S71" s="162">
        <f t="shared" si="204"/>
        <v>0</v>
      </c>
      <c r="T71" s="380"/>
      <c r="U71" s="381"/>
      <c r="V71" s="381"/>
      <c r="W71" s="381"/>
      <c r="X71" s="381"/>
      <c r="Y71" s="381"/>
      <c r="Z71" s="381"/>
      <c r="AA71" s="381"/>
      <c r="AB71" s="381"/>
      <c r="AC71" s="381"/>
      <c r="AD71" s="381"/>
      <c r="AE71" s="392"/>
      <c r="AF71" s="162">
        <f t="shared" si="249"/>
        <v>0</v>
      </c>
      <c r="AG71" s="501"/>
      <c r="AH71" s="499"/>
      <c r="AI71" s="499"/>
      <c r="AJ71" s="499"/>
      <c r="AK71" s="499"/>
      <c r="AL71" s="499"/>
      <c r="AM71" s="499"/>
      <c r="AN71" s="499"/>
      <c r="AO71" s="499"/>
      <c r="AP71" s="499"/>
      <c r="AQ71" s="499"/>
      <c r="AR71" s="511"/>
      <c r="AS71" s="410">
        <f t="shared" si="250"/>
        <v>0</v>
      </c>
      <c r="AT71" s="501"/>
      <c r="AU71" s="499"/>
      <c r="AV71" s="499"/>
      <c r="AW71" s="138"/>
      <c r="AX71" s="138"/>
      <c r="AY71" s="138"/>
      <c r="AZ71" s="138"/>
      <c r="BA71" s="138"/>
      <c r="BB71" s="138"/>
      <c r="BC71" s="138"/>
      <c r="BD71" s="138"/>
      <c r="BE71" s="338"/>
      <c r="BF71" s="162">
        <f t="shared" si="251"/>
        <v>0</v>
      </c>
      <c r="BG71" s="353"/>
      <c r="BH71" s="253"/>
      <c r="BI71" s="253"/>
      <c r="BJ71" s="253"/>
      <c r="BK71" s="253"/>
      <c r="BL71" s="253"/>
      <c r="BM71" s="253"/>
      <c r="BN71" s="253"/>
      <c r="BO71" s="253"/>
      <c r="BP71" s="253"/>
      <c r="BQ71" s="253"/>
      <c r="BR71" s="338"/>
      <c r="BS71" s="162">
        <f t="shared" si="252"/>
        <v>0</v>
      </c>
      <c r="BT71" s="353"/>
      <c r="BU71" s="253"/>
      <c r="BV71" s="253"/>
      <c r="BW71" s="253"/>
      <c r="BX71" s="253"/>
      <c r="BY71" s="253"/>
      <c r="BZ71" s="253"/>
      <c r="CA71" s="253"/>
      <c r="CB71" s="253"/>
      <c r="CC71" s="253"/>
      <c r="CD71" s="253"/>
      <c r="CE71" s="338"/>
      <c r="CF71" s="162">
        <f t="shared" si="97"/>
        <v>0</v>
      </c>
      <c r="CG71" s="353"/>
      <c r="CH71" s="253"/>
      <c r="CI71" s="253"/>
      <c r="CJ71" s="253"/>
      <c r="CK71" s="253"/>
      <c r="CL71" s="253"/>
      <c r="CM71" s="253"/>
      <c r="CN71" s="253"/>
      <c r="CO71" s="253"/>
      <c r="CP71" s="253"/>
      <c r="CQ71" s="253"/>
      <c r="CR71" s="338"/>
      <c r="CS71" s="162">
        <f t="shared" si="98"/>
        <v>0</v>
      </c>
      <c r="CT71" s="353"/>
      <c r="CU71" s="253"/>
      <c r="CV71" s="253"/>
      <c r="CW71" s="253"/>
      <c r="CX71" s="253"/>
      <c r="CY71" s="253"/>
      <c r="CZ71" s="253"/>
      <c r="DA71" s="253"/>
      <c r="DB71" s="253"/>
      <c r="DC71" s="253"/>
      <c r="DD71" s="253"/>
      <c r="DE71" s="338"/>
      <c r="DF71" s="162">
        <f t="shared" si="99"/>
        <v>0</v>
      </c>
      <c r="DG71" s="279"/>
      <c r="DH71" s="90">
        <f t="shared" si="253"/>
        <v>0</v>
      </c>
      <c r="DI71" s="91">
        <f t="shared" si="254"/>
        <v>0</v>
      </c>
      <c r="DJ71" s="92">
        <f t="shared" si="255"/>
        <v>0</v>
      </c>
      <c r="DK71" s="64" t="e">
        <f>+DH71/DH70</f>
        <v>#DIV/0!</v>
      </c>
      <c r="DM71" s="134">
        <f>AS71+BF71+BS71+CF71+CS71+DG71</f>
        <v>0</v>
      </c>
      <c r="DN71" s="533" t="e">
        <f>DM71/DM70</f>
        <v>#DIV/0!</v>
      </c>
    </row>
    <row r="72" spans="1:118" ht="15" hidden="1" customHeight="1" outlineLevel="1">
      <c r="A72" s="607"/>
      <c r="B72" s="559"/>
      <c r="C72" s="357" t="s">
        <v>11</v>
      </c>
      <c r="D72" s="358"/>
      <c r="E72" s="143">
        <f t="shared" ref="E72:R72" si="283">+E70-E71</f>
        <v>0</v>
      </c>
      <c r="F72" s="144">
        <f t="shared" si="283"/>
        <v>0</v>
      </c>
      <c r="G72" s="145">
        <f t="shared" si="283"/>
        <v>0</v>
      </c>
      <c r="H72" s="145">
        <f t="shared" si="283"/>
        <v>0</v>
      </c>
      <c r="I72" s="145">
        <f t="shared" si="283"/>
        <v>0</v>
      </c>
      <c r="J72" s="145">
        <f t="shared" si="283"/>
        <v>0</v>
      </c>
      <c r="K72" s="145">
        <f t="shared" si="283"/>
        <v>0</v>
      </c>
      <c r="L72" s="145">
        <f t="shared" si="283"/>
        <v>0</v>
      </c>
      <c r="M72" s="145">
        <f t="shared" si="283"/>
        <v>0</v>
      </c>
      <c r="N72" s="145">
        <f t="shared" si="283"/>
        <v>0</v>
      </c>
      <c r="O72" s="145">
        <f t="shared" si="283"/>
        <v>0</v>
      </c>
      <c r="P72" s="145">
        <f t="shared" si="283"/>
        <v>0</v>
      </c>
      <c r="Q72" s="145">
        <f t="shared" si="283"/>
        <v>0</v>
      </c>
      <c r="R72" s="146">
        <f t="shared" si="283"/>
        <v>0</v>
      </c>
      <c r="S72" s="147">
        <f t="shared" si="204"/>
        <v>0</v>
      </c>
      <c r="T72" s="148">
        <f t="shared" ref="T72:AE72" si="284">+T70-T71</f>
        <v>0</v>
      </c>
      <c r="U72" s="145">
        <f t="shared" si="284"/>
        <v>0</v>
      </c>
      <c r="V72" s="145">
        <f t="shared" si="284"/>
        <v>0</v>
      </c>
      <c r="W72" s="145">
        <f t="shared" si="284"/>
        <v>0</v>
      </c>
      <c r="X72" s="145">
        <f t="shared" si="284"/>
        <v>0</v>
      </c>
      <c r="Y72" s="145">
        <f t="shared" si="284"/>
        <v>0</v>
      </c>
      <c r="Z72" s="145">
        <f t="shared" si="284"/>
        <v>0</v>
      </c>
      <c r="AA72" s="145">
        <f t="shared" si="284"/>
        <v>0</v>
      </c>
      <c r="AB72" s="145">
        <f t="shared" si="284"/>
        <v>0</v>
      </c>
      <c r="AC72" s="145">
        <f t="shared" si="284"/>
        <v>0</v>
      </c>
      <c r="AD72" s="145">
        <f t="shared" si="284"/>
        <v>0</v>
      </c>
      <c r="AE72" s="146">
        <f t="shared" si="284"/>
        <v>0</v>
      </c>
      <c r="AF72" s="147">
        <f t="shared" si="249"/>
        <v>0</v>
      </c>
      <c r="AG72" s="148">
        <f t="shared" ref="AG72:AR72" si="285">+AG70-AG71</f>
        <v>0</v>
      </c>
      <c r="AH72" s="145">
        <f t="shared" si="285"/>
        <v>0</v>
      </c>
      <c r="AI72" s="145">
        <f t="shared" si="285"/>
        <v>0</v>
      </c>
      <c r="AJ72" s="145">
        <f t="shared" si="285"/>
        <v>0</v>
      </c>
      <c r="AK72" s="145">
        <f t="shared" si="285"/>
        <v>0</v>
      </c>
      <c r="AL72" s="145">
        <f t="shared" si="285"/>
        <v>0</v>
      </c>
      <c r="AM72" s="145">
        <f t="shared" si="285"/>
        <v>0</v>
      </c>
      <c r="AN72" s="145">
        <f t="shared" si="285"/>
        <v>0</v>
      </c>
      <c r="AO72" s="145">
        <f t="shared" si="285"/>
        <v>0</v>
      </c>
      <c r="AP72" s="145">
        <f t="shared" si="285"/>
        <v>0</v>
      </c>
      <c r="AQ72" s="145">
        <f t="shared" si="285"/>
        <v>0</v>
      </c>
      <c r="AR72" s="146">
        <f t="shared" si="285"/>
        <v>0</v>
      </c>
      <c r="AS72" s="408">
        <f t="shared" si="250"/>
        <v>0</v>
      </c>
      <c r="AT72" s="148">
        <f t="shared" ref="AT72:BE72" si="286">+AT70-AT71</f>
        <v>0</v>
      </c>
      <c r="AU72" s="145">
        <f t="shared" si="286"/>
        <v>0</v>
      </c>
      <c r="AV72" s="145">
        <f t="shared" si="286"/>
        <v>0</v>
      </c>
      <c r="AW72" s="145">
        <f t="shared" si="286"/>
        <v>0</v>
      </c>
      <c r="AX72" s="145">
        <f t="shared" si="286"/>
        <v>0</v>
      </c>
      <c r="AY72" s="145">
        <f t="shared" si="286"/>
        <v>0</v>
      </c>
      <c r="AZ72" s="145">
        <f t="shared" si="286"/>
        <v>0</v>
      </c>
      <c r="BA72" s="145">
        <f t="shared" si="286"/>
        <v>0</v>
      </c>
      <c r="BB72" s="145">
        <f t="shared" si="286"/>
        <v>0</v>
      </c>
      <c r="BC72" s="145">
        <f t="shared" si="286"/>
        <v>0</v>
      </c>
      <c r="BD72" s="145">
        <f t="shared" si="286"/>
        <v>0</v>
      </c>
      <c r="BE72" s="146">
        <f t="shared" si="286"/>
        <v>0</v>
      </c>
      <c r="BF72" s="147">
        <f t="shared" si="251"/>
        <v>0</v>
      </c>
      <c r="BG72" s="148">
        <f t="shared" ref="BG72:BR72" si="287">+BG70-BG71</f>
        <v>0</v>
      </c>
      <c r="BH72" s="145">
        <f t="shared" si="287"/>
        <v>0</v>
      </c>
      <c r="BI72" s="145">
        <f t="shared" si="287"/>
        <v>0</v>
      </c>
      <c r="BJ72" s="145">
        <f t="shared" si="287"/>
        <v>0</v>
      </c>
      <c r="BK72" s="145">
        <f t="shared" si="287"/>
        <v>0</v>
      </c>
      <c r="BL72" s="145">
        <f t="shared" si="287"/>
        <v>0</v>
      </c>
      <c r="BM72" s="145">
        <f t="shared" si="287"/>
        <v>0</v>
      </c>
      <c r="BN72" s="145">
        <f t="shared" si="287"/>
        <v>0</v>
      </c>
      <c r="BO72" s="145">
        <f t="shared" si="287"/>
        <v>0</v>
      </c>
      <c r="BP72" s="145">
        <f t="shared" si="287"/>
        <v>0</v>
      </c>
      <c r="BQ72" s="145">
        <f t="shared" si="287"/>
        <v>0</v>
      </c>
      <c r="BR72" s="146">
        <f t="shared" si="287"/>
        <v>0</v>
      </c>
      <c r="BS72" s="147">
        <f t="shared" si="252"/>
        <v>0</v>
      </c>
      <c r="BT72" s="148">
        <f t="shared" ref="BT72:CE72" si="288">+BT70-BT71</f>
        <v>0</v>
      </c>
      <c r="BU72" s="145">
        <f t="shared" si="288"/>
        <v>0</v>
      </c>
      <c r="BV72" s="145">
        <f t="shared" si="288"/>
        <v>0</v>
      </c>
      <c r="BW72" s="145">
        <f t="shared" si="288"/>
        <v>0</v>
      </c>
      <c r="BX72" s="145">
        <f t="shared" si="288"/>
        <v>0</v>
      </c>
      <c r="BY72" s="145">
        <f t="shared" si="288"/>
        <v>0</v>
      </c>
      <c r="BZ72" s="145">
        <f t="shared" si="288"/>
        <v>0</v>
      </c>
      <c r="CA72" s="145">
        <f t="shared" si="288"/>
        <v>0</v>
      </c>
      <c r="CB72" s="145">
        <f t="shared" si="288"/>
        <v>0</v>
      </c>
      <c r="CC72" s="145">
        <f t="shared" si="288"/>
        <v>0</v>
      </c>
      <c r="CD72" s="145">
        <f t="shared" si="288"/>
        <v>0</v>
      </c>
      <c r="CE72" s="146">
        <f t="shared" si="288"/>
        <v>0</v>
      </c>
      <c r="CF72" s="147">
        <f t="shared" si="97"/>
        <v>0</v>
      </c>
      <c r="CG72" s="148">
        <f t="shared" ref="CG72:CR72" si="289">+CG70-CG71</f>
        <v>0</v>
      </c>
      <c r="CH72" s="145">
        <f t="shared" si="289"/>
        <v>0</v>
      </c>
      <c r="CI72" s="145">
        <f t="shared" si="289"/>
        <v>0</v>
      </c>
      <c r="CJ72" s="145">
        <f t="shared" si="289"/>
        <v>0</v>
      </c>
      <c r="CK72" s="145">
        <f t="shared" si="289"/>
        <v>0</v>
      </c>
      <c r="CL72" s="145">
        <f t="shared" si="289"/>
        <v>0</v>
      </c>
      <c r="CM72" s="145">
        <f t="shared" si="289"/>
        <v>0</v>
      </c>
      <c r="CN72" s="145">
        <f t="shared" si="289"/>
        <v>0</v>
      </c>
      <c r="CO72" s="145">
        <f t="shared" si="289"/>
        <v>0</v>
      </c>
      <c r="CP72" s="145">
        <f t="shared" si="289"/>
        <v>0</v>
      </c>
      <c r="CQ72" s="145">
        <f t="shared" si="289"/>
        <v>0</v>
      </c>
      <c r="CR72" s="146">
        <f t="shared" si="289"/>
        <v>0</v>
      </c>
      <c r="CS72" s="147">
        <f t="shared" si="98"/>
        <v>0</v>
      </c>
      <c r="CT72" s="148">
        <f t="shared" ref="CT72:DE72" si="290">+CT70-CT71</f>
        <v>0</v>
      </c>
      <c r="CU72" s="145">
        <f t="shared" si="290"/>
        <v>0</v>
      </c>
      <c r="CV72" s="145">
        <f t="shared" si="290"/>
        <v>0</v>
      </c>
      <c r="CW72" s="145">
        <f t="shared" si="290"/>
        <v>0</v>
      </c>
      <c r="CX72" s="145">
        <f t="shared" si="290"/>
        <v>0</v>
      </c>
      <c r="CY72" s="145">
        <f t="shared" si="290"/>
        <v>0</v>
      </c>
      <c r="CZ72" s="145">
        <f t="shared" si="290"/>
        <v>0</v>
      </c>
      <c r="DA72" s="145">
        <f t="shared" si="290"/>
        <v>0</v>
      </c>
      <c r="DB72" s="145">
        <f t="shared" si="290"/>
        <v>0</v>
      </c>
      <c r="DC72" s="145">
        <f t="shared" si="290"/>
        <v>0</v>
      </c>
      <c r="DD72" s="145">
        <f t="shared" si="290"/>
        <v>0</v>
      </c>
      <c r="DE72" s="146">
        <f t="shared" si="290"/>
        <v>0</v>
      </c>
      <c r="DF72" s="147">
        <f t="shared" si="99"/>
        <v>0</v>
      </c>
      <c r="DG72" s="146">
        <f>+DG70-DG71</f>
        <v>0</v>
      </c>
      <c r="DH72" s="98">
        <f t="shared" si="253"/>
        <v>0</v>
      </c>
      <c r="DI72" s="99">
        <f t="shared" si="254"/>
        <v>0</v>
      </c>
      <c r="DJ72" s="100">
        <f t="shared" si="255"/>
        <v>0</v>
      </c>
    </row>
    <row r="73" spans="1:118" ht="15" hidden="1" customHeight="1" outlineLevel="1">
      <c r="A73" s="607"/>
      <c r="B73" s="557" t="s">
        <v>207</v>
      </c>
      <c r="C73" s="246" t="s">
        <v>62</v>
      </c>
      <c r="D73" s="183" t="s">
        <v>122</v>
      </c>
      <c r="E73" s="153">
        <f>AF73+AS73+BF73+BS73+CF73+CS73+DF73+S73+DG73</f>
        <v>0</v>
      </c>
      <c r="F73" s="153"/>
      <c r="G73" s="154"/>
      <c r="H73" s="155"/>
      <c r="I73" s="155"/>
      <c r="J73" s="155"/>
      <c r="K73" s="155"/>
      <c r="L73" s="155"/>
      <c r="M73" s="155"/>
      <c r="N73" s="155"/>
      <c r="O73" s="155"/>
      <c r="P73" s="155"/>
      <c r="Q73" s="155"/>
      <c r="R73" s="284"/>
      <c r="S73" s="157">
        <f t="shared" si="204"/>
        <v>0</v>
      </c>
      <c r="T73" s="378"/>
      <c r="U73" s="382"/>
      <c r="V73" s="382"/>
      <c r="W73" s="382"/>
      <c r="X73" s="382"/>
      <c r="Y73" s="382"/>
      <c r="Z73" s="382"/>
      <c r="AA73" s="382"/>
      <c r="AB73" s="382"/>
      <c r="AC73" s="382"/>
      <c r="AD73" s="382"/>
      <c r="AE73" s="481"/>
      <c r="AF73" s="157">
        <f t="shared" si="249"/>
        <v>0</v>
      </c>
      <c r="AG73" s="500"/>
      <c r="AH73" s="513"/>
      <c r="AI73" s="513"/>
      <c r="AJ73" s="513"/>
      <c r="AK73" s="513"/>
      <c r="AL73" s="513"/>
      <c r="AM73" s="513"/>
      <c r="AN73" s="513"/>
      <c r="AO73" s="513"/>
      <c r="AP73" s="513"/>
      <c r="AQ73" s="513"/>
      <c r="AR73" s="512"/>
      <c r="AS73" s="409">
        <f t="shared" si="250"/>
        <v>0</v>
      </c>
      <c r="AT73" s="500"/>
      <c r="AU73" s="513"/>
      <c r="AV73" s="513"/>
      <c r="AW73" s="155"/>
      <c r="AX73" s="155"/>
      <c r="AY73" s="155"/>
      <c r="AZ73" s="155"/>
      <c r="BA73" s="155"/>
      <c r="BB73" s="155"/>
      <c r="BC73" s="155"/>
      <c r="BD73" s="155"/>
      <c r="BE73" s="285"/>
      <c r="BF73" s="157">
        <f t="shared" si="251"/>
        <v>0</v>
      </c>
      <c r="BG73" s="359"/>
      <c r="BH73" s="283"/>
      <c r="BI73" s="283"/>
      <c r="BJ73" s="283"/>
      <c r="BK73" s="283"/>
      <c r="BL73" s="283"/>
      <c r="BM73" s="283"/>
      <c r="BN73" s="283"/>
      <c r="BO73" s="283"/>
      <c r="BP73" s="283"/>
      <c r="BQ73" s="283"/>
      <c r="BR73" s="285"/>
      <c r="BS73" s="157">
        <f t="shared" si="252"/>
        <v>0</v>
      </c>
      <c r="BT73" s="359"/>
      <c r="BU73" s="283"/>
      <c r="BV73" s="283"/>
      <c r="BW73" s="283"/>
      <c r="BX73" s="283"/>
      <c r="BY73" s="283"/>
      <c r="BZ73" s="283"/>
      <c r="CA73" s="283"/>
      <c r="CB73" s="283"/>
      <c r="CC73" s="283"/>
      <c r="CD73" s="283"/>
      <c r="CE73" s="285"/>
      <c r="CF73" s="157">
        <f t="shared" si="97"/>
        <v>0</v>
      </c>
      <c r="CG73" s="359"/>
      <c r="CH73" s="283"/>
      <c r="CI73" s="283"/>
      <c r="CJ73" s="283"/>
      <c r="CK73" s="283"/>
      <c r="CL73" s="283"/>
      <c r="CM73" s="283"/>
      <c r="CN73" s="283"/>
      <c r="CO73" s="283"/>
      <c r="CP73" s="283"/>
      <c r="CQ73" s="283"/>
      <c r="CR73" s="285"/>
      <c r="CS73" s="157">
        <f t="shared" si="98"/>
        <v>0</v>
      </c>
      <c r="CT73" s="359"/>
      <c r="CU73" s="283"/>
      <c r="CV73" s="283"/>
      <c r="CW73" s="283"/>
      <c r="CX73" s="283"/>
      <c r="CY73" s="283"/>
      <c r="CZ73" s="283"/>
      <c r="DA73" s="283"/>
      <c r="DB73" s="283"/>
      <c r="DC73" s="283"/>
      <c r="DD73" s="283"/>
      <c r="DE73" s="285"/>
      <c r="DF73" s="157">
        <f t="shared" si="99"/>
        <v>0</v>
      </c>
      <c r="DG73" s="280"/>
      <c r="DH73" s="159">
        <f t="shared" si="253"/>
        <v>0</v>
      </c>
      <c r="DI73" s="160">
        <f t="shared" si="254"/>
        <v>0</v>
      </c>
      <c r="DJ73" s="161">
        <f t="shared" si="255"/>
        <v>0</v>
      </c>
      <c r="DM73" s="134">
        <f>AS73+BF73+BS73+CF73+CS73+DG73</f>
        <v>0</v>
      </c>
    </row>
    <row r="74" spans="1:118" ht="15" hidden="1" customHeight="1" outlineLevel="1">
      <c r="A74" s="607"/>
      <c r="B74" s="558"/>
      <c r="C74" s="245" t="s">
        <v>63</v>
      </c>
      <c r="D74" s="184" t="s">
        <v>124</v>
      </c>
      <c r="E74" s="136">
        <f>AF74+AS74+BF74+BS74+CF74+CS74+DF74+S74+DG74</f>
        <v>0</v>
      </c>
      <c r="F74" s="136"/>
      <c r="G74" s="137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9"/>
      <c r="S74" s="162">
        <f t="shared" si="204"/>
        <v>0</v>
      </c>
      <c r="T74" s="380"/>
      <c r="U74" s="381"/>
      <c r="V74" s="381"/>
      <c r="W74" s="381"/>
      <c r="X74" s="381"/>
      <c r="Y74" s="381"/>
      <c r="Z74" s="381"/>
      <c r="AA74" s="381"/>
      <c r="AB74" s="381"/>
      <c r="AC74" s="381"/>
      <c r="AD74" s="381"/>
      <c r="AE74" s="392"/>
      <c r="AF74" s="162">
        <f t="shared" si="249"/>
        <v>0</v>
      </c>
      <c r="AG74" s="501"/>
      <c r="AH74" s="499"/>
      <c r="AI74" s="499"/>
      <c r="AJ74" s="499"/>
      <c r="AK74" s="499"/>
      <c r="AL74" s="499"/>
      <c r="AM74" s="499"/>
      <c r="AN74" s="499"/>
      <c r="AO74" s="499"/>
      <c r="AP74" s="499"/>
      <c r="AQ74" s="499"/>
      <c r="AR74" s="511"/>
      <c r="AS74" s="410">
        <f t="shared" si="250"/>
        <v>0</v>
      </c>
      <c r="AT74" s="501"/>
      <c r="AU74" s="499"/>
      <c r="AV74" s="499"/>
      <c r="AW74" s="138"/>
      <c r="AX74" s="138"/>
      <c r="AY74" s="138"/>
      <c r="AZ74" s="138"/>
      <c r="BA74" s="138"/>
      <c r="BB74" s="138"/>
      <c r="BC74" s="138"/>
      <c r="BD74" s="138"/>
      <c r="BE74" s="338"/>
      <c r="BF74" s="162">
        <f t="shared" si="251"/>
        <v>0</v>
      </c>
      <c r="BG74" s="353"/>
      <c r="BH74" s="253"/>
      <c r="BI74" s="253"/>
      <c r="BJ74" s="253"/>
      <c r="BK74" s="253"/>
      <c r="BL74" s="253"/>
      <c r="BM74" s="253"/>
      <c r="BN74" s="253"/>
      <c r="BO74" s="253"/>
      <c r="BP74" s="253"/>
      <c r="BQ74" s="253"/>
      <c r="BR74" s="338"/>
      <c r="BS74" s="162">
        <f t="shared" si="252"/>
        <v>0</v>
      </c>
      <c r="BT74" s="353"/>
      <c r="BU74" s="253"/>
      <c r="BV74" s="253"/>
      <c r="BW74" s="253"/>
      <c r="BX74" s="253"/>
      <c r="BY74" s="253"/>
      <c r="BZ74" s="253"/>
      <c r="CA74" s="253"/>
      <c r="CB74" s="253"/>
      <c r="CC74" s="253"/>
      <c r="CD74" s="253"/>
      <c r="CE74" s="338"/>
      <c r="CF74" s="162">
        <f t="shared" si="97"/>
        <v>0</v>
      </c>
      <c r="CG74" s="353"/>
      <c r="CH74" s="353"/>
      <c r="CI74" s="353"/>
      <c r="CJ74" s="353"/>
      <c r="CK74" s="353"/>
      <c r="CL74" s="253"/>
      <c r="CM74" s="253"/>
      <c r="CN74" s="253"/>
      <c r="CO74" s="253"/>
      <c r="CP74" s="253"/>
      <c r="CQ74" s="253"/>
      <c r="CR74" s="338"/>
      <c r="CS74" s="162">
        <f t="shared" si="98"/>
        <v>0</v>
      </c>
      <c r="CT74" s="353"/>
      <c r="CU74" s="353"/>
      <c r="CV74" s="353"/>
      <c r="CW74" s="353"/>
      <c r="CX74" s="353"/>
      <c r="CY74" s="253"/>
      <c r="CZ74" s="253"/>
      <c r="DA74" s="253"/>
      <c r="DB74" s="253"/>
      <c r="DC74" s="253"/>
      <c r="DD74" s="253"/>
      <c r="DE74" s="338"/>
      <c r="DF74" s="162">
        <f t="shared" si="99"/>
        <v>0</v>
      </c>
      <c r="DG74" s="279"/>
      <c r="DH74" s="90">
        <f t="shared" si="253"/>
        <v>0</v>
      </c>
      <c r="DI74" s="91">
        <f t="shared" si="254"/>
        <v>0</v>
      </c>
      <c r="DJ74" s="92">
        <f t="shared" si="255"/>
        <v>0</v>
      </c>
      <c r="DK74" s="64" t="e">
        <f>+DH74/DH73</f>
        <v>#DIV/0!</v>
      </c>
      <c r="DM74" s="134">
        <f>AS74+BF74+BS74+CF74+CS74+DG74</f>
        <v>0</v>
      </c>
      <c r="DN74" s="533" t="e">
        <f>DM74/DM73</f>
        <v>#DIV/0!</v>
      </c>
    </row>
    <row r="75" spans="1:118" ht="15" hidden="1" customHeight="1" outlineLevel="1">
      <c r="A75" s="607"/>
      <c r="B75" s="559"/>
      <c r="C75" s="357" t="s">
        <v>11</v>
      </c>
      <c r="D75" s="358"/>
      <c r="E75" s="143">
        <f t="shared" ref="E75:R75" si="291">+E73-E74</f>
        <v>0</v>
      </c>
      <c r="F75" s="144">
        <f t="shared" si="291"/>
        <v>0</v>
      </c>
      <c r="G75" s="145">
        <f t="shared" si="291"/>
        <v>0</v>
      </c>
      <c r="H75" s="145">
        <f t="shared" si="291"/>
        <v>0</v>
      </c>
      <c r="I75" s="145">
        <f t="shared" si="291"/>
        <v>0</v>
      </c>
      <c r="J75" s="145">
        <f t="shared" si="291"/>
        <v>0</v>
      </c>
      <c r="K75" s="145">
        <f t="shared" si="291"/>
        <v>0</v>
      </c>
      <c r="L75" s="145">
        <f t="shared" si="291"/>
        <v>0</v>
      </c>
      <c r="M75" s="145">
        <f t="shared" si="291"/>
        <v>0</v>
      </c>
      <c r="N75" s="145">
        <f t="shared" si="291"/>
        <v>0</v>
      </c>
      <c r="O75" s="145">
        <f t="shared" si="291"/>
        <v>0</v>
      </c>
      <c r="P75" s="145">
        <f t="shared" si="291"/>
        <v>0</v>
      </c>
      <c r="Q75" s="145">
        <f t="shared" si="291"/>
        <v>0</v>
      </c>
      <c r="R75" s="146">
        <f t="shared" si="291"/>
        <v>0</v>
      </c>
      <c r="S75" s="147">
        <f t="shared" si="204"/>
        <v>0</v>
      </c>
      <c r="T75" s="148">
        <f t="shared" ref="T75:AE75" si="292">+T73-T74</f>
        <v>0</v>
      </c>
      <c r="U75" s="145">
        <f t="shared" si="292"/>
        <v>0</v>
      </c>
      <c r="V75" s="145">
        <f t="shared" si="292"/>
        <v>0</v>
      </c>
      <c r="W75" s="145">
        <f t="shared" si="292"/>
        <v>0</v>
      </c>
      <c r="X75" s="145">
        <f t="shared" si="292"/>
        <v>0</v>
      </c>
      <c r="Y75" s="145">
        <f t="shared" si="292"/>
        <v>0</v>
      </c>
      <c r="Z75" s="145">
        <f t="shared" si="292"/>
        <v>0</v>
      </c>
      <c r="AA75" s="145">
        <f t="shared" si="292"/>
        <v>0</v>
      </c>
      <c r="AB75" s="145">
        <f t="shared" si="292"/>
        <v>0</v>
      </c>
      <c r="AC75" s="145">
        <f t="shared" si="292"/>
        <v>0</v>
      </c>
      <c r="AD75" s="145">
        <f t="shared" si="292"/>
        <v>0</v>
      </c>
      <c r="AE75" s="146">
        <f t="shared" si="292"/>
        <v>0</v>
      </c>
      <c r="AF75" s="147">
        <f t="shared" si="249"/>
        <v>0</v>
      </c>
      <c r="AG75" s="148">
        <f t="shared" ref="AG75:AR75" si="293">+AG73-AG74</f>
        <v>0</v>
      </c>
      <c r="AH75" s="145">
        <f t="shared" si="293"/>
        <v>0</v>
      </c>
      <c r="AI75" s="145">
        <f t="shared" si="293"/>
        <v>0</v>
      </c>
      <c r="AJ75" s="145">
        <f t="shared" si="293"/>
        <v>0</v>
      </c>
      <c r="AK75" s="145">
        <f t="shared" si="293"/>
        <v>0</v>
      </c>
      <c r="AL75" s="145">
        <f t="shared" si="293"/>
        <v>0</v>
      </c>
      <c r="AM75" s="145">
        <f t="shared" si="293"/>
        <v>0</v>
      </c>
      <c r="AN75" s="145">
        <f t="shared" si="293"/>
        <v>0</v>
      </c>
      <c r="AO75" s="145">
        <f t="shared" si="293"/>
        <v>0</v>
      </c>
      <c r="AP75" s="145">
        <f t="shared" si="293"/>
        <v>0</v>
      </c>
      <c r="AQ75" s="145">
        <f t="shared" si="293"/>
        <v>0</v>
      </c>
      <c r="AR75" s="146">
        <f t="shared" si="293"/>
        <v>0</v>
      </c>
      <c r="AS75" s="408">
        <f t="shared" si="250"/>
        <v>0</v>
      </c>
      <c r="AT75" s="148">
        <f t="shared" ref="AT75:BE75" si="294">+AT73-AT74</f>
        <v>0</v>
      </c>
      <c r="AU75" s="145">
        <f t="shared" si="294"/>
        <v>0</v>
      </c>
      <c r="AV75" s="145">
        <f t="shared" si="294"/>
        <v>0</v>
      </c>
      <c r="AW75" s="145">
        <f t="shared" si="294"/>
        <v>0</v>
      </c>
      <c r="AX75" s="145">
        <f t="shared" si="294"/>
        <v>0</v>
      </c>
      <c r="AY75" s="145">
        <f t="shared" si="294"/>
        <v>0</v>
      </c>
      <c r="AZ75" s="145">
        <f t="shared" si="294"/>
        <v>0</v>
      </c>
      <c r="BA75" s="145">
        <f t="shared" si="294"/>
        <v>0</v>
      </c>
      <c r="BB75" s="145">
        <f t="shared" si="294"/>
        <v>0</v>
      </c>
      <c r="BC75" s="145">
        <f t="shared" si="294"/>
        <v>0</v>
      </c>
      <c r="BD75" s="145">
        <f t="shared" si="294"/>
        <v>0</v>
      </c>
      <c r="BE75" s="146">
        <f t="shared" si="294"/>
        <v>0</v>
      </c>
      <c r="BF75" s="147">
        <f t="shared" si="251"/>
        <v>0</v>
      </c>
      <c r="BG75" s="148">
        <f t="shared" ref="BG75:BR75" si="295">+BG73-BG74</f>
        <v>0</v>
      </c>
      <c r="BH75" s="145">
        <f t="shared" si="295"/>
        <v>0</v>
      </c>
      <c r="BI75" s="145">
        <f t="shared" si="295"/>
        <v>0</v>
      </c>
      <c r="BJ75" s="145">
        <f t="shared" si="295"/>
        <v>0</v>
      </c>
      <c r="BK75" s="145">
        <f t="shared" si="295"/>
        <v>0</v>
      </c>
      <c r="BL75" s="145">
        <f t="shared" si="295"/>
        <v>0</v>
      </c>
      <c r="BM75" s="145">
        <f t="shared" si="295"/>
        <v>0</v>
      </c>
      <c r="BN75" s="145">
        <f t="shared" si="295"/>
        <v>0</v>
      </c>
      <c r="BO75" s="145">
        <f t="shared" si="295"/>
        <v>0</v>
      </c>
      <c r="BP75" s="145">
        <f t="shared" si="295"/>
        <v>0</v>
      </c>
      <c r="BQ75" s="145">
        <f t="shared" si="295"/>
        <v>0</v>
      </c>
      <c r="BR75" s="146">
        <f t="shared" si="295"/>
        <v>0</v>
      </c>
      <c r="BS75" s="147">
        <f t="shared" si="252"/>
        <v>0</v>
      </c>
      <c r="BT75" s="148">
        <f t="shared" ref="BT75:CE75" si="296">+BT73-BT74</f>
        <v>0</v>
      </c>
      <c r="BU75" s="145">
        <f t="shared" si="296"/>
        <v>0</v>
      </c>
      <c r="BV75" s="145">
        <f t="shared" si="296"/>
        <v>0</v>
      </c>
      <c r="BW75" s="145">
        <f t="shared" si="296"/>
        <v>0</v>
      </c>
      <c r="BX75" s="145">
        <f t="shared" si="296"/>
        <v>0</v>
      </c>
      <c r="BY75" s="145">
        <f t="shared" si="296"/>
        <v>0</v>
      </c>
      <c r="BZ75" s="145">
        <f t="shared" si="296"/>
        <v>0</v>
      </c>
      <c r="CA75" s="145">
        <f t="shared" si="296"/>
        <v>0</v>
      </c>
      <c r="CB75" s="145">
        <f t="shared" si="296"/>
        <v>0</v>
      </c>
      <c r="CC75" s="145">
        <f t="shared" si="296"/>
        <v>0</v>
      </c>
      <c r="CD75" s="145">
        <f t="shared" si="296"/>
        <v>0</v>
      </c>
      <c r="CE75" s="146">
        <f t="shared" si="296"/>
        <v>0</v>
      </c>
      <c r="CF75" s="147">
        <f t="shared" si="97"/>
        <v>0</v>
      </c>
      <c r="CG75" s="148">
        <f t="shared" ref="CG75:CR75" si="297">+CG73-CG74</f>
        <v>0</v>
      </c>
      <c r="CH75" s="145">
        <f t="shared" si="297"/>
        <v>0</v>
      </c>
      <c r="CI75" s="145">
        <f t="shared" si="297"/>
        <v>0</v>
      </c>
      <c r="CJ75" s="145">
        <f t="shared" si="297"/>
        <v>0</v>
      </c>
      <c r="CK75" s="145">
        <f t="shared" si="297"/>
        <v>0</v>
      </c>
      <c r="CL75" s="145">
        <f t="shared" si="297"/>
        <v>0</v>
      </c>
      <c r="CM75" s="145">
        <f t="shared" si="297"/>
        <v>0</v>
      </c>
      <c r="CN75" s="145">
        <f t="shared" si="297"/>
        <v>0</v>
      </c>
      <c r="CO75" s="145">
        <f t="shared" si="297"/>
        <v>0</v>
      </c>
      <c r="CP75" s="145">
        <f t="shared" si="297"/>
        <v>0</v>
      </c>
      <c r="CQ75" s="145">
        <f t="shared" si="297"/>
        <v>0</v>
      </c>
      <c r="CR75" s="146">
        <f t="shared" si="297"/>
        <v>0</v>
      </c>
      <c r="CS75" s="147">
        <f t="shared" si="98"/>
        <v>0</v>
      </c>
      <c r="CT75" s="148">
        <f t="shared" ref="CT75:DE75" si="298">+CT73-CT74</f>
        <v>0</v>
      </c>
      <c r="CU75" s="145">
        <f t="shared" si="298"/>
        <v>0</v>
      </c>
      <c r="CV75" s="145">
        <f t="shared" si="298"/>
        <v>0</v>
      </c>
      <c r="CW75" s="145">
        <f t="shared" si="298"/>
        <v>0</v>
      </c>
      <c r="CX75" s="145">
        <f t="shared" si="298"/>
        <v>0</v>
      </c>
      <c r="CY75" s="145">
        <f t="shared" si="298"/>
        <v>0</v>
      </c>
      <c r="CZ75" s="145">
        <f t="shared" si="298"/>
        <v>0</v>
      </c>
      <c r="DA75" s="145">
        <f t="shared" si="298"/>
        <v>0</v>
      </c>
      <c r="DB75" s="145">
        <f t="shared" si="298"/>
        <v>0</v>
      </c>
      <c r="DC75" s="145">
        <f t="shared" si="298"/>
        <v>0</v>
      </c>
      <c r="DD75" s="145">
        <f t="shared" si="298"/>
        <v>0</v>
      </c>
      <c r="DE75" s="146">
        <f t="shared" si="298"/>
        <v>0</v>
      </c>
      <c r="DF75" s="147">
        <f t="shared" si="99"/>
        <v>0</v>
      </c>
      <c r="DG75" s="146">
        <f>+DG73-DG74</f>
        <v>0</v>
      </c>
      <c r="DH75" s="98">
        <f t="shared" si="253"/>
        <v>0</v>
      </c>
      <c r="DI75" s="99">
        <f t="shared" si="254"/>
        <v>0</v>
      </c>
      <c r="DJ75" s="100">
        <f t="shared" si="255"/>
        <v>0</v>
      </c>
    </row>
    <row r="76" spans="1:118" ht="15" hidden="1" customHeight="1" outlineLevel="1">
      <c r="A76" s="607"/>
      <c r="B76" s="557" t="s">
        <v>208</v>
      </c>
      <c r="C76" s="246" t="s">
        <v>62</v>
      </c>
      <c r="D76" s="183" t="s">
        <v>122</v>
      </c>
      <c r="E76" s="153">
        <f>AF76+AS76+BF76+BS76+CF76+CS76+DF76+S76+DG76</f>
        <v>0</v>
      </c>
      <c r="F76" s="153"/>
      <c r="G76" s="154"/>
      <c r="H76" s="155"/>
      <c r="I76" s="155"/>
      <c r="J76" s="155"/>
      <c r="K76" s="155"/>
      <c r="L76" s="155"/>
      <c r="M76" s="155"/>
      <c r="N76" s="155"/>
      <c r="O76" s="155"/>
      <c r="P76" s="155"/>
      <c r="Q76" s="155"/>
      <c r="R76" s="284"/>
      <c r="S76" s="157">
        <f t="shared" si="204"/>
        <v>0</v>
      </c>
      <c r="T76" s="378"/>
      <c r="U76" s="382"/>
      <c r="V76" s="382"/>
      <c r="W76" s="382"/>
      <c r="X76" s="382"/>
      <c r="Y76" s="382"/>
      <c r="Z76" s="382"/>
      <c r="AA76" s="382"/>
      <c r="AB76" s="382"/>
      <c r="AC76" s="382"/>
      <c r="AD76" s="382"/>
      <c r="AE76" s="481"/>
      <c r="AF76" s="157">
        <f t="shared" ref="AF76:AF81" si="299">SUM(T76:AE76)</f>
        <v>0</v>
      </c>
      <c r="AG76" s="500"/>
      <c r="AH76" s="513"/>
      <c r="AI76" s="513"/>
      <c r="AJ76" s="513"/>
      <c r="AK76" s="513"/>
      <c r="AL76" s="513"/>
      <c r="AM76" s="513"/>
      <c r="AN76" s="513"/>
      <c r="AO76" s="513"/>
      <c r="AP76" s="513"/>
      <c r="AQ76" s="513"/>
      <c r="AR76" s="512"/>
      <c r="AS76" s="409">
        <f t="shared" ref="AS76:AS81" si="300">SUM(AG76:AR76)</f>
        <v>0</v>
      </c>
      <c r="AT76" s="500"/>
      <c r="AU76" s="513"/>
      <c r="AV76" s="513"/>
      <c r="AW76" s="155"/>
      <c r="AX76" s="155"/>
      <c r="AY76" s="155"/>
      <c r="AZ76" s="155"/>
      <c r="BA76" s="155"/>
      <c r="BB76" s="155"/>
      <c r="BC76" s="155"/>
      <c r="BD76" s="155"/>
      <c r="BE76" s="156"/>
      <c r="BF76" s="157">
        <f t="shared" ref="BF76:BF81" si="301">SUM(AT76:BE76)</f>
        <v>0</v>
      </c>
      <c r="BG76" s="158"/>
      <c r="BH76" s="155"/>
      <c r="BI76" s="155"/>
      <c r="BJ76" s="155"/>
      <c r="BK76" s="155"/>
      <c r="BL76" s="155"/>
      <c r="BM76" s="155"/>
      <c r="BN76" s="155"/>
      <c r="BO76" s="155"/>
      <c r="BP76" s="155"/>
      <c r="BQ76" s="155"/>
      <c r="BR76" s="156"/>
      <c r="BS76" s="157">
        <f t="shared" ref="BS76:BS81" si="302">SUM(BG76:BR76)</f>
        <v>0</v>
      </c>
      <c r="BT76" s="158"/>
      <c r="BU76" s="155"/>
      <c r="BV76" s="155"/>
      <c r="BW76" s="155"/>
      <c r="BX76" s="155"/>
      <c r="BY76" s="155"/>
      <c r="BZ76" s="155"/>
      <c r="CA76" s="155"/>
      <c r="CB76" s="155"/>
      <c r="CC76" s="155"/>
      <c r="CD76" s="155"/>
      <c r="CE76" s="156"/>
      <c r="CF76" s="157">
        <f t="shared" si="97"/>
        <v>0</v>
      </c>
      <c r="CG76" s="158"/>
      <c r="CH76" s="155"/>
      <c r="CI76" s="155"/>
      <c r="CJ76" s="155"/>
      <c r="CK76" s="155"/>
      <c r="CL76" s="155"/>
      <c r="CM76" s="155"/>
      <c r="CN76" s="155"/>
      <c r="CO76" s="155"/>
      <c r="CP76" s="155"/>
      <c r="CQ76" s="155"/>
      <c r="CR76" s="156"/>
      <c r="CS76" s="157">
        <f t="shared" si="98"/>
        <v>0</v>
      </c>
      <c r="CT76" s="158"/>
      <c r="CU76" s="155"/>
      <c r="CV76" s="155"/>
      <c r="CW76" s="155"/>
      <c r="CX76" s="155"/>
      <c r="CY76" s="155"/>
      <c r="CZ76" s="155"/>
      <c r="DA76" s="155"/>
      <c r="DB76" s="155"/>
      <c r="DC76" s="155"/>
      <c r="DD76" s="155"/>
      <c r="DE76" s="156"/>
      <c r="DF76" s="157">
        <f t="shared" si="99"/>
        <v>0</v>
      </c>
      <c r="DG76" s="280"/>
      <c r="DH76" s="159">
        <f t="shared" ref="DH76:DH81" si="303">+F76+S76+AF76+AS76+BF76+BS76+DG76</f>
        <v>0</v>
      </c>
      <c r="DI76" s="160">
        <f t="shared" ref="DI76:DI81" si="304">+E76</f>
        <v>0</v>
      </c>
      <c r="DJ76" s="161">
        <f t="shared" ref="DJ76:DJ81" si="305">+DI76-DH76</f>
        <v>0</v>
      </c>
      <c r="DM76" s="134">
        <f>AS76+BF76+BS76+CF76+CS76+DG76</f>
        <v>0</v>
      </c>
    </row>
    <row r="77" spans="1:118" ht="15" hidden="1" customHeight="1" outlineLevel="1">
      <c r="A77" s="607"/>
      <c r="B77" s="558"/>
      <c r="C77" s="245" t="s">
        <v>63</v>
      </c>
      <c r="D77" s="184" t="s">
        <v>124</v>
      </c>
      <c r="E77" s="136">
        <f>AF77+AS77+BF77+BS77+CF77+CS77+DF77+S77+DG77</f>
        <v>0</v>
      </c>
      <c r="F77" s="136"/>
      <c r="G77" s="137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9"/>
      <c r="S77" s="162">
        <f t="shared" si="204"/>
        <v>0</v>
      </c>
      <c r="T77" s="380"/>
      <c r="U77" s="381"/>
      <c r="V77" s="381"/>
      <c r="W77" s="381"/>
      <c r="X77" s="381"/>
      <c r="Y77" s="381"/>
      <c r="Z77" s="381"/>
      <c r="AA77" s="381"/>
      <c r="AB77" s="381"/>
      <c r="AC77" s="381"/>
      <c r="AD77" s="381"/>
      <c r="AE77" s="392"/>
      <c r="AF77" s="162">
        <f t="shared" si="299"/>
        <v>0</v>
      </c>
      <c r="AG77" s="501"/>
      <c r="AH77" s="499"/>
      <c r="AI77" s="499"/>
      <c r="AJ77" s="499"/>
      <c r="AK77" s="499"/>
      <c r="AL77" s="499"/>
      <c r="AM77" s="499"/>
      <c r="AN77" s="499"/>
      <c r="AO77" s="499"/>
      <c r="AP77" s="499"/>
      <c r="AQ77" s="499"/>
      <c r="AR77" s="511"/>
      <c r="AS77" s="410">
        <f t="shared" si="300"/>
        <v>0</v>
      </c>
      <c r="AT77" s="501"/>
      <c r="AU77" s="499"/>
      <c r="AV77" s="499"/>
      <c r="AW77" s="138"/>
      <c r="AX77" s="138"/>
      <c r="AY77" s="138"/>
      <c r="AZ77" s="138"/>
      <c r="BA77" s="138"/>
      <c r="BB77" s="138"/>
      <c r="BC77" s="138"/>
      <c r="BD77" s="138"/>
      <c r="BE77" s="139"/>
      <c r="BF77" s="162">
        <f t="shared" si="301"/>
        <v>0</v>
      </c>
      <c r="BG77" s="141"/>
      <c r="BH77" s="138"/>
      <c r="BI77" s="138"/>
      <c r="BJ77" s="138"/>
      <c r="BK77" s="138"/>
      <c r="BL77" s="138"/>
      <c r="BM77" s="138"/>
      <c r="BN77" s="138"/>
      <c r="BO77" s="138"/>
      <c r="BP77" s="138"/>
      <c r="BQ77" s="138"/>
      <c r="BR77" s="139"/>
      <c r="BS77" s="162">
        <f t="shared" si="302"/>
        <v>0</v>
      </c>
      <c r="BT77" s="141"/>
      <c r="BU77" s="138"/>
      <c r="BV77" s="138"/>
      <c r="BW77" s="138"/>
      <c r="BX77" s="138"/>
      <c r="BY77" s="138"/>
      <c r="BZ77" s="138"/>
      <c r="CA77" s="138"/>
      <c r="CB77" s="138"/>
      <c r="CC77" s="138"/>
      <c r="CD77" s="138"/>
      <c r="CE77" s="139"/>
      <c r="CF77" s="162">
        <f t="shared" si="97"/>
        <v>0</v>
      </c>
      <c r="CG77" s="141"/>
      <c r="CH77" s="138"/>
      <c r="CI77" s="138"/>
      <c r="CJ77" s="138"/>
      <c r="CK77" s="138"/>
      <c r="CL77" s="138"/>
      <c r="CM77" s="138"/>
      <c r="CN77" s="138"/>
      <c r="CO77" s="138"/>
      <c r="CP77" s="138"/>
      <c r="CQ77" s="138"/>
      <c r="CR77" s="139"/>
      <c r="CS77" s="162">
        <f t="shared" si="98"/>
        <v>0</v>
      </c>
      <c r="CT77" s="141"/>
      <c r="CU77" s="138"/>
      <c r="CV77" s="138"/>
      <c r="CW77" s="138"/>
      <c r="CX77" s="138"/>
      <c r="CY77" s="138"/>
      <c r="CZ77" s="138"/>
      <c r="DA77" s="138"/>
      <c r="DB77" s="138"/>
      <c r="DC77" s="138"/>
      <c r="DD77" s="138"/>
      <c r="DE77" s="139"/>
      <c r="DF77" s="162">
        <f t="shared" si="99"/>
        <v>0</v>
      </c>
      <c r="DG77" s="279"/>
      <c r="DH77" s="90">
        <f t="shared" si="303"/>
        <v>0</v>
      </c>
      <c r="DI77" s="91">
        <f t="shared" si="304"/>
        <v>0</v>
      </c>
      <c r="DJ77" s="92">
        <f t="shared" si="305"/>
        <v>0</v>
      </c>
      <c r="DK77" s="64" t="e">
        <f>+DH77/DH76</f>
        <v>#DIV/0!</v>
      </c>
      <c r="DM77" s="134">
        <f>AS77+BF77+BS77+CF77+CS77+DG77</f>
        <v>0</v>
      </c>
      <c r="DN77" s="533" t="e">
        <f>DM77/DM76</f>
        <v>#DIV/0!</v>
      </c>
    </row>
    <row r="78" spans="1:118" ht="15" hidden="1" customHeight="1" outlineLevel="1">
      <c r="A78" s="607"/>
      <c r="B78" s="559"/>
      <c r="C78" s="357" t="s">
        <v>11</v>
      </c>
      <c r="D78" s="358"/>
      <c r="E78" s="143">
        <f t="shared" ref="E78:R78" si="306">+E76-E77</f>
        <v>0</v>
      </c>
      <c r="F78" s="144">
        <f t="shared" si="306"/>
        <v>0</v>
      </c>
      <c r="G78" s="145">
        <f t="shared" si="306"/>
        <v>0</v>
      </c>
      <c r="H78" s="145">
        <f t="shared" si="306"/>
        <v>0</v>
      </c>
      <c r="I78" s="145">
        <f t="shared" si="306"/>
        <v>0</v>
      </c>
      <c r="J78" s="145">
        <f t="shared" si="306"/>
        <v>0</v>
      </c>
      <c r="K78" s="145">
        <f t="shared" si="306"/>
        <v>0</v>
      </c>
      <c r="L78" s="145">
        <f t="shared" si="306"/>
        <v>0</v>
      </c>
      <c r="M78" s="145">
        <f t="shared" si="306"/>
        <v>0</v>
      </c>
      <c r="N78" s="145">
        <f t="shared" si="306"/>
        <v>0</v>
      </c>
      <c r="O78" s="145">
        <f t="shared" si="306"/>
        <v>0</v>
      </c>
      <c r="P78" s="145">
        <f t="shared" si="306"/>
        <v>0</v>
      </c>
      <c r="Q78" s="145">
        <f t="shared" si="306"/>
        <v>0</v>
      </c>
      <c r="R78" s="146">
        <f t="shared" si="306"/>
        <v>0</v>
      </c>
      <c r="S78" s="147">
        <f t="shared" si="204"/>
        <v>0</v>
      </c>
      <c r="T78" s="148">
        <f t="shared" ref="T78:AE78" si="307">+T76-T77</f>
        <v>0</v>
      </c>
      <c r="U78" s="145">
        <f t="shared" si="307"/>
        <v>0</v>
      </c>
      <c r="V78" s="145">
        <f t="shared" si="307"/>
        <v>0</v>
      </c>
      <c r="W78" s="145">
        <f t="shared" si="307"/>
        <v>0</v>
      </c>
      <c r="X78" s="145">
        <f t="shared" si="307"/>
        <v>0</v>
      </c>
      <c r="Y78" s="145">
        <f t="shared" si="307"/>
        <v>0</v>
      </c>
      <c r="Z78" s="145">
        <f t="shared" si="307"/>
        <v>0</v>
      </c>
      <c r="AA78" s="145">
        <f t="shared" si="307"/>
        <v>0</v>
      </c>
      <c r="AB78" s="145">
        <f t="shared" si="307"/>
        <v>0</v>
      </c>
      <c r="AC78" s="145">
        <f t="shared" si="307"/>
        <v>0</v>
      </c>
      <c r="AD78" s="145">
        <f t="shared" si="307"/>
        <v>0</v>
      </c>
      <c r="AE78" s="146">
        <f t="shared" si="307"/>
        <v>0</v>
      </c>
      <c r="AF78" s="147">
        <f t="shared" si="299"/>
        <v>0</v>
      </c>
      <c r="AG78" s="148">
        <f t="shared" ref="AG78:AR78" si="308">+AG76-AG77</f>
        <v>0</v>
      </c>
      <c r="AH78" s="145">
        <f t="shared" si="308"/>
        <v>0</v>
      </c>
      <c r="AI78" s="145">
        <f t="shared" si="308"/>
        <v>0</v>
      </c>
      <c r="AJ78" s="145">
        <f t="shared" si="308"/>
        <v>0</v>
      </c>
      <c r="AK78" s="145">
        <f t="shared" si="308"/>
        <v>0</v>
      </c>
      <c r="AL78" s="145">
        <f t="shared" si="308"/>
        <v>0</v>
      </c>
      <c r="AM78" s="145">
        <f t="shared" si="308"/>
        <v>0</v>
      </c>
      <c r="AN78" s="145">
        <f t="shared" si="308"/>
        <v>0</v>
      </c>
      <c r="AO78" s="145">
        <f t="shared" si="308"/>
        <v>0</v>
      </c>
      <c r="AP78" s="145">
        <f t="shared" si="308"/>
        <v>0</v>
      </c>
      <c r="AQ78" s="145">
        <f t="shared" si="308"/>
        <v>0</v>
      </c>
      <c r="AR78" s="146">
        <f t="shared" si="308"/>
        <v>0</v>
      </c>
      <c r="AS78" s="408">
        <f t="shared" si="300"/>
        <v>0</v>
      </c>
      <c r="AT78" s="148">
        <f t="shared" ref="AT78:BE78" si="309">+AT76-AT77</f>
        <v>0</v>
      </c>
      <c r="AU78" s="145">
        <f t="shared" si="309"/>
        <v>0</v>
      </c>
      <c r="AV78" s="145">
        <f t="shared" si="309"/>
        <v>0</v>
      </c>
      <c r="AW78" s="145">
        <f t="shared" si="309"/>
        <v>0</v>
      </c>
      <c r="AX78" s="145">
        <f t="shared" si="309"/>
        <v>0</v>
      </c>
      <c r="AY78" s="145">
        <f t="shared" si="309"/>
        <v>0</v>
      </c>
      <c r="AZ78" s="145">
        <f t="shared" si="309"/>
        <v>0</v>
      </c>
      <c r="BA78" s="145">
        <f t="shared" si="309"/>
        <v>0</v>
      </c>
      <c r="BB78" s="145">
        <f t="shared" si="309"/>
        <v>0</v>
      </c>
      <c r="BC78" s="145">
        <f t="shared" si="309"/>
        <v>0</v>
      </c>
      <c r="BD78" s="145">
        <f t="shared" si="309"/>
        <v>0</v>
      </c>
      <c r="BE78" s="146">
        <f t="shared" si="309"/>
        <v>0</v>
      </c>
      <c r="BF78" s="147">
        <f t="shared" si="301"/>
        <v>0</v>
      </c>
      <c r="BG78" s="148">
        <f t="shared" ref="BG78:BR78" si="310">+BG76-BG77</f>
        <v>0</v>
      </c>
      <c r="BH78" s="145">
        <f t="shared" si="310"/>
        <v>0</v>
      </c>
      <c r="BI78" s="145">
        <f t="shared" si="310"/>
        <v>0</v>
      </c>
      <c r="BJ78" s="145">
        <f t="shared" si="310"/>
        <v>0</v>
      </c>
      <c r="BK78" s="145">
        <f t="shared" si="310"/>
        <v>0</v>
      </c>
      <c r="BL78" s="145">
        <f t="shared" si="310"/>
        <v>0</v>
      </c>
      <c r="BM78" s="145">
        <f t="shared" si="310"/>
        <v>0</v>
      </c>
      <c r="BN78" s="145">
        <f t="shared" si="310"/>
        <v>0</v>
      </c>
      <c r="BO78" s="145">
        <f t="shared" si="310"/>
        <v>0</v>
      </c>
      <c r="BP78" s="145">
        <f t="shared" si="310"/>
        <v>0</v>
      </c>
      <c r="BQ78" s="145">
        <f t="shared" si="310"/>
        <v>0</v>
      </c>
      <c r="BR78" s="146">
        <f t="shared" si="310"/>
        <v>0</v>
      </c>
      <c r="BS78" s="147">
        <f t="shared" si="302"/>
        <v>0</v>
      </c>
      <c r="BT78" s="148">
        <f t="shared" ref="BT78:CE78" si="311">+BT76-BT77</f>
        <v>0</v>
      </c>
      <c r="BU78" s="145">
        <f t="shared" si="311"/>
        <v>0</v>
      </c>
      <c r="BV78" s="145">
        <f t="shared" si="311"/>
        <v>0</v>
      </c>
      <c r="BW78" s="145">
        <f t="shared" si="311"/>
        <v>0</v>
      </c>
      <c r="BX78" s="145">
        <f t="shared" si="311"/>
        <v>0</v>
      </c>
      <c r="BY78" s="145">
        <f t="shared" si="311"/>
        <v>0</v>
      </c>
      <c r="BZ78" s="145">
        <f t="shared" si="311"/>
        <v>0</v>
      </c>
      <c r="CA78" s="145">
        <f t="shared" si="311"/>
        <v>0</v>
      </c>
      <c r="CB78" s="145">
        <f t="shared" si="311"/>
        <v>0</v>
      </c>
      <c r="CC78" s="145">
        <f t="shared" si="311"/>
        <v>0</v>
      </c>
      <c r="CD78" s="145">
        <f t="shared" si="311"/>
        <v>0</v>
      </c>
      <c r="CE78" s="146">
        <f t="shared" si="311"/>
        <v>0</v>
      </c>
      <c r="CF78" s="147">
        <f t="shared" si="97"/>
        <v>0</v>
      </c>
      <c r="CG78" s="148">
        <f t="shared" ref="CG78:CR78" si="312">+CG76-CG77</f>
        <v>0</v>
      </c>
      <c r="CH78" s="145">
        <f t="shared" si="312"/>
        <v>0</v>
      </c>
      <c r="CI78" s="145">
        <f t="shared" si="312"/>
        <v>0</v>
      </c>
      <c r="CJ78" s="145">
        <f t="shared" si="312"/>
        <v>0</v>
      </c>
      <c r="CK78" s="145">
        <f t="shared" si="312"/>
        <v>0</v>
      </c>
      <c r="CL78" s="145">
        <f t="shared" si="312"/>
        <v>0</v>
      </c>
      <c r="CM78" s="145">
        <f t="shared" si="312"/>
        <v>0</v>
      </c>
      <c r="CN78" s="145">
        <f t="shared" si="312"/>
        <v>0</v>
      </c>
      <c r="CO78" s="145">
        <f t="shared" si="312"/>
        <v>0</v>
      </c>
      <c r="CP78" s="145">
        <f t="shared" si="312"/>
        <v>0</v>
      </c>
      <c r="CQ78" s="145">
        <f t="shared" si="312"/>
        <v>0</v>
      </c>
      <c r="CR78" s="146">
        <f t="shared" si="312"/>
        <v>0</v>
      </c>
      <c r="CS78" s="147">
        <f t="shared" si="98"/>
        <v>0</v>
      </c>
      <c r="CT78" s="148">
        <f t="shared" ref="CT78:DE78" si="313">+CT76-CT77</f>
        <v>0</v>
      </c>
      <c r="CU78" s="145">
        <f t="shared" si="313"/>
        <v>0</v>
      </c>
      <c r="CV78" s="145">
        <f t="shared" si="313"/>
        <v>0</v>
      </c>
      <c r="CW78" s="145">
        <f t="shared" si="313"/>
        <v>0</v>
      </c>
      <c r="CX78" s="145">
        <f t="shared" si="313"/>
        <v>0</v>
      </c>
      <c r="CY78" s="145">
        <f t="shared" si="313"/>
        <v>0</v>
      </c>
      <c r="CZ78" s="145">
        <f t="shared" si="313"/>
        <v>0</v>
      </c>
      <c r="DA78" s="145">
        <f t="shared" si="313"/>
        <v>0</v>
      </c>
      <c r="DB78" s="145">
        <f t="shared" si="313"/>
        <v>0</v>
      </c>
      <c r="DC78" s="145">
        <f t="shared" si="313"/>
        <v>0</v>
      </c>
      <c r="DD78" s="145">
        <f t="shared" si="313"/>
        <v>0</v>
      </c>
      <c r="DE78" s="146">
        <f t="shared" si="313"/>
        <v>0</v>
      </c>
      <c r="DF78" s="147">
        <f t="shared" si="99"/>
        <v>0</v>
      </c>
      <c r="DG78" s="146">
        <f>+DG76-DG77</f>
        <v>0</v>
      </c>
      <c r="DH78" s="98">
        <f t="shared" si="303"/>
        <v>0</v>
      </c>
      <c r="DI78" s="99">
        <f t="shared" si="304"/>
        <v>0</v>
      </c>
      <c r="DJ78" s="100">
        <f t="shared" si="305"/>
        <v>0</v>
      </c>
    </row>
    <row r="79" spans="1:118" ht="15" hidden="1" customHeight="1" outlineLevel="1">
      <c r="A79" s="607"/>
      <c r="B79" s="557" t="s">
        <v>351</v>
      </c>
      <c r="C79" s="246" t="s">
        <v>62</v>
      </c>
      <c r="D79" s="183" t="s">
        <v>122</v>
      </c>
      <c r="E79" s="153">
        <f>AF79+AS79+BF79+BS79+CF79+CS79+DF79+S79+DG79</f>
        <v>0</v>
      </c>
      <c r="F79" s="153"/>
      <c r="G79" s="154"/>
      <c r="H79" s="155"/>
      <c r="I79" s="155"/>
      <c r="J79" s="155"/>
      <c r="K79" s="155"/>
      <c r="L79" s="155"/>
      <c r="M79" s="155"/>
      <c r="N79" s="155"/>
      <c r="O79" s="155"/>
      <c r="P79" s="155"/>
      <c r="Q79" s="155"/>
      <c r="R79" s="284"/>
      <c r="S79" s="157">
        <f t="shared" si="204"/>
        <v>0</v>
      </c>
      <c r="T79" s="378"/>
      <c r="U79" s="382"/>
      <c r="V79" s="382"/>
      <c r="W79" s="382"/>
      <c r="X79" s="382"/>
      <c r="Y79" s="382"/>
      <c r="Z79" s="382"/>
      <c r="AA79" s="382"/>
      <c r="AB79" s="382"/>
      <c r="AC79" s="382"/>
      <c r="AD79" s="382"/>
      <c r="AE79" s="481"/>
      <c r="AF79" s="157">
        <f t="shared" si="299"/>
        <v>0</v>
      </c>
      <c r="AG79" s="500"/>
      <c r="AH79" s="513"/>
      <c r="AI79" s="513"/>
      <c r="AJ79" s="513"/>
      <c r="AK79" s="513"/>
      <c r="AL79" s="513"/>
      <c r="AM79" s="513"/>
      <c r="AN79" s="513"/>
      <c r="AO79" s="513"/>
      <c r="AP79" s="513"/>
      <c r="AQ79" s="513"/>
      <c r="AR79" s="512"/>
      <c r="AS79" s="409">
        <f t="shared" si="300"/>
        <v>0</v>
      </c>
      <c r="AT79" s="500"/>
      <c r="AU79" s="513"/>
      <c r="AV79" s="513"/>
      <c r="AW79" s="155"/>
      <c r="AX79" s="155"/>
      <c r="AY79" s="155"/>
      <c r="AZ79" s="155"/>
      <c r="BA79" s="155"/>
      <c r="BB79" s="155"/>
      <c r="BC79" s="155"/>
      <c r="BD79" s="155"/>
      <c r="BE79" s="285"/>
      <c r="BF79" s="157">
        <f t="shared" si="301"/>
        <v>0</v>
      </c>
      <c r="BG79" s="359"/>
      <c r="BH79" s="283"/>
      <c r="BI79" s="283"/>
      <c r="BJ79" s="283"/>
      <c r="BK79" s="283"/>
      <c r="BL79" s="283"/>
      <c r="BM79" s="283"/>
      <c r="BN79" s="283"/>
      <c r="BO79" s="283"/>
      <c r="BP79" s="283"/>
      <c r="BQ79" s="283"/>
      <c r="BR79" s="285"/>
      <c r="BS79" s="157">
        <f t="shared" si="302"/>
        <v>0</v>
      </c>
      <c r="BT79" s="359"/>
      <c r="BU79" s="283"/>
      <c r="BV79" s="283"/>
      <c r="BW79" s="283"/>
      <c r="BX79" s="283"/>
      <c r="BY79" s="283"/>
      <c r="BZ79" s="283"/>
      <c r="CA79" s="283"/>
      <c r="CB79" s="283"/>
      <c r="CC79" s="283"/>
      <c r="CD79" s="283"/>
      <c r="CE79" s="285"/>
      <c r="CF79" s="157">
        <f t="shared" ref="CF79:CF84" si="314">SUM(BT79:CE79)</f>
        <v>0</v>
      </c>
      <c r="CG79" s="359"/>
      <c r="CH79" s="283"/>
      <c r="CI79" s="283"/>
      <c r="CJ79" s="283"/>
      <c r="CK79" s="283"/>
      <c r="CL79" s="283"/>
      <c r="CM79" s="283"/>
      <c r="CN79" s="283"/>
      <c r="CO79" s="283"/>
      <c r="CP79" s="283"/>
      <c r="CQ79" s="283"/>
      <c r="CR79" s="285"/>
      <c r="CS79" s="157">
        <f t="shared" ref="CS79:CS84" si="315">SUM(CG79:CR79)</f>
        <v>0</v>
      </c>
      <c r="CT79" s="359"/>
      <c r="CU79" s="283"/>
      <c r="CV79" s="283"/>
      <c r="CW79" s="283"/>
      <c r="CX79" s="283"/>
      <c r="CY79" s="283"/>
      <c r="CZ79" s="283"/>
      <c r="DA79" s="283"/>
      <c r="DB79" s="283"/>
      <c r="DC79" s="283"/>
      <c r="DD79" s="283"/>
      <c r="DE79" s="285"/>
      <c r="DF79" s="157">
        <f t="shared" ref="DF79:DF84" si="316">SUM(CT79:DE79)</f>
        <v>0</v>
      </c>
      <c r="DG79" s="280"/>
      <c r="DH79" s="159">
        <f t="shared" si="303"/>
        <v>0</v>
      </c>
      <c r="DI79" s="160">
        <f t="shared" si="304"/>
        <v>0</v>
      </c>
      <c r="DJ79" s="161">
        <f t="shared" si="305"/>
        <v>0</v>
      </c>
      <c r="DM79" s="134">
        <f>AS79+BF79+BS79+CF79+CS79+DG79</f>
        <v>0</v>
      </c>
    </row>
    <row r="80" spans="1:118" ht="15" hidden="1" customHeight="1" outlineLevel="1">
      <c r="A80" s="607"/>
      <c r="B80" s="558"/>
      <c r="C80" s="245" t="s">
        <v>63</v>
      </c>
      <c r="D80" s="184" t="s">
        <v>124</v>
      </c>
      <c r="E80" s="136">
        <f>AF80+AS80+BF80+BS80+CF80+CS80+DF80+S80+DG80</f>
        <v>0</v>
      </c>
      <c r="F80" s="136"/>
      <c r="G80" s="137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9"/>
      <c r="S80" s="162">
        <f t="shared" si="204"/>
        <v>0</v>
      </c>
      <c r="T80" s="380"/>
      <c r="U80" s="381"/>
      <c r="V80" s="381"/>
      <c r="W80" s="381"/>
      <c r="X80" s="381"/>
      <c r="Y80" s="381"/>
      <c r="Z80" s="381"/>
      <c r="AA80" s="381"/>
      <c r="AB80" s="381"/>
      <c r="AC80" s="381"/>
      <c r="AD80" s="381"/>
      <c r="AE80" s="392"/>
      <c r="AF80" s="162">
        <f t="shared" si="299"/>
        <v>0</v>
      </c>
      <c r="AG80" s="501"/>
      <c r="AH80" s="499"/>
      <c r="AI80" s="499"/>
      <c r="AJ80" s="499"/>
      <c r="AK80" s="499"/>
      <c r="AL80" s="499"/>
      <c r="AM80" s="499"/>
      <c r="AN80" s="499"/>
      <c r="AO80" s="499"/>
      <c r="AP80" s="499"/>
      <c r="AQ80" s="499"/>
      <c r="AR80" s="511"/>
      <c r="AS80" s="410">
        <f t="shared" si="300"/>
        <v>0</v>
      </c>
      <c r="AT80" s="501"/>
      <c r="AU80" s="499"/>
      <c r="AV80" s="499"/>
      <c r="AW80" s="138"/>
      <c r="AX80" s="138"/>
      <c r="AY80" s="138"/>
      <c r="AZ80" s="138"/>
      <c r="BA80" s="138"/>
      <c r="BB80" s="138"/>
      <c r="BC80" s="138"/>
      <c r="BD80" s="138"/>
      <c r="BE80" s="338"/>
      <c r="BF80" s="162">
        <f t="shared" si="301"/>
        <v>0</v>
      </c>
      <c r="BG80" s="353"/>
      <c r="BH80" s="253"/>
      <c r="BI80" s="253"/>
      <c r="BJ80" s="253"/>
      <c r="BK80" s="253"/>
      <c r="BL80" s="253"/>
      <c r="BM80" s="253"/>
      <c r="BN80" s="253"/>
      <c r="BO80" s="253"/>
      <c r="BP80" s="253"/>
      <c r="BQ80" s="253"/>
      <c r="BR80" s="338"/>
      <c r="BS80" s="162">
        <f t="shared" si="302"/>
        <v>0</v>
      </c>
      <c r="BT80" s="353"/>
      <c r="BU80" s="253"/>
      <c r="BV80" s="253"/>
      <c r="BW80" s="253"/>
      <c r="BX80" s="253"/>
      <c r="BY80" s="253"/>
      <c r="BZ80" s="253"/>
      <c r="CA80" s="253"/>
      <c r="CB80" s="253"/>
      <c r="CC80" s="253"/>
      <c r="CD80" s="253"/>
      <c r="CE80" s="338"/>
      <c r="CF80" s="162">
        <f t="shared" si="314"/>
        <v>0</v>
      </c>
      <c r="CG80" s="353"/>
      <c r="CH80" s="353"/>
      <c r="CI80" s="353"/>
      <c r="CJ80" s="353"/>
      <c r="CK80" s="353"/>
      <c r="CL80" s="253"/>
      <c r="CM80" s="253"/>
      <c r="CN80" s="253"/>
      <c r="CO80" s="253"/>
      <c r="CP80" s="253"/>
      <c r="CQ80" s="253"/>
      <c r="CR80" s="338"/>
      <c r="CS80" s="162">
        <f t="shared" si="315"/>
        <v>0</v>
      </c>
      <c r="CT80" s="353"/>
      <c r="CU80" s="353"/>
      <c r="CV80" s="353"/>
      <c r="CW80" s="353"/>
      <c r="CX80" s="353"/>
      <c r="CY80" s="253"/>
      <c r="CZ80" s="253"/>
      <c r="DA80" s="253"/>
      <c r="DB80" s="253"/>
      <c r="DC80" s="253"/>
      <c r="DD80" s="253"/>
      <c r="DE80" s="338"/>
      <c r="DF80" s="162">
        <f t="shared" si="316"/>
        <v>0</v>
      </c>
      <c r="DG80" s="279"/>
      <c r="DH80" s="90">
        <f t="shared" si="303"/>
        <v>0</v>
      </c>
      <c r="DI80" s="91">
        <f t="shared" si="304"/>
        <v>0</v>
      </c>
      <c r="DJ80" s="92">
        <f t="shared" si="305"/>
        <v>0</v>
      </c>
      <c r="DK80" s="64" t="e">
        <f>+DH80/DH79</f>
        <v>#DIV/0!</v>
      </c>
      <c r="DM80" s="134">
        <f>AS80+BF80+BS80+CF80+CS80+DG80</f>
        <v>0</v>
      </c>
      <c r="DN80" s="533" t="e">
        <f>DM80/DM79</f>
        <v>#DIV/0!</v>
      </c>
    </row>
    <row r="81" spans="1:118" ht="15" hidden="1" customHeight="1" outlineLevel="1">
      <c r="A81" s="607"/>
      <c r="B81" s="559"/>
      <c r="C81" s="357" t="s">
        <v>11</v>
      </c>
      <c r="D81" s="358"/>
      <c r="E81" s="143">
        <f t="shared" ref="E81:R81" si="317">+E79-E80</f>
        <v>0</v>
      </c>
      <c r="F81" s="144">
        <f t="shared" si="317"/>
        <v>0</v>
      </c>
      <c r="G81" s="145">
        <f t="shared" si="317"/>
        <v>0</v>
      </c>
      <c r="H81" s="145">
        <f t="shared" si="317"/>
        <v>0</v>
      </c>
      <c r="I81" s="145">
        <f t="shared" si="317"/>
        <v>0</v>
      </c>
      <c r="J81" s="145">
        <f t="shared" si="317"/>
        <v>0</v>
      </c>
      <c r="K81" s="145">
        <f t="shared" si="317"/>
        <v>0</v>
      </c>
      <c r="L81" s="145">
        <f t="shared" si="317"/>
        <v>0</v>
      </c>
      <c r="M81" s="145">
        <f t="shared" si="317"/>
        <v>0</v>
      </c>
      <c r="N81" s="145">
        <f t="shared" si="317"/>
        <v>0</v>
      </c>
      <c r="O81" s="145">
        <f t="shared" si="317"/>
        <v>0</v>
      </c>
      <c r="P81" s="145">
        <f t="shared" si="317"/>
        <v>0</v>
      </c>
      <c r="Q81" s="145">
        <f t="shared" si="317"/>
        <v>0</v>
      </c>
      <c r="R81" s="146">
        <f t="shared" si="317"/>
        <v>0</v>
      </c>
      <c r="S81" s="147">
        <f t="shared" ref="S81:S105" si="318">SUM(G81:R81)</f>
        <v>0</v>
      </c>
      <c r="T81" s="148">
        <f t="shared" ref="T81:AE81" si="319">+T79-T80</f>
        <v>0</v>
      </c>
      <c r="U81" s="145">
        <f t="shared" si="319"/>
        <v>0</v>
      </c>
      <c r="V81" s="145">
        <f t="shared" si="319"/>
        <v>0</v>
      </c>
      <c r="W81" s="145">
        <f t="shared" si="319"/>
        <v>0</v>
      </c>
      <c r="X81" s="145">
        <f t="shared" si="319"/>
        <v>0</v>
      </c>
      <c r="Y81" s="145">
        <f t="shared" si="319"/>
        <v>0</v>
      </c>
      <c r="Z81" s="145">
        <f t="shared" si="319"/>
        <v>0</v>
      </c>
      <c r="AA81" s="145">
        <f t="shared" si="319"/>
        <v>0</v>
      </c>
      <c r="AB81" s="145">
        <f t="shared" si="319"/>
        <v>0</v>
      </c>
      <c r="AC81" s="145">
        <f t="shared" si="319"/>
        <v>0</v>
      </c>
      <c r="AD81" s="145">
        <f t="shared" si="319"/>
        <v>0</v>
      </c>
      <c r="AE81" s="146">
        <f t="shared" si="319"/>
        <v>0</v>
      </c>
      <c r="AF81" s="147">
        <f t="shared" si="299"/>
        <v>0</v>
      </c>
      <c r="AG81" s="148">
        <f t="shared" ref="AG81:AR81" si="320">+AG79-AG80</f>
        <v>0</v>
      </c>
      <c r="AH81" s="145">
        <f t="shared" si="320"/>
        <v>0</v>
      </c>
      <c r="AI81" s="145">
        <f t="shared" si="320"/>
        <v>0</v>
      </c>
      <c r="AJ81" s="145">
        <f t="shared" si="320"/>
        <v>0</v>
      </c>
      <c r="AK81" s="145">
        <f t="shared" si="320"/>
        <v>0</v>
      </c>
      <c r="AL81" s="145">
        <f t="shared" si="320"/>
        <v>0</v>
      </c>
      <c r="AM81" s="145">
        <f t="shared" si="320"/>
        <v>0</v>
      </c>
      <c r="AN81" s="145">
        <f t="shared" si="320"/>
        <v>0</v>
      </c>
      <c r="AO81" s="145">
        <f t="shared" si="320"/>
        <v>0</v>
      </c>
      <c r="AP81" s="145">
        <f t="shared" si="320"/>
        <v>0</v>
      </c>
      <c r="AQ81" s="145">
        <f t="shared" si="320"/>
        <v>0</v>
      </c>
      <c r="AR81" s="146">
        <f t="shared" si="320"/>
        <v>0</v>
      </c>
      <c r="AS81" s="408">
        <f t="shared" si="300"/>
        <v>0</v>
      </c>
      <c r="AT81" s="148">
        <f t="shared" ref="AT81:BE81" si="321">+AT79-AT80</f>
        <v>0</v>
      </c>
      <c r="AU81" s="145">
        <f t="shared" si="321"/>
        <v>0</v>
      </c>
      <c r="AV81" s="145">
        <f t="shared" si="321"/>
        <v>0</v>
      </c>
      <c r="AW81" s="145">
        <f t="shared" si="321"/>
        <v>0</v>
      </c>
      <c r="AX81" s="145">
        <f t="shared" si="321"/>
        <v>0</v>
      </c>
      <c r="AY81" s="145">
        <f t="shared" si="321"/>
        <v>0</v>
      </c>
      <c r="AZ81" s="145">
        <f t="shared" si="321"/>
        <v>0</v>
      </c>
      <c r="BA81" s="145">
        <f t="shared" si="321"/>
        <v>0</v>
      </c>
      <c r="BB81" s="145">
        <f t="shared" si="321"/>
        <v>0</v>
      </c>
      <c r="BC81" s="145">
        <f t="shared" si="321"/>
        <v>0</v>
      </c>
      <c r="BD81" s="145">
        <f t="shared" si="321"/>
        <v>0</v>
      </c>
      <c r="BE81" s="146">
        <f t="shared" si="321"/>
        <v>0</v>
      </c>
      <c r="BF81" s="147">
        <f t="shared" si="301"/>
        <v>0</v>
      </c>
      <c r="BG81" s="148">
        <f t="shared" ref="BG81:BR81" si="322">+BG79-BG80</f>
        <v>0</v>
      </c>
      <c r="BH81" s="145">
        <f t="shared" si="322"/>
        <v>0</v>
      </c>
      <c r="BI81" s="145">
        <f t="shared" si="322"/>
        <v>0</v>
      </c>
      <c r="BJ81" s="145">
        <f t="shared" si="322"/>
        <v>0</v>
      </c>
      <c r="BK81" s="145">
        <f t="shared" si="322"/>
        <v>0</v>
      </c>
      <c r="BL81" s="145">
        <f t="shared" si="322"/>
        <v>0</v>
      </c>
      <c r="BM81" s="145">
        <f t="shared" si="322"/>
        <v>0</v>
      </c>
      <c r="BN81" s="145">
        <f t="shared" si="322"/>
        <v>0</v>
      </c>
      <c r="BO81" s="145">
        <f t="shared" si="322"/>
        <v>0</v>
      </c>
      <c r="BP81" s="145">
        <f t="shared" si="322"/>
        <v>0</v>
      </c>
      <c r="BQ81" s="145">
        <f t="shared" si="322"/>
        <v>0</v>
      </c>
      <c r="BR81" s="146">
        <f t="shared" si="322"/>
        <v>0</v>
      </c>
      <c r="BS81" s="147">
        <f t="shared" si="302"/>
        <v>0</v>
      </c>
      <c r="BT81" s="148">
        <f t="shared" ref="BT81:CE81" si="323">+BT79-BT80</f>
        <v>0</v>
      </c>
      <c r="BU81" s="145">
        <f t="shared" si="323"/>
        <v>0</v>
      </c>
      <c r="BV81" s="145">
        <f t="shared" si="323"/>
        <v>0</v>
      </c>
      <c r="BW81" s="145">
        <f t="shared" si="323"/>
        <v>0</v>
      </c>
      <c r="BX81" s="145">
        <f t="shared" si="323"/>
        <v>0</v>
      </c>
      <c r="BY81" s="145">
        <f t="shared" si="323"/>
        <v>0</v>
      </c>
      <c r="BZ81" s="145">
        <f t="shared" si="323"/>
        <v>0</v>
      </c>
      <c r="CA81" s="145">
        <f t="shared" si="323"/>
        <v>0</v>
      </c>
      <c r="CB81" s="145">
        <f t="shared" si="323"/>
        <v>0</v>
      </c>
      <c r="CC81" s="145">
        <f t="shared" si="323"/>
        <v>0</v>
      </c>
      <c r="CD81" s="145">
        <f t="shared" si="323"/>
        <v>0</v>
      </c>
      <c r="CE81" s="146">
        <f t="shared" si="323"/>
        <v>0</v>
      </c>
      <c r="CF81" s="147">
        <f t="shared" si="314"/>
        <v>0</v>
      </c>
      <c r="CG81" s="148">
        <f t="shared" ref="CG81:CR81" si="324">+CG79-CG80</f>
        <v>0</v>
      </c>
      <c r="CH81" s="145">
        <f t="shared" si="324"/>
        <v>0</v>
      </c>
      <c r="CI81" s="145">
        <f t="shared" si="324"/>
        <v>0</v>
      </c>
      <c r="CJ81" s="145">
        <f t="shared" si="324"/>
        <v>0</v>
      </c>
      <c r="CK81" s="145">
        <f t="shared" si="324"/>
        <v>0</v>
      </c>
      <c r="CL81" s="145">
        <f t="shared" si="324"/>
        <v>0</v>
      </c>
      <c r="CM81" s="145">
        <f t="shared" si="324"/>
        <v>0</v>
      </c>
      <c r="CN81" s="145">
        <f t="shared" si="324"/>
        <v>0</v>
      </c>
      <c r="CO81" s="145">
        <f t="shared" si="324"/>
        <v>0</v>
      </c>
      <c r="CP81" s="145">
        <f t="shared" si="324"/>
        <v>0</v>
      </c>
      <c r="CQ81" s="145">
        <f t="shared" si="324"/>
        <v>0</v>
      </c>
      <c r="CR81" s="146">
        <f t="shared" si="324"/>
        <v>0</v>
      </c>
      <c r="CS81" s="147">
        <f t="shared" si="315"/>
        <v>0</v>
      </c>
      <c r="CT81" s="148">
        <f t="shared" ref="CT81:DE81" si="325">+CT79-CT80</f>
        <v>0</v>
      </c>
      <c r="CU81" s="145">
        <f t="shared" si="325"/>
        <v>0</v>
      </c>
      <c r="CV81" s="145">
        <f t="shared" si="325"/>
        <v>0</v>
      </c>
      <c r="CW81" s="145">
        <f t="shared" si="325"/>
        <v>0</v>
      </c>
      <c r="CX81" s="145">
        <f t="shared" si="325"/>
        <v>0</v>
      </c>
      <c r="CY81" s="145">
        <f t="shared" si="325"/>
        <v>0</v>
      </c>
      <c r="CZ81" s="145">
        <f t="shared" si="325"/>
        <v>0</v>
      </c>
      <c r="DA81" s="145">
        <f t="shared" si="325"/>
        <v>0</v>
      </c>
      <c r="DB81" s="145">
        <f t="shared" si="325"/>
        <v>0</v>
      </c>
      <c r="DC81" s="145">
        <f t="shared" si="325"/>
        <v>0</v>
      </c>
      <c r="DD81" s="145">
        <f t="shared" si="325"/>
        <v>0</v>
      </c>
      <c r="DE81" s="146">
        <f t="shared" si="325"/>
        <v>0</v>
      </c>
      <c r="DF81" s="147">
        <f t="shared" si="316"/>
        <v>0</v>
      </c>
      <c r="DG81" s="146">
        <f>+DG79-DG80</f>
        <v>0</v>
      </c>
      <c r="DH81" s="98">
        <f t="shared" si="303"/>
        <v>0</v>
      </c>
      <c r="DI81" s="99">
        <f t="shared" si="304"/>
        <v>0</v>
      </c>
      <c r="DJ81" s="100">
        <f t="shared" si="305"/>
        <v>0</v>
      </c>
    </row>
    <row r="82" spans="1:118" ht="15" hidden="1" customHeight="1" outlineLevel="1">
      <c r="A82" s="607"/>
      <c r="B82" s="557" t="s">
        <v>352</v>
      </c>
      <c r="C82" s="246" t="s">
        <v>62</v>
      </c>
      <c r="D82" s="183" t="s">
        <v>122</v>
      </c>
      <c r="E82" s="153">
        <f>AF82+AS82+BF82+BS82+CF82+CS82+DF82+S82+DG82</f>
        <v>0</v>
      </c>
      <c r="F82" s="153"/>
      <c r="G82" s="154"/>
      <c r="H82" s="155"/>
      <c r="I82" s="155"/>
      <c r="J82" s="155"/>
      <c r="K82" s="155"/>
      <c r="L82" s="155"/>
      <c r="M82" s="155"/>
      <c r="N82" s="155"/>
      <c r="O82" s="155"/>
      <c r="P82" s="155"/>
      <c r="Q82" s="155"/>
      <c r="R82" s="284"/>
      <c r="S82" s="157">
        <f t="shared" si="318"/>
        <v>0</v>
      </c>
      <c r="T82" s="378"/>
      <c r="U82" s="382"/>
      <c r="V82" s="382"/>
      <c r="W82" s="382"/>
      <c r="X82" s="382"/>
      <c r="Y82" s="382"/>
      <c r="Z82" s="382"/>
      <c r="AA82" s="382"/>
      <c r="AB82" s="382"/>
      <c r="AC82" s="382"/>
      <c r="AD82" s="382"/>
      <c r="AE82" s="481"/>
      <c r="AF82" s="157">
        <f t="shared" ref="AF82:AF87" si="326">SUM(T82:AE82)</f>
        <v>0</v>
      </c>
      <c r="AG82" s="500"/>
      <c r="AH82" s="513"/>
      <c r="AI82" s="513"/>
      <c r="AJ82" s="513"/>
      <c r="AK82" s="513"/>
      <c r="AL82" s="513"/>
      <c r="AM82" s="513"/>
      <c r="AN82" s="513"/>
      <c r="AO82" s="513"/>
      <c r="AP82" s="513"/>
      <c r="AQ82" s="513"/>
      <c r="AR82" s="512"/>
      <c r="AS82" s="409">
        <f t="shared" ref="AS82:AS87" si="327">SUM(AG82:AR82)</f>
        <v>0</v>
      </c>
      <c r="AT82" s="500"/>
      <c r="AU82" s="513"/>
      <c r="AV82" s="513"/>
      <c r="AW82" s="155"/>
      <c r="AX82" s="155"/>
      <c r="AY82" s="155"/>
      <c r="AZ82" s="155"/>
      <c r="BA82" s="155"/>
      <c r="BB82" s="155"/>
      <c r="BC82" s="155"/>
      <c r="BD82" s="155"/>
      <c r="BE82" s="156"/>
      <c r="BF82" s="157">
        <f t="shared" ref="BF82:BF87" si="328">SUM(AT82:BE82)</f>
        <v>0</v>
      </c>
      <c r="BG82" s="158"/>
      <c r="BH82" s="155"/>
      <c r="BI82" s="155"/>
      <c r="BJ82" s="155"/>
      <c r="BK82" s="155"/>
      <c r="BL82" s="155"/>
      <c r="BM82" s="155"/>
      <c r="BN82" s="155"/>
      <c r="BO82" s="155"/>
      <c r="BP82" s="155"/>
      <c r="BQ82" s="155"/>
      <c r="BR82" s="156"/>
      <c r="BS82" s="157">
        <f t="shared" ref="BS82:BS87" si="329">SUM(BG82:BR82)</f>
        <v>0</v>
      </c>
      <c r="BT82" s="158"/>
      <c r="BU82" s="155"/>
      <c r="BV82" s="155"/>
      <c r="BW82" s="155"/>
      <c r="BX82" s="155"/>
      <c r="BY82" s="155"/>
      <c r="BZ82" s="155"/>
      <c r="CA82" s="155"/>
      <c r="CB82" s="155"/>
      <c r="CC82" s="155"/>
      <c r="CD82" s="155"/>
      <c r="CE82" s="156"/>
      <c r="CF82" s="157">
        <f t="shared" si="314"/>
        <v>0</v>
      </c>
      <c r="CG82" s="158"/>
      <c r="CH82" s="155"/>
      <c r="CI82" s="155"/>
      <c r="CJ82" s="155"/>
      <c r="CK82" s="155"/>
      <c r="CL82" s="155"/>
      <c r="CM82" s="155"/>
      <c r="CN82" s="155"/>
      <c r="CO82" s="155"/>
      <c r="CP82" s="155"/>
      <c r="CQ82" s="155"/>
      <c r="CR82" s="156"/>
      <c r="CS82" s="157">
        <f t="shared" si="315"/>
        <v>0</v>
      </c>
      <c r="CT82" s="158"/>
      <c r="CU82" s="155"/>
      <c r="CV82" s="155"/>
      <c r="CW82" s="155"/>
      <c r="CX82" s="155"/>
      <c r="CY82" s="155"/>
      <c r="CZ82" s="155"/>
      <c r="DA82" s="155"/>
      <c r="DB82" s="155"/>
      <c r="DC82" s="155"/>
      <c r="DD82" s="155"/>
      <c r="DE82" s="156"/>
      <c r="DF82" s="157">
        <f t="shared" si="316"/>
        <v>0</v>
      </c>
      <c r="DG82" s="280"/>
      <c r="DH82" s="159">
        <f t="shared" ref="DH82:DH87" si="330">+F82+S82+AF82+AS82+BF82+BS82+DG82</f>
        <v>0</v>
      </c>
      <c r="DI82" s="160">
        <f t="shared" ref="DI82:DI87" si="331">+E82</f>
        <v>0</v>
      </c>
      <c r="DJ82" s="161">
        <f t="shared" ref="DJ82:DJ87" si="332">+DI82-DH82</f>
        <v>0</v>
      </c>
      <c r="DM82" s="134">
        <f>AS82+BF82+BS82+CF82+CS82+DG82</f>
        <v>0</v>
      </c>
    </row>
    <row r="83" spans="1:118" ht="15" hidden="1" customHeight="1" outlineLevel="1">
      <c r="A83" s="607"/>
      <c r="B83" s="558"/>
      <c r="C83" s="245" t="s">
        <v>63</v>
      </c>
      <c r="D83" s="184" t="s">
        <v>124</v>
      </c>
      <c r="E83" s="136">
        <f>AF83+AS83+BF83+BS83+CF83+CS83+DF83+S83+DG83</f>
        <v>0</v>
      </c>
      <c r="F83" s="136"/>
      <c r="G83" s="137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9"/>
      <c r="S83" s="162">
        <f t="shared" si="318"/>
        <v>0</v>
      </c>
      <c r="T83" s="380"/>
      <c r="U83" s="381"/>
      <c r="V83" s="381"/>
      <c r="W83" s="381"/>
      <c r="X83" s="381"/>
      <c r="Y83" s="381"/>
      <c r="Z83" s="381"/>
      <c r="AA83" s="381"/>
      <c r="AB83" s="381"/>
      <c r="AC83" s="381"/>
      <c r="AD83" s="381"/>
      <c r="AE83" s="392"/>
      <c r="AF83" s="162">
        <f t="shared" si="326"/>
        <v>0</v>
      </c>
      <c r="AG83" s="501"/>
      <c r="AH83" s="499"/>
      <c r="AI83" s="499"/>
      <c r="AJ83" s="499"/>
      <c r="AK83" s="499"/>
      <c r="AL83" s="499"/>
      <c r="AM83" s="499"/>
      <c r="AN83" s="499"/>
      <c r="AO83" s="499"/>
      <c r="AP83" s="499"/>
      <c r="AQ83" s="499"/>
      <c r="AR83" s="511"/>
      <c r="AS83" s="410">
        <f t="shared" si="327"/>
        <v>0</v>
      </c>
      <c r="AT83" s="501"/>
      <c r="AU83" s="499"/>
      <c r="AV83" s="499"/>
      <c r="AW83" s="138"/>
      <c r="AX83" s="138"/>
      <c r="AY83" s="138"/>
      <c r="AZ83" s="138"/>
      <c r="BA83" s="138"/>
      <c r="BB83" s="138"/>
      <c r="BC83" s="138"/>
      <c r="BD83" s="138"/>
      <c r="BE83" s="139"/>
      <c r="BF83" s="162">
        <f t="shared" si="328"/>
        <v>0</v>
      </c>
      <c r="BG83" s="141"/>
      <c r="BH83" s="138"/>
      <c r="BI83" s="138"/>
      <c r="BJ83" s="138"/>
      <c r="BK83" s="138"/>
      <c r="BL83" s="138"/>
      <c r="BM83" s="138"/>
      <c r="BN83" s="138"/>
      <c r="BO83" s="138"/>
      <c r="BP83" s="138"/>
      <c r="BQ83" s="138"/>
      <c r="BR83" s="139"/>
      <c r="BS83" s="162">
        <f t="shared" si="329"/>
        <v>0</v>
      </c>
      <c r="BT83" s="141"/>
      <c r="BU83" s="138"/>
      <c r="BV83" s="138"/>
      <c r="BW83" s="138"/>
      <c r="BX83" s="138"/>
      <c r="BY83" s="138"/>
      <c r="BZ83" s="138"/>
      <c r="CA83" s="138"/>
      <c r="CB83" s="138"/>
      <c r="CC83" s="138"/>
      <c r="CD83" s="138"/>
      <c r="CE83" s="139"/>
      <c r="CF83" s="162">
        <f t="shared" si="314"/>
        <v>0</v>
      </c>
      <c r="CG83" s="141"/>
      <c r="CH83" s="138"/>
      <c r="CI83" s="138"/>
      <c r="CJ83" s="138"/>
      <c r="CK83" s="138"/>
      <c r="CL83" s="138"/>
      <c r="CM83" s="138"/>
      <c r="CN83" s="138"/>
      <c r="CO83" s="138"/>
      <c r="CP83" s="138"/>
      <c r="CQ83" s="138"/>
      <c r="CR83" s="139"/>
      <c r="CS83" s="162">
        <f t="shared" si="315"/>
        <v>0</v>
      </c>
      <c r="CT83" s="141"/>
      <c r="CU83" s="138"/>
      <c r="CV83" s="138"/>
      <c r="CW83" s="138"/>
      <c r="CX83" s="138"/>
      <c r="CY83" s="138"/>
      <c r="CZ83" s="138"/>
      <c r="DA83" s="138"/>
      <c r="DB83" s="138"/>
      <c r="DC83" s="138"/>
      <c r="DD83" s="138"/>
      <c r="DE83" s="139"/>
      <c r="DF83" s="162">
        <f t="shared" si="316"/>
        <v>0</v>
      </c>
      <c r="DG83" s="279"/>
      <c r="DH83" s="90">
        <f t="shared" si="330"/>
        <v>0</v>
      </c>
      <c r="DI83" s="91">
        <f t="shared" si="331"/>
        <v>0</v>
      </c>
      <c r="DJ83" s="92">
        <f t="shared" si="332"/>
        <v>0</v>
      </c>
      <c r="DK83" s="64" t="e">
        <f>+DH83/DH82</f>
        <v>#DIV/0!</v>
      </c>
      <c r="DM83" s="134">
        <f>AS83+BF83+BS83+CF83+CS83+DG83</f>
        <v>0</v>
      </c>
      <c r="DN83" s="533" t="e">
        <f>DM83/DM82</f>
        <v>#DIV/0!</v>
      </c>
    </row>
    <row r="84" spans="1:118" ht="15" hidden="1" customHeight="1" outlineLevel="1">
      <c r="A84" s="607"/>
      <c r="B84" s="559"/>
      <c r="C84" s="357" t="s">
        <v>11</v>
      </c>
      <c r="D84" s="358"/>
      <c r="E84" s="143">
        <f t="shared" ref="E84:R84" si="333">+E82-E83</f>
        <v>0</v>
      </c>
      <c r="F84" s="144">
        <f t="shared" si="333"/>
        <v>0</v>
      </c>
      <c r="G84" s="145">
        <f t="shared" si="333"/>
        <v>0</v>
      </c>
      <c r="H84" s="145">
        <f t="shared" si="333"/>
        <v>0</v>
      </c>
      <c r="I84" s="145">
        <f t="shared" si="333"/>
        <v>0</v>
      </c>
      <c r="J84" s="145">
        <f t="shared" si="333"/>
        <v>0</v>
      </c>
      <c r="K84" s="145">
        <f t="shared" si="333"/>
        <v>0</v>
      </c>
      <c r="L84" s="145">
        <f t="shared" si="333"/>
        <v>0</v>
      </c>
      <c r="M84" s="145">
        <f t="shared" si="333"/>
        <v>0</v>
      </c>
      <c r="N84" s="145">
        <f t="shared" si="333"/>
        <v>0</v>
      </c>
      <c r="O84" s="145">
        <f t="shared" si="333"/>
        <v>0</v>
      </c>
      <c r="P84" s="145">
        <f t="shared" si="333"/>
        <v>0</v>
      </c>
      <c r="Q84" s="145">
        <f t="shared" si="333"/>
        <v>0</v>
      </c>
      <c r="R84" s="146">
        <f t="shared" si="333"/>
        <v>0</v>
      </c>
      <c r="S84" s="147">
        <f t="shared" si="318"/>
        <v>0</v>
      </c>
      <c r="T84" s="148">
        <f t="shared" ref="T84:AE84" si="334">+T82-T83</f>
        <v>0</v>
      </c>
      <c r="U84" s="145">
        <f t="shared" si="334"/>
        <v>0</v>
      </c>
      <c r="V84" s="145">
        <f t="shared" si="334"/>
        <v>0</v>
      </c>
      <c r="W84" s="145">
        <f t="shared" si="334"/>
        <v>0</v>
      </c>
      <c r="X84" s="145">
        <f t="shared" si="334"/>
        <v>0</v>
      </c>
      <c r="Y84" s="145">
        <f t="shared" si="334"/>
        <v>0</v>
      </c>
      <c r="Z84" s="145">
        <f t="shared" si="334"/>
        <v>0</v>
      </c>
      <c r="AA84" s="145">
        <f t="shared" si="334"/>
        <v>0</v>
      </c>
      <c r="AB84" s="145">
        <f t="shared" si="334"/>
        <v>0</v>
      </c>
      <c r="AC84" s="145">
        <f t="shared" si="334"/>
        <v>0</v>
      </c>
      <c r="AD84" s="145">
        <f t="shared" si="334"/>
        <v>0</v>
      </c>
      <c r="AE84" s="146">
        <f t="shared" si="334"/>
        <v>0</v>
      </c>
      <c r="AF84" s="147">
        <f t="shared" si="326"/>
        <v>0</v>
      </c>
      <c r="AG84" s="148">
        <f t="shared" ref="AG84:AR84" si="335">+AG82-AG83</f>
        <v>0</v>
      </c>
      <c r="AH84" s="145">
        <f t="shared" si="335"/>
        <v>0</v>
      </c>
      <c r="AI84" s="145">
        <f t="shared" si="335"/>
        <v>0</v>
      </c>
      <c r="AJ84" s="145">
        <f t="shared" si="335"/>
        <v>0</v>
      </c>
      <c r="AK84" s="145">
        <f t="shared" si="335"/>
        <v>0</v>
      </c>
      <c r="AL84" s="145">
        <f t="shared" si="335"/>
        <v>0</v>
      </c>
      <c r="AM84" s="145">
        <f t="shared" si="335"/>
        <v>0</v>
      </c>
      <c r="AN84" s="145">
        <f t="shared" si="335"/>
        <v>0</v>
      </c>
      <c r="AO84" s="145">
        <f t="shared" si="335"/>
        <v>0</v>
      </c>
      <c r="AP84" s="145">
        <f t="shared" si="335"/>
        <v>0</v>
      </c>
      <c r="AQ84" s="145">
        <f t="shared" si="335"/>
        <v>0</v>
      </c>
      <c r="AR84" s="146">
        <f t="shared" si="335"/>
        <v>0</v>
      </c>
      <c r="AS84" s="408">
        <f t="shared" si="327"/>
        <v>0</v>
      </c>
      <c r="AT84" s="148">
        <f t="shared" ref="AT84:BE84" si="336">+AT82-AT83</f>
        <v>0</v>
      </c>
      <c r="AU84" s="145">
        <f t="shared" si="336"/>
        <v>0</v>
      </c>
      <c r="AV84" s="145">
        <f t="shared" si="336"/>
        <v>0</v>
      </c>
      <c r="AW84" s="145">
        <f t="shared" si="336"/>
        <v>0</v>
      </c>
      <c r="AX84" s="145">
        <f t="shared" si="336"/>
        <v>0</v>
      </c>
      <c r="AY84" s="145">
        <f t="shared" si="336"/>
        <v>0</v>
      </c>
      <c r="AZ84" s="145">
        <f t="shared" si="336"/>
        <v>0</v>
      </c>
      <c r="BA84" s="145">
        <f t="shared" si="336"/>
        <v>0</v>
      </c>
      <c r="BB84" s="145">
        <f t="shared" si="336"/>
        <v>0</v>
      </c>
      <c r="BC84" s="145">
        <f t="shared" si="336"/>
        <v>0</v>
      </c>
      <c r="BD84" s="145">
        <f t="shared" si="336"/>
        <v>0</v>
      </c>
      <c r="BE84" s="146">
        <f t="shared" si="336"/>
        <v>0</v>
      </c>
      <c r="BF84" s="147">
        <f t="shared" si="328"/>
        <v>0</v>
      </c>
      <c r="BG84" s="148">
        <f t="shared" ref="BG84:BR84" si="337">+BG82-BG83</f>
        <v>0</v>
      </c>
      <c r="BH84" s="145">
        <f t="shared" si="337"/>
        <v>0</v>
      </c>
      <c r="BI84" s="145">
        <f t="shared" si="337"/>
        <v>0</v>
      </c>
      <c r="BJ84" s="145">
        <f t="shared" si="337"/>
        <v>0</v>
      </c>
      <c r="BK84" s="145">
        <f t="shared" si="337"/>
        <v>0</v>
      </c>
      <c r="BL84" s="145">
        <f t="shared" si="337"/>
        <v>0</v>
      </c>
      <c r="BM84" s="145">
        <f t="shared" si="337"/>
        <v>0</v>
      </c>
      <c r="BN84" s="145">
        <f t="shared" si="337"/>
        <v>0</v>
      </c>
      <c r="BO84" s="145">
        <f t="shared" si="337"/>
        <v>0</v>
      </c>
      <c r="BP84" s="145">
        <f t="shared" si="337"/>
        <v>0</v>
      </c>
      <c r="BQ84" s="145">
        <f t="shared" si="337"/>
        <v>0</v>
      </c>
      <c r="BR84" s="146">
        <f t="shared" si="337"/>
        <v>0</v>
      </c>
      <c r="BS84" s="147">
        <f t="shared" si="329"/>
        <v>0</v>
      </c>
      <c r="BT84" s="148">
        <f t="shared" ref="BT84:CE84" si="338">+BT82-BT83</f>
        <v>0</v>
      </c>
      <c r="BU84" s="145">
        <f t="shared" si="338"/>
        <v>0</v>
      </c>
      <c r="BV84" s="145">
        <f t="shared" si="338"/>
        <v>0</v>
      </c>
      <c r="BW84" s="145">
        <f t="shared" si="338"/>
        <v>0</v>
      </c>
      <c r="BX84" s="145">
        <f t="shared" si="338"/>
        <v>0</v>
      </c>
      <c r="BY84" s="145">
        <f t="shared" si="338"/>
        <v>0</v>
      </c>
      <c r="BZ84" s="145">
        <f t="shared" si="338"/>
        <v>0</v>
      </c>
      <c r="CA84" s="145">
        <f t="shared" si="338"/>
        <v>0</v>
      </c>
      <c r="CB84" s="145">
        <f t="shared" si="338"/>
        <v>0</v>
      </c>
      <c r="CC84" s="145">
        <f t="shared" si="338"/>
        <v>0</v>
      </c>
      <c r="CD84" s="145">
        <f t="shared" si="338"/>
        <v>0</v>
      </c>
      <c r="CE84" s="146">
        <f t="shared" si="338"/>
        <v>0</v>
      </c>
      <c r="CF84" s="147">
        <f t="shared" si="314"/>
        <v>0</v>
      </c>
      <c r="CG84" s="148">
        <f t="shared" ref="CG84:CR84" si="339">+CG82-CG83</f>
        <v>0</v>
      </c>
      <c r="CH84" s="145">
        <f t="shared" si="339"/>
        <v>0</v>
      </c>
      <c r="CI84" s="145">
        <f t="shared" si="339"/>
        <v>0</v>
      </c>
      <c r="CJ84" s="145">
        <f t="shared" si="339"/>
        <v>0</v>
      </c>
      <c r="CK84" s="145">
        <f t="shared" si="339"/>
        <v>0</v>
      </c>
      <c r="CL84" s="145">
        <f t="shared" si="339"/>
        <v>0</v>
      </c>
      <c r="CM84" s="145">
        <f t="shared" si="339"/>
        <v>0</v>
      </c>
      <c r="CN84" s="145">
        <f t="shared" si="339"/>
        <v>0</v>
      </c>
      <c r="CO84" s="145">
        <f t="shared" si="339"/>
        <v>0</v>
      </c>
      <c r="CP84" s="145">
        <f t="shared" si="339"/>
        <v>0</v>
      </c>
      <c r="CQ84" s="145">
        <f t="shared" si="339"/>
        <v>0</v>
      </c>
      <c r="CR84" s="146">
        <f t="shared" si="339"/>
        <v>0</v>
      </c>
      <c r="CS84" s="147">
        <f t="shared" si="315"/>
        <v>0</v>
      </c>
      <c r="CT84" s="148">
        <f t="shared" ref="CT84:DE84" si="340">+CT82-CT83</f>
        <v>0</v>
      </c>
      <c r="CU84" s="145">
        <f t="shared" si="340"/>
        <v>0</v>
      </c>
      <c r="CV84" s="145">
        <f t="shared" si="340"/>
        <v>0</v>
      </c>
      <c r="CW84" s="145">
        <f t="shared" si="340"/>
        <v>0</v>
      </c>
      <c r="CX84" s="145">
        <f t="shared" si="340"/>
        <v>0</v>
      </c>
      <c r="CY84" s="145">
        <f t="shared" si="340"/>
        <v>0</v>
      </c>
      <c r="CZ84" s="145">
        <f t="shared" si="340"/>
        <v>0</v>
      </c>
      <c r="DA84" s="145">
        <f t="shared" si="340"/>
        <v>0</v>
      </c>
      <c r="DB84" s="145">
        <f t="shared" si="340"/>
        <v>0</v>
      </c>
      <c r="DC84" s="145">
        <f t="shared" si="340"/>
        <v>0</v>
      </c>
      <c r="DD84" s="145">
        <f t="shared" si="340"/>
        <v>0</v>
      </c>
      <c r="DE84" s="146">
        <f t="shared" si="340"/>
        <v>0</v>
      </c>
      <c r="DF84" s="147">
        <f t="shared" si="316"/>
        <v>0</v>
      </c>
      <c r="DG84" s="146">
        <f>+DG82-DG83</f>
        <v>0</v>
      </c>
      <c r="DH84" s="98">
        <f t="shared" si="330"/>
        <v>0</v>
      </c>
      <c r="DI84" s="99">
        <f t="shared" si="331"/>
        <v>0</v>
      </c>
      <c r="DJ84" s="100">
        <f t="shared" si="332"/>
        <v>0</v>
      </c>
    </row>
    <row r="85" spans="1:118" ht="15" hidden="1" customHeight="1" outlineLevel="1">
      <c r="A85" s="607"/>
      <c r="B85" s="557"/>
      <c r="C85" s="246" t="s">
        <v>62</v>
      </c>
      <c r="D85" s="183" t="s">
        <v>122</v>
      </c>
      <c r="E85" s="153">
        <f>AF85+AS85+BF85+BS85+CF85+CS85+DF85+S85+DG85</f>
        <v>0</v>
      </c>
      <c r="F85" s="153"/>
      <c r="G85" s="154"/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284"/>
      <c r="S85" s="157">
        <f t="shared" si="318"/>
        <v>0</v>
      </c>
      <c r="T85" s="378"/>
      <c r="U85" s="382"/>
      <c r="V85" s="382"/>
      <c r="W85" s="382"/>
      <c r="X85" s="382"/>
      <c r="Y85" s="382"/>
      <c r="Z85" s="382"/>
      <c r="AA85" s="382"/>
      <c r="AB85" s="382"/>
      <c r="AC85" s="382"/>
      <c r="AD85" s="382"/>
      <c r="AE85" s="481"/>
      <c r="AF85" s="157">
        <f t="shared" si="326"/>
        <v>0</v>
      </c>
      <c r="AG85" s="500"/>
      <c r="AH85" s="513"/>
      <c r="AI85" s="513"/>
      <c r="AJ85" s="513"/>
      <c r="AK85" s="513"/>
      <c r="AL85" s="513"/>
      <c r="AM85" s="513"/>
      <c r="AN85" s="513"/>
      <c r="AO85" s="513"/>
      <c r="AP85" s="155"/>
      <c r="AQ85" s="155"/>
      <c r="AR85" s="156"/>
      <c r="AS85" s="409">
        <f t="shared" si="327"/>
        <v>0</v>
      </c>
      <c r="AT85" s="155"/>
      <c r="AU85" s="155"/>
      <c r="AV85" s="155"/>
      <c r="AW85" s="155"/>
      <c r="AX85" s="155"/>
      <c r="AY85" s="155"/>
      <c r="AZ85" s="155"/>
      <c r="BA85" s="155"/>
      <c r="BB85" s="155"/>
      <c r="BC85" s="155"/>
      <c r="BD85" s="155"/>
      <c r="BE85" s="156"/>
      <c r="BF85" s="157">
        <f t="shared" si="328"/>
        <v>0</v>
      </c>
      <c r="BG85" s="158"/>
      <c r="BH85" s="155"/>
      <c r="BI85" s="155"/>
      <c r="BJ85" s="155"/>
      <c r="BK85" s="155"/>
      <c r="BL85" s="155"/>
      <c r="BM85" s="155"/>
      <c r="BN85" s="155"/>
      <c r="BO85" s="155"/>
      <c r="BP85" s="155"/>
      <c r="BQ85" s="155"/>
      <c r="BR85" s="156"/>
      <c r="BS85" s="157">
        <f t="shared" si="329"/>
        <v>0</v>
      </c>
      <c r="BT85" s="158"/>
      <c r="BU85" s="155"/>
      <c r="BV85" s="155"/>
      <c r="BW85" s="155"/>
      <c r="BX85" s="155"/>
      <c r="BY85" s="155"/>
      <c r="BZ85" s="155"/>
      <c r="CA85" s="155"/>
      <c r="CB85" s="155"/>
      <c r="CC85" s="155"/>
      <c r="CD85" s="155"/>
      <c r="CE85" s="156"/>
      <c r="CF85" s="157">
        <f>SUM(BT85:CE85)</f>
        <v>0</v>
      </c>
      <c r="CG85" s="158"/>
      <c r="CH85" s="155"/>
      <c r="CI85" s="155"/>
      <c r="CJ85" s="155"/>
      <c r="CK85" s="155"/>
      <c r="CL85" s="155"/>
      <c r="CM85" s="155"/>
      <c r="CN85" s="155"/>
      <c r="CO85" s="155"/>
      <c r="CP85" s="155"/>
      <c r="CQ85" s="155"/>
      <c r="CR85" s="156"/>
      <c r="CS85" s="157">
        <f>SUM(CG85:CR85)</f>
        <v>0</v>
      </c>
      <c r="CT85" s="158"/>
      <c r="CU85" s="155"/>
      <c r="CV85" s="155"/>
      <c r="CW85" s="155"/>
      <c r="CX85" s="155"/>
      <c r="CY85" s="155"/>
      <c r="CZ85" s="155"/>
      <c r="DA85" s="155"/>
      <c r="DB85" s="155"/>
      <c r="DC85" s="155"/>
      <c r="DD85" s="155"/>
      <c r="DE85" s="156"/>
      <c r="DF85" s="157">
        <f t="shared" si="99"/>
        <v>0</v>
      </c>
      <c r="DG85" s="280"/>
      <c r="DH85" s="159">
        <f t="shared" si="330"/>
        <v>0</v>
      </c>
      <c r="DI85" s="160">
        <f t="shared" si="331"/>
        <v>0</v>
      </c>
      <c r="DJ85" s="161">
        <f t="shared" si="332"/>
        <v>0</v>
      </c>
    </row>
    <row r="86" spans="1:118" ht="15" hidden="1" customHeight="1" outlineLevel="1">
      <c r="A86" s="607"/>
      <c r="B86" s="558"/>
      <c r="C86" s="245" t="s">
        <v>63</v>
      </c>
      <c r="D86" s="184" t="s">
        <v>124</v>
      </c>
      <c r="E86" s="136">
        <f>AF86+AS86+BF86+BS86+CF86+CS86+DF86+S86+DG86</f>
        <v>0</v>
      </c>
      <c r="F86" s="136"/>
      <c r="G86" s="137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9"/>
      <c r="S86" s="162">
        <f t="shared" si="318"/>
        <v>0</v>
      </c>
      <c r="T86" s="380"/>
      <c r="U86" s="381"/>
      <c r="V86" s="381"/>
      <c r="W86" s="381"/>
      <c r="X86" s="381"/>
      <c r="Y86" s="381"/>
      <c r="Z86" s="381"/>
      <c r="AA86" s="381"/>
      <c r="AB86" s="381"/>
      <c r="AC86" s="381"/>
      <c r="AD86" s="381"/>
      <c r="AE86" s="392"/>
      <c r="AF86" s="162">
        <f t="shared" si="326"/>
        <v>0</v>
      </c>
      <c r="AG86" s="501"/>
      <c r="AH86" s="499"/>
      <c r="AI86" s="499"/>
      <c r="AJ86" s="499"/>
      <c r="AK86" s="499"/>
      <c r="AL86" s="499"/>
      <c r="AM86" s="499"/>
      <c r="AN86" s="499"/>
      <c r="AO86" s="499"/>
      <c r="AP86" s="138"/>
      <c r="AQ86" s="138"/>
      <c r="AR86" s="139"/>
      <c r="AS86" s="410">
        <f t="shared" si="327"/>
        <v>0</v>
      </c>
      <c r="AT86" s="138"/>
      <c r="AU86" s="138"/>
      <c r="AV86" s="138"/>
      <c r="AW86" s="138"/>
      <c r="AX86" s="138"/>
      <c r="AY86" s="138"/>
      <c r="AZ86" s="138"/>
      <c r="BA86" s="138"/>
      <c r="BB86" s="138"/>
      <c r="BC86" s="138"/>
      <c r="BD86" s="138"/>
      <c r="BE86" s="139"/>
      <c r="BF86" s="162">
        <f t="shared" si="328"/>
        <v>0</v>
      </c>
      <c r="BG86" s="141"/>
      <c r="BH86" s="138"/>
      <c r="BI86" s="138"/>
      <c r="BJ86" s="138"/>
      <c r="BK86" s="138"/>
      <c r="BL86" s="138"/>
      <c r="BM86" s="138"/>
      <c r="BN86" s="138"/>
      <c r="BO86" s="138"/>
      <c r="BP86" s="138"/>
      <c r="BQ86" s="138"/>
      <c r="BR86" s="139"/>
      <c r="BS86" s="162">
        <f t="shared" si="329"/>
        <v>0</v>
      </c>
      <c r="BT86" s="141"/>
      <c r="BU86" s="138"/>
      <c r="BV86" s="138"/>
      <c r="BW86" s="138"/>
      <c r="BX86" s="138"/>
      <c r="BY86" s="138"/>
      <c r="BZ86" s="138"/>
      <c r="CA86" s="138"/>
      <c r="CB86" s="138"/>
      <c r="CC86" s="138"/>
      <c r="CD86" s="138"/>
      <c r="CE86" s="139"/>
      <c r="CF86" s="162">
        <f>SUM(BT86:CE86)</f>
        <v>0</v>
      </c>
      <c r="CG86" s="141"/>
      <c r="CH86" s="138"/>
      <c r="CI86" s="138"/>
      <c r="CJ86" s="138"/>
      <c r="CK86" s="138"/>
      <c r="CL86" s="138"/>
      <c r="CM86" s="138"/>
      <c r="CN86" s="138"/>
      <c r="CO86" s="138"/>
      <c r="CP86" s="138"/>
      <c r="CQ86" s="138"/>
      <c r="CR86" s="139"/>
      <c r="CS86" s="162">
        <f>SUM(CG86:CR86)</f>
        <v>0</v>
      </c>
      <c r="CT86" s="141"/>
      <c r="CU86" s="138"/>
      <c r="CV86" s="138"/>
      <c r="CW86" s="138"/>
      <c r="CX86" s="138"/>
      <c r="CY86" s="138"/>
      <c r="CZ86" s="138"/>
      <c r="DA86" s="138"/>
      <c r="DB86" s="138"/>
      <c r="DC86" s="138"/>
      <c r="DD86" s="138"/>
      <c r="DE86" s="139"/>
      <c r="DF86" s="162">
        <f t="shared" si="99"/>
        <v>0</v>
      </c>
      <c r="DG86" s="279"/>
      <c r="DH86" s="90">
        <f t="shared" si="330"/>
        <v>0</v>
      </c>
      <c r="DI86" s="91">
        <f t="shared" si="331"/>
        <v>0</v>
      </c>
      <c r="DJ86" s="92">
        <f t="shared" si="332"/>
        <v>0</v>
      </c>
      <c r="DK86" s="64" t="e">
        <f>+DH86/DH85</f>
        <v>#DIV/0!</v>
      </c>
    </row>
    <row r="87" spans="1:118" ht="15" hidden="1" customHeight="1" outlineLevel="1">
      <c r="A87" s="607"/>
      <c r="B87" s="559"/>
      <c r="C87" s="357" t="s">
        <v>11</v>
      </c>
      <c r="D87" s="358"/>
      <c r="E87" s="143">
        <f t="shared" ref="E87:R87" si="341">+E85-E86</f>
        <v>0</v>
      </c>
      <c r="F87" s="144">
        <f t="shared" si="341"/>
        <v>0</v>
      </c>
      <c r="G87" s="145">
        <f t="shared" si="341"/>
        <v>0</v>
      </c>
      <c r="H87" s="145">
        <f t="shared" si="341"/>
        <v>0</v>
      </c>
      <c r="I87" s="145">
        <f t="shared" si="341"/>
        <v>0</v>
      </c>
      <c r="J87" s="145">
        <f t="shared" si="341"/>
        <v>0</v>
      </c>
      <c r="K87" s="145">
        <f t="shared" si="341"/>
        <v>0</v>
      </c>
      <c r="L87" s="145">
        <f t="shared" si="341"/>
        <v>0</v>
      </c>
      <c r="M87" s="145">
        <f t="shared" si="341"/>
        <v>0</v>
      </c>
      <c r="N87" s="145">
        <f t="shared" si="341"/>
        <v>0</v>
      </c>
      <c r="O87" s="145">
        <f t="shared" si="341"/>
        <v>0</v>
      </c>
      <c r="P87" s="145">
        <f t="shared" si="341"/>
        <v>0</v>
      </c>
      <c r="Q87" s="145">
        <f t="shared" si="341"/>
        <v>0</v>
      </c>
      <c r="R87" s="146">
        <f t="shared" si="341"/>
        <v>0</v>
      </c>
      <c r="S87" s="147">
        <f t="shared" si="318"/>
        <v>0</v>
      </c>
      <c r="T87" s="148">
        <f t="shared" ref="T87:AE87" si="342">+T85-T86</f>
        <v>0</v>
      </c>
      <c r="U87" s="145">
        <f t="shared" si="342"/>
        <v>0</v>
      </c>
      <c r="V87" s="145">
        <f t="shared" si="342"/>
        <v>0</v>
      </c>
      <c r="W87" s="145">
        <f t="shared" si="342"/>
        <v>0</v>
      </c>
      <c r="X87" s="145">
        <f t="shared" si="342"/>
        <v>0</v>
      </c>
      <c r="Y87" s="145">
        <f t="shared" si="342"/>
        <v>0</v>
      </c>
      <c r="Z87" s="145">
        <f t="shared" si="342"/>
        <v>0</v>
      </c>
      <c r="AA87" s="145">
        <f t="shared" si="342"/>
        <v>0</v>
      </c>
      <c r="AB87" s="145">
        <f t="shared" si="342"/>
        <v>0</v>
      </c>
      <c r="AC87" s="145">
        <f t="shared" si="342"/>
        <v>0</v>
      </c>
      <c r="AD87" s="145">
        <f t="shared" si="342"/>
        <v>0</v>
      </c>
      <c r="AE87" s="146">
        <f t="shared" si="342"/>
        <v>0</v>
      </c>
      <c r="AF87" s="147">
        <f t="shared" si="326"/>
        <v>0</v>
      </c>
      <c r="AG87" s="148">
        <f t="shared" ref="AG87:AR87" si="343">+AG85-AG86</f>
        <v>0</v>
      </c>
      <c r="AH87" s="145">
        <f t="shared" si="343"/>
        <v>0</v>
      </c>
      <c r="AI87" s="145">
        <f t="shared" si="343"/>
        <v>0</v>
      </c>
      <c r="AJ87" s="145">
        <f t="shared" si="343"/>
        <v>0</v>
      </c>
      <c r="AK87" s="145">
        <f t="shared" si="343"/>
        <v>0</v>
      </c>
      <c r="AL87" s="145">
        <f t="shared" si="343"/>
        <v>0</v>
      </c>
      <c r="AM87" s="145">
        <f t="shared" si="343"/>
        <v>0</v>
      </c>
      <c r="AN87" s="145">
        <f t="shared" si="343"/>
        <v>0</v>
      </c>
      <c r="AO87" s="145">
        <f t="shared" si="343"/>
        <v>0</v>
      </c>
      <c r="AP87" s="145">
        <f t="shared" si="343"/>
        <v>0</v>
      </c>
      <c r="AQ87" s="145">
        <f t="shared" si="343"/>
        <v>0</v>
      </c>
      <c r="AR87" s="146">
        <f t="shared" si="343"/>
        <v>0</v>
      </c>
      <c r="AS87" s="408">
        <f t="shared" si="327"/>
        <v>0</v>
      </c>
      <c r="AT87" s="148">
        <f t="shared" ref="AT87:BE87" si="344">+AT85-AT86</f>
        <v>0</v>
      </c>
      <c r="AU87" s="145">
        <f t="shared" si="344"/>
        <v>0</v>
      </c>
      <c r="AV87" s="145">
        <f t="shared" si="344"/>
        <v>0</v>
      </c>
      <c r="AW87" s="145">
        <f t="shared" si="344"/>
        <v>0</v>
      </c>
      <c r="AX87" s="145">
        <f t="shared" si="344"/>
        <v>0</v>
      </c>
      <c r="AY87" s="145">
        <f t="shared" si="344"/>
        <v>0</v>
      </c>
      <c r="AZ87" s="145">
        <f t="shared" si="344"/>
        <v>0</v>
      </c>
      <c r="BA87" s="145">
        <f t="shared" si="344"/>
        <v>0</v>
      </c>
      <c r="BB87" s="145">
        <f t="shared" si="344"/>
        <v>0</v>
      </c>
      <c r="BC87" s="145">
        <f t="shared" si="344"/>
        <v>0</v>
      </c>
      <c r="BD87" s="145">
        <f t="shared" si="344"/>
        <v>0</v>
      </c>
      <c r="BE87" s="146">
        <f t="shared" si="344"/>
        <v>0</v>
      </c>
      <c r="BF87" s="147">
        <f t="shared" si="328"/>
        <v>0</v>
      </c>
      <c r="BG87" s="148">
        <f t="shared" ref="BG87:BR87" si="345">+BG85-BG86</f>
        <v>0</v>
      </c>
      <c r="BH87" s="145">
        <f t="shared" si="345"/>
        <v>0</v>
      </c>
      <c r="BI87" s="145">
        <f t="shared" si="345"/>
        <v>0</v>
      </c>
      <c r="BJ87" s="145">
        <f t="shared" si="345"/>
        <v>0</v>
      </c>
      <c r="BK87" s="145">
        <f t="shared" si="345"/>
        <v>0</v>
      </c>
      <c r="BL87" s="145">
        <f t="shared" si="345"/>
        <v>0</v>
      </c>
      <c r="BM87" s="145">
        <f t="shared" si="345"/>
        <v>0</v>
      </c>
      <c r="BN87" s="145">
        <f t="shared" si="345"/>
        <v>0</v>
      </c>
      <c r="BO87" s="145">
        <f t="shared" si="345"/>
        <v>0</v>
      </c>
      <c r="BP87" s="145">
        <f t="shared" si="345"/>
        <v>0</v>
      </c>
      <c r="BQ87" s="145">
        <f t="shared" si="345"/>
        <v>0</v>
      </c>
      <c r="BR87" s="146">
        <f t="shared" si="345"/>
        <v>0</v>
      </c>
      <c r="BS87" s="147">
        <f t="shared" si="329"/>
        <v>0</v>
      </c>
      <c r="BT87" s="148">
        <f t="shared" ref="BT87:CE87" si="346">+BT85-BT86</f>
        <v>0</v>
      </c>
      <c r="BU87" s="145">
        <f t="shared" si="346"/>
        <v>0</v>
      </c>
      <c r="BV87" s="145">
        <f t="shared" si="346"/>
        <v>0</v>
      </c>
      <c r="BW87" s="145">
        <f t="shared" si="346"/>
        <v>0</v>
      </c>
      <c r="BX87" s="145">
        <f t="shared" si="346"/>
        <v>0</v>
      </c>
      <c r="BY87" s="145">
        <f t="shared" si="346"/>
        <v>0</v>
      </c>
      <c r="BZ87" s="145">
        <f t="shared" si="346"/>
        <v>0</v>
      </c>
      <c r="CA87" s="145">
        <f t="shared" si="346"/>
        <v>0</v>
      </c>
      <c r="CB87" s="145">
        <f t="shared" si="346"/>
        <v>0</v>
      </c>
      <c r="CC87" s="145">
        <f t="shared" si="346"/>
        <v>0</v>
      </c>
      <c r="CD87" s="145">
        <f t="shared" si="346"/>
        <v>0</v>
      </c>
      <c r="CE87" s="146">
        <f t="shared" si="346"/>
        <v>0</v>
      </c>
      <c r="CF87" s="147">
        <f>SUM(BT87:CE87)</f>
        <v>0</v>
      </c>
      <c r="CG87" s="148">
        <f t="shared" ref="CG87:CR87" si="347">+CG85-CG86</f>
        <v>0</v>
      </c>
      <c r="CH87" s="145">
        <f t="shared" si="347"/>
        <v>0</v>
      </c>
      <c r="CI87" s="145">
        <f t="shared" si="347"/>
        <v>0</v>
      </c>
      <c r="CJ87" s="145">
        <f t="shared" si="347"/>
        <v>0</v>
      </c>
      <c r="CK87" s="145">
        <f t="shared" si="347"/>
        <v>0</v>
      </c>
      <c r="CL87" s="145">
        <f t="shared" si="347"/>
        <v>0</v>
      </c>
      <c r="CM87" s="145">
        <f t="shared" si="347"/>
        <v>0</v>
      </c>
      <c r="CN87" s="145">
        <f t="shared" si="347"/>
        <v>0</v>
      </c>
      <c r="CO87" s="145">
        <f t="shared" si="347"/>
        <v>0</v>
      </c>
      <c r="CP87" s="145">
        <f t="shared" si="347"/>
        <v>0</v>
      </c>
      <c r="CQ87" s="145">
        <f t="shared" si="347"/>
        <v>0</v>
      </c>
      <c r="CR87" s="146">
        <f t="shared" si="347"/>
        <v>0</v>
      </c>
      <c r="CS87" s="147">
        <f>SUM(CG87:CR87)</f>
        <v>0</v>
      </c>
      <c r="CT87" s="148">
        <f t="shared" ref="CT87:DE87" si="348">+CT85-CT86</f>
        <v>0</v>
      </c>
      <c r="CU87" s="145">
        <f t="shared" si="348"/>
        <v>0</v>
      </c>
      <c r="CV87" s="145">
        <f t="shared" si="348"/>
        <v>0</v>
      </c>
      <c r="CW87" s="145">
        <f t="shared" si="348"/>
        <v>0</v>
      </c>
      <c r="CX87" s="145">
        <f t="shared" si="348"/>
        <v>0</v>
      </c>
      <c r="CY87" s="145">
        <f t="shared" si="348"/>
        <v>0</v>
      </c>
      <c r="CZ87" s="145">
        <f t="shared" si="348"/>
        <v>0</v>
      </c>
      <c r="DA87" s="145">
        <f t="shared" si="348"/>
        <v>0</v>
      </c>
      <c r="DB87" s="145">
        <f t="shared" si="348"/>
        <v>0</v>
      </c>
      <c r="DC87" s="145">
        <f t="shared" si="348"/>
        <v>0</v>
      </c>
      <c r="DD87" s="145">
        <f t="shared" si="348"/>
        <v>0</v>
      </c>
      <c r="DE87" s="146">
        <f t="shared" si="348"/>
        <v>0</v>
      </c>
      <c r="DF87" s="147">
        <f t="shared" si="99"/>
        <v>0</v>
      </c>
      <c r="DG87" s="146">
        <f>+DG85-DG86</f>
        <v>0</v>
      </c>
      <c r="DH87" s="98">
        <f t="shared" si="330"/>
        <v>0</v>
      </c>
      <c r="DI87" s="99">
        <f t="shared" si="331"/>
        <v>0</v>
      </c>
      <c r="DJ87" s="100">
        <f t="shared" si="332"/>
        <v>0</v>
      </c>
    </row>
    <row r="88" spans="1:118" ht="15" hidden="1" customHeight="1" outlineLevel="1">
      <c r="A88" s="607"/>
      <c r="B88" s="557"/>
      <c r="C88" s="246" t="s">
        <v>62</v>
      </c>
      <c r="D88" s="183" t="s">
        <v>122</v>
      </c>
      <c r="E88" s="153">
        <f>AF88+AS88+BF88+BS88+CF88+CS88+DF88+S88+DG88</f>
        <v>0</v>
      </c>
      <c r="F88" s="153"/>
      <c r="G88" s="154"/>
      <c r="H88" s="155"/>
      <c r="I88" s="155"/>
      <c r="J88" s="155"/>
      <c r="K88" s="155"/>
      <c r="L88" s="155"/>
      <c r="M88" s="155"/>
      <c r="N88" s="155"/>
      <c r="O88" s="155"/>
      <c r="P88" s="155"/>
      <c r="Q88" s="155"/>
      <c r="R88" s="284"/>
      <c r="S88" s="157">
        <f t="shared" si="318"/>
        <v>0</v>
      </c>
      <c r="T88" s="378"/>
      <c r="U88" s="382"/>
      <c r="V88" s="382"/>
      <c r="W88" s="382"/>
      <c r="X88" s="382"/>
      <c r="Y88" s="382"/>
      <c r="Z88" s="382"/>
      <c r="AA88" s="382"/>
      <c r="AB88" s="382"/>
      <c r="AC88" s="382"/>
      <c r="AD88" s="382"/>
      <c r="AE88" s="481"/>
      <c r="AF88" s="157">
        <f t="shared" ref="AF88:AF93" si="349">SUM(T88:AE88)</f>
        <v>0</v>
      </c>
      <c r="AG88" s="500"/>
      <c r="AH88" s="513"/>
      <c r="AI88" s="513"/>
      <c r="AJ88" s="513"/>
      <c r="AK88" s="513"/>
      <c r="AL88" s="513"/>
      <c r="AM88" s="513"/>
      <c r="AN88" s="513"/>
      <c r="AO88" s="513"/>
      <c r="AP88" s="155"/>
      <c r="AQ88" s="155"/>
      <c r="AR88" s="156"/>
      <c r="AS88" s="409">
        <f t="shared" ref="AS88:AS93" si="350">SUM(AG88:AR88)</f>
        <v>0</v>
      </c>
      <c r="AT88" s="158"/>
      <c r="AU88" s="155"/>
      <c r="AV88" s="155"/>
      <c r="AW88" s="155"/>
      <c r="AX88" s="155"/>
      <c r="AY88" s="155"/>
      <c r="AZ88" s="155"/>
      <c r="BA88" s="155"/>
      <c r="BB88" s="155"/>
      <c r="BC88" s="155"/>
      <c r="BD88" s="155"/>
      <c r="BE88" s="156"/>
      <c r="BF88" s="157">
        <f t="shared" ref="BF88:BF93" si="351">SUM(AT88:BE88)</f>
        <v>0</v>
      </c>
      <c r="BG88" s="158"/>
      <c r="BH88" s="155"/>
      <c r="BI88" s="155"/>
      <c r="BJ88" s="155"/>
      <c r="BK88" s="155"/>
      <c r="BL88" s="155"/>
      <c r="BM88" s="155"/>
      <c r="BN88" s="155"/>
      <c r="BO88" s="155"/>
      <c r="BP88" s="155"/>
      <c r="BQ88" s="155"/>
      <c r="BR88" s="156"/>
      <c r="BS88" s="157">
        <f t="shared" ref="BS88:BS93" si="352">SUM(BG88:BR88)</f>
        <v>0</v>
      </c>
      <c r="BT88" s="158"/>
      <c r="BU88" s="155"/>
      <c r="BV88" s="155"/>
      <c r="BW88" s="155"/>
      <c r="BX88" s="155"/>
      <c r="BY88" s="155"/>
      <c r="BZ88" s="155"/>
      <c r="CA88" s="155"/>
      <c r="CB88" s="155"/>
      <c r="CC88" s="155"/>
      <c r="CD88" s="155"/>
      <c r="CE88" s="156"/>
      <c r="CF88" s="157">
        <f t="shared" si="97"/>
        <v>0</v>
      </c>
      <c r="CG88" s="158"/>
      <c r="CH88" s="155"/>
      <c r="CI88" s="155"/>
      <c r="CJ88" s="155"/>
      <c r="CK88" s="155"/>
      <c r="CL88" s="155"/>
      <c r="CM88" s="155"/>
      <c r="CN88" s="155"/>
      <c r="CO88" s="155"/>
      <c r="CP88" s="155"/>
      <c r="CQ88" s="155"/>
      <c r="CR88" s="156"/>
      <c r="CS88" s="157">
        <f t="shared" si="98"/>
        <v>0</v>
      </c>
      <c r="CT88" s="158"/>
      <c r="CU88" s="155"/>
      <c r="CV88" s="155"/>
      <c r="CW88" s="155"/>
      <c r="CX88" s="155"/>
      <c r="CY88" s="155"/>
      <c r="CZ88" s="155"/>
      <c r="DA88" s="155"/>
      <c r="DB88" s="155"/>
      <c r="DC88" s="155"/>
      <c r="DD88" s="155"/>
      <c r="DE88" s="156"/>
      <c r="DF88" s="157">
        <f t="shared" si="99"/>
        <v>0</v>
      </c>
      <c r="DG88" s="280"/>
      <c r="DH88" s="159">
        <f t="shared" ref="DH88:DH102" si="353">+F88+S88+AF88+AS88+BF88+BS88+DG88</f>
        <v>0</v>
      </c>
      <c r="DI88" s="160">
        <f t="shared" ref="DI88:DI102" si="354">+E88</f>
        <v>0</v>
      </c>
      <c r="DJ88" s="161">
        <f t="shared" ref="DJ88:DJ102" si="355">+DI88-DH88</f>
        <v>0</v>
      </c>
    </row>
    <row r="89" spans="1:118" ht="15" hidden="1" customHeight="1" outlineLevel="1">
      <c r="A89" s="607"/>
      <c r="B89" s="558"/>
      <c r="C89" s="245" t="s">
        <v>63</v>
      </c>
      <c r="D89" s="184" t="s">
        <v>124</v>
      </c>
      <c r="E89" s="136">
        <f>AF89+AS89+BF89+BS89+CF89+CS89+DF89+S89+DG89</f>
        <v>0</v>
      </c>
      <c r="F89" s="136"/>
      <c r="G89" s="137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9"/>
      <c r="S89" s="162">
        <f t="shared" si="318"/>
        <v>0</v>
      </c>
      <c r="T89" s="380"/>
      <c r="U89" s="381"/>
      <c r="V89" s="381"/>
      <c r="W89" s="381"/>
      <c r="X89" s="381"/>
      <c r="Y89" s="381"/>
      <c r="Z89" s="381"/>
      <c r="AA89" s="381"/>
      <c r="AB89" s="381"/>
      <c r="AC89" s="381"/>
      <c r="AD89" s="381"/>
      <c r="AE89" s="392"/>
      <c r="AF89" s="162">
        <f t="shared" si="349"/>
        <v>0</v>
      </c>
      <c r="AG89" s="501"/>
      <c r="AH89" s="499"/>
      <c r="AI89" s="499"/>
      <c r="AJ89" s="499"/>
      <c r="AK89" s="499"/>
      <c r="AL89" s="499"/>
      <c r="AM89" s="499"/>
      <c r="AN89" s="499"/>
      <c r="AO89" s="499"/>
      <c r="AP89" s="138"/>
      <c r="AQ89" s="138"/>
      <c r="AR89" s="139"/>
      <c r="AS89" s="410">
        <f t="shared" si="350"/>
        <v>0</v>
      </c>
      <c r="AT89" s="141"/>
      <c r="AU89" s="138"/>
      <c r="AV89" s="138"/>
      <c r="AW89" s="138"/>
      <c r="AX89" s="138"/>
      <c r="AY89" s="138"/>
      <c r="AZ89" s="138"/>
      <c r="BA89" s="138"/>
      <c r="BB89" s="138"/>
      <c r="BC89" s="138"/>
      <c r="BD89" s="138"/>
      <c r="BE89" s="139"/>
      <c r="BF89" s="162">
        <f t="shared" si="351"/>
        <v>0</v>
      </c>
      <c r="BG89" s="141"/>
      <c r="BH89" s="138"/>
      <c r="BI89" s="138"/>
      <c r="BJ89" s="138"/>
      <c r="BK89" s="138"/>
      <c r="BL89" s="138"/>
      <c r="BM89" s="138"/>
      <c r="BN89" s="138"/>
      <c r="BO89" s="138"/>
      <c r="BP89" s="138"/>
      <c r="BQ89" s="138"/>
      <c r="BR89" s="139"/>
      <c r="BS89" s="162">
        <f t="shared" si="352"/>
        <v>0</v>
      </c>
      <c r="BT89" s="141"/>
      <c r="BU89" s="138"/>
      <c r="BV89" s="138"/>
      <c r="BW89" s="138"/>
      <c r="BX89" s="138"/>
      <c r="BY89" s="138"/>
      <c r="BZ89" s="138"/>
      <c r="CA89" s="138"/>
      <c r="CB89" s="138"/>
      <c r="CC89" s="138"/>
      <c r="CD89" s="138"/>
      <c r="CE89" s="139"/>
      <c r="CF89" s="162">
        <f t="shared" si="97"/>
        <v>0</v>
      </c>
      <c r="CG89" s="141"/>
      <c r="CH89" s="138"/>
      <c r="CI89" s="138"/>
      <c r="CJ89" s="138"/>
      <c r="CK89" s="138"/>
      <c r="CL89" s="138"/>
      <c r="CM89" s="138"/>
      <c r="CN89" s="138"/>
      <c r="CO89" s="138"/>
      <c r="CP89" s="138"/>
      <c r="CQ89" s="138"/>
      <c r="CR89" s="138"/>
      <c r="CS89" s="162">
        <f t="shared" si="98"/>
        <v>0</v>
      </c>
      <c r="CT89" s="141"/>
      <c r="CU89" s="138"/>
      <c r="CV89" s="138"/>
      <c r="CW89" s="138"/>
      <c r="CX89" s="138"/>
      <c r="CY89" s="138"/>
      <c r="CZ89" s="138"/>
      <c r="DA89" s="138"/>
      <c r="DB89" s="138"/>
      <c r="DC89" s="138"/>
      <c r="DD89" s="138"/>
      <c r="DE89" s="138"/>
      <c r="DF89" s="162">
        <f t="shared" si="99"/>
        <v>0</v>
      </c>
      <c r="DG89" s="279"/>
      <c r="DH89" s="90">
        <f t="shared" si="353"/>
        <v>0</v>
      </c>
      <c r="DI89" s="91">
        <f t="shared" si="354"/>
        <v>0</v>
      </c>
      <c r="DJ89" s="92">
        <f t="shared" si="355"/>
        <v>0</v>
      </c>
      <c r="DK89" s="64" t="e">
        <f>+DH89/DH88</f>
        <v>#DIV/0!</v>
      </c>
    </row>
    <row r="90" spans="1:118" ht="15" hidden="1" customHeight="1" outlineLevel="1">
      <c r="A90" s="607"/>
      <c r="B90" s="559"/>
      <c r="C90" s="357" t="s">
        <v>11</v>
      </c>
      <c r="D90" s="358"/>
      <c r="E90" s="143">
        <f t="shared" ref="E90:R90" si="356">+E88-E89</f>
        <v>0</v>
      </c>
      <c r="F90" s="144">
        <f t="shared" si="356"/>
        <v>0</v>
      </c>
      <c r="G90" s="145">
        <f t="shared" si="356"/>
        <v>0</v>
      </c>
      <c r="H90" s="145">
        <f t="shared" si="356"/>
        <v>0</v>
      </c>
      <c r="I90" s="145">
        <f t="shared" si="356"/>
        <v>0</v>
      </c>
      <c r="J90" s="145">
        <f t="shared" si="356"/>
        <v>0</v>
      </c>
      <c r="K90" s="145">
        <f t="shared" si="356"/>
        <v>0</v>
      </c>
      <c r="L90" s="145">
        <f t="shared" si="356"/>
        <v>0</v>
      </c>
      <c r="M90" s="145">
        <f t="shared" si="356"/>
        <v>0</v>
      </c>
      <c r="N90" s="145">
        <f t="shared" si="356"/>
        <v>0</v>
      </c>
      <c r="O90" s="145">
        <f t="shared" si="356"/>
        <v>0</v>
      </c>
      <c r="P90" s="145">
        <f t="shared" si="356"/>
        <v>0</v>
      </c>
      <c r="Q90" s="145">
        <f t="shared" si="356"/>
        <v>0</v>
      </c>
      <c r="R90" s="146">
        <f t="shared" si="356"/>
        <v>0</v>
      </c>
      <c r="S90" s="147">
        <f t="shared" si="318"/>
        <v>0</v>
      </c>
      <c r="T90" s="148">
        <f t="shared" ref="T90:AE90" si="357">+T88-T89</f>
        <v>0</v>
      </c>
      <c r="U90" s="145">
        <f t="shared" si="357"/>
        <v>0</v>
      </c>
      <c r="V90" s="145">
        <f t="shared" si="357"/>
        <v>0</v>
      </c>
      <c r="W90" s="145">
        <f t="shared" si="357"/>
        <v>0</v>
      </c>
      <c r="X90" s="145">
        <f t="shared" si="357"/>
        <v>0</v>
      </c>
      <c r="Y90" s="145">
        <f t="shared" si="357"/>
        <v>0</v>
      </c>
      <c r="Z90" s="145">
        <f t="shared" si="357"/>
        <v>0</v>
      </c>
      <c r="AA90" s="145">
        <f t="shared" si="357"/>
        <v>0</v>
      </c>
      <c r="AB90" s="145">
        <f t="shared" si="357"/>
        <v>0</v>
      </c>
      <c r="AC90" s="145">
        <f t="shared" si="357"/>
        <v>0</v>
      </c>
      <c r="AD90" s="145">
        <f t="shared" si="357"/>
        <v>0</v>
      </c>
      <c r="AE90" s="146">
        <f t="shared" si="357"/>
        <v>0</v>
      </c>
      <c r="AF90" s="147">
        <f t="shared" si="349"/>
        <v>0</v>
      </c>
      <c r="AG90" s="148">
        <f t="shared" ref="AG90:AR90" si="358">+AG88-AG89</f>
        <v>0</v>
      </c>
      <c r="AH90" s="145">
        <f t="shared" si="358"/>
        <v>0</v>
      </c>
      <c r="AI90" s="145">
        <f t="shared" si="358"/>
        <v>0</v>
      </c>
      <c r="AJ90" s="145">
        <f t="shared" si="358"/>
        <v>0</v>
      </c>
      <c r="AK90" s="145">
        <f t="shared" si="358"/>
        <v>0</v>
      </c>
      <c r="AL90" s="145">
        <f t="shared" si="358"/>
        <v>0</v>
      </c>
      <c r="AM90" s="145">
        <f t="shared" si="358"/>
        <v>0</v>
      </c>
      <c r="AN90" s="145">
        <f t="shared" si="358"/>
        <v>0</v>
      </c>
      <c r="AO90" s="145">
        <f t="shared" si="358"/>
        <v>0</v>
      </c>
      <c r="AP90" s="145">
        <f t="shared" si="358"/>
        <v>0</v>
      </c>
      <c r="AQ90" s="145">
        <f t="shared" si="358"/>
        <v>0</v>
      </c>
      <c r="AR90" s="146">
        <f t="shared" si="358"/>
        <v>0</v>
      </c>
      <c r="AS90" s="408">
        <f t="shared" si="350"/>
        <v>0</v>
      </c>
      <c r="AT90" s="148">
        <f t="shared" ref="AT90:BE90" si="359">+AT88-AT89</f>
        <v>0</v>
      </c>
      <c r="AU90" s="145">
        <f t="shared" si="359"/>
        <v>0</v>
      </c>
      <c r="AV90" s="145">
        <f t="shared" si="359"/>
        <v>0</v>
      </c>
      <c r="AW90" s="145">
        <f t="shared" si="359"/>
        <v>0</v>
      </c>
      <c r="AX90" s="145">
        <f t="shared" si="359"/>
        <v>0</v>
      </c>
      <c r="AY90" s="145">
        <f t="shared" si="359"/>
        <v>0</v>
      </c>
      <c r="AZ90" s="145">
        <f t="shared" si="359"/>
        <v>0</v>
      </c>
      <c r="BA90" s="145">
        <f t="shared" si="359"/>
        <v>0</v>
      </c>
      <c r="BB90" s="145">
        <f t="shared" si="359"/>
        <v>0</v>
      </c>
      <c r="BC90" s="145">
        <f t="shared" si="359"/>
        <v>0</v>
      </c>
      <c r="BD90" s="145">
        <f t="shared" si="359"/>
        <v>0</v>
      </c>
      <c r="BE90" s="146">
        <f t="shared" si="359"/>
        <v>0</v>
      </c>
      <c r="BF90" s="147">
        <f t="shared" si="351"/>
        <v>0</v>
      </c>
      <c r="BG90" s="148">
        <f t="shared" ref="BG90:BR90" si="360">+BG88-BG89</f>
        <v>0</v>
      </c>
      <c r="BH90" s="145">
        <f t="shared" si="360"/>
        <v>0</v>
      </c>
      <c r="BI90" s="145">
        <f t="shared" si="360"/>
        <v>0</v>
      </c>
      <c r="BJ90" s="145">
        <f t="shared" si="360"/>
        <v>0</v>
      </c>
      <c r="BK90" s="145">
        <f t="shared" si="360"/>
        <v>0</v>
      </c>
      <c r="BL90" s="145">
        <f t="shared" si="360"/>
        <v>0</v>
      </c>
      <c r="BM90" s="145">
        <f t="shared" si="360"/>
        <v>0</v>
      </c>
      <c r="BN90" s="145">
        <f t="shared" si="360"/>
        <v>0</v>
      </c>
      <c r="BO90" s="145">
        <f t="shared" si="360"/>
        <v>0</v>
      </c>
      <c r="BP90" s="145">
        <f t="shared" si="360"/>
        <v>0</v>
      </c>
      <c r="BQ90" s="145">
        <f t="shared" si="360"/>
        <v>0</v>
      </c>
      <c r="BR90" s="146">
        <f t="shared" si="360"/>
        <v>0</v>
      </c>
      <c r="BS90" s="147">
        <f t="shared" si="352"/>
        <v>0</v>
      </c>
      <c r="BT90" s="148">
        <f t="shared" ref="BT90:CE90" si="361">+BT88-BT89</f>
        <v>0</v>
      </c>
      <c r="BU90" s="145">
        <f t="shared" si="361"/>
        <v>0</v>
      </c>
      <c r="BV90" s="145">
        <f t="shared" si="361"/>
        <v>0</v>
      </c>
      <c r="BW90" s="145">
        <f t="shared" si="361"/>
        <v>0</v>
      </c>
      <c r="BX90" s="145">
        <f t="shared" si="361"/>
        <v>0</v>
      </c>
      <c r="BY90" s="145">
        <f t="shared" si="361"/>
        <v>0</v>
      </c>
      <c r="BZ90" s="145">
        <f t="shared" si="361"/>
        <v>0</v>
      </c>
      <c r="CA90" s="145">
        <f t="shared" si="361"/>
        <v>0</v>
      </c>
      <c r="CB90" s="145">
        <f t="shared" si="361"/>
        <v>0</v>
      </c>
      <c r="CC90" s="145">
        <f t="shared" si="361"/>
        <v>0</v>
      </c>
      <c r="CD90" s="145">
        <f t="shared" si="361"/>
        <v>0</v>
      </c>
      <c r="CE90" s="146">
        <f t="shared" si="361"/>
        <v>0</v>
      </c>
      <c r="CF90" s="147">
        <f t="shared" si="97"/>
        <v>0</v>
      </c>
      <c r="CG90" s="148">
        <f t="shared" ref="CG90:CR90" si="362">+CG88-CG89</f>
        <v>0</v>
      </c>
      <c r="CH90" s="145">
        <f t="shared" si="362"/>
        <v>0</v>
      </c>
      <c r="CI90" s="145">
        <f t="shared" si="362"/>
        <v>0</v>
      </c>
      <c r="CJ90" s="145">
        <f t="shared" si="362"/>
        <v>0</v>
      </c>
      <c r="CK90" s="145">
        <f t="shared" si="362"/>
        <v>0</v>
      </c>
      <c r="CL90" s="145">
        <f t="shared" si="362"/>
        <v>0</v>
      </c>
      <c r="CM90" s="145">
        <f t="shared" si="362"/>
        <v>0</v>
      </c>
      <c r="CN90" s="145">
        <f t="shared" si="362"/>
        <v>0</v>
      </c>
      <c r="CO90" s="145">
        <f t="shared" si="362"/>
        <v>0</v>
      </c>
      <c r="CP90" s="145">
        <f t="shared" si="362"/>
        <v>0</v>
      </c>
      <c r="CQ90" s="145">
        <f t="shared" si="362"/>
        <v>0</v>
      </c>
      <c r="CR90" s="146">
        <f t="shared" si="362"/>
        <v>0</v>
      </c>
      <c r="CS90" s="147">
        <f t="shared" si="98"/>
        <v>0</v>
      </c>
      <c r="CT90" s="148">
        <f t="shared" ref="CT90:DE90" si="363">+CT88-CT89</f>
        <v>0</v>
      </c>
      <c r="CU90" s="145">
        <f t="shared" si="363"/>
        <v>0</v>
      </c>
      <c r="CV90" s="145">
        <f t="shared" si="363"/>
        <v>0</v>
      </c>
      <c r="CW90" s="145">
        <f t="shared" si="363"/>
        <v>0</v>
      </c>
      <c r="CX90" s="145">
        <f t="shared" si="363"/>
        <v>0</v>
      </c>
      <c r="CY90" s="145">
        <f t="shared" si="363"/>
        <v>0</v>
      </c>
      <c r="CZ90" s="145">
        <f t="shared" si="363"/>
        <v>0</v>
      </c>
      <c r="DA90" s="145">
        <f t="shared" si="363"/>
        <v>0</v>
      </c>
      <c r="DB90" s="145">
        <f t="shared" si="363"/>
        <v>0</v>
      </c>
      <c r="DC90" s="145">
        <f t="shared" si="363"/>
        <v>0</v>
      </c>
      <c r="DD90" s="145">
        <f t="shared" si="363"/>
        <v>0</v>
      </c>
      <c r="DE90" s="146">
        <f t="shared" si="363"/>
        <v>0</v>
      </c>
      <c r="DF90" s="147">
        <f t="shared" si="99"/>
        <v>0</v>
      </c>
      <c r="DG90" s="146">
        <f>+DG88-DG89</f>
        <v>0</v>
      </c>
      <c r="DH90" s="98">
        <f t="shared" si="353"/>
        <v>0</v>
      </c>
      <c r="DI90" s="99">
        <f t="shared" si="354"/>
        <v>0</v>
      </c>
      <c r="DJ90" s="100">
        <f t="shared" si="355"/>
        <v>0</v>
      </c>
    </row>
    <row r="91" spans="1:118" ht="15" hidden="1" customHeight="1" outlineLevel="1">
      <c r="A91" s="607"/>
      <c r="B91" s="557"/>
      <c r="C91" s="246" t="s">
        <v>62</v>
      </c>
      <c r="D91" s="183" t="s">
        <v>122</v>
      </c>
      <c r="E91" s="153">
        <f>AF91+AS91+BF91+BS91+CF91+CS91+DF91+S91+DG91</f>
        <v>0</v>
      </c>
      <c r="F91" s="153"/>
      <c r="G91" s="154"/>
      <c r="H91" s="155"/>
      <c r="I91" s="155"/>
      <c r="J91" s="155"/>
      <c r="K91" s="155"/>
      <c r="L91" s="155"/>
      <c r="M91" s="155"/>
      <c r="N91" s="155"/>
      <c r="O91" s="155"/>
      <c r="P91" s="155"/>
      <c r="Q91" s="155"/>
      <c r="R91" s="284"/>
      <c r="S91" s="157">
        <f t="shared" si="318"/>
        <v>0</v>
      </c>
      <c r="T91" s="378"/>
      <c r="U91" s="382"/>
      <c r="V91" s="382"/>
      <c r="W91" s="382"/>
      <c r="X91" s="389"/>
      <c r="Y91" s="389"/>
      <c r="Z91" s="389"/>
      <c r="AA91" s="389"/>
      <c r="AB91" s="389"/>
      <c r="AC91" s="389"/>
      <c r="AD91" s="389"/>
      <c r="AE91" s="482"/>
      <c r="AF91" s="157">
        <f t="shared" si="349"/>
        <v>0</v>
      </c>
      <c r="AG91" s="500"/>
      <c r="AH91" s="513"/>
      <c r="AI91" s="513"/>
      <c r="AJ91" s="513"/>
      <c r="AK91" s="513"/>
      <c r="AL91" s="513"/>
      <c r="AM91" s="513"/>
      <c r="AN91" s="513"/>
      <c r="AO91" s="513"/>
      <c r="AP91" s="155"/>
      <c r="AQ91" s="155"/>
      <c r="AR91" s="156"/>
      <c r="AS91" s="409">
        <f t="shared" si="350"/>
        <v>0</v>
      </c>
      <c r="AT91" s="158"/>
      <c r="AU91" s="155"/>
      <c r="AV91" s="155"/>
      <c r="AW91" s="155"/>
      <c r="AX91" s="155"/>
      <c r="AY91" s="155"/>
      <c r="AZ91" s="155"/>
      <c r="BA91" s="155"/>
      <c r="BB91" s="155"/>
      <c r="BC91" s="155"/>
      <c r="BD91" s="155"/>
      <c r="BE91" s="156"/>
      <c r="BF91" s="157">
        <f t="shared" si="351"/>
        <v>0</v>
      </c>
      <c r="BG91" s="158"/>
      <c r="BH91" s="155"/>
      <c r="BI91" s="155"/>
      <c r="BJ91" s="155"/>
      <c r="BK91" s="155"/>
      <c r="BL91" s="155"/>
      <c r="BM91" s="155"/>
      <c r="BN91" s="155"/>
      <c r="BO91" s="155"/>
      <c r="BP91" s="155"/>
      <c r="BQ91" s="155"/>
      <c r="BR91" s="156"/>
      <c r="BS91" s="157">
        <f t="shared" si="352"/>
        <v>0</v>
      </c>
      <c r="BT91" s="158"/>
      <c r="BU91" s="155"/>
      <c r="BV91" s="155"/>
      <c r="BW91" s="155"/>
      <c r="BX91" s="155"/>
      <c r="BY91" s="155"/>
      <c r="BZ91" s="155"/>
      <c r="CA91" s="155"/>
      <c r="CB91" s="155"/>
      <c r="CC91" s="155"/>
      <c r="CD91" s="155"/>
      <c r="CE91" s="156"/>
      <c r="CF91" s="157">
        <f t="shared" si="97"/>
        <v>0</v>
      </c>
      <c r="CG91" s="158"/>
      <c r="CH91" s="155"/>
      <c r="CI91" s="155"/>
      <c r="CJ91" s="155"/>
      <c r="CK91" s="155"/>
      <c r="CL91" s="155"/>
      <c r="CM91" s="155"/>
      <c r="CN91" s="155"/>
      <c r="CO91" s="155"/>
      <c r="CP91" s="155"/>
      <c r="CQ91" s="155"/>
      <c r="CR91" s="156"/>
      <c r="CS91" s="157">
        <f t="shared" si="98"/>
        <v>0</v>
      </c>
      <c r="CT91" s="158"/>
      <c r="CU91" s="155"/>
      <c r="CV91" s="155"/>
      <c r="CW91" s="155"/>
      <c r="CX91" s="155"/>
      <c r="CY91" s="155"/>
      <c r="CZ91" s="155"/>
      <c r="DA91" s="155"/>
      <c r="DB91" s="155"/>
      <c r="DC91" s="155"/>
      <c r="DD91" s="155"/>
      <c r="DE91" s="156"/>
      <c r="DF91" s="157">
        <f t="shared" si="99"/>
        <v>0</v>
      </c>
      <c r="DG91" s="280"/>
      <c r="DH91" s="159">
        <f t="shared" si="353"/>
        <v>0</v>
      </c>
      <c r="DI91" s="160">
        <f t="shared" si="354"/>
        <v>0</v>
      </c>
      <c r="DJ91" s="161">
        <f t="shared" si="355"/>
        <v>0</v>
      </c>
    </row>
    <row r="92" spans="1:118" ht="15" hidden="1" customHeight="1" outlineLevel="1">
      <c r="A92" s="607"/>
      <c r="B92" s="560"/>
      <c r="C92" s="245" t="s">
        <v>63</v>
      </c>
      <c r="D92" s="184" t="s">
        <v>124</v>
      </c>
      <c r="E92" s="136">
        <f>AF92+AS92+BF92+BS92+CF92+CS92+DF92+S92+DG92</f>
        <v>0</v>
      </c>
      <c r="F92" s="136"/>
      <c r="G92" s="137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9"/>
      <c r="S92" s="162">
        <f t="shared" si="318"/>
        <v>0</v>
      </c>
      <c r="T92" s="380"/>
      <c r="U92" s="381"/>
      <c r="V92" s="381"/>
      <c r="W92" s="381"/>
      <c r="X92" s="388"/>
      <c r="Y92" s="388"/>
      <c r="Z92" s="388"/>
      <c r="AA92" s="388"/>
      <c r="AB92" s="388"/>
      <c r="AC92" s="388"/>
      <c r="AD92" s="388"/>
      <c r="AE92" s="483"/>
      <c r="AF92" s="162">
        <f t="shared" si="349"/>
        <v>0</v>
      </c>
      <c r="AG92" s="501"/>
      <c r="AH92" s="499"/>
      <c r="AI92" s="499"/>
      <c r="AJ92" s="499"/>
      <c r="AK92" s="499"/>
      <c r="AL92" s="499"/>
      <c r="AM92" s="499"/>
      <c r="AN92" s="499"/>
      <c r="AO92" s="499"/>
      <c r="AP92" s="138"/>
      <c r="AQ92" s="138"/>
      <c r="AR92" s="139"/>
      <c r="AS92" s="410">
        <f t="shared" si="350"/>
        <v>0</v>
      </c>
      <c r="AT92" s="141"/>
      <c r="AU92" s="138"/>
      <c r="AV92" s="138"/>
      <c r="AW92" s="138"/>
      <c r="AX92" s="138"/>
      <c r="AY92" s="138"/>
      <c r="AZ92" s="138"/>
      <c r="BA92" s="138"/>
      <c r="BB92" s="138"/>
      <c r="BC92" s="138"/>
      <c r="BD92" s="138"/>
      <c r="BE92" s="139"/>
      <c r="BF92" s="162">
        <f t="shared" si="351"/>
        <v>0</v>
      </c>
      <c r="BG92" s="141"/>
      <c r="BH92" s="138"/>
      <c r="BI92" s="138"/>
      <c r="BJ92" s="138"/>
      <c r="BK92" s="138"/>
      <c r="BL92" s="138"/>
      <c r="BM92" s="138"/>
      <c r="BN92" s="138"/>
      <c r="BO92" s="138"/>
      <c r="BP92" s="138"/>
      <c r="BQ92" s="138"/>
      <c r="BR92" s="139"/>
      <c r="BS92" s="162">
        <f t="shared" si="352"/>
        <v>0</v>
      </c>
      <c r="BT92" s="141"/>
      <c r="BU92" s="138"/>
      <c r="BV92" s="138"/>
      <c r="BW92" s="138"/>
      <c r="BX92" s="138"/>
      <c r="BY92" s="138"/>
      <c r="BZ92" s="138"/>
      <c r="CA92" s="138"/>
      <c r="CB92" s="138"/>
      <c r="CC92" s="138"/>
      <c r="CD92" s="138"/>
      <c r="CE92" s="139"/>
      <c r="CF92" s="162">
        <f t="shared" si="97"/>
        <v>0</v>
      </c>
      <c r="CG92" s="141"/>
      <c r="CH92" s="138"/>
      <c r="CI92" s="138"/>
      <c r="CJ92" s="138"/>
      <c r="CK92" s="138"/>
      <c r="CL92" s="138"/>
      <c r="CM92" s="138"/>
      <c r="CN92" s="138"/>
      <c r="CO92" s="138"/>
      <c r="CP92" s="138"/>
      <c r="CQ92" s="138"/>
      <c r="CR92" s="139"/>
      <c r="CS92" s="162">
        <f t="shared" si="98"/>
        <v>0</v>
      </c>
      <c r="CT92" s="141"/>
      <c r="CU92" s="138"/>
      <c r="CV92" s="138"/>
      <c r="CW92" s="138"/>
      <c r="CX92" s="138"/>
      <c r="CY92" s="138"/>
      <c r="CZ92" s="138"/>
      <c r="DA92" s="138"/>
      <c r="DB92" s="138"/>
      <c r="DC92" s="138"/>
      <c r="DD92" s="138"/>
      <c r="DE92" s="139"/>
      <c r="DF92" s="162">
        <f t="shared" si="99"/>
        <v>0</v>
      </c>
      <c r="DG92" s="279"/>
      <c r="DH92" s="90">
        <f t="shared" si="353"/>
        <v>0</v>
      </c>
      <c r="DI92" s="91">
        <f t="shared" si="354"/>
        <v>0</v>
      </c>
      <c r="DJ92" s="92">
        <f t="shared" si="355"/>
        <v>0</v>
      </c>
      <c r="DK92" s="64" t="e">
        <f>+DH92/DH91</f>
        <v>#DIV/0!</v>
      </c>
    </row>
    <row r="93" spans="1:118" ht="15" hidden="1" customHeight="1" outlineLevel="1">
      <c r="A93" s="607"/>
      <c r="B93" s="561"/>
      <c r="C93" s="554" t="s">
        <v>11</v>
      </c>
      <c r="D93" s="555"/>
      <c r="E93" s="143">
        <f>+E91-E92</f>
        <v>0</v>
      </c>
      <c r="F93" s="144">
        <f t="shared" ref="F93:R93" si="364">+F91-F92</f>
        <v>0</v>
      </c>
      <c r="G93" s="145">
        <f t="shared" si="364"/>
        <v>0</v>
      </c>
      <c r="H93" s="145">
        <f t="shared" si="364"/>
        <v>0</v>
      </c>
      <c r="I93" s="145">
        <f t="shared" si="364"/>
        <v>0</v>
      </c>
      <c r="J93" s="145">
        <f t="shared" si="364"/>
        <v>0</v>
      </c>
      <c r="K93" s="145">
        <f t="shared" si="364"/>
        <v>0</v>
      </c>
      <c r="L93" s="145">
        <f t="shared" si="364"/>
        <v>0</v>
      </c>
      <c r="M93" s="145">
        <f t="shared" si="364"/>
        <v>0</v>
      </c>
      <c r="N93" s="145">
        <f t="shared" si="364"/>
        <v>0</v>
      </c>
      <c r="O93" s="145">
        <f t="shared" si="364"/>
        <v>0</v>
      </c>
      <c r="P93" s="145">
        <f t="shared" si="364"/>
        <v>0</v>
      </c>
      <c r="Q93" s="145">
        <f t="shared" si="364"/>
        <v>0</v>
      </c>
      <c r="R93" s="146">
        <f t="shared" si="364"/>
        <v>0</v>
      </c>
      <c r="S93" s="147">
        <f t="shared" si="318"/>
        <v>0</v>
      </c>
      <c r="T93" s="148">
        <f t="shared" ref="T93:AE93" si="365">+T91-T92</f>
        <v>0</v>
      </c>
      <c r="U93" s="145">
        <f t="shared" si="365"/>
        <v>0</v>
      </c>
      <c r="V93" s="145">
        <f t="shared" si="365"/>
        <v>0</v>
      </c>
      <c r="W93" s="145">
        <f t="shared" si="365"/>
        <v>0</v>
      </c>
      <c r="X93" s="145">
        <f t="shared" si="365"/>
        <v>0</v>
      </c>
      <c r="Y93" s="145">
        <f t="shared" si="365"/>
        <v>0</v>
      </c>
      <c r="Z93" s="145">
        <f t="shared" si="365"/>
        <v>0</v>
      </c>
      <c r="AA93" s="145">
        <f t="shared" si="365"/>
        <v>0</v>
      </c>
      <c r="AB93" s="145">
        <f t="shared" si="365"/>
        <v>0</v>
      </c>
      <c r="AC93" s="145">
        <f t="shared" si="365"/>
        <v>0</v>
      </c>
      <c r="AD93" s="145">
        <f t="shared" si="365"/>
        <v>0</v>
      </c>
      <c r="AE93" s="146">
        <f t="shared" si="365"/>
        <v>0</v>
      </c>
      <c r="AF93" s="147">
        <f t="shared" si="349"/>
        <v>0</v>
      </c>
      <c r="AG93" s="148">
        <f t="shared" ref="AG93:AR93" si="366">+AG91-AG92</f>
        <v>0</v>
      </c>
      <c r="AH93" s="145">
        <f t="shared" si="366"/>
        <v>0</v>
      </c>
      <c r="AI93" s="145">
        <f t="shared" si="366"/>
        <v>0</v>
      </c>
      <c r="AJ93" s="145">
        <f t="shared" si="366"/>
        <v>0</v>
      </c>
      <c r="AK93" s="145">
        <f t="shared" si="366"/>
        <v>0</v>
      </c>
      <c r="AL93" s="145">
        <f t="shared" si="366"/>
        <v>0</v>
      </c>
      <c r="AM93" s="145">
        <f t="shared" si="366"/>
        <v>0</v>
      </c>
      <c r="AN93" s="145">
        <f t="shared" si="366"/>
        <v>0</v>
      </c>
      <c r="AO93" s="145">
        <f t="shared" si="366"/>
        <v>0</v>
      </c>
      <c r="AP93" s="145">
        <f t="shared" si="366"/>
        <v>0</v>
      </c>
      <c r="AQ93" s="145">
        <f t="shared" si="366"/>
        <v>0</v>
      </c>
      <c r="AR93" s="146">
        <f t="shared" si="366"/>
        <v>0</v>
      </c>
      <c r="AS93" s="408">
        <f t="shared" si="350"/>
        <v>0</v>
      </c>
      <c r="AT93" s="148">
        <f t="shared" ref="AT93:BE93" si="367">+AT91-AT92</f>
        <v>0</v>
      </c>
      <c r="AU93" s="145">
        <f t="shared" si="367"/>
        <v>0</v>
      </c>
      <c r="AV93" s="145">
        <f t="shared" si="367"/>
        <v>0</v>
      </c>
      <c r="AW93" s="145">
        <f t="shared" si="367"/>
        <v>0</v>
      </c>
      <c r="AX93" s="145">
        <f t="shared" si="367"/>
        <v>0</v>
      </c>
      <c r="AY93" s="145">
        <f t="shared" si="367"/>
        <v>0</v>
      </c>
      <c r="AZ93" s="145">
        <f t="shared" si="367"/>
        <v>0</v>
      </c>
      <c r="BA93" s="145">
        <f t="shared" si="367"/>
        <v>0</v>
      </c>
      <c r="BB93" s="145">
        <f t="shared" si="367"/>
        <v>0</v>
      </c>
      <c r="BC93" s="145">
        <f t="shared" si="367"/>
        <v>0</v>
      </c>
      <c r="BD93" s="145">
        <f t="shared" si="367"/>
        <v>0</v>
      </c>
      <c r="BE93" s="146">
        <f t="shared" si="367"/>
        <v>0</v>
      </c>
      <c r="BF93" s="147">
        <f t="shared" si="351"/>
        <v>0</v>
      </c>
      <c r="BG93" s="148">
        <f t="shared" ref="BG93:BR93" si="368">+BG91-BG92</f>
        <v>0</v>
      </c>
      <c r="BH93" s="145">
        <f t="shared" si="368"/>
        <v>0</v>
      </c>
      <c r="BI93" s="145">
        <f t="shared" si="368"/>
        <v>0</v>
      </c>
      <c r="BJ93" s="145">
        <f t="shared" si="368"/>
        <v>0</v>
      </c>
      <c r="BK93" s="145">
        <f t="shared" si="368"/>
        <v>0</v>
      </c>
      <c r="BL93" s="145">
        <f t="shared" si="368"/>
        <v>0</v>
      </c>
      <c r="BM93" s="145">
        <f t="shared" si="368"/>
        <v>0</v>
      </c>
      <c r="BN93" s="145">
        <f t="shared" si="368"/>
        <v>0</v>
      </c>
      <c r="BO93" s="145">
        <f t="shared" si="368"/>
        <v>0</v>
      </c>
      <c r="BP93" s="145">
        <f t="shared" si="368"/>
        <v>0</v>
      </c>
      <c r="BQ93" s="145">
        <f t="shared" si="368"/>
        <v>0</v>
      </c>
      <c r="BR93" s="146">
        <f t="shared" si="368"/>
        <v>0</v>
      </c>
      <c r="BS93" s="147">
        <f t="shared" si="352"/>
        <v>0</v>
      </c>
      <c r="BT93" s="148">
        <f t="shared" ref="BT93:CE93" si="369">+BT91-BT92</f>
        <v>0</v>
      </c>
      <c r="BU93" s="145">
        <f t="shared" si="369"/>
        <v>0</v>
      </c>
      <c r="BV93" s="145">
        <f t="shared" si="369"/>
        <v>0</v>
      </c>
      <c r="BW93" s="145">
        <f t="shared" si="369"/>
        <v>0</v>
      </c>
      <c r="BX93" s="145">
        <f t="shared" si="369"/>
        <v>0</v>
      </c>
      <c r="BY93" s="145">
        <f t="shared" si="369"/>
        <v>0</v>
      </c>
      <c r="BZ93" s="145">
        <f t="shared" si="369"/>
        <v>0</v>
      </c>
      <c r="CA93" s="145">
        <f t="shared" si="369"/>
        <v>0</v>
      </c>
      <c r="CB93" s="145">
        <f t="shared" si="369"/>
        <v>0</v>
      </c>
      <c r="CC93" s="145">
        <f t="shared" si="369"/>
        <v>0</v>
      </c>
      <c r="CD93" s="145">
        <f t="shared" si="369"/>
        <v>0</v>
      </c>
      <c r="CE93" s="146">
        <f t="shared" si="369"/>
        <v>0</v>
      </c>
      <c r="CF93" s="147">
        <f t="shared" si="97"/>
        <v>0</v>
      </c>
      <c r="CG93" s="148">
        <f t="shared" ref="CG93:CR93" si="370">+CG91-CG92</f>
        <v>0</v>
      </c>
      <c r="CH93" s="145">
        <f t="shared" si="370"/>
        <v>0</v>
      </c>
      <c r="CI93" s="145">
        <f t="shared" si="370"/>
        <v>0</v>
      </c>
      <c r="CJ93" s="145">
        <f t="shared" si="370"/>
        <v>0</v>
      </c>
      <c r="CK93" s="145">
        <f t="shared" si="370"/>
        <v>0</v>
      </c>
      <c r="CL93" s="145">
        <f t="shared" si="370"/>
        <v>0</v>
      </c>
      <c r="CM93" s="145">
        <f t="shared" si="370"/>
        <v>0</v>
      </c>
      <c r="CN93" s="145">
        <f t="shared" si="370"/>
        <v>0</v>
      </c>
      <c r="CO93" s="145">
        <f t="shared" si="370"/>
        <v>0</v>
      </c>
      <c r="CP93" s="145">
        <f t="shared" si="370"/>
        <v>0</v>
      </c>
      <c r="CQ93" s="145">
        <f t="shared" si="370"/>
        <v>0</v>
      </c>
      <c r="CR93" s="146">
        <f t="shared" si="370"/>
        <v>0</v>
      </c>
      <c r="CS93" s="147">
        <f t="shared" si="98"/>
        <v>0</v>
      </c>
      <c r="CT93" s="148">
        <f t="shared" ref="CT93:DE93" si="371">+CT91-CT92</f>
        <v>0</v>
      </c>
      <c r="CU93" s="145">
        <f t="shared" si="371"/>
        <v>0</v>
      </c>
      <c r="CV93" s="145">
        <f t="shared" si="371"/>
        <v>0</v>
      </c>
      <c r="CW93" s="145">
        <f t="shared" si="371"/>
        <v>0</v>
      </c>
      <c r="CX93" s="145">
        <f t="shared" si="371"/>
        <v>0</v>
      </c>
      <c r="CY93" s="145">
        <f t="shared" si="371"/>
        <v>0</v>
      </c>
      <c r="CZ93" s="145">
        <f t="shared" si="371"/>
        <v>0</v>
      </c>
      <c r="DA93" s="145">
        <f t="shared" si="371"/>
        <v>0</v>
      </c>
      <c r="DB93" s="145">
        <f t="shared" si="371"/>
        <v>0</v>
      </c>
      <c r="DC93" s="145">
        <f t="shared" si="371"/>
        <v>0</v>
      </c>
      <c r="DD93" s="145">
        <f t="shared" si="371"/>
        <v>0</v>
      </c>
      <c r="DE93" s="146">
        <f t="shared" si="371"/>
        <v>0</v>
      </c>
      <c r="DF93" s="147">
        <f t="shared" si="99"/>
        <v>0</v>
      </c>
      <c r="DG93" s="146">
        <f>+DG91-DG92</f>
        <v>0</v>
      </c>
      <c r="DH93" s="98">
        <f t="shared" si="353"/>
        <v>0</v>
      </c>
      <c r="DI93" s="99">
        <f t="shared" si="354"/>
        <v>0</v>
      </c>
      <c r="DJ93" s="100">
        <f t="shared" si="355"/>
        <v>0</v>
      </c>
    </row>
    <row r="94" spans="1:118" ht="15" hidden="1" customHeight="1" outlineLevel="1">
      <c r="A94" s="607"/>
      <c r="B94" s="557"/>
      <c r="C94" s="246" t="s">
        <v>62</v>
      </c>
      <c r="D94" s="183" t="s">
        <v>122</v>
      </c>
      <c r="E94" s="153">
        <f>AF94+AS94+BF94+BS94+CF94+CS94+DF94+S94+DG94</f>
        <v>0</v>
      </c>
      <c r="F94" s="153"/>
      <c r="G94" s="154"/>
      <c r="H94" s="155"/>
      <c r="I94" s="155"/>
      <c r="J94" s="155"/>
      <c r="K94" s="155"/>
      <c r="L94" s="155"/>
      <c r="M94" s="155"/>
      <c r="N94" s="155"/>
      <c r="O94" s="155"/>
      <c r="P94" s="155"/>
      <c r="Q94" s="155"/>
      <c r="R94" s="284"/>
      <c r="S94" s="157">
        <f t="shared" si="318"/>
        <v>0</v>
      </c>
      <c r="T94" s="378"/>
      <c r="U94" s="382"/>
      <c r="V94" s="382"/>
      <c r="W94" s="382"/>
      <c r="X94" s="389"/>
      <c r="Y94" s="389"/>
      <c r="Z94" s="389"/>
      <c r="AA94" s="389"/>
      <c r="AB94" s="389"/>
      <c r="AC94" s="389"/>
      <c r="AD94" s="389"/>
      <c r="AE94" s="482"/>
      <c r="AF94" s="157">
        <v>0</v>
      </c>
      <c r="AG94" s="500"/>
      <c r="AH94" s="513"/>
      <c r="AI94" s="513"/>
      <c r="AJ94" s="513"/>
      <c r="AK94" s="513"/>
      <c r="AL94" s="513"/>
      <c r="AM94" s="513"/>
      <c r="AN94" s="513"/>
      <c r="AO94" s="513"/>
      <c r="AP94" s="155"/>
      <c r="AQ94" s="155"/>
      <c r="AR94" s="285"/>
      <c r="AS94" s="409">
        <f t="shared" ref="AS94:AS105" si="372">SUM(AG94:AR94)</f>
        <v>0</v>
      </c>
      <c r="AT94" s="158"/>
      <c r="AU94" s="155"/>
      <c r="AV94" s="155"/>
      <c r="AW94" s="155"/>
      <c r="AX94" s="155"/>
      <c r="AY94" s="155"/>
      <c r="AZ94" s="155"/>
      <c r="BA94" s="155"/>
      <c r="BB94" s="155"/>
      <c r="BC94" s="155"/>
      <c r="BD94" s="155"/>
      <c r="BE94" s="156"/>
      <c r="BF94" s="157">
        <f t="shared" ref="BF94:BF105" si="373">SUM(AT94:BE94)</f>
        <v>0</v>
      </c>
      <c r="BG94" s="158"/>
      <c r="BH94" s="155"/>
      <c r="BI94" s="155"/>
      <c r="BJ94" s="155"/>
      <c r="BK94" s="155"/>
      <c r="BL94" s="155"/>
      <c r="BM94" s="155"/>
      <c r="BN94" s="155"/>
      <c r="BO94" s="155"/>
      <c r="BP94" s="155"/>
      <c r="BQ94" s="155"/>
      <c r="BR94" s="156"/>
      <c r="BS94" s="157">
        <f t="shared" ref="BS94:BS105" si="374">SUM(BG94:BR94)</f>
        <v>0</v>
      </c>
      <c r="BT94" s="158"/>
      <c r="BU94" s="155"/>
      <c r="BV94" s="155"/>
      <c r="BW94" s="155"/>
      <c r="BX94" s="155"/>
      <c r="BY94" s="155"/>
      <c r="BZ94" s="155"/>
      <c r="CA94" s="155"/>
      <c r="CB94" s="155"/>
      <c r="CC94" s="155"/>
      <c r="CD94" s="155"/>
      <c r="CE94" s="156"/>
      <c r="CF94" s="157">
        <f t="shared" ref="CF94:CF99" si="375">SUM(BT94:CE94)</f>
        <v>0</v>
      </c>
      <c r="CG94" s="158"/>
      <c r="CH94" s="155"/>
      <c r="CI94" s="155"/>
      <c r="CJ94" s="155"/>
      <c r="CK94" s="155"/>
      <c r="CL94" s="155"/>
      <c r="CM94" s="155"/>
      <c r="CN94" s="155"/>
      <c r="CO94" s="155"/>
      <c r="CP94" s="155"/>
      <c r="CQ94" s="155"/>
      <c r="CR94" s="156"/>
      <c r="CS94" s="157">
        <f t="shared" ref="CS94:CS99" si="376">SUM(CG94:CR94)</f>
        <v>0</v>
      </c>
      <c r="CT94" s="158"/>
      <c r="CU94" s="155"/>
      <c r="CV94" s="155"/>
      <c r="CW94" s="155"/>
      <c r="CX94" s="155"/>
      <c r="CY94" s="155"/>
      <c r="CZ94" s="155"/>
      <c r="DA94" s="155"/>
      <c r="DB94" s="155"/>
      <c r="DC94" s="155"/>
      <c r="DD94" s="155"/>
      <c r="DE94" s="156"/>
      <c r="DF94" s="157">
        <f t="shared" si="99"/>
        <v>0</v>
      </c>
      <c r="DG94" s="280"/>
      <c r="DH94" s="159">
        <f t="shared" ref="DH94:DH99" si="377">+F94+S94+AF94+AS94+BF94+BS94+DG94</f>
        <v>0</v>
      </c>
      <c r="DI94" s="160">
        <f t="shared" ref="DI94:DI99" si="378">+E94</f>
        <v>0</v>
      </c>
      <c r="DJ94" s="161">
        <f t="shared" ref="DJ94:DJ99" si="379">+DI94-DH94</f>
        <v>0</v>
      </c>
    </row>
    <row r="95" spans="1:118" ht="15" hidden="1" customHeight="1" outlineLevel="1">
      <c r="A95" s="607"/>
      <c r="B95" s="560"/>
      <c r="C95" s="245" t="s">
        <v>63</v>
      </c>
      <c r="D95" s="184" t="s">
        <v>124</v>
      </c>
      <c r="E95" s="136">
        <f>AF95+AS95+BF95+BS95+CF95+CS95+DF95+S95+DG95</f>
        <v>0</v>
      </c>
      <c r="F95" s="136"/>
      <c r="G95" s="137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9"/>
      <c r="S95" s="162">
        <f t="shared" si="318"/>
        <v>0</v>
      </c>
      <c r="T95" s="380"/>
      <c r="U95" s="381"/>
      <c r="V95" s="381"/>
      <c r="W95" s="381"/>
      <c r="X95" s="388"/>
      <c r="Y95" s="388"/>
      <c r="Z95" s="388"/>
      <c r="AA95" s="388"/>
      <c r="AB95" s="388"/>
      <c r="AC95" s="388"/>
      <c r="AD95" s="388"/>
      <c r="AE95" s="483"/>
      <c r="AF95" s="162">
        <v>0</v>
      </c>
      <c r="AG95" s="501"/>
      <c r="AH95" s="499"/>
      <c r="AI95" s="499"/>
      <c r="AJ95" s="499"/>
      <c r="AK95" s="499"/>
      <c r="AL95" s="499"/>
      <c r="AM95" s="499"/>
      <c r="AN95" s="499"/>
      <c r="AO95" s="499"/>
      <c r="AP95" s="138"/>
      <c r="AQ95" s="138"/>
      <c r="AR95" s="139"/>
      <c r="AS95" s="410">
        <f t="shared" si="372"/>
        <v>0</v>
      </c>
      <c r="AT95" s="141"/>
      <c r="AU95" s="138"/>
      <c r="AV95" s="138"/>
      <c r="AW95" s="138"/>
      <c r="AX95" s="138"/>
      <c r="AY95" s="138"/>
      <c r="AZ95" s="138"/>
      <c r="BA95" s="138"/>
      <c r="BB95" s="138"/>
      <c r="BC95" s="138"/>
      <c r="BD95" s="138"/>
      <c r="BE95" s="139"/>
      <c r="BF95" s="162">
        <f t="shared" si="373"/>
        <v>0</v>
      </c>
      <c r="BG95" s="141"/>
      <c r="BH95" s="138"/>
      <c r="BI95" s="138"/>
      <c r="BJ95" s="138"/>
      <c r="BK95" s="138"/>
      <c r="BL95" s="138"/>
      <c r="BM95" s="138"/>
      <c r="BN95" s="138"/>
      <c r="BO95" s="138"/>
      <c r="BP95" s="138"/>
      <c r="BQ95" s="138"/>
      <c r="BR95" s="139"/>
      <c r="BS95" s="162">
        <f t="shared" si="374"/>
        <v>0</v>
      </c>
      <c r="BT95" s="141"/>
      <c r="BU95" s="138"/>
      <c r="BV95" s="138"/>
      <c r="BW95" s="138"/>
      <c r="BX95" s="138"/>
      <c r="BY95" s="138"/>
      <c r="BZ95" s="138"/>
      <c r="CA95" s="138"/>
      <c r="CB95" s="138"/>
      <c r="CC95" s="138"/>
      <c r="CD95" s="138"/>
      <c r="CE95" s="139"/>
      <c r="CF95" s="162">
        <f t="shared" si="375"/>
        <v>0</v>
      </c>
      <c r="CG95" s="141"/>
      <c r="CH95" s="138"/>
      <c r="CI95" s="138"/>
      <c r="CJ95" s="138"/>
      <c r="CK95" s="138"/>
      <c r="CL95" s="138"/>
      <c r="CM95" s="138"/>
      <c r="CN95" s="138"/>
      <c r="CO95" s="138"/>
      <c r="CP95" s="138"/>
      <c r="CQ95" s="138"/>
      <c r="CR95" s="139"/>
      <c r="CS95" s="162">
        <f t="shared" si="376"/>
        <v>0</v>
      </c>
      <c r="CT95" s="141"/>
      <c r="CU95" s="138"/>
      <c r="CV95" s="138"/>
      <c r="CW95" s="138"/>
      <c r="CX95" s="138"/>
      <c r="CY95" s="138"/>
      <c r="CZ95" s="138"/>
      <c r="DA95" s="138"/>
      <c r="DB95" s="138"/>
      <c r="DC95" s="138"/>
      <c r="DD95" s="138"/>
      <c r="DE95" s="139"/>
      <c r="DF95" s="162">
        <f t="shared" si="99"/>
        <v>0</v>
      </c>
      <c r="DG95" s="279"/>
      <c r="DH95" s="90">
        <f t="shared" si="377"/>
        <v>0</v>
      </c>
      <c r="DI95" s="91">
        <f t="shared" si="378"/>
        <v>0</v>
      </c>
      <c r="DJ95" s="92">
        <f t="shared" si="379"/>
        <v>0</v>
      </c>
      <c r="DK95" s="64" t="e">
        <f>+DH95/DH94</f>
        <v>#DIV/0!</v>
      </c>
    </row>
    <row r="96" spans="1:118" ht="15" hidden="1" customHeight="1" outlineLevel="1">
      <c r="A96" s="607"/>
      <c r="B96" s="561"/>
      <c r="C96" s="554" t="s">
        <v>11</v>
      </c>
      <c r="D96" s="555"/>
      <c r="E96" s="143">
        <f>+E94-E95</f>
        <v>0</v>
      </c>
      <c r="F96" s="144">
        <f t="shared" ref="F96:R96" si="380">+F94-F95</f>
        <v>0</v>
      </c>
      <c r="G96" s="145">
        <f t="shared" si="380"/>
        <v>0</v>
      </c>
      <c r="H96" s="145">
        <f t="shared" si="380"/>
        <v>0</v>
      </c>
      <c r="I96" s="145">
        <f t="shared" si="380"/>
        <v>0</v>
      </c>
      <c r="J96" s="145">
        <f t="shared" si="380"/>
        <v>0</v>
      </c>
      <c r="K96" s="145">
        <f t="shared" si="380"/>
        <v>0</v>
      </c>
      <c r="L96" s="145">
        <f t="shared" si="380"/>
        <v>0</v>
      </c>
      <c r="M96" s="145">
        <f t="shared" si="380"/>
        <v>0</v>
      </c>
      <c r="N96" s="145">
        <f t="shared" si="380"/>
        <v>0</v>
      </c>
      <c r="O96" s="145">
        <f t="shared" si="380"/>
        <v>0</v>
      </c>
      <c r="P96" s="145">
        <f t="shared" si="380"/>
        <v>0</v>
      </c>
      <c r="Q96" s="145">
        <f t="shared" si="380"/>
        <v>0</v>
      </c>
      <c r="R96" s="146">
        <f t="shared" si="380"/>
        <v>0</v>
      </c>
      <c r="S96" s="147">
        <f t="shared" si="318"/>
        <v>0</v>
      </c>
      <c r="T96" s="148">
        <f t="shared" ref="T96:AE96" si="381">+T94-T95</f>
        <v>0</v>
      </c>
      <c r="U96" s="145">
        <f t="shared" si="381"/>
        <v>0</v>
      </c>
      <c r="V96" s="145">
        <f t="shared" si="381"/>
        <v>0</v>
      </c>
      <c r="W96" s="145">
        <f t="shared" si="381"/>
        <v>0</v>
      </c>
      <c r="X96" s="145">
        <f t="shared" si="381"/>
        <v>0</v>
      </c>
      <c r="Y96" s="145">
        <f t="shared" si="381"/>
        <v>0</v>
      </c>
      <c r="Z96" s="145">
        <f t="shared" si="381"/>
        <v>0</v>
      </c>
      <c r="AA96" s="145">
        <f t="shared" si="381"/>
        <v>0</v>
      </c>
      <c r="AB96" s="145">
        <f t="shared" si="381"/>
        <v>0</v>
      </c>
      <c r="AC96" s="145">
        <f t="shared" si="381"/>
        <v>0</v>
      </c>
      <c r="AD96" s="145">
        <f t="shared" si="381"/>
        <v>0</v>
      </c>
      <c r="AE96" s="146">
        <f t="shared" si="381"/>
        <v>0</v>
      </c>
      <c r="AF96" s="147">
        <v>0</v>
      </c>
      <c r="AG96" s="148">
        <f t="shared" ref="AG96:AR96" si="382">+AG94-AG95</f>
        <v>0</v>
      </c>
      <c r="AH96" s="145">
        <f t="shared" si="382"/>
        <v>0</v>
      </c>
      <c r="AI96" s="145">
        <f t="shared" si="382"/>
        <v>0</v>
      </c>
      <c r="AJ96" s="145">
        <f t="shared" si="382"/>
        <v>0</v>
      </c>
      <c r="AK96" s="145">
        <f t="shared" si="382"/>
        <v>0</v>
      </c>
      <c r="AL96" s="145">
        <f t="shared" si="382"/>
        <v>0</v>
      </c>
      <c r="AM96" s="145">
        <f t="shared" si="382"/>
        <v>0</v>
      </c>
      <c r="AN96" s="145">
        <f t="shared" si="382"/>
        <v>0</v>
      </c>
      <c r="AO96" s="145">
        <f t="shared" si="382"/>
        <v>0</v>
      </c>
      <c r="AP96" s="145">
        <f t="shared" si="382"/>
        <v>0</v>
      </c>
      <c r="AQ96" s="145">
        <f t="shared" si="382"/>
        <v>0</v>
      </c>
      <c r="AR96" s="146">
        <f t="shared" si="382"/>
        <v>0</v>
      </c>
      <c r="AS96" s="408">
        <f t="shared" si="372"/>
        <v>0</v>
      </c>
      <c r="AT96" s="148">
        <f t="shared" ref="AT96:BE96" si="383">+AT94-AT95</f>
        <v>0</v>
      </c>
      <c r="AU96" s="145">
        <f t="shared" si="383"/>
        <v>0</v>
      </c>
      <c r="AV96" s="145">
        <f t="shared" si="383"/>
        <v>0</v>
      </c>
      <c r="AW96" s="145">
        <f t="shared" si="383"/>
        <v>0</v>
      </c>
      <c r="AX96" s="145">
        <f t="shared" si="383"/>
        <v>0</v>
      </c>
      <c r="AY96" s="145">
        <f t="shared" si="383"/>
        <v>0</v>
      </c>
      <c r="AZ96" s="145">
        <f t="shared" si="383"/>
        <v>0</v>
      </c>
      <c r="BA96" s="145">
        <f t="shared" si="383"/>
        <v>0</v>
      </c>
      <c r="BB96" s="145">
        <f t="shared" si="383"/>
        <v>0</v>
      </c>
      <c r="BC96" s="145">
        <f t="shared" si="383"/>
        <v>0</v>
      </c>
      <c r="BD96" s="145">
        <f t="shared" si="383"/>
        <v>0</v>
      </c>
      <c r="BE96" s="146">
        <f t="shared" si="383"/>
        <v>0</v>
      </c>
      <c r="BF96" s="147">
        <f t="shared" si="373"/>
        <v>0</v>
      </c>
      <c r="BG96" s="148">
        <f t="shared" ref="BG96:BR96" si="384">+BG94-BG95</f>
        <v>0</v>
      </c>
      <c r="BH96" s="145">
        <f t="shared" si="384"/>
        <v>0</v>
      </c>
      <c r="BI96" s="145">
        <f t="shared" si="384"/>
        <v>0</v>
      </c>
      <c r="BJ96" s="145">
        <f t="shared" si="384"/>
        <v>0</v>
      </c>
      <c r="BK96" s="145">
        <f t="shared" si="384"/>
        <v>0</v>
      </c>
      <c r="BL96" s="145">
        <f t="shared" si="384"/>
        <v>0</v>
      </c>
      <c r="BM96" s="145">
        <f t="shared" si="384"/>
        <v>0</v>
      </c>
      <c r="BN96" s="145">
        <f t="shared" si="384"/>
        <v>0</v>
      </c>
      <c r="BO96" s="145">
        <f t="shared" si="384"/>
        <v>0</v>
      </c>
      <c r="BP96" s="145">
        <f t="shared" si="384"/>
        <v>0</v>
      </c>
      <c r="BQ96" s="145">
        <f t="shared" si="384"/>
        <v>0</v>
      </c>
      <c r="BR96" s="146">
        <f t="shared" si="384"/>
        <v>0</v>
      </c>
      <c r="BS96" s="147">
        <f t="shared" si="374"/>
        <v>0</v>
      </c>
      <c r="BT96" s="148">
        <f t="shared" ref="BT96:CE96" si="385">+BT94-BT95</f>
        <v>0</v>
      </c>
      <c r="BU96" s="145">
        <f t="shared" si="385"/>
        <v>0</v>
      </c>
      <c r="BV96" s="145">
        <f t="shared" si="385"/>
        <v>0</v>
      </c>
      <c r="BW96" s="145">
        <f t="shared" si="385"/>
        <v>0</v>
      </c>
      <c r="BX96" s="145">
        <f t="shared" si="385"/>
        <v>0</v>
      </c>
      <c r="BY96" s="145">
        <f t="shared" si="385"/>
        <v>0</v>
      </c>
      <c r="BZ96" s="145">
        <f t="shared" si="385"/>
        <v>0</v>
      </c>
      <c r="CA96" s="145">
        <f t="shared" si="385"/>
        <v>0</v>
      </c>
      <c r="CB96" s="145">
        <f t="shared" si="385"/>
        <v>0</v>
      </c>
      <c r="CC96" s="145">
        <f t="shared" si="385"/>
        <v>0</v>
      </c>
      <c r="CD96" s="145">
        <f t="shared" si="385"/>
        <v>0</v>
      </c>
      <c r="CE96" s="146">
        <f t="shared" si="385"/>
        <v>0</v>
      </c>
      <c r="CF96" s="147">
        <f t="shared" si="375"/>
        <v>0</v>
      </c>
      <c r="CG96" s="148">
        <f t="shared" ref="CG96:CR96" si="386">+CG94-CG95</f>
        <v>0</v>
      </c>
      <c r="CH96" s="145">
        <f t="shared" si="386"/>
        <v>0</v>
      </c>
      <c r="CI96" s="145">
        <f t="shared" si="386"/>
        <v>0</v>
      </c>
      <c r="CJ96" s="145">
        <f t="shared" si="386"/>
        <v>0</v>
      </c>
      <c r="CK96" s="145">
        <f t="shared" si="386"/>
        <v>0</v>
      </c>
      <c r="CL96" s="145">
        <f t="shared" si="386"/>
        <v>0</v>
      </c>
      <c r="CM96" s="145">
        <f t="shared" si="386"/>
        <v>0</v>
      </c>
      <c r="CN96" s="145">
        <f t="shared" si="386"/>
        <v>0</v>
      </c>
      <c r="CO96" s="145">
        <f t="shared" si="386"/>
        <v>0</v>
      </c>
      <c r="CP96" s="145">
        <f t="shared" si="386"/>
        <v>0</v>
      </c>
      <c r="CQ96" s="145">
        <f t="shared" si="386"/>
        <v>0</v>
      </c>
      <c r="CR96" s="146">
        <f t="shared" si="386"/>
        <v>0</v>
      </c>
      <c r="CS96" s="147">
        <f t="shared" si="376"/>
        <v>0</v>
      </c>
      <c r="CT96" s="148">
        <f t="shared" ref="CT96:DE96" si="387">+CT94-CT95</f>
        <v>0</v>
      </c>
      <c r="CU96" s="145">
        <f t="shared" si="387"/>
        <v>0</v>
      </c>
      <c r="CV96" s="145">
        <f t="shared" si="387"/>
        <v>0</v>
      </c>
      <c r="CW96" s="145">
        <f t="shared" si="387"/>
        <v>0</v>
      </c>
      <c r="CX96" s="145">
        <f t="shared" si="387"/>
        <v>0</v>
      </c>
      <c r="CY96" s="145">
        <f t="shared" si="387"/>
        <v>0</v>
      </c>
      <c r="CZ96" s="145">
        <f t="shared" si="387"/>
        <v>0</v>
      </c>
      <c r="DA96" s="145">
        <f t="shared" si="387"/>
        <v>0</v>
      </c>
      <c r="DB96" s="145">
        <f t="shared" si="387"/>
        <v>0</v>
      </c>
      <c r="DC96" s="145">
        <f t="shared" si="387"/>
        <v>0</v>
      </c>
      <c r="DD96" s="145">
        <f t="shared" si="387"/>
        <v>0</v>
      </c>
      <c r="DE96" s="146">
        <f t="shared" si="387"/>
        <v>0</v>
      </c>
      <c r="DF96" s="147">
        <f t="shared" si="99"/>
        <v>0</v>
      </c>
      <c r="DG96" s="146">
        <f>+DG94-DG95</f>
        <v>0</v>
      </c>
      <c r="DH96" s="98">
        <f t="shared" si="377"/>
        <v>0</v>
      </c>
      <c r="DI96" s="99">
        <f t="shared" si="378"/>
        <v>0</v>
      </c>
      <c r="DJ96" s="100">
        <f t="shared" si="379"/>
        <v>0</v>
      </c>
    </row>
    <row r="97" spans="1:118" ht="15" customHeight="1" outlineLevel="1">
      <c r="A97" s="607"/>
      <c r="B97" s="557" t="s">
        <v>367</v>
      </c>
      <c r="C97" s="246" t="s">
        <v>62</v>
      </c>
      <c r="D97" s="183" t="s">
        <v>122</v>
      </c>
      <c r="E97" s="153">
        <f>AF97+AS97+BF97+BS97+CF97+CS97+DF97+S97+DG97</f>
        <v>1274.4000000000001</v>
      </c>
      <c r="F97" s="153"/>
      <c r="G97" s="154"/>
      <c r="H97" s="155"/>
      <c r="I97" s="155"/>
      <c r="J97" s="155"/>
      <c r="K97" s="155"/>
      <c r="L97" s="155"/>
      <c r="M97" s="155"/>
      <c r="N97" s="155"/>
      <c r="O97" s="155"/>
      <c r="P97" s="155"/>
      <c r="Q97" s="155"/>
      <c r="R97" s="284"/>
      <c r="S97" s="157">
        <f t="shared" si="318"/>
        <v>0</v>
      </c>
      <c r="T97" s="378"/>
      <c r="U97" s="382"/>
      <c r="V97" s="382"/>
      <c r="W97" s="382"/>
      <c r="X97" s="389"/>
      <c r="Y97" s="389"/>
      <c r="Z97" s="389"/>
      <c r="AA97" s="389"/>
      <c r="AB97" s="389"/>
      <c r="AC97" s="389"/>
      <c r="AD97" s="389"/>
      <c r="AE97" s="482"/>
      <c r="AF97" s="157">
        <v>0</v>
      </c>
      <c r="AG97" s="500"/>
      <c r="AH97" s="513"/>
      <c r="AI97" s="513"/>
      <c r="AJ97" s="513"/>
      <c r="AK97" s="513"/>
      <c r="AL97" s="513"/>
      <c r="AM97" s="513"/>
      <c r="AN97" s="513"/>
      <c r="AO97" s="513"/>
      <c r="AP97" s="155"/>
      <c r="AQ97" s="155"/>
      <c r="AR97" s="285"/>
      <c r="AS97" s="409">
        <f t="shared" si="372"/>
        <v>0</v>
      </c>
      <c r="AT97" s="500"/>
      <c r="AU97" s="513"/>
      <c r="AV97" s="513"/>
      <c r="AW97" s="513"/>
      <c r="AX97" s="513"/>
      <c r="AY97" s="513"/>
      <c r="AZ97" s="155">
        <v>59.400000000000006</v>
      </c>
      <c r="BA97" s="155">
        <v>705.24</v>
      </c>
      <c r="BB97" s="155">
        <v>254.88000000000002</v>
      </c>
      <c r="BC97" s="155">
        <v>254.88000000000002</v>
      </c>
      <c r="BD97" s="155"/>
      <c r="BE97" s="156"/>
      <c r="BF97" s="157">
        <f t="shared" si="373"/>
        <v>1274.4000000000001</v>
      </c>
      <c r="BG97" s="158"/>
      <c r="BH97" s="155"/>
      <c r="BI97" s="155"/>
      <c r="BJ97" s="155"/>
      <c r="BK97" s="155"/>
      <c r="BL97" s="155"/>
      <c r="BM97" s="155"/>
      <c r="BN97" s="155"/>
      <c r="BO97" s="155"/>
      <c r="BP97" s="155"/>
      <c r="BQ97" s="155"/>
      <c r="BR97" s="156"/>
      <c r="BS97" s="157">
        <f t="shared" si="374"/>
        <v>0</v>
      </c>
      <c r="BT97" s="158"/>
      <c r="BU97" s="155"/>
      <c r="BV97" s="155"/>
      <c r="BW97" s="155"/>
      <c r="BX97" s="155"/>
      <c r="BY97" s="155"/>
      <c r="BZ97" s="155"/>
      <c r="CA97" s="155"/>
      <c r="CB97" s="155"/>
      <c r="CC97" s="155"/>
      <c r="CD97" s="155"/>
      <c r="CE97" s="156"/>
      <c r="CF97" s="157">
        <f t="shared" si="375"/>
        <v>0</v>
      </c>
      <c r="CG97" s="158"/>
      <c r="CH97" s="155"/>
      <c r="CI97" s="155"/>
      <c r="CJ97" s="155"/>
      <c r="CK97" s="155"/>
      <c r="CL97" s="155"/>
      <c r="CM97" s="155"/>
      <c r="CN97" s="155"/>
      <c r="CO97" s="155"/>
      <c r="CP97" s="155"/>
      <c r="CQ97" s="155"/>
      <c r="CR97" s="156"/>
      <c r="CS97" s="157">
        <f t="shared" si="376"/>
        <v>0</v>
      </c>
      <c r="CT97" s="158"/>
      <c r="CU97" s="155"/>
      <c r="CV97" s="155"/>
      <c r="CW97" s="155"/>
      <c r="CX97" s="155"/>
      <c r="CY97" s="155"/>
      <c r="CZ97" s="155"/>
      <c r="DA97" s="155"/>
      <c r="DB97" s="155"/>
      <c r="DC97" s="155"/>
      <c r="DD97" s="155"/>
      <c r="DE97" s="156"/>
      <c r="DF97" s="157">
        <f t="shared" si="99"/>
        <v>0</v>
      </c>
      <c r="DG97" s="280"/>
      <c r="DH97" s="159">
        <f t="shared" si="377"/>
        <v>1274.4000000000001</v>
      </c>
      <c r="DI97" s="160">
        <f t="shared" si="378"/>
        <v>1274.4000000000001</v>
      </c>
      <c r="DJ97" s="161">
        <f t="shared" si="379"/>
        <v>0</v>
      </c>
    </row>
    <row r="98" spans="1:118" ht="15" customHeight="1" outlineLevel="1">
      <c r="A98" s="607"/>
      <c r="B98" s="560"/>
      <c r="C98" s="245" t="s">
        <v>63</v>
      </c>
      <c r="D98" s="184" t="s">
        <v>124</v>
      </c>
      <c r="E98" s="136">
        <f>AF98+AS98+BF98+BS98+CF98+CS98+DF98+S98+DG98</f>
        <v>1082.8879543812964</v>
      </c>
      <c r="F98" s="136"/>
      <c r="G98" s="137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9"/>
      <c r="S98" s="162">
        <f t="shared" si="318"/>
        <v>0</v>
      </c>
      <c r="T98" s="380"/>
      <c r="U98" s="381"/>
      <c r="V98" s="381"/>
      <c r="W98" s="381"/>
      <c r="X98" s="388"/>
      <c r="Y98" s="388"/>
      <c r="Z98" s="388"/>
      <c r="AA98" s="388"/>
      <c r="AB98" s="388"/>
      <c r="AC98" s="388"/>
      <c r="AD98" s="388"/>
      <c r="AE98" s="483"/>
      <c r="AF98" s="162">
        <v>0</v>
      </c>
      <c r="AG98" s="501"/>
      <c r="AH98" s="499"/>
      <c r="AI98" s="499"/>
      <c r="AJ98" s="499"/>
      <c r="AK98" s="499"/>
      <c r="AL98" s="499"/>
      <c r="AM98" s="499"/>
      <c r="AN98" s="499"/>
      <c r="AO98" s="499"/>
      <c r="AP98" s="138"/>
      <c r="AQ98" s="138"/>
      <c r="AR98" s="338"/>
      <c r="AS98" s="410">
        <f t="shared" si="372"/>
        <v>0</v>
      </c>
      <c r="AT98" s="501"/>
      <c r="AU98" s="499"/>
      <c r="AV98" s="499"/>
      <c r="AW98" s="499"/>
      <c r="AX98" s="499">
        <v>39.072140664767332</v>
      </c>
      <c r="AY98" s="499">
        <v>61.627954381296334</v>
      </c>
      <c r="AZ98" s="138">
        <v>10.627859335232671</v>
      </c>
      <c r="BA98" s="138">
        <f>599.4-62</f>
        <v>537.4</v>
      </c>
      <c r="BB98" s="138">
        <v>217.08</v>
      </c>
      <c r="BC98" s="138">
        <v>217.08</v>
      </c>
      <c r="BD98" s="138"/>
      <c r="BE98" s="139"/>
      <c r="BF98" s="162">
        <f t="shared" si="373"/>
        <v>1082.8879543812964</v>
      </c>
      <c r="BG98" s="141"/>
      <c r="BH98" s="138"/>
      <c r="BI98" s="138"/>
      <c r="BJ98" s="138"/>
      <c r="BK98" s="138"/>
      <c r="BL98" s="138"/>
      <c r="BM98" s="138"/>
      <c r="BN98" s="138"/>
      <c r="BO98" s="138"/>
      <c r="BP98" s="138"/>
      <c r="BQ98" s="138"/>
      <c r="BR98" s="139"/>
      <c r="BS98" s="162">
        <f t="shared" si="374"/>
        <v>0</v>
      </c>
      <c r="BT98" s="141"/>
      <c r="BU98" s="138"/>
      <c r="BV98" s="138"/>
      <c r="BW98" s="138"/>
      <c r="BX98" s="138"/>
      <c r="BY98" s="138"/>
      <c r="BZ98" s="138"/>
      <c r="CA98" s="138"/>
      <c r="CB98" s="138"/>
      <c r="CC98" s="138"/>
      <c r="CD98" s="138"/>
      <c r="CE98" s="139"/>
      <c r="CF98" s="162">
        <f t="shared" si="375"/>
        <v>0</v>
      </c>
      <c r="CG98" s="141"/>
      <c r="CH98" s="138"/>
      <c r="CI98" s="138"/>
      <c r="CJ98" s="138"/>
      <c r="CK98" s="138"/>
      <c r="CL98" s="138"/>
      <c r="CM98" s="138"/>
      <c r="CN98" s="138"/>
      <c r="CO98" s="138"/>
      <c r="CP98" s="138"/>
      <c r="CQ98" s="138"/>
      <c r="CR98" s="139"/>
      <c r="CS98" s="162">
        <f t="shared" si="376"/>
        <v>0</v>
      </c>
      <c r="CT98" s="141"/>
      <c r="CU98" s="138"/>
      <c r="CV98" s="138"/>
      <c r="CW98" s="138"/>
      <c r="CX98" s="138"/>
      <c r="CY98" s="138"/>
      <c r="CZ98" s="138"/>
      <c r="DA98" s="138"/>
      <c r="DB98" s="138"/>
      <c r="DC98" s="138"/>
      <c r="DD98" s="138"/>
      <c r="DE98" s="139"/>
      <c r="DF98" s="162">
        <f t="shared" si="99"/>
        <v>0</v>
      </c>
      <c r="DG98" s="279"/>
      <c r="DH98" s="90">
        <f t="shared" si="377"/>
        <v>1082.8879543812964</v>
      </c>
      <c r="DI98" s="91">
        <f t="shared" si="378"/>
        <v>1082.8879543812964</v>
      </c>
      <c r="DJ98" s="92">
        <f t="shared" si="379"/>
        <v>0</v>
      </c>
      <c r="DK98" s="64">
        <f>+DH98/DH97</f>
        <v>0.84972375579197768</v>
      </c>
    </row>
    <row r="99" spans="1:118" ht="15" customHeight="1" outlineLevel="1">
      <c r="A99" s="607"/>
      <c r="B99" s="561"/>
      <c r="C99" s="554" t="s">
        <v>11</v>
      </c>
      <c r="D99" s="555"/>
      <c r="E99" s="143">
        <f>+E97-E98</f>
        <v>191.51204561870372</v>
      </c>
      <c r="F99" s="144">
        <f t="shared" ref="F99:R99" si="388">+F97-F98</f>
        <v>0</v>
      </c>
      <c r="G99" s="145">
        <f t="shared" si="388"/>
        <v>0</v>
      </c>
      <c r="H99" s="145">
        <f t="shared" si="388"/>
        <v>0</v>
      </c>
      <c r="I99" s="145">
        <f t="shared" si="388"/>
        <v>0</v>
      </c>
      <c r="J99" s="145">
        <f t="shared" si="388"/>
        <v>0</v>
      </c>
      <c r="K99" s="145">
        <f t="shared" si="388"/>
        <v>0</v>
      </c>
      <c r="L99" s="145">
        <f t="shared" si="388"/>
        <v>0</v>
      </c>
      <c r="M99" s="145">
        <f t="shared" si="388"/>
        <v>0</v>
      </c>
      <c r="N99" s="145">
        <f t="shared" si="388"/>
        <v>0</v>
      </c>
      <c r="O99" s="145">
        <f t="shared" si="388"/>
        <v>0</v>
      </c>
      <c r="P99" s="145">
        <f t="shared" si="388"/>
        <v>0</v>
      </c>
      <c r="Q99" s="145">
        <f t="shared" si="388"/>
        <v>0</v>
      </c>
      <c r="R99" s="146">
        <f t="shared" si="388"/>
        <v>0</v>
      </c>
      <c r="S99" s="147">
        <f t="shared" si="318"/>
        <v>0</v>
      </c>
      <c r="T99" s="148">
        <f t="shared" ref="T99:AE99" si="389">+T97-T98</f>
        <v>0</v>
      </c>
      <c r="U99" s="145">
        <f t="shared" si="389"/>
        <v>0</v>
      </c>
      <c r="V99" s="145">
        <f t="shared" si="389"/>
        <v>0</v>
      </c>
      <c r="W99" s="145">
        <f t="shared" si="389"/>
        <v>0</v>
      </c>
      <c r="X99" s="145">
        <f t="shared" si="389"/>
        <v>0</v>
      </c>
      <c r="Y99" s="145">
        <f t="shared" si="389"/>
        <v>0</v>
      </c>
      <c r="Z99" s="145">
        <f t="shared" si="389"/>
        <v>0</v>
      </c>
      <c r="AA99" s="145">
        <f t="shared" si="389"/>
        <v>0</v>
      </c>
      <c r="AB99" s="145">
        <f t="shared" si="389"/>
        <v>0</v>
      </c>
      <c r="AC99" s="145">
        <f t="shared" si="389"/>
        <v>0</v>
      </c>
      <c r="AD99" s="145">
        <f t="shared" si="389"/>
        <v>0</v>
      </c>
      <c r="AE99" s="146">
        <f t="shared" si="389"/>
        <v>0</v>
      </c>
      <c r="AF99" s="147">
        <v>0</v>
      </c>
      <c r="AG99" s="148">
        <f t="shared" ref="AG99:AR99" si="390">+AG97-AG98</f>
        <v>0</v>
      </c>
      <c r="AH99" s="145">
        <f t="shared" si="390"/>
        <v>0</v>
      </c>
      <c r="AI99" s="145">
        <f t="shared" si="390"/>
        <v>0</v>
      </c>
      <c r="AJ99" s="145">
        <f t="shared" si="390"/>
        <v>0</v>
      </c>
      <c r="AK99" s="145">
        <f t="shared" si="390"/>
        <v>0</v>
      </c>
      <c r="AL99" s="145">
        <f t="shared" si="390"/>
        <v>0</v>
      </c>
      <c r="AM99" s="145">
        <f t="shared" si="390"/>
        <v>0</v>
      </c>
      <c r="AN99" s="145">
        <f t="shared" si="390"/>
        <v>0</v>
      </c>
      <c r="AO99" s="145">
        <f t="shared" si="390"/>
        <v>0</v>
      </c>
      <c r="AP99" s="145">
        <f t="shared" si="390"/>
        <v>0</v>
      </c>
      <c r="AQ99" s="145">
        <f t="shared" si="390"/>
        <v>0</v>
      </c>
      <c r="AR99" s="146">
        <f t="shared" si="390"/>
        <v>0</v>
      </c>
      <c r="AS99" s="408">
        <f t="shared" si="372"/>
        <v>0</v>
      </c>
      <c r="AT99" s="148">
        <f t="shared" ref="AT99:BE99" si="391">+AT97-AT98</f>
        <v>0</v>
      </c>
      <c r="AU99" s="145">
        <f t="shared" si="391"/>
        <v>0</v>
      </c>
      <c r="AV99" s="145">
        <f t="shared" si="391"/>
        <v>0</v>
      </c>
      <c r="AW99" s="145">
        <f t="shared" si="391"/>
        <v>0</v>
      </c>
      <c r="AX99" s="145">
        <f t="shared" si="391"/>
        <v>-39.072140664767332</v>
      </c>
      <c r="AY99" s="145">
        <f t="shared" si="391"/>
        <v>-61.627954381296334</v>
      </c>
      <c r="AZ99" s="145">
        <f t="shared" si="391"/>
        <v>48.772140664767335</v>
      </c>
      <c r="BA99" s="145">
        <f t="shared" si="391"/>
        <v>167.84000000000003</v>
      </c>
      <c r="BB99" s="145">
        <f t="shared" si="391"/>
        <v>37.800000000000011</v>
      </c>
      <c r="BC99" s="145">
        <f t="shared" si="391"/>
        <v>37.800000000000011</v>
      </c>
      <c r="BD99" s="145">
        <f t="shared" si="391"/>
        <v>0</v>
      </c>
      <c r="BE99" s="146">
        <f t="shared" si="391"/>
        <v>0</v>
      </c>
      <c r="BF99" s="147">
        <f t="shared" si="373"/>
        <v>191.51204561870372</v>
      </c>
      <c r="BG99" s="148">
        <f t="shared" ref="BG99:BR99" si="392">+BG97-BG98</f>
        <v>0</v>
      </c>
      <c r="BH99" s="145">
        <f t="shared" si="392"/>
        <v>0</v>
      </c>
      <c r="BI99" s="145">
        <f t="shared" si="392"/>
        <v>0</v>
      </c>
      <c r="BJ99" s="145">
        <f t="shared" si="392"/>
        <v>0</v>
      </c>
      <c r="BK99" s="145">
        <f t="shared" si="392"/>
        <v>0</v>
      </c>
      <c r="BL99" s="145">
        <f t="shared" si="392"/>
        <v>0</v>
      </c>
      <c r="BM99" s="145">
        <f t="shared" si="392"/>
        <v>0</v>
      </c>
      <c r="BN99" s="145">
        <f t="shared" si="392"/>
        <v>0</v>
      </c>
      <c r="BO99" s="145">
        <f t="shared" si="392"/>
        <v>0</v>
      </c>
      <c r="BP99" s="145">
        <f t="shared" si="392"/>
        <v>0</v>
      </c>
      <c r="BQ99" s="145">
        <f t="shared" si="392"/>
        <v>0</v>
      </c>
      <c r="BR99" s="146">
        <f t="shared" si="392"/>
        <v>0</v>
      </c>
      <c r="BS99" s="147">
        <f t="shared" si="374"/>
        <v>0</v>
      </c>
      <c r="BT99" s="148">
        <f t="shared" ref="BT99:CE99" si="393">+BT97-BT98</f>
        <v>0</v>
      </c>
      <c r="BU99" s="145">
        <f t="shared" si="393"/>
        <v>0</v>
      </c>
      <c r="BV99" s="145">
        <f t="shared" si="393"/>
        <v>0</v>
      </c>
      <c r="BW99" s="145">
        <f t="shared" si="393"/>
        <v>0</v>
      </c>
      <c r="BX99" s="145">
        <f t="shared" si="393"/>
        <v>0</v>
      </c>
      <c r="BY99" s="145">
        <f t="shared" si="393"/>
        <v>0</v>
      </c>
      <c r="BZ99" s="145">
        <f t="shared" si="393"/>
        <v>0</v>
      </c>
      <c r="CA99" s="145">
        <f t="shared" si="393"/>
        <v>0</v>
      </c>
      <c r="CB99" s="145">
        <f t="shared" si="393"/>
        <v>0</v>
      </c>
      <c r="CC99" s="145">
        <f t="shared" si="393"/>
        <v>0</v>
      </c>
      <c r="CD99" s="145">
        <f t="shared" si="393"/>
        <v>0</v>
      </c>
      <c r="CE99" s="146">
        <f t="shared" si="393"/>
        <v>0</v>
      </c>
      <c r="CF99" s="147">
        <f t="shared" si="375"/>
        <v>0</v>
      </c>
      <c r="CG99" s="148">
        <f t="shared" ref="CG99:CR99" si="394">+CG97-CG98</f>
        <v>0</v>
      </c>
      <c r="CH99" s="145">
        <f t="shared" si="394"/>
        <v>0</v>
      </c>
      <c r="CI99" s="145">
        <f t="shared" si="394"/>
        <v>0</v>
      </c>
      <c r="CJ99" s="145">
        <f t="shared" si="394"/>
        <v>0</v>
      </c>
      <c r="CK99" s="145">
        <f t="shared" si="394"/>
        <v>0</v>
      </c>
      <c r="CL99" s="145">
        <f t="shared" si="394"/>
        <v>0</v>
      </c>
      <c r="CM99" s="145">
        <f t="shared" si="394"/>
        <v>0</v>
      </c>
      <c r="CN99" s="145">
        <f t="shared" si="394"/>
        <v>0</v>
      </c>
      <c r="CO99" s="145">
        <f t="shared" si="394"/>
        <v>0</v>
      </c>
      <c r="CP99" s="145">
        <f t="shared" si="394"/>
        <v>0</v>
      </c>
      <c r="CQ99" s="145">
        <f t="shared" si="394"/>
        <v>0</v>
      </c>
      <c r="CR99" s="146">
        <f t="shared" si="394"/>
        <v>0</v>
      </c>
      <c r="CS99" s="147">
        <f t="shared" si="376"/>
        <v>0</v>
      </c>
      <c r="CT99" s="148">
        <f t="shared" ref="CT99:DE99" si="395">+CT97-CT98</f>
        <v>0</v>
      </c>
      <c r="CU99" s="145">
        <f t="shared" si="395"/>
        <v>0</v>
      </c>
      <c r="CV99" s="145">
        <f t="shared" si="395"/>
        <v>0</v>
      </c>
      <c r="CW99" s="145">
        <f t="shared" si="395"/>
        <v>0</v>
      </c>
      <c r="CX99" s="145">
        <f t="shared" si="395"/>
        <v>0</v>
      </c>
      <c r="CY99" s="145">
        <f t="shared" si="395"/>
        <v>0</v>
      </c>
      <c r="CZ99" s="145">
        <f t="shared" si="395"/>
        <v>0</v>
      </c>
      <c r="DA99" s="145">
        <f t="shared" si="395"/>
        <v>0</v>
      </c>
      <c r="DB99" s="145">
        <f t="shared" si="395"/>
        <v>0</v>
      </c>
      <c r="DC99" s="145">
        <f t="shared" si="395"/>
        <v>0</v>
      </c>
      <c r="DD99" s="145">
        <f t="shared" si="395"/>
        <v>0</v>
      </c>
      <c r="DE99" s="146">
        <f t="shared" si="395"/>
        <v>0</v>
      </c>
      <c r="DF99" s="147">
        <f t="shared" si="99"/>
        <v>0</v>
      </c>
      <c r="DG99" s="146">
        <f>+DG97-DG98</f>
        <v>0</v>
      </c>
      <c r="DH99" s="98">
        <f t="shared" si="377"/>
        <v>191.51204561870372</v>
      </c>
      <c r="DI99" s="99">
        <f t="shared" si="378"/>
        <v>191.51204561870372</v>
      </c>
      <c r="DJ99" s="100">
        <f t="shared" si="379"/>
        <v>0</v>
      </c>
    </row>
    <row r="100" spans="1:118" ht="15" customHeight="1" outlineLevel="1">
      <c r="A100" s="607"/>
      <c r="B100" s="557" t="s">
        <v>211</v>
      </c>
      <c r="C100" s="246" t="s">
        <v>62</v>
      </c>
      <c r="D100" s="183" t="s">
        <v>122</v>
      </c>
      <c r="E100" s="153">
        <f>AF100+AS100+BF100+BS100+CF100+CS100+DF100+S100+DG100</f>
        <v>2232.7694925999422</v>
      </c>
      <c r="F100" s="153"/>
      <c r="G100" s="154"/>
      <c r="H100" s="155"/>
      <c r="I100" s="155"/>
      <c r="J100" s="155"/>
      <c r="K100" s="155"/>
      <c r="L100" s="155"/>
      <c r="M100" s="155"/>
      <c r="N100" s="155"/>
      <c r="O100" s="155"/>
      <c r="P100" s="155"/>
      <c r="Q100" s="155"/>
      <c r="R100" s="284"/>
      <c r="S100" s="157">
        <f t="shared" si="318"/>
        <v>0</v>
      </c>
      <c r="T100" s="378"/>
      <c r="U100" s="382"/>
      <c r="V100" s="382"/>
      <c r="W100" s="382"/>
      <c r="X100" s="389"/>
      <c r="Y100" s="389"/>
      <c r="Z100" s="389"/>
      <c r="AA100" s="389"/>
      <c r="AB100" s="389">
        <v>56.623627157886183</v>
      </c>
      <c r="AC100" s="389"/>
      <c r="AD100" s="389">
        <v>201.22916215789888</v>
      </c>
      <c r="AE100" s="482">
        <v>875.03490293205641</v>
      </c>
      <c r="AF100" s="157">
        <f t="shared" ref="AF100:AF105" si="396">SUM(T100:AE100)</f>
        <v>1132.8876922478414</v>
      </c>
      <c r="AG100" s="500">
        <v>332.54514194088119</v>
      </c>
      <c r="AH100" s="513"/>
      <c r="AI100" s="513"/>
      <c r="AJ100" s="513"/>
      <c r="AK100" s="513"/>
      <c r="AL100" s="513"/>
      <c r="AM100" s="513"/>
      <c r="AN100" s="513">
        <v>215.41712746694952</v>
      </c>
      <c r="AO100" s="513"/>
      <c r="AP100" s="513"/>
      <c r="AQ100" s="513"/>
      <c r="AR100" s="512"/>
      <c r="AS100" s="409">
        <f t="shared" si="372"/>
        <v>547.96226940783072</v>
      </c>
      <c r="AT100" s="500"/>
      <c r="AU100" s="513"/>
      <c r="AV100" s="513"/>
      <c r="AW100" s="513">
        <v>255.53729094427001</v>
      </c>
      <c r="AX100" s="543"/>
      <c r="AY100" s="513"/>
      <c r="AZ100" s="283"/>
      <c r="BA100" s="155"/>
      <c r="BB100" s="155"/>
      <c r="BC100" s="155"/>
      <c r="BD100" s="155"/>
      <c r="BE100" s="156"/>
      <c r="BF100" s="157">
        <f t="shared" si="373"/>
        <v>255.53729094427001</v>
      </c>
      <c r="BG100" s="158"/>
      <c r="BH100" s="155"/>
      <c r="BI100" s="155"/>
      <c r="BJ100" s="155"/>
      <c r="BK100" s="155"/>
      <c r="BL100" s="155"/>
      <c r="BM100" s="537">
        <v>296.38224000000002</v>
      </c>
      <c r="BN100" s="155"/>
      <c r="BO100" s="155"/>
      <c r="BP100" s="155"/>
      <c r="BQ100" s="155"/>
      <c r="BR100" s="156"/>
      <c r="BS100" s="157">
        <f t="shared" si="374"/>
        <v>296.38224000000002</v>
      </c>
      <c r="BT100" s="158"/>
      <c r="BU100" s="155"/>
      <c r="BV100" s="155"/>
      <c r="BW100" s="155"/>
      <c r="BX100" s="155"/>
      <c r="BY100" s="155"/>
      <c r="BZ100" s="155"/>
      <c r="CA100" s="155"/>
      <c r="CB100" s="155"/>
      <c r="CC100" s="155"/>
      <c r="CD100" s="155"/>
      <c r="CE100" s="156"/>
      <c r="CF100" s="157">
        <f t="shared" si="97"/>
        <v>0</v>
      </c>
      <c r="CG100" s="158"/>
      <c r="CH100" s="155"/>
      <c r="CI100" s="155"/>
      <c r="CJ100" s="155"/>
      <c r="CK100" s="155"/>
      <c r="CL100" s="155"/>
      <c r="CM100" s="155"/>
      <c r="CN100" s="155"/>
      <c r="CO100" s="155"/>
      <c r="CP100" s="155"/>
      <c r="CQ100" s="155"/>
      <c r="CR100" s="156"/>
      <c r="CS100" s="157">
        <f t="shared" si="98"/>
        <v>0</v>
      </c>
      <c r="CT100" s="158"/>
      <c r="CU100" s="155"/>
      <c r="CV100" s="155"/>
      <c r="CW100" s="155"/>
      <c r="CX100" s="155"/>
      <c r="CY100" s="155"/>
      <c r="CZ100" s="155"/>
      <c r="DA100" s="155"/>
      <c r="DB100" s="155"/>
      <c r="DC100" s="155"/>
      <c r="DD100" s="155"/>
      <c r="DE100" s="156"/>
      <c r="DF100" s="157">
        <f t="shared" si="99"/>
        <v>0</v>
      </c>
      <c r="DG100" s="280"/>
      <c r="DH100" s="159">
        <f t="shared" si="353"/>
        <v>2232.7694925999422</v>
      </c>
      <c r="DI100" s="160">
        <f t="shared" si="354"/>
        <v>2232.7694925999422</v>
      </c>
      <c r="DJ100" s="161">
        <f t="shared" si="355"/>
        <v>0</v>
      </c>
      <c r="DM100" s="134">
        <f>AS100+BF100+BS100+CF100+CS100+DG100</f>
        <v>1099.8818003521008</v>
      </c>
    </row>
    <row r="101" spans="1:118" ht="15" customHeight="1" outlineLevel="1">
      <c r="A101" s="607"/>
      <c r="B101" s="560"/>
      <c r="C101" s="245" t="s">
        <v>63</v>
      </c>
      <c r="D101" s="184" t="s">
        <v>124</v>
      </c>
      <c r="E101" s="136">
        <f>AF101+AS101+BF101+BS101+CF101+CS101+DF101+S101+DG101</f>
        <v>1644.4858991604117</v>
      </c>
      <c r="F101" s="136"/>
      <c r="G101" s="137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9"/>
      <c r="S101" s="162">
        <f t="shared" si="318"/>
        <v>0</v>
      </c>
      <c r="T101" s="380"/>
      <c r="U101" s="381"/>
      <c r="V101" s="381"/>
      <c r="W101" s="381"/>
      <c r="X101" s="388"/>
      <c r="Y101" s="388"/>
      <c r="Z101" s="388">
        <v>14.512245148435943</v>
      </c>
      <c r="AA101" s="388">
        <v>38.756792568165366</v>
      </c>
      <c r="AB101" s="388">
        <v>82.341304561517532</v>
      </c>
      <c r="AC101" s="388">
        <v>172.10832417256515</v>
      </c>
      <c r="AD101" s="388">
        <v>411.11540204274786</v>
      </c>
      <c r="AE101" s="483">
        <v>266.80577136240532</v>
      </c>
      <c r="AF101" s="162">
        <f t="shared" si="396"/>
        <v>985.63983985583718</v>
      </c>
      <c r="AG101" s="501">
        <v>274.22781403872204</v>
      </c>
      <c r="AH101" s="499">
        <v>61.003888423114596</v>
      </c>
      <c r="AI101" s="499">
        <v>19.467220997929122</v>
      </c>
      <c r="AJ101" s="499">
        <v>6.0965674470457083</v>
      </c>
      <c r="AK101" s="499">
        <v>-6.4929828560445895</v>
      </c>
      <c r="AL101" s="499">
        <v>5.9426522522522527</v>
      </c>
      <c r="AM101" s="499">
        <v>3.3114990645641633</v>
      </c>
      <c r="AN101" s="499">
        <v>43.289618621917498</v>
      </c>
      <c r="AO101" s="499">
        <v>2.4648730260915666</v>
      </c>
      <c r="AP101" s="499"/>
      <c r="AQ101" s="499"/>
      <c r="AR101" s="511"/>
      <c r="AS101" s="410">
        <f t="shared" si="372"/>
        <v>409.31115101559226</v>
      </c>
      <c r="AT101" s="501"/>
      <c r="AU101" s="499"/>
      <c r="AV101" s="499">
        <v>1.5970586740499126</v>
      </c>
      <c r="AW101" s="499">
        <v>247.93784961493228</v>
      </c>
      <c r="AX101" s="499"/>
      <c r="AY101" s="499"/>
      <c r="AZ101" s="253"/>
      <c r="BA101" s="138"/>
      <c r="BB101" s="138"/>
      <c r="BC101" s="138"/>
      <c r="BD101" s="138"/>
      <c r="BE101" s="139"/>
      <c r="BF101" s="162">
        <f t="shared" si="373"/>
        <v>249.53490828898219</v>
      </c>
      <c r="BG101" s="141"/>
      <c r="BH101" s="138"/>
      <c r="BI101" s="138"/>
      <c r="BJ101" s="138"/>
      <c r="BK101" s="138"/>
      <c r="BL101" s="138"/>
      <c r="BM101" s="138"/>
      <c r="BN101" s="138"/>
      <c r="BO101" s="138"/>
      <c r="BP101" s="138"/>
      <c r="BQ101" s="138"/>
      <c r="BR101" s="139"/>
      <c r="BS101" s="162">
        <f t="shared" si="374"/>
        <v>0</v>
      </c>
      <c r="BT101" s="141"/>
      <c r="BU101" s="138"/>
      <c r="BV101" s="138"/>
      <c r="BW101" s="138"/>
      <c r="BX101" s="138"/>
      <c r="BY101" s="138"/>
      <c r="BZ101" s="138"/>
      <c r="CA101" s="138"/>
      <c r="CB101" s="138"/>
      <c r="CC101" s="138"/>
      <c r="CD101" s="138"/>
      <c r="CE101" s="139"/>
      <c r="CF101" s="162">
        <f t="shared" si="97"/>
        <v>0</v>
      </c>
      <c r="CG101" s="141"/>
      <c r="CH101" s="138"/>
      <c r="CI101" s="138"/>
      <c r="CJ101" s="138"/>
      <c r="CK101" s="138"/>
      <c r="CL101" s="138"/>
      <c r="CM101" s="138"/>
      <c r="CN101" s="138"/>
      <c r="CO101" s="138"/>
      <c r="CP101" s="138"/>
      <c r="CQ101" s="138"/>
      <c r="CR101" s="139"/>
      <c r="CS101" s="162">
        <f t="shared" si="98"/>
        <v>0</v>
      </c>
      <c r="CT101" s="141"/>
      <c r="CU101" s="138"/>
      <c r="CV101" s="138"/>
      <c r="CW101" s="138"/>
      <c r="CX101" s="138"/>
      <c r="CY101" s="138"/>
      <c r="CZ101" s="138"/>
      <c r="DA101" s="138"/>
      <c r="DB101" s="138"/>
      <c r="DC101" s="138"/>
      <c r="DD101" s="138"/>
      <c r="DE101" s="139"/>
      <c r="DF101" s="162">
        <f t="shared" si="99"/>
        <v>0</v>
      </c>
      <c r="DG101" s="279"/>
      <c r="DH101" s="90">
        <f t="shared" si="353"/>
        <v>1644.4858991604117</v>
      </c>
      <c r="DI101" s="91">
        <f t="shared" si="354"/>
        <v>1644.4858991604117</v>
      </c>
      <c r="DJ101" s="92">
        <f t="shared" si="355"/>
        <v>0</v>
      </c>
      <c r="DK101" s="64">
        <f>+DH101/DH100</f>
        <v>0.73652291676804249</v>
      </c>
      <c r="DM101" s="134">
        <f>AS101+BF101+BS101+CF101+CS101+DG101</f>
        <v>658.84605930457451</v>
      </c>
      <c r="DN101" s="533">
        <f>DM101/DM100</f>
        <v>0.59901532973239557</v>
      </c>
    </row>
    <row r="102" spans="1:118" ht="15" customHeight="1" outlineLevel="1">
      <c r="A102" s="607"/>
      <c r="B102" s="561"/>
      <c r="C102" s="554" t="s">
        <v>11</v>
      </c>
      <c r="D102" s="555"/>
      <c r="E102" s="143">
        <v>47.072000000000003</v>
      </c>
      <c r="F102" s="144">
        <f t="shared" ref="F102:R102" si="397">+F100-F101</f>
        <v>0</v>
      </c>
      <c r="G102" s="145">
        <f t="shared" si="397"/>
        <v>0</v>
      </c>
      <c r="H102" s="145">
        <f t="shared" si="397"/>
        <v>0</v>
      </c>
      <c r="I102" s="145">
        <f t="shared" si="397"/>
        <v>0</v>
      </c>
      <c r="J102" s="145">
        <f t="shared" si="397"/>
        <v>0</v>
      </c>
      <c r="K102" s="145">
        <f t="shared" si="397"/>
        <v>0</v>
      </c>
      <c r="L102" s="145">
        <f t="shared" si="397"/>
        <v>0</v>
      </c>
      <c r="M102" s="145">
        <f t="shared" si="397"/>
        <v>0</v>
      </c>
      <c r="N102" s="145">
        <f t="shared" si="397"/>
        <v>0</v>
      </c>
      <c r="O102" s="145">
        <f t="shared" si="397"/>
        <v>0</v>
      </c>
      <c r="P102" s="145">
        <f t="shared" si="397"/>
        <v>0</v>
      </c>
      <c r="Q102" s="145">
        <f t="shared" si="397"/>
        <v>0</v>
      </c>
      <c r="R102" s="146">
        <f t="shared" si="397"/>
        <v>0</v>
      </c>
      <c r="S102" s="147">
        <f t="shared" si="318"/>
        <v>0</v>
      </c>
      <c r="T102" s="148">
        <f t="shared" ref="T102:AE102" si="398">+T100-T101</f>
        <v>0</v>
      </c>
      <c r="U102" s="145">
        <f t="shared" si="398"/>
        <v>0</v>
      </c>
      <c r="V102" s="145">
        <f t="shared" si="398"/>
        <v>0</v>
      </c>
      <c r="W102" s="145">
        <f t="shared" si="398"/>
        <v>0</v>
      </c>
      <c r="X102" s="145">
        <f t="shared" si="398"/>
        <v>0</v>
      </c>
      <c r="Y102" s="145">
        <f t="shared" si="398"/>
        <v>0</v>
      </c>
      <c r="Z102" s="145">
        <f t="shared" si="398"/>
        <v>-14.512245148435943</v>
      </c>
      <c r="AA102" s="145">
        <f t="shared" si="398"/>
        <v>-38.756792568165366</v>
      </c>
      <c r="AB102" s="145">
        <f t="shared" si="398"/>
        <v>-25.717677403631349</v>
      </c>
      <c r="AC102" s="145">
        <f t="shared" si="398"/>
        <v>-172.10832417256515</v>
      </c>
      <c r="AD102" s="145">
        <f t="shared" si="398"/>
        <v>-209.88623988484898</v>
      </c>
      <c r="AE102" s="146">
        <f t="shared" si="398"/>
        <v>608.22913156965114</v>
      </c>
      <c r="AF102" s="147">
        <f t="shared" si="396"/>
        <v>147.24785239200435</v>
      </c>
      <c r="AG102" s="148">
        <f t="shared" ref="AG102:AR102" si="399">+AG100-AG101</f>
        <v>58.31732790215915</v>
      </c>
      <c r="AH102" s="145">
        <f t="shared" si="399"/>
        <v>-61.003888423114596</v>
      </c>
      <c r="AI102" s="145">
        <f t="shared" si="399"/>
        <v>-19.467220997929122</v>
      </c>
      <c r="AJ102" s="145">
        <f t="shared" si="399"/>
        <v>-6.0965674470457083</v>
      </c>
      <c r="AK102" s="145">
        <f t="shared" si="399"/>
        <v>6.4929828560445895</v>
      </c>
      <c r="AL102" s="145">
        <f t="shared" si="399"/>
        <v>-5.9426522522522527</v>
      </c>
      <c r="AM102" s="145">
        <f t="shared" si="399"/>
        <v>-3.3114990645641633</v>
      </c>
      <c r="AN102" s="145">
        <f t="shared" si="399"/>
        <v>172.12750884503203</v>
      </c>
      <c r="AO102" s="145">
        <f t="shared" si="399"/>
        <v>-2.4648730260915666</v>
      </c>
      <c r="AP102" s="145">
        <f t="shared" si="399"/>
        <v>0</v>
      </c>
      <c r="AQ102" s="145">
        <f t="shared" si="399"/>
        <v>0</v>
      </c>
      <c r="AR102" s="146">
        <f t="shared" si="399"/>
        <v>0</v>
      </c>
      <c r="AS102" s="408">
        <f t="shared" si="372"/>
        <v>138.65111839223835</v>
      </c>
      <c r="AT102" s="148">
        <f t="shared" ref="AT102:BE102" si="400">+AT100-AT101</f>
        <v>0</v>
      </c>
      <c r="AU102" s="145">
        <f t="shared" si="400"/>
        <v>0</v>
      </c>
      <c r="AV102" s="145">
        <f t="shared" si="400"/>
        <v>-1.5970586740499126</v>
      </c>
      <c r="AW102" s="145">
        <f t="shared" si="400"/>
        <v>7.5994413293377363</v>
      </c>
      <c r="AX102" s="145">
        <f t="shared" si="400"/>
        <v>0</v>
      </c>
      <c r="AY102" s="145">
        <f t="shared" si="400"/>
        <v>0</v>
      </c>
      <c r="AZ102" s="145">
        <f t="shared" si="400"/>
        <v>0</v>
      </c>
      <c r="BA102" s="145">
        <f t="shared" si="400"/>
        <v>0</v>
      </c>
      <c r="BB102" s="145">
        <f t="shared" si="400"/>
        <v>0</v>
      </c>
      <c r="BC102" s="145">
        <f t="shared" si="400"/>
        <v>0</v>
      </c>
      <c r="BD102" s="145">
        <f t="shared" si="400"/>
        <v>0</v>
      </c>
      <c r="BE102" s="146">
        <f t="shared" si="400"/>
        <v>0</v>
      </c>
      <c r="BF102" s="147">
        <f t="shared" si="373"/>
        <v>6.0023826552878239</v>
      </c>
      <c r="BG102" s="148">
        <f t="shared" ref="BG102:BR102" si="401">+BG100-BG101</f>
        <v>0</v>
      </c>
      <c r="BH102" s="145">
        <f t="shared" si="401"/>
        <v>0</v>
      </c>
      <c r="BI102" s="145">
        <f t="shared" si="401"/>
        <v>0</v>
      </c>
      <c r="BJ102" s="145">
        <f t="shared" si="401"/>
        <v>0</v>
      </c>
      <c r="BK102" s="145">
        <f t="shared" si="401"/>
        <v>0</v>
      </c>
      <c r="BL102" s="145">
        <f t="shared" si="401"/>
        <v>0</v>
      </c>
      <c r="BM102" s="145">
        <f t="shared" si="401"/>
        <v>296.38224000000002</v>
      </c>
      <c r="BN102" s="145">
        <f t="shared" si="401"/>
        <v>0</v>
      </c>
      <c r="BO102" s="145">
        <f t="shared" si="401"/>
        <v>0</v>
      </c>
      <c r="BP102" s="145">
        <f t="shared" si="401"/>
        <v>0</v>
      </c>
      <c r="BQ102" s="145">
        <f t="shared" si="401"/>
        <v>0</v>
      </c>
      <c r="BR102" s="146">
        <f t="shared" si="401"/>
        <v>0</v>
      </c>
      <c r="BS102" s="147">
        <f t="shared" si="374"/>
        <v>296.38224000000002</v>
      </c>
      <c r="BT102" s="148">
        <f t="shared" ref="BT102:CE102" si="402">+BT100-BT101</f>
        <v>0</v>
      </c>
      <c r="BU102" s="145">
        <f t="shared" si="402"/>
        <v>0</v>
      </c>
      <c r="BV102" s="145">
        <f t="shared" si="402"/>
        <v>0</v>
      </c>
      <c r="BW102" s="145">
        <f t="shared" si="402"/>
        <v>0</v>
      </c>
      <c r="BX102" s="145">
        <f t="shared" si="402"/>
        <v>0</v>
      </c>
      <c r="BY102" s="145">
        <f t="shared" si="402"/>
        <v>0</v>
      </c>
      <c r="BZ102" s="145">
        <f t="shared" si="402"/>
        <v>0</v>
      </c>
      <c r="CA102" s="145">
        <f t="shared" si="402"/>
        <v>0</v>
      </c>
      <c r="CB102" s="145">
        <f t="shared" si="402"/>
        <v>0</v>
      </c>
      <c r="CC102" s="145">
        <f t="shared" si="402"/>
        <v>0</v>
      </c>
      <c r="CD102" s="145">
        <f t="shared" si="402"/>
        <v>0</v>
      </c>
      <c r="CE102" s="146">
        <f t="shared" si="402"/>
        <v>0</v>
      </c>
      <c r="CF102" s="147">
        <f t="shared" si="97"/>
        <v>0</v>
      </c>
      <c r="CG102" s="148">
        <f t="shared" ref="CG102:CR102" si="403">+CG100-CG101</f>
        <v>0</v>
      </c>
      <c r="CH102" s="145">
        <f t="shared" si="403"/>
        <v>0</v>
      </c>
      <c r="CI102" s="145">
        <f t="shared" si="403"/>
        <v>0</v>
      </c>
      <c r="CJ102" s="145">
        <f t="shared" si="403"/>
        <v>0</v>
      </c>
      <c r="CK102" s="145">
        <f t="shared" si="403"/>
        <v>0</v>
      </c>
      <c r="CL102" s="145">
        <f t="shared" si="403"/>
        <v>0</v>
      </c>
      <c r="CM102" s="145">
        <f t="shared" si="403"/>
        <v>0</v>
      </c>
      <c r="CN102" s="145">
        <f t="shared" si="403"/>
        <v>0</v>
      </c>
      <c r="CO102" s="145">
        <f t="shared" si="403"/>
        <v>0</v>
      </c>
      <c r="CP102" s="145">
        <f t="shared" si="403"/>
        <v>0</v>
      </c>
      <c r="CQ102" s="145">
        <f t="shared" si="403"/>
        <v>0</v>
      </c>
      <c r="CR102" s="146">
        <f t="shared" si="403"/>
        <v>0</v>
      </c>
      <c r="CS102" s="147">
        <f t="shared" si="98"/>
        <v>0</v>
      </c>
      <c r="CT102" s="148">
        <f t="shared" ref="CT102:DE102" si="404">+CT100-CT101</f>
        <v>0</v>
      </c>
      <c r="CU102" s="145">
        <f t="shared" si="404"/>
        <v>0</v>
      </c>
      <c r="CV102" s="145">
        <f t="shared" si="404"/>
        <v>0</v>
      </c>
      <c r="CW102" s="145">
        <f t="shared" si="404"/>
        <v>0</v>
      </c>
      <c r="CX102" s="145">
        <f t="shared" si="404"/>
        <v>0</v>
      </c>
      <c r="CY102" s="145">
        <f t="shared" si="404"/>
        <v>0</v>
      </c>
      <c r="CZ102" s="145">
        <f t="shared" si="404"/>
        <v>0</v>
      </c>
      <c r="DA102" s="145">
        <f t="shared" si="404"/>
        <v>0</v>
      </c>
      <c r="DB102" s="145">
        <f t="shared" si="404"/>
        <v>0</v>
      </c>
      <c r="DC102" s="145">
        <f t="shared" si="404"/>
        <v>0</v>
      </c>
      <c r="DD102" s="145">
        <f t="shared" si="404"/>
        <v>0</v>
      </c>
      <c r="DE102" s="146">
        <f t="shared" si="404"/>
        <v>0</v>
      </c>
      <c r="DF102" s="147">
        <f t="shared" si="99"/>
        <v>0</v>
      </c>
      <c r="DG102" s="146">
        <f>+DG100-DG101</f>
        <v>0</v>
      </c>
      <c r="DH102" s="98">
        <f t="shared" si="353"/>
        <v>588.28359343953048</v>
      </c>
      <c r="DI102" s="99">
        <f t="shared" si="354"/>
        <v>47.072000000000003</v>
      </c>
      <c r="DJ102" s="100">
        <f t="shared" si="355"/>
        <v>-541.21159343953047</v>
      </c>
    </row>
    <row r="103" spans="1:118" ht="15" customHeight="1" outlineLevel="1">
      <c r="A103" s="607"/>
      <c r="B103" s="611" t="s">
        <v>64</v>
      </c>
      <c r="C103" s="249" t="s">
        <v>62</v>
      </c>
      <c r="D103" s="267" t="s">
        <v>121</v>
      </c>
      <c r="E103" s="153">
        <f>E16+E22+E25+E28+E31+E34+E37+E40+E49+E52+E55+E58+E61+E64+E67+E70+E73+E76+E79+E82+E85+E88+E91+E94+E97+E100+E43+E46</f>
        <v>1510851.5256110667</v>
      </c>
      <c r="F103" s="153">
        <f>F16+F22+F25+F28+F31+F34+F37+F40+F49+F52+F55+F58+F61+F64+F67+F70+F73+F76+F79+F82+F85+F88+F91+F94+F97+F100+F43+F46</f>
        <v>0</v>
      </c>
      <c r="G103" s="154">
        <f>G16+G22+G25+G28+G31+G34+G37+G40+G49+G52+G55+G58+G61+G64+G67+G70+G73+G76+G79+G82+G85+G88+G91+G94+G97+G100+G43+G46+G19</f>
        <v>963.8136184006878</v>
      </c>
      <c r="H103" s="155">
        <f t="shared" ref="H103:R103" si="405">H16+H22+H25+H28+H31+H34+H37+H40+H49+H52+H55+H58+H61+H64+H67+H70+H73+H76+H79+H82+H85+H88+H91+H94+H97+H100+H43+H46+H19</f>
        <v>984.46804766751484</v>
      </c>
      <c r="I103" s="155">
        <f t="shared" si="405"/>
        <v>1446.3651858676978</v>
      </c>
      <c r="J103" s="155">
        <f t="shared" si="405"/>
        <v>891.82752501074333</v>
      </c>
      <c r="K103" s="155">
        <f t="shared" si="405"/>
        <v>735.25743896995709</v>
      </c>
      <c r="L103" s="155">
        <f t="shared" si="405"/>
        <v>811.6274367599915</v>
      </c>
      <c r="M103" s="155">
        <f t="shared" si="405"/>
        <v>907.1002998935943</v>
      </c>
      <c r="N103" s="155">
        <f t="shared" si="405"/>
        <v>388.15004468174203</v>
      </c>
      <c r="O103" s="155">
        <f t="shared" si="405"/>
        <v>499.1107967634855</v>
      </c>
      <c r="P103" s="155">
        <f t="shared" si="405"/>
        <v>536.08242523594583</v>
      </c>
      <c r="Q103" s="155">
        <f t="shared" si="405"/>
        <v>25683.972726339838</v>
      </c>
      <c r="R103" s="156">
        <f t="shared" si="405"/>
        <v>1024.9701701871102</v>
      </c>
      <c r="S103" s="157">
        <f t="shared" si="318"/>
        <v>34872.745715778306</v>
      </c>
      <c r="T103" s="383">
        <f t="shared" ref="T103:AE103" si="406">T16+T22+T25+T28+T31+T34+T37+T40+T49+T52+T55+T58+T61+T64+T67+T70+T73+T76+T79+T82+T85+T88+T91+T94+T97+T100+T43+T46+T19</f>
        <v>2183.6690997317937</v>
      </c>
      <c r="U103" s="382">
        <f t="shared" si="406"/>
        <v>866.31960699100568</v>
      </c>
      <c r="V103" s="382">
        <f t="shared" si="406"/>
        <v>291.51444102355811</v>
      </c>
      <c r="W103" s="382">
        <f t="shared" si="406"/>
        <v>561.14362671491631</v>
      </c>
      <c r="X103" s="382">
        <f t="shared" si="406"/>
        <v>390.39660553221847</v>
      </c>
      <c r="Y103" s="382">
        <f t="shared" si="406"/>
        <v>536.66353465699683</v>
      </c>
      <c r="Z103" s="382">
        <f t="shared" si="406"/>
        <v>828.74842111974499</v>
      </c>
      <c r="AA103" s="382">
        <f t="shared" si="406"/>
        <v>1400.968964811389</v>
      </c>
      <c r="AB103" s="382">
        <f t="shared" si="406"/>
        <v>467.82957443437994</v>
      </c>
      <c r="AC103" s="382">
        <f t="shared" si="406"/>
        <v>591.84925279765901</v>
      </c>
      <c r="AD103" s="382">
        <f t="shared" si="406"/>
        <v>3754.1665665667638</v>
      </c>
      <c r="AE103" s="485">
        <f t="shared" si="406"/>
        <v>31389.545795658829</v>
      </c>
      <c r="AF103" s="157">
        <f t="shared" si="396"/>
        <v>43262.815490039255</v>
      </c>
      <c r="AG103" s="498">
        <f t="shared" ref="AG103:AR103" si="407">AG16+AG22+AG25+AG28+AG31+AG34+AG37+AG40+AG49+AG52+AG55+AG58+AG61+AG64+AG67+AG70+AG73+AG76+AG79+AG82+AG85+AG88+AG91+AG94+AG97+AG100+AG43+AG46+AG19</f>
        <v>5081.504172058003</v>
      </c>
      <c r="AH103" s="513">
        <f t="shared" si="407"/>
        <v>838.93162942213519</v>
      </c>
      <c r="AI103" s="513">
        <f t="shared" si="407"/>
        <v>1056.5826290391901</v>
      </c>
      <c r="AJ103" s="513">
        <f t="shared" si="407"/>
        <v>2533.0283525544919</v>
      </c>
      <c r="AK103" s="513">
        <f t="shared" si="407"/>
        <v>4139.9102824139918</v>
      </c>
      <c r="AL103" s="513">
        <f t="shared" si="407"/>
        <v>2671.8611396971401</v>
      </c>
      <c r="AM103" s="513">
        <f t="shared" si="407"/>
        <v>3126.7230718185638</v>
      </c>
      <c r="AN103" s="513">
        <f t="shared" si="407"/>
        <v>4089.0437582484183</v>
      </c>
      <c r="AO103" s="513">
        <f t="shared" ref="AO103" si="408">AO16+AO22+AO25+AO28+AO31+AO34+AO37+AO40+AO49+AO52+AO55+AO58+AO61+AO64+AO67+AO70+AO73+AO76+AO79+AO82+AO85+AO88+AO91+AO94+AO97+AO100+AO43+AO46+AO19</f>
        <v>1410.4854570379066</v>
      </c>
      <c r="AP103" s="513">
        <f t="shared" si="407"/>
        <v>1419.0347688067814</v>
      </c>
      <c r="AQ103" s="513">
        <f t="shared" si="407"/>
        <v>2970.156763535786</v>
      </c>
      <c r="AR103" s="525">
        <f t="shared" si="407"/>
        <v>8382.871058789955</v>
      </c>
      <c r="AS103" s="409">
        <f t="shared" si="372"/>
        <v>37720.133083422363</v>
      </c>
      <c r="AT103" s="500">
        <f t="shared" ref="AT103:BE103" si="409">AT16+AT22+AT25+AT28+AT31+AT34+AT37+AT40+AT49+AT52+AT55+AT58+AT61+AT64+AT67+AT70+AT73+AT76+AT79+AT82+AT85+AT88+AT91+AT94+AT97+AT100+AT43+AT46+AT19</f>
        <v>8217.4099145154469</v>
      </c>
      <c r="AU103" s="513">
        <f>AU16+AU22+AU25+AU28+AU31+AU34+AU37+AU40+AU49+AU52+AU55+AU58+AU61+AU64+AU67+AU70+AU73+AU76+AU79+AU82+AU85+AU88+AU91+AU94+AU97+AU100+AU43+AU46+AU19</f>
        <v>7098.023416251438</v>
      </c>
      <c r="AV103" s="513">
        <f>AV16+AV22+AV25+AV28+AV31+AV34+AV37+AV40+AV49+AV52+AV55+AV58+AV61+AV64+AV67+AV70+AV73+AV76+AV79+AV82+AV85+AV88+AV91+AV94+AV97+AV100+AV43+AV46+AV19</f>
        <v>3151.6712860122889</v>
      </c>
      <c r="AW103" s="513">
        <f t="shared" si="409"/>
        <v>3592.8076523009213</v>
      </c>
      <c r="AX103" s="513">
        <f t="shared" si="409"/>
        <v>0</v>
      </c>
      <c r="AY103" s="513">
        <f>AY16+AY22+AY25+AY28+AY31+AY34+AY37+AY40+AY49+AY52+AY55+AY58+AY61+AY64+AY67+AY70+AY73+AY76+AY79+AY82+AY85+AY88+AY91+AY94+AY97+AY100+AY43+AY46+AY19</f>
        <v>1882.29474282456</v>
      </c>
      <c r="AZ103" s="155">
        <f t="shared" si="409"/>
        <v>59.400000000000006</v>
      </c>
      <c r="BA103" s="155">
        <f t="shared" si="409"/>
        <v>6836.1224825751242</v>
      </c>
      <c r="BB103" s="155">
        <f t="shared" si="409"/>
        <v>5633.0150998039389</v>
      </c>
      <c r="BC103" s="155">
        <f t="shared" si="409"/>
        <v>5824.5742703410506</v>
      </c>
      <c r="BD103" s="155">
        <f t="shared" si="409"/>
        <v>11744.765956746145</v>
      </c>
      <c r="BE103" s="156">
        <f t="shared" si="409"/>
        <v>14719.176427296943</v>
      </c>
      <c r="BF103" s="157">
        <f t="shared" si="373"/>
        <v>68759.261248667855</v>
      </c>
      <c r="BG103" s="154">
        <f t="shared" ref="BG103:BR103" si="410">BG16+BG22+BG25+BG28+BG31+BG34+BG37+BG40+BG49+BG52+BG55+BG58+BG61+BG64+BG67+BG70+BG73+BG76+BG79+BG82+BG85+BG88+BG91+BG94+BG97+BG100+BG43+BG46+BG19</f>
        <v>16159.730400257697</v>
      </c>
      <c r="BH103" s="155">
        <f t="shared" si="410"/>
        <v>12948.761910981142</v>
      </c>
      <c r="BI103" s="155">
        <f t="shared" si="410"/>
        <v>14991.589514231619</v>
      </c>
      <c r="BJ103" s="155">
        <f t="shared" si="410"/>
        <v>32544.790695384298</v>
      </c>
      <c r="BK103" s="155">
        <f t="shared" si="410"/>
        <v>22836.738874697621</v>
      </c>
      <c r="BL103" s="155">
        <f t="shared" si="410"/>
        <v>25184.000282497382</v>
      </c>
      <c r="BM103" s="155">
        <f t="shared" si="410"/>
        <v>103605.45135372336</v>
      </c>
      <c r="BN103" s="155">
        <f t="shared" si="410"/>
        <v>25015.768345495417</v>
      </c>
      <c r="BO103" s="155">
        <f t="shared" si="410"/>
        <v>25269.194970274442</v>
      </c>
      <c r="BP103" s="155">
        <f t="shared" si="410"/>
        <v>22964.544021109643</v>
      </c>
      <c r="BQ103" s="155">
        <f t="shared" si="410"/>
        <v>26662.798062065376</v>
      </c>
      <c r="BR103" s="156">
        <f t="shared" si="410"/>
        <v>29326.365496799019</v>
      </c>
      <c r="BS103" s="157">
        <f t="shared" si="374"/>
        <v>357509.73392751702</v>
      </c>
      <c r="BT103" s="154">
        <f t="shared" ref="BT103:CE103" si="411">BT16+BT22+BT25+BT28+BT31+BT34+BT37+BT40+BT49+BT52+BT55+BT58+BT61+BT64+BT67+BT70+BT73+BT76+BT79+BT82+BT85+BT88+BT91+BT94+BT97+BT100+BT43+BT46+BT19</f>
        <v>29691.963178795631</v>
      </c>
      <c r="BU103" s="155">
        <f t="shared" si="411"/>
        <v>28205.974112943331</v>
      </c>
      <c r="BV103" s="155">
        <f t="shared" si="411"/>
        <v>24634.239395121062</v>
      </c>
      <c r="BW103" s="155">
        <f t="shared" si="411"/>
        <v>25627.790683392795</v>
      </c>
      <c r="BX103" s="155">
        <f t="shared" si="411"/>
        <v>24810.34429544193</v>
      </c>
      <c r="BY103" s="155">
        <f t="shared" si="411"/>
        <v>25260.879973502706</v>
      </c>
      <c r="BZ103" s="155">
        <f t="shared" si="411"/>
        <v>26469.756724885276</v>
      </c>
      <c r="CA103" s="155">
        <f t="shared" si="411"/>
        <v>26967.811430624875</v>
      </c>
      <c r="CB103" s="155">
        <f t="shared" si="411"/>
        <v>25553.831188709148</v>
      </c>
      <c r="CC103" s="155">
        <f t="shared" si="411"/>
        <v>26285.218804363347</v>
      </c>
      <c r="CD103" s="155">
        <f t="shared" si="411"/>
        <v>26810.914859072534</v>
      </c>
      <c r="CE103" s="156">
        <f t="shared" si="411"/>
        <v>27134.219225825396</v>
      </c>
      <c r="CF103" s="157">
        <f t="shared" si="97"/>
        <v>317452.94387267809</v>
      </c>
      <c r="CG103" s="154">
        <f t="shared" ref="CG103:CR103" si="412">CG16+CG22+CG25+CG28+CG31+CG34+CG37+CG40+CG49+CG52+CG55+CG58+CG61+CG64+CG67+CG70+CG73+CG76+CG79+CG82+CG85+CG88+CG91+CG94+CG97+CG100+CG43+CG46+CG19</f>
        <v>26643.526202809189</v>
      </c>
      <c r="CH103" s="155">
        <f t="shared" si="412"/>
        <v>27507.477920607758</v>
      </c>
      <c r="CI103" s="155">
        <f t="shared" si="412"/>
        <v>28555.777063488327</v>
      </c>
      <c r="CJ103" s="155">
        <f t="shared" si="412"/>
        <v>27406.830474736944</v>
      </c>
      <c r="CK103" s="155">
        <f t="shared" si="412"/>
        <v>28143.110366341876</v>
      </c>
      <c r="CL103" s="155">
        <f t="shared" si="412"/>
        <v>28716.185162289668</v>
      </c>
      <c r="CM103" s="155">
        <f t="shared" si="412"/>
        <v>26827.596550642309</v>
      </c>
      <c r="CN103" s="155">
        <f t="shared" si="412"/>
        <v>24464.788619947536</v>
      </c>
      <c r="CO103" s="155">
        <f t="shared" si="412"/>
        <v>24342.647434266823</v>
      </c>
      <c r="CP103" s="155">
        <f t="shared" si="412"/>
        <v>25811.021490053878</v>
      </c>
      <c r="CQ103" s="155">
        <f t="shared" si="412"/>
        <v>15225.352063609516</v>
      </c>
      <c r="CR103" s="156">
        <f t="shared" si="412"/>
        <v>15400.975263992152</v>
      </c>
      <c r="CS103" s="157">
        <f t="shared" si="98"/>
        <v>299045.28861278598</v>
      </c>
      <c r="CT103" s="154">
        <f t="shared" ref="CT103:DE103" si="413">CT16+CT22+CT25+CT28+CT31+CT34+CT37+CT40+CT49+CT52+CT55+CT58+CT61+CT64+CT67+CT70+CT73+CT76+CT79+CT82+CT85+CT88+CT91+CT94+CT97+CT100+CT43+CT46+CT19</f>
        <v>12869.378216193514</v>
      </c>
      <c r="CU103" s="155">
        <f t="shared" si="413"/>
        <v>13263.673452187129</v>
      </c>
      <c r="CV103" s="155">
        <f t="shared" si="413"/>
        <v>13554.381908584679</v>
      </c>
      <c r="CW103" s="155">
        <f t="shared" si="413"/>
        <v>13732.828942025993</v>
      </c>
      <c r="CX103" s="155">
        <f t="shared" si="413"/>
        <v>13863.123833542188</v>
      </c>
      <c r="CY103" s="155">
        <f t="shared" si="413"/>
        <v>13936.780519850045</v>
      </c>
      <c r="CZ103" s="155">
        <f t="shared" si="413"/>
        <v>55828.963019656068</v>
      </c>
      <c r="DA103" s="155">
        <f t="shared" si="413"/>
        <v>9689.5310479275613</v>
      </c>
      <c r="DB103" s="155">
        <f t="shared" si="413"/>
        <v>9432.028593144345</v>
      </c>
      <c r="DC103" s="155">
        <f t="shared" si="413"/>
        <v>9074.5525190815988</v>
      </c>
      <c r="DD103" s="155">
        <f t="shared" si="413"/>
        <v>8617.1253291660996</v>
      </c>
      <c r="DE103" s="156">
        <f t="shared" si="413"/>
        <v>60543.681019150034</v>
      </c>
      <c r="DF103" s="157">
        <f t="shared" si="99"/>
        <v>234406.04840050926</v>
      </c>
      <c r="DG103" s="280">
        <f>DG16+DG22+DG25+DG28+DG31+DG34+DG37+DG40+DG49+DG52+DG55+DG58+DG61+DG64+DG67+DG70+DG73+DG76+DG79+DG82+DG85+DG88+DG91+DG94+DG97+DG100+DG43+DG46+DG19</f>
        <v>119679.57644382703</v>
      </c>
      <c r="DH103" s="159">
        <f>+F103+S103+AF103+AS103+BF103+BS103+DG103</f>
        <v>661804.26590925176</v>
      </c>
      <c r="DI103" s="160">
        <f>+E103</f>
        <v>1510851.5256110667</v>
      </c>
      <c r="DJ103" s="161">
        <f>+DI103-DH103</f>
        <v>849047.25970181497</v>
      </c>
      <c r="DM103" s="134"/>
    </row>
    <row r="104" spans="1:118" ht="15" customHeight="1" outlineLevel="1">
      <c r="A104" s="607"/>
      <c r="B104" s="612"/>
      <c r="C104" s="248" t="s">
        <v>63</v>
      </c>
      <c r="D104" s="268" t="s">
        <v>118</v>
      </c>
      <c r="E104" s="136">
        <f>E17+E23+E26+E29+E32+E35+E38+E41+E50+E53+E56+E59+E62+E65+E68+E71+E74+E77+E80+E83+E86+E89+E92+E95+E98+E101+E44+E47</f>
        <v>1321119.9203129797</v>
      </c>
      <c r="F104" s="136">
        <f>F17+F23+F26+F29+F32+F35+F38+F41+F50+F53+F56+F59+F62+F65+F68+F71+F74+F77+F80+F83+F86+F89+F92+F95+F98+F101+F44+F47</f>
        <v>0</v>
      </c>
      <c r="G104" s="137">
        <f>G17+G23+G26+G29+G32+G35+G38+G41+G50+G53+G56+G59+G62+G65+G68+G71+G74+G77+G80+G83+G86+G89+G92+G95+G98+G101+G44+G47+G20</f>
        <v>812.82429174548588</v>
      </c>
      <c r="H104" s="138">
        <f t="shared" ref="H104:R104" si="414">H17+H23+H26+H29+H32+H35+H38+H41+H50+H53+H56+H59+H62+H65+H68+H71+H74+H77+H80+H83+H86+H89+H92+H95+H98+H101+H44+H47+H20</f>
        <v>790.49666361323148</v>
      </c>
      <c r="I104" s="138">
        <f t="shared" si="414"/>
        <v>1190.4957644329897</v>
      </c>
      <c r="J104" s="138">
        <f t="shared" si="414"/>
        <v>701.77750678985808</v>
      </c>
      <c r="K104" s="138">
        <f t="shared" si="414"/>
        <v>1550.5221106008585</v>
      </c>
      <c r="L104" s="138">
        <f t="shared" si="414"/>
        <v>673.2195201111349</v>
      </c>
      <c r="M104" s="138">
        <f t="shared" si="414"/>
        <v>715.57458735901298</v>
      </c>
      <c r="N104" s="138">
        <f t="shared" si="414"/>
        <v>330.66627064489114</v>
      </c>
      <c r="O104" s="138">
        <f t="shared" si="414"/>
        <v>403.77169626556019</v>
      </c>
      <c r="P104" s="138">
        <f t="shared" si="414"/>
        <v>434.08113385309809</v>
      </c>
      <c r="Q104" s="138">
        <f t="shared" si="414"/>
        <v>721.60620889073539</v>
      </c>
      <c r="R104" s="139">
        <f t="shared" si="414"/>
        <v>883.11913654885666</v>
      </c>
      <c r="S104" s="162">
        <f t="shared" si="318"/>
        <v>9208.1548908557161</v>
      </c>
      <c r="T104" s="384">
        <f t="shared" ref="T104:AE104" si="415">T17+T23+T26+T29+T32+T35+T38+T41+T50+T53+T56+T59+T62+T65+T68+T71+T74+T77+T80+T83+T86+T89+T92+T95+T98+T101+T44+T47+T20</f>
        <v>1508.0802998143179</v>
      </c>
      <c r="U104" s="381">
        <f t="shared" si="415"/>
        <v>564.75295049059685</v>
      </c>
      <c r="V104" s="381">
        <f t="shared" si="415"/>
        <v>260.96712038992689</v>
      </c>
      <c r="W104" s="381">
        <f t="shared" si="415"/>
        <v>550.49119839344655</v>
      </c>
      <c r="X104" s="381">
        <f t="shared" si="415"/>
        <v>453.89596298644688</v>
      </c>
      <c r="Y104" s="381">
        <f t="shared" si="415"/>
        <v>562.61050790631316</v>
      </c>
      <c r="Z104" s="381">
        <f t="shared" si="415"/>
        <v>752.42214146244271</v>
      </c>
      <c r="AA104" s="381">
        <f t="shared" si="415"/>
        <v>763.87346280061126</v>
      </c>
      <c r="AB104" s="381">
        <f t="shared" si="415"/>
        <v>611.07383220277029</v>
      </c>
      <c r="AC104" s="381">
        <f t="shared" si="415"/>
        <v>757.53354620586038</v>
      </c>
      <c r="AD104" s="381">
        <f t="shared" si="415"/>
        <v>2072.3433559428977</v>
      </c>
      <c r="AE104" s="486">
        <f t="shared" si="415"/>
        <v>5483.4120894532325</v>
      </c>
      <c r="AF104" s="162">
        <f t="shared" si="396"/>
        <v>14341.456468048862</v>
      </c>
      <c r="AG104" s="497">
        <f t="shared" ref="AG104:AR104" si="416">AG17+AG23+AG26+AG29+AG32+AG35+AG38+AG41+AG50+AG53+AG56+AG59+AG62+AG65+AG68+AG71+AG74+AG77+AG80+AG83+AG86+AG89+AG92+AG95+AG98+AG101+AG44+AG47+AG20</f>
        <v>4555.4647741215849</v>
      </c>
      <c r="AH104" s="499">
        <f t="shared" si="416"/>
        <v>583.51437954946141</v>
      </c>
      <c r="AI104" s="499">
        <f t="shared" si="416"/>
        <v>838.65838541788753</v>
      </c>
      <c r="AJ104" s="499">
        <f t="shared" si="416"/>
        <v>2268.0467104140239</v>
      </c>
      <c r="AK104" s="499">
        <f t="shared" si="416"/>
        <v>3571.2726400538149</v>
      </c>
      <c r="AL104" s="499">
        <f t="shared" si="416"/>
        <v>2707.5759537281965</v>
      </c>
      <c r="AM104" s="499">
        <f t="shared" si="416"/>
        <v>2173.0331328318885</v>
      </c>
      <c r="AN104" s="499">
        <f t="shared" si="416"/>
        <v>2336.3705502481153</v>
      </c>
      <c r="AO104" s="499">
        <f t="shared" ref="AO104" si="417">AO17+AO23+AO26+AO29+AO32+AO35+AO38+AO41+AO50+AO53+AO56+AO59+AO62+AO65+AO68+AO71+AO74+AO77+AO80+AO83+AO86+AO89+AO92+AO95+AO98+AO101+AO44+AO47+AO20</f>
        <v>2233.1675945771954</v>
      </c>
      <c r="AP104" s="499">
        <f t="shared" si="416"/>
        <v>1523.2350495305432</v>
      </c>
      <c r="AQ104" s="499">
        <f>AQ17+AQ23+AQ26+AQ29+AQ32+AQ35+AQ38+AQ41+AQ50+AQ53+AQ56+AQ59+AQ62+AQ65+AQ68+AQ71+AQ74+AQ77+AQ80+AQ83+AQ86+AQ89+AQ92+AQ95+AQ98+AQ101+AQ44+AQ47+AQ20</f>
        <v>3219.4307916493008</v>
      </c>
      <c r="AR104" s="526">
        <f t="shared" si="416"/>
        <v>6734.825704261797</v>
      </c>
      <c r="AS104" s="410">
        <f t="shared" si="372"/>
        <v>32744.595666383815</v>
      </c>
      <c r="AT104" s="501">
        <f t="shared" ref="AT104:BE104" si="418">AT17+AT23+AT26+AT29+AT32+AT35+AT38+AT41+AT50+AT53+AT56+AT59+AT62+AT65+AT68+AT71+AT74+AT77+AT80+AT83+AT86+AT89+AT92+AT95+AT98+AT101+AT44+AT47+AT20</f>
        <v>6899.4974725118309</v>
      </c>
      <c r="AU104" s="499">
        <f t="shared" si="418"/>
        <v>4159.5676441931782</v>
      </c>
      <c r="AV104" s="499">
        <f t="shared" si="418"/>
        <v>2418.5289922248353</v>
      </c>
      <c r="AW104" s="499">
        <f t="shared" si="418"/>
        <v>4569.9435021434801</v>
      </c>
      <c r="AX104" s="499">
        <f t="shared" si="418"/>
        <v>6837.9991599999994</v>
      </c>
      <c r="AY104" s="499">
        <f>AY17+AY23+AY26+AY29+AY32+AY35+AY38+AY41+AY50+AY53+AY56+AY59+AY62+AY65+AY68+AY71+AY74+AY77+AY80+AY83+AY86+AY89+AY92+AY95+AY98+AY101+AY44+AY47+AY20</f>
        <v>6480.9948135335489</v>
      </c>
      <c r="AZ104" s="138">
        <f t="shared" si="418"/>
        <v>9657.1342536646134</v>
      </c>
      <c r="BA104" s="138">
        <f t="shared" si="418"/>
        <v>7679.3948272527505</v>
      </c>
      <c r="BB104" s="138">
        <f t="shared" si="418"/>
        <v>6809.6680678893663</v>
      </c>
      <c r="BC104" s="138">
        <f t="shared" si="418"/>
        <v>6392.8601725415147</v>
      </c>
      <c r="BD104" s="138">
        <f t="shared" si="418"/>
        <v>11929.00613016733</v>
      </c>
      <c r="BE104" s="139">
        <f t="shared" si="418"/>
        <v>15272.798664729253</v>
      </c>
      <c r="BF104" s="162">
        <f t="shared" si="373"/>
        <v>89107.39370085171</v>
      </c>
      <c r="BG104" s="137">
        <f t="shared" ref="BG104:BR104" si="419">BG17+BG23+BG26+BG29+BG32+BG35+BG38+BG41+BG50+BG53+BG56+BG59+BG62+BG65+BG68+BG71+BG74+BG77+BG80+BG83+BG86+BG89+BG92+BG95+BG98+BG101+BG44+BG47+BG20</f>
        <v>13724.693466555938</v>
      </c>
      <c r="BH104" s="138">
        <f t="shared" si="419"/>
        <v>17413.382905589864</v>
      </c>
      <c r="BI104" s="138">
        <f t="shared" si="419"/>
        <v>19368.519282175468</v>
      </c>
      <c r="BJ104" s="138">
        <f t="shared" si="419"/>
        <v>24686.89242583526</v>
      </c>
      <c r="BK104" s="138">
        <f t="shared" si="419"/>
        <v>25311.789950805716</v>
      </c>
      <c r="BL104" s="138">
        <f t="shared" si="419"/>
        <v>25819.696346067682</v>
      </c>
      <c r="BM104" s="138">
        <f t="shared" si="419"/>
        <v>41858.431533749797</v>
      </c>
      <c r="BN104" s="138">
        <f t="shared" si="419"/>
        <v>24119.895186969541</v>
      </c>
      <c r="BO104" s="138">
        <f t="shared" si="419"/>
        <v>23676.29187451952</v>
      </c>
      <c r="BP104" s="138">
        <f t="shared" si="419"/>
        <v>22520.409199841233</v>
      </c>
      <c r="BQ104" s="138">
        <f t="shared" si="419"/>
        <v>23161.502548703338</v>
      </c>
      <c r="BR104" s="139">
        <f t="shared" si="419"/>
        <v>23817.763712725617</v>
      </c>
      <c r="BS104" s="162">
        <f t="shared" si="374"/>
        <v>285479.26843353896</v>
      </c>
      <c r="BT104" s="137">
        <f t="shared" ref="BT104:CE104" si="420">BT17+BT23+BT26+BT29+BT32+BT35+BT38+BT41+BT50+BT53+BT56+BT59+BT62+BT65+BT68+BT71+BT74+BT77+BT80+BT83+BT86+BT89+BT92+BT95+BT98+BT101+BT44+BT47+BT20</f>
        <v>22715.541014741881</v>
      </c>
      <c r="BU104" s="138">
        <f t="shared" si="420"/>
        <v>24804.034823295857</v>
      </c>
      <c r="BV104" s="138">
        <f t="shared" si="420"/>
        <v>24686.889269867042</v>
      </c>
      <c r="BW104" s="138">
        <f t="shared" si="420"/>
        <v>24989.044884156247</v>
      </c>
      <c r="BX104" s="138">
        <f t="shared" si="420"/>
        <v>23379.623009134608</v>
      </c>
      <c r="BY104" s="138">
        <f t="shared" si="420"/>
        <v>24316.575963727653</v>
      </c>
      <c r="BZ104" s="138">
        <f t="shared" si="420"/>
        <v>24664.164670634171</v>
      </c>
      <c r="CA104" s="138">
        <f t="shared" si="420"/>
        <v>37122.662054405344</v>
      </c>
      <c r="CB104" s="138">
        <f t="shared" si="420"/>
        <v>23827.101877775618</v>
      </c>
      <c r="CC104" s="138">
        <f t="shared" si="420"/>
        <v>24441.238794649598</v>
      </c>
      <c r="CD104" s="138">
        <f t="shared" si="420"/>
        <v>24863.236281626196</v>
      </c>
      <c r="CE104" s="139">
        <f t="shared" si="420"/>
        <v>25096.170730608832</v>
      </c>
      <c r="CF104" s="162">
        <f t="shared" si="97"/>
        <v>304906.28337462305</v>
      </c>
      <c r="CG104" s="137">
        <f t="shared" ref="CG104:CR104" si="421">CG17+CG23+CG26+CG29+CG32+CG35+CG38+CG41+CG50+CG53+CG56+CG59+CG62+CG65+CG68+CG71+CG74+CG77+CG80+CG83+CG86+CG89+CG92+CG95+CG98+CG101+CG44+CG47+CG20</f>
        <v>24523.781123469147</v>
      </c>
      <c r="CH104" s="138">
        <f t="shared" si="421"/>
        <v>25294.638985231773</v>
      </c>
      <c r="CI104" s="138">
        <f t="shared" si="421"/>
        <v>26230.208383886249</v>
      </c>
      <c r="CJ104" s="138">
        <f t="shared" si="421"/>
        <v>24967.828491002521</v>
      </c>
      <c r="CK104" s="138">
        <f t="shared" si="421"/>
        <v>25620.022408396839</v>
      </c>
      <c r="CL104" s="138">
        <f t="shared" si="421"/>
        <v>26124.066319935602</v>
      </c>
      <c r="CM104" s="138">
        <f t="shared" si="421"/>
        <v>24165.317921260608</v>
      </c>
      <c r="CN104" s="138">
        <f t="shared" si="421"/>
        <v>22076.80013814467</v>
      </c>
      <c r="CO104" s="138">
        <f t="shared" si="421"/>
        <v>21955.734554115352</v>
      </c>
      <c r="CP104" s="138">
        <f t="shared" si="421"/>
        <v>23364.634641463403</v>
      </c>
      <c r="CQ104" s="138">
        <f t="shared" si="421"/>
        <v>13598.142631626786</v>
      </c>
      <c r="CR104" s="139">
        <f t="shared" si="421"/>
        <v>13743.2875308894</v>
      </c>
      <c r="CS104" s="162">
        <f t="shared" si="98"/>
        <v>271664.46312942234</v>
      </c>
      <c r="CT104" s="137">
        <f t="shared" ref="CT104:DE104" si="422">CT17+CT23+CT26+CT29+CT32+CT35+CT38+CT41+CT50+CT53+CT56+CT59+CT62+CT65+CT68+CT71+CT74+CT77+CT80+CT83+CT86+CT89+CT92+CT95+CT98+CT101+CT44+CT47+CT20</f>
        <v>11516.053358362627</v>
      </c>
      <c r="CU104" s="138">
        <f t="shared" si="422"/>
        <v>11862.49629151537</v>
      </c>
      <c r="CV104" s="138">
        <f t="shared" si="422"/>
        <v>12115.967804087115</v>
      </c>
      <c r="CW104" s="138">
        <f t="shared" si="422"/>
        <v>12268.839932942339</v>
      </c>
      <c r="CX104" s="138">
        <f t="shared" si="422"/>
        <v>12379.001868152811</v>
      </c>
      <c r="CY104" s="138">
        <f t="shared" si="422"/>
        <v>12439.017717044893</v>
      </c>
      <c r="CZ104" s="138">
        <f t="shared" si="422"/>
        <v>49297.6220970262</v>
      </c>
      <c r="DA104" s="138">
        <f t="shared" si="422"/>
        <v>8686.7479963933074</v>
      </c>
      <c r="DB104" s="138">
        <f t="shared" si="422"/>
        <v>8450.3924541476426</v>
      </c>
      <c r="DC104" s="138">
        <f t="shared" si="422"/>
        <v>8124.5798852010785</v>
      </c>
      <c r="DD104" s="138">
        <f t="shared" si="422"/>
        <v>7709.4487695139778</v>
      </c>
      <c r="DE104" s="139">
        <f t="shared" si="422"/>
        <v>53402.968682919527</v>
      </c>
      <c r="DF104" s="162">
        <f t="shared" si="99"/>
        <v>208253.13685730688</v>
      </c>
      <c r="DG104" s="279">
        <f>DG17+DG23+DG26+DG29+DG32+DG35+DG38+DG41+DG50+DG53+DG56+DG59+DG62+DG65+DG68+DG71+DG74+DG77+DG80+DG83+DG86+DG89+DG92+DG95+DG98+DG101+DG44+DG47+DG20</f>
        <v>107882.38685474546</v>
      </c>
      <c r="DH104" s="90">
        <f>+F104+S104+AF104+AS104+BF104+BS104+DG104</f>
        <v>538763.25601442449</v>
      </c>
      <c r="DI104" s="91">
        <f>+E104</f>
        <v>1321119.9203129797</v>
      </c>
      <c r="DJ104" s="92">
        <f>+DI104-DH104</f>
        <v>782356.66429855523</v>
      </c>
      <c r="DK104" s="64">
        <f>+DH104/DH103</f>
        <v>0.81408247690005231</v>
      </c>
      <c r="DM104" s="134"/>
    </row>
    <row r="105" spans="1:118" ht="15" customHeight="1" outlineLevel="1">
      <c r="A105" s="607"/>
      <c r="B105" s="613"/>
      <c r="C105" s="617" t="s">
        <v>11</v>
      </c>
      <c r="D105" s="618"/>
      <c r="E105" s="169">
        <f t="shared" ref="E105:R105" si="423">+E103-E104</f>
        <v>189731.605298087</v>
      </c>
      <c r="F105" s="170">
        <f t="shared" si="423"/>
        <v>0</v>
      </c>
      <c r="G105" s="171">
        <f t="shared" si="423"/>
        <v>150.98932665520192</v>
      </c>
      <c r="H105" s="171">
        <f t="shared" si="423"/>
        <v>193.97138405428336</v>
      </c>
      <c r="I105" s="171">
        <f t="shared" si="423"/>
        <v>255.8694214347081</v>
      </c>
      <c r="J105" s="171">
        <f t="shared" si="423"/>
        <v>190.05001822088525</v>
      </c>
      <c r="K105" s="171">
        <f t="shared" si="423"/>
        <v>-815.26467163090138</v>
      </c>
      <c r="L105" s="171">
        <f t="shared" si="423"/>
        <v>138.4079166488566</v>
      </c>
      <c r="M105" s="171">
        <f t="shared" si="423"/>
        <v>191.52571253458132</v>
      </c>
      <c r="N105" s="171">
        <f t="shared" si="423"/>
        <v>57.483774036850889</v>
      </c>
      <c r="O105" s="171">
        <f t="shared" si="423"/>
        <v>95.339100497925301</v>
      </c>
      <c r="P105" s="171">
        <f t="shared" si="423"/>
        <v>102.00129138284774</v>
      </c>
      <c r="Q105" s="171">
        <f t="shared" si="423"/>
        <v>24962.366517449103</v>
      </c>
      <c r="R105" s="172">
        <f t="shared" si="423"/>
        <v>141.85103363825351</v>
      </c>
      <c r="S105" s="173">
        <f t="shared" si="318"/>
        <v>25664.590824922598</v>
      </c>
      <c r="T105" s="174">
        <f t="shared" ref="T105:AE105" si="424">+T103-T104</f>
        <v>675.58879991747585</v>
      </c>
      <c r="U105" s="171">
        <f t="shared" si="424"/>
        <v>301.56665650040884</v>
      </c>
      <c r="V105" s="171">
        <f t="shared" si="424"/>
        <v>30.547320633631216</v>
      </c>
      <c r="W105" s="171">
        <f t="shared" si="424"/>
        <v>10.652428321469756</v>
      </c>
      <c r="X105" s="171">
        <f t="shared" si="424"/>
        <v>-63.499357454228402</v>
      </c>
      <c r="Y105" s="171">
        <f t="shared" si="424"/>
        <v>-25.946973249316329</v>
      </c>
      <c r="Z105" s="171">
        <f t="shared" si="424"/>
        <v>76.32627965730228</v>
      </c>
      <c r="AA105" s="171">
        <f t="shared" si="424"/>
        <v>637.09550201077775</v>
      </c>
      <c r="AB105" s="171">
        <f t="shared" si="424"/>
        <v>-143.24425776839036</v>
      </c>
      <c r="AC105" s="171">
        <f t="shared" si="424"/>
        <v>-165.68429340820137</v>
      </c>
      <c r="AD105" s="171">
        <f t="shared" si="424"/>
        <v>1681.8232106238661</v>
      </c>
      <c r="AE105" s="172">
        <f t="shared" si="424"/>
        <v>25906.133706205597</v>
      </c>
      <c r="AF105" s="173">
        <f t="shared" si="396"/>
        <v>28921.359021990393</v>
      </c>
      <c r="AG105" s="174">
        <f t="shared" ref="AG105:AR105" si="425">+AG103-AG104</f>
        <v>526.03939793641803</v>
      </c>
      <c r="AH105" s="171">
        <f t="shared" si="425"/>
        <v>255.41724987267378</v>
      </c>
      <c r="AI105" s="171">
        <f t="shared" si="425"/>
        <v>217.92424362130259</v>
      </c>
      <c r="AJ105" s="171">
        <f t="shared" si="425"/>
        <v>264.98164214046801</v>
      </c>
      <c r="AK105" s="171">
        <f t="shared" si="425"/>
        <v>568.63764236017687</v>
      </c>
      <c r="AL105" s="171">
        <f t="shared" si="425"/>
        <v>-35.714814031056449</v>
      </c>
      <c r="AM105" s="171">
        <f t="shared" si="425"/>
        <v>953.68993898667532</v>
      </c>
      <c r="AN105" s="171">
        <f t="shared" si="425"/>
        <v>1752.673208000303</v>
      </c>
      <c r="AO105" s="171">
        <f t="shared" ref="AO105" si="426">+AO103-AO104</f>
        <v>-822.68213753928876</v>
      </c>
      <c r="AP105" s="171">
        <f t="shared" si="425"/>
        <v>-104.20028072376181</v>
      </c>
      <c r="AQ105" s="171">
        <f t="shared" si="425"/>
        <v>-249.27402811351476</v>
      </c>
      <c r="AR105" s="520">
        <f t="shared" si="425"/>
        <v>1648.045354528158</v>
      </c>
      <c r="AS105" s="411">
        <f t="shared" si="372"/>
        <v>4975.5374170385539</v>
      </c>
      <c r="AT105" s="174">
        <f t="shared" ref="AT105:BE105" si="427">+AT103-AT104</f>
        <v>1317.912442003616</v>
      </c>
      <c r="AU105" s="171">
        <f t="shared" si="427"/>
        <v>2938.4557720582598</v>
      </c>
      <c r="AV105" s="171">
        <f t="shared" si="427"/>
        <v>733.14229378745358</v>
      </c>
      <c r="AW105" s="171">
        <f t="shared" si="427"/>
        <v>-977.13584984255886</v>
      </c>
      <c r="AX105" s="171">
        <f t="shared" si="427"/>
        <v>-6837.9991599999994</v>
      </c>
      <c r="AY105" s="171">
        <f t="shared" si="427"/>
        <v>-4598.7000707089892</v>
      </c>
      <c r="AZ105" s="171">
        <f t="shared" si="427"/>
        <v>-9597.7342536646138</v>
      </c>
      <c r="BA105" s="171">
        <f t="shared" si="427"/>
        <v>-843.27234467762628</v>
      </c>
      <c r="BB105" s="171">
        <f t="shared" si="427"/>
        <v>-1176.6529680854273</v>
      </c>
      <c r="BC105" s="171">
        <f t="shared" si="427"/>
        <v>-568.28590220046408</v>
      </c>
      <c r="BD105" s="171">
        <f t="shared" si="427"/>
        <v>-184.24017342118532</v>
      </c>
      <c r="BE105" s="172">
        <f t="shared" si="427"/>
        <v>-553.6222374323097</v>
      </c>
      <c r="BF105" s="173">
        <f t="shared" si="373"/>
        <v>-20348.13245218384</v>
      </c>
      <c r="BG105" s="174">
        <f t="shared" ref="BG105:BR105" si="428">+BG103-BG104</f>
        <v>2435.0369337017582</v>
      </c>
      <c r="BH105" s="171">
        <f t="shared" si="428"/>
        <v>-4464.620994608722</v>
      </c>
      <c r="BI105" s="171">
        <f t="shared" si="428"/>
        <v>-4376.9297679438496</v>
      </c>
      <c r="BJ105" s="171">
        <f t="shared" si="428"/>
        <v>7857.8982695490376</v>
      </c>
      <c r="BK105" s="171">
        <f t="shared" si="428"/>
        <v>-2475.051076108095</v>
      </c>
      <c r="BL105" s="171">
        <f t="shared" si="428"/>
        <v>-635.69606357029988</v>
      </c>
      <c r="BM105" s="171">
        <f t="shared" si="428"/>
        <v>61747.019819973561</v>
      </c>
      <c r="BN105" s="171">
        <f t="shared" si="428"/>
        <v>895.87315852587562</v>
      </c>
      <c r="BO105" s="171">
        <f t="shared" si="428"/>
        <v>1592.9030957549221</v>
      </c>
      <c r="BP105" s="171">
        <f t="shared" si="428"/>
        <v>444.13482126840972</v>
      </c>
      <c r="BQ105" s="171">
        <f t="shared" si="428"/>
        <v>3501.295513362038</v>
      </c>
      <c r="BR105" s="172">
        <f t="shared" si="428"/>
        <v>5508.6017840734021</v>
      </c>
      <c r="BS105" s="173">
        <f t="shared" si="374"/>
        <v>72030.465493978045</v>
      </c>
      <c r="BT105" s="174">
        <f t="shared" ref="BT105:CE105" si="429">+BT103-BT104</f>
        <v>6976.4221640537507</v>
      </c>
      <c r="BU105" s="171">
        <f t="shared" si="429"/>
        <v>3401.9392896474747</v>
      </c>
      <c r="BV105" s="171">
        <f t="shared" si="429"/>
        <v>-52.649874745980924</v>
      </c>
      <c r="BW105" s="171">
        <f t="shared" si="429"/>
        <v>638.74579923654892</v>
      </c>
      <c r="BX105" s="171">
        <f t="shared" si="429"/>
        <v>1430.7212863073219</v>
      </c>
      <c r="BY105" s="171">
        <f t="shared" si="429"/>
        <v>944.30400977505269</v>
      </c>
      <c r="BZ105" s="171">
        <f t="shared" si="429"/>
        <v>1805.5920542511049</v>
      </c>
      <c r="CA105" s="171">
        <f t="shared" si="429"/>
        <v>-10154.850623780469</v>
      </c>
      <c r="CB105" s="171">
        <f t="shared" si="429"/>
        <v>1726.7293109335296</v>
      </c>
      <c r="CC105" s="171">
        <f t="shared" si="429"/>
        <v>1843.9800097137486</v>
      </c>
      <c r="CD105" s="171">
        <f t="shared" si="429"/>
        <v>1947.6785774463387</v>
      </c>
      <c r="CE105" s="172">
        <f t="shared" si="429"/>
        <v>2038.0484952165643</v>
      </c>
      <c r="CF105" s="173">
        <f t="shared" si="97"/>
        <v>12546.660498054986</v>
      </c>
      <c r="CG105" s="174">
        <f t="shared" ref="CG105:CR105" si="430">+CG103-CG104</f>
        <v>2119.7450793400421</v>
      </c>
      <c r="CH105" s="171">
        <f t="shared" si="430"/>
        <v>2212.8389353759849</v>
      </c>
      <c r="CI105" s="171">
        <f t="shared" si="430"/>
        <v>2325.5686796020782</v>
      </c>
      <c r="CJ105" s="171">
        <f t="shared" si="430"/>
        <v>2439.0019837344225</v>
      </c>
      <c r="CK105" s="171">
        <f t="shared" si="430"/>
        <v>2523.0879579450375</v>
      </c>
      <c r="CL105" s="171">
        <f t="shared" si="430"/>
        <v>2592.1188423540661</v>
      </c>
      <c r="CM105" s="171">
        <f t="shared" si="430"/>
        <v>2662.2786293817007</v>
      </c>
      <c r="CN105" s="171">
        <f t="shared" si="430"/>
        <v>2387.9884818028659</v>
      </c>
      <c r="CO105" s="171">
        <f t="shared" si="430"/>
        <v>2386.9128801514707</v>
      </c>
      <c r="CP105" s="171">
        <f t="shared" si="430"/>
        <v>2446.386848590475</v>
      </c>
      <c r="CQ105" s="171">
        <f t="shared" si="430"/>
        <v>1627.2094319827302</v>
      </c>
      <c r="CR105" s="172">
        <f t="shared" si="430"/>
        <v>1657.6877331027517</v>
      </c>
      <c r="CS105" s="173">
        <f t="shared" si="98"/>
        <v>27380.825483363624</v>
      </c>
      <c r="CT105" s="174">
        <f t="shared" ref="CT105:DE105" si="431">+CT103-CT104</f>
        <v>1353.3248578308867</v>
      </c>
      <c r="CU105" s="171">
        <f t="shared" si="431"/>
        <v>1401.1771606717593</v>
      </c>
      <c r="CV105" s="171">
        <f t="shared" si="431"/>
        <v>1438.414104497564</v>
      </c>
      <c r="CW105" s="171">
        <f t="shared" si="431"/>
        <v>1463.9890090836543</v>
      </c>
      <c r="CX105" s="171">
        <f t="shared" si="431"/>
        <v>1484.1219653893768</v>
      </c>
      <c r="CY105" s="171">
        <f t="shared" si="431"/>
        <v>1497.7628028051513</v>
      </c>
      <c r="CZ105" s="171">
        <f t="shared" si="431"/>
        <v>6531.3409226298681</v>
      </c>
      <c r="DA105" s="171">
        <f t="shared" si="431"/>
        <v>1002.7830515342539</v>
      </c>
      <c r="DB105" s="171">
        <f t="shared" si="431"/>
        <v>981.63613899670236</v>
      </c>
      <c r="DC105" s="171">
        <f t="shared" si="431"/>
        <v>949.97263388052033</v>
      </c>
      <c r="DD105" s="171">
        <f t="shared" si="431"/>
        <v>907.6765596521218</v>
      </c>
      <c r="DE105" s="172">
        <f t="shared" si="431"/>
        <v>7140.7123362305065</v>
      </c>
      <c r="DF105" s="173">
        <f t="shared" si="99"/>
        <v>26152.911543202365</v>
      </c>
      <c r="DG105" s="172">
        <f>+DG103-DG104</f>
        <v>11797.189589081565</v>
      </c>
      <c r="DH105" s="98">
        <f>+F105+S105+AF105+AS105+BF105+BS105+DG105</f>
        <v>123041.00989482732</v>
      </c>
      <c r="DI105" s="99">
        <f>+E105</f>
        <v>189731.605298087</v>
      </c>
      <c r="DJ105" s="100">
        <f>+DI105-DH105</f>
        <v>66690.595403259678</v>
      </c>
    </row>
    <row r="106" spans="1:118" ht="6" customHeight="1">
      <c r="A106" s="175"/>
      <c r="B106" s="176"/>
      <c r="C106" s="269"/>
      <c r="D106" s="266"/>
      <c r="E106" s="177"/>
      <c r="F106" s="177"/>
      <c r="G106" s="178"/>
      <c r="H106" s="178"/>
      <c r="I106" s="178"/>
      <c r="J106" s="178"/>
      <c r="K106" s="178"/>
      <c r="L106" s="178"/>
      <c r="M106" s="178"/>
      <c r="N106" s="178"/>
      <c r="O106" s="178"/>
      <c r="P106" s="178"/>
      <c r="Q106" s="178"/>
      <c r="R106" s="178"/>
      <c r="S106" s="177"/>
      <c r="T106" s="178"/>
      <c r="U106" s="178"/>
      <c r="V106" s="178"/>
      <c r="W106" s="178"/>
      <c r="X106" s="178"/>
      <c r="Y106" s="178"/>
      <c r="Z106" s="178"/>
      <c r="AA106" s="178"/>
      <c r="AB106" s="178"/>
      <c r="AC106" s="178"/>
      <c r="AD106" s="178"/>
      <c r="AE106" s="178"/>
      <c r="AF106" s="177"/>
      <c r="AG106" s="178"/>
      <c r="AH106" s="178"/>
      <c r="AI106" s="178"/>
      <c r="AJ106" s="178"/>
      <c r="AK106" s="178"/>
      <c r="AL106" s="178"/>
      <c r="AM106" s="178"/>
      <c r="AN106" s="178"/>
      <c r="AO106" s="178"/>
      <c r="AP106" s="178"/>
      <c r="AQ106" s="178"/>
      <c r="AR106" s="178"/>
      <c r="AS106" s="412"/>
      <c r="AT106" s="178"/>
      <c r="AU106" s="178"/>
      <c r="AV106" s="178"/>
      <c r="AW106" s="178"/>
      <c r="AX106" s="178"/>
      <c r="AY106" s="178"/>
      <c r="AZ106" s="178"/>
      <c r="BA106" s="178"/>
      <c r="BB106" s="178"/>
      <c r="BC106" s="178"/>
      <c r="BD106" s="178"/>
      <c r="BE106" s="178"/>
      <c r="BF106" s="177"/>
      <c r="BG106" s="178"/>
      <c r="BH106" s="178"/>
      <c r="BI106" s="178"/>
      <c r="BJ106" s="178"/>
      <c r="BK106" s="178"/>
      <c r="BL106" s="178"/>
      <c r="BM106" s="178"/>
      <c r="BN106" s="178"/>
      <c r="BO106" s="178"/>
      <c r="BP106" s="178"/>
      <c r="BQ106" s="178"/>
      <c r="BR106" s="178"/>
      <c r="BS106" s="177"/>
      <c r="BT106" s="178"/>
      <c r="BU106" s="178"/>
      <c r="BV106" s="178"/>
      <c r="BW106" s="178"/>
      <c r="BX106" s="178"/>
      <c r="BY106" s="178"/>
      <c r="BZ106" s="178"/>
      <c r="CA106" s="178"/>
      <c r="CB106" s="178"/>
      <c r="CC106" s="178"/>
      <c r="CD106" s="178"/>
      <c r="CE106" s="178"/>
      <c r="CF106" s="177"/>
      <c r="CG106" s="178"/>
      <c r="CH106" s="178"/>
      <c r="CI106" s="178"/>
      <c r="CJ106" s="178"/>
      <c r="CK106" s="178"/>
      <c r="CL106" s="178"/>
      <c r="CM106" s="178"/>
      <c r="CN106" s="178"/>
      <c r="CO106" s="178"/>
      <c r="CP106" s="178"/>
      <c r="CQ106" s="178"/>
      <c r="CR106" s="178"/>
      <c r="CS106" s="177"/>
      <c r="CT106" s="178"/>
      <c r="CU106" s="178"/>
      <c r="CV106" s="178"/>
      <c r="CW106" s="178"/>
      <c r="CX106" s="178"/>
      <c r="CY106" s="178"/>
      <c r="CZ106" s="178"/>
      <c r="DA106" s="178"/>
      <c r="DB106" s="178"/>
      <c r="DC106" s="178"/>
      <c r="DD106" s="178"/>
      <c r="DE106" s="178"/>
      <c r="DF106" s="177"/>
      <c r="DG106" s="281"/>
      <c r="DH106" s="179"/>
      <c r="DI106" s="179"/>
      <c r="DJ106" s="179"/>
    </row>
    <row r="107" spans="1:118" ht="15" customHeight="1" outlineLevel="1">
      <c r="A107" s="601" t="s">
        <v>79</v>
      </c>
      <c r="B107" s="593" t="s">
        <v>72</v>
      </c>
      <c r="C107" s="246" t="s">
        <v>62</v>
      </c>
      <c r="D107" s="183" t="s">
        <v>122</v>
      </c>
      <c r="E107" s="153">
        <f>AF107+AS107+BF107+BS107+CF107+CS107+DF107+S107+DG107</f>
        <v>7129.3511664763555</v>
      </c>
      <c r="F107" s="153"/>
      <c r="G107" s="154">
        <v>198.795040627687</v>
      </c>
      <c r="H107" s="155">
        <v>213.49922659033081</v>
      </c>
      <c r="I107" s="155">
        <v>197.49988019759451</v>
      </c>
      <c r="J107" s="155">
        <v>203.76240601633</v>
      </c>
      <c r="K107" s="155">
        <v>203.52472583690988</v>
      </c>
      <c r="L107" s="155">
        <v>205.16041423381066</v>
      </c>
      <c r="M107" s="155">
        <v>202.53425388380506</v>
      </c>
      <c r="N107" s="155">
        <v>177.96394790619766</v>
      </c>
      <c r="O107" s="155">
        <v>178.52270941908714</v>
      </c>
      <c r="P107" s="155">
        <v>174.52563032416907</v>
      </c>
      <c r="Q107" s="155">
        <v>174.9569280847528</v>
      </c>
      <c r="R107" s="156">
        <v>173.83148037422038</v>
      </c>
      <c r="S107" s="180">
        <f t="shared" ref="S107:S121" si="432">SUM(G107:R107)</f>
        <v>2304.5766434948951</v>
      </c>
      <c r="T107" s="378">
        <v>174.16715362079637</v>
      </c>
      <c r="U107" s="382">
        <v>181.208549182339</v>
      </c>
      <c r="V107" s="382">
        <v>157.73237575142161</v>
      </c>
      <c r="W107" s="382">
        <v>165.98700604445858</v>
      </c>
      <c r="X107" s="382">
        <v>168.17176373147342</v>
      </c>
      <c r="Y107" s="382">
        <v>168.23651182974677</v>
      </c>
      <c r="Z107" s="382">
        <v>169.06759434150229</v>
      </c>
      <c r="AA107" s="382">
        <v>181.57102067079546</v>
      </c>
      <c r="AB107" s="382">
        <v>175.57543836061578</v>
      </c>
      <c r="AC107" s="394">
        <v>175.33152477361699</v>
      </c>
      <c r="AD107" s="382">
        <v>194.54844798485686</v>
      </c>
      <c r="AE107" s="481">
        <v>171.47604714055814</v>
      </c>
      <c r="AF107" s="180">
        <f t="shared" ref="AF107:AF130" si="433">SUM(T107:AE107)</f>
        <v>2083.0734334321814</v>
      </c>
      <c r="AG107" s="498">
        <v>181.36443191777499</v>
      </c>
      <c r="AH107" s="513">
        <v>170.53877422135162</v>
      </c>
      <c r="AI107" s="513">
        <v>168.79275094752469</v>
      </c>
      <c r="AJ107" s="513">
        <v>167.7747049552147</v>
      </c>
      <c r="AK107" s="513">
        <v>169.61753369210072</v>
      </c>
      <c r="AL107" s="513">
        <v>168.82172156411701</v>
      </c>
      <c r="AM107" s="513">
        <v>101.19415871864381</v>
      </c>
      <c r="AN107" s="513">
        <v>233.27865199439373</v>
      </c>
      <c r="AO107" s="513">
        <v>167.60296731927141</v>
      </c>
      <c r="AP107" s="513">
        <v>171.879087277151</v>
      </c>
      <c r="AQ107" s="513">
        <v>177.30380797938849</v>
      </c>
      <c r="AR107" s="512">
        <v>168.30061544901065</v>
      </c>
      <c r="AS107" s="413">
        <f t="shared" ref="AS107:AS138" si="434">SUM(AG107:AR107)</f>
        <v>2046.4692060359428</v>
      </c>
      <c r="AT107" s="500">
        <v>169.38381294964</v>
      </c>
      <c r="AU107" s="513">
        <v>168.767888922959</v>
      </c>
      <c r="AV107" s="513">
        <v>166.99787597663658</v>
      </c>
      <c r="AW107" s="513">
        <v>190.08230566410001</v>
      </c>
      <c r="AX107" s="513"/>
      <c r="AY107" s="513"/>
      <c r="AZ107" s="283"/>
      <c r="BA107" s="283"/>
      <c r="BB107" s="283"/>
      <c r="BC107" s="283"/>
      <c r="BD107" s="283"/>
      <c r="BE107" s="285"/>
      <c r="BF107" s="180">
        <f t="shared" ref="BF107:BF138" si="435">SUM(AT107:BE107)</f>
        <v>695.23188351333556</v>
      </c>
      <c r="BG107" s="359"/>
      <c r="BH107" s="283"/>
      <c r="BI107" s="283"/>
      <c r="BJ107" s="283"/>
      <c r="BK107" s="283"/>
      <c r="BL107" s="283"/>
      <c r="BM107" s="283"/>
      <c r="BN107" s="283"/>
      <c r="BO107" s="283"/>
      <c r="BP107" s="283"/>
      <c r="BQ107" s="283"/>
      <c r="BR107" s="285"/>
      <c r="BS107" s="180">
        <f t="shared" ref="BS107:BS121" si="436">SUM(BG107:BR107)</f>
        <v>0</v>
      </c>
      <c r="BT107" s="359"/>
      <c r="BU107" s="283"/>
      <c r="BV107" s="283"/>
      <c r="BW107" s="283"/>
      <c r="BX107" s="283"/>
      <c r="BY107" s="283"/>
      <c r="BZ107" s="283"/>
      <c r="CA107" s="283"/>
      <c r="CB107" s="283"/>
      <c r="CC107" s="283"/>
      <c r="CD107" s="283"/>
      <c r="CE107" s="285"/>
      <c r="CF107" s="180">
        <f t="shared" ref="CF107:CF148" si="437">SUM(BT107:CE107)</f>
        <v>0</v>
      </c>
      <c r="CG107" s="359"/>
      <c r="CH107" s="283"/>
      <c r="CI107" s="283"/>
      <c r="CJ107" s="283"/>
      <c r="CK107" s="283"/>
      <c r="CL107" s="283"/>
      <c r="CM107" s="283"/>
      <c r="CN107" s="283"/>
      <c r="CO107" s="283"/>
      <c r="CP107" s="283"/>
      <c r="CQ107" s="283"/>
      <c r="CR107" s="285"/>
      <c r="CS107" s="180">
        <f t="shared" ref="CS107:CS148" si="438">SUM(CG107:CR107)</f>
        <v>0</v>
      </c>
      <c r="CT107" s="359"/>
      <c r="CU107" s="283"/>
      <c r="CV107" s="283"/>
      <c r="CW107" s="283"/>
      <c r="CX107" s="283"/>
      <c r="CY107" s="283"/>
      <c r="CZ107" s="283"/>
      <c r="DA107" s="283"/>
      <c r="DB107" s="283"/>
      <c r="DC107" s="283"/>
      <c r="DD107" s="283"/>
      <c r="DE107" s="285"/>
      <c r="DF107" s="180">
        <f t="shared" ref="DF107:DF148" si="439">SUM(CT107:DE107)</f>
        <v>0</v>
      </c>
      <c r="DG107" s="280"/>
      <c r="DH107" s="159">
        <f t="shared" ref="DH107:DH181" si="440">+F107+S107+AF107+AS107+BF107+BS107+DG107</f>
        <v>7129.3511664763555</v>
      </c>
      <c r="DI107" s="160">
        <f t="shared" ref="DI107:DI181" si="441">+E107</f>
        <v>7129.3511664763555</v>
      </c>
      <c r="DJ107" s="161">
        <f t="shared" ref="DJ107:DJ154" si="442">+DI107-DH107</f>
        <v>0</v>
      </c>
    </row>
    <row r="108" spans="1:118" ht="15" customHeight="1" outlineLevel="1">
      <c r="A108" s="607"/>
      <c r="B108" s="548"/>
      <c r="C108" s="245" t="s">
        <v>63</v>
      </c>
      <c r="D108" s="184" t="s">
        <v>124</v>
      </c>
      <c r="E108" s="136">
        <f>AF108+AS108+BF108+BS108+CF108+CS108+DF108+S108+DG108</f>
        <v>6012.1693508285352</v>
      </c>
      <c r="F108" s="136"/>
      <c r="G108" s="137">
        <f>189.847176827171+0.279576010318143</f>
        <v>190.12675283748916</v>
      </c>
      <c r="H108" s="138">
        <v>179.735022985581</v>
      </c>
      <c r="I108" s="138">
        <v>176.01765932130584</v>
      </c>
      <c r="J108" s="138">
        <v>181.77808865492048</v>
      </c>
      <c r="K108" s="138">
        <v>181.3165566523605</v>
      </c>
      <c r="L108" s="138">
        <v>183.4303013891857</v>
      </c>
      <c r="M108" s="138">
        <v>172.88622251542881</v>
      </c>
      <c r="N108" s="138">
        <v>157.26090171691791</v>
      </c>
      <c r="O108" s="138">
        <v>144.33791717842323</v>
      </c>
      <c r="P108" s="138">
        <v>154.96132782109152</v>
      </c>
      <c r="Q108" s="138">
        <v>152.45781981719983</v>
      </c>
      <c r="R108" s="139">
        <v>151.00113692307693</v>
      </c>
      <c r="S108" s="140">
        <f t="shared" si="432"/>
        <v>2025.3097078129811</v>
      </c>
      <c r="T108" s="380">
        <v>160.27484576026407</v>
      </c>
      <c r="U108" s="381">
        <v>149.79423704006541</v>
      </c>
      <c r="V108" s="381">
        <v>139.32793736799348</v>
      </c>
      <c r="W108" s="381">
        <v>148.08740183719729</v>
      </c>
      <c r="X108" s="381">
        <v>133.37818867401126</v>
      </c>
      <c r="Y108" s="381">
        <v>141.36109400388381</v>
      </c>
      <c r="Z108" s="381">
        <v>152.66914951185495</v>
      </c>
      <c r="AA108" s="381">
        <v>148.86984798520066</v>
      </c>
      <c r="AB108" s="381">
        <v>148.74277281774241</v>
      </c>
      <c r="AC108" s="390">
        <v>144.10453877179802</v>
      </c>
      <c r="AD108" s="381">
        <v>157.18770758734917</v>
      </c>
      <c r="AE108" s="392">
        <v>136.90003885857831</v>
      </c>
      <c r="AF108" s="140">
        <f t="shared" si="433"/>
        <v>1760.6977602159391</v>
      </c>
      <c r="AG108" s="497">
        <v>158.875206995459</v>
      </c>
      <c r="AH108" s="499">
        <v>138.36782738491675</v>
      </c>
      <c r="AI108" s="499">
        <v>142.4737784941195</v>
      </c>
      <c r="AJ108" s="499">
        <v>135.75996040441316</v>
      </c>
      <c r="AK108" s="499">
        <v>132.80889775129734</v>
      </c>
      <c r="AL108" s="499">
        <v>139.0240865631589</v>
      </c>
      <c r="AM108" s="499">
        <v>137.70393551219885</v>
      </c>
      <c r="AN108" s="499">
        <v>131.06190628432896</v>
      </c>
      <c r="AO108" s="499">
        <v>135.87025508387927</v>
      </c>
      <c r="AP108" s="499">
        <v>140.53028627361539</v>
      </c>
      <c r="AQ108" s="499">
        <v>130.16157856249762</v>
      </c>
      <c r="AR108" s="511">
        <v>125.6243095129376</v>
      </c>
      <c r="AS108" s="407">
        <f t="shared" si="434"/>
        <v>1648.2620288228222</v>
      </c>
      <c r="AT108" s="501">
        <v>136.51666556380565</v>
      </c>
      <c r="AU108" s="499">
        <v>140.99992985818301</v>
      </c>
      <c r="AV108" s="499">
        <v>127.83943704012744</v>
      </c>
      <c r="AW108" s="499">
        <v>170.64819488599719</v>
      </c>
      <c r="AX108" s="499">
        <v>1.8956266286799621</v>
      </c>
      <c r="AY108" s="499"/>
      <c r="AZ108" s="253"/>
      <c r="BA108" s="253"/>
      <c r="BB108" s="253"/>
      <c r="BC108" s="253"/>
      <c r="BD108" s="253"/>
      <c r="BE108" s="338"/>
      <c r="BF108" s="140">
        <f t="shared" si="435"/>
        <v>577.89985397679322</v>
      </c>
      <c r="BG108" s="353"/>
      <c r="BH108" s="253"/>
      <c r="BI108" s="253"/>
      <c r="BJ108" s="253"/>
      <c r="BK108" s="253"/>
      <c r="BL108" s="253"/>
      <c r="BM108" s="253"/>
      <c r="BN108" s="253"/>
      <c r="BO108" s="253"/>
      <c r="BP108" s="253"/>
      <c r="BQ108" s="253"/>
      <c r="BR108" s="338"/>
      <c r="BS108" s="140">
        <f t="shared" si="436"/>
        <v>0</v>
      </c>
      <c r="BT108" s="353"/>
      <c r="BU108" s="253"/>
      <c r="BV108" s="253"/>
      <c r="BW108" s="253"/>
      <c r="BX108" s="253"/>
      <c r="BY108" s="253"/>
      <c r="BZ108" s="253"/>
      <c r="CA108" s="253"/>
      <c r="CB108" s="253"/>
      <c r="CC108" s="253"/>
      <c r="CD108" s="253"/>
      <c r="CE108" s="338"/>
      <c r="CF108" s="140">
        <f t="shared" si="437"/>
        <v>0</v>
      </c>
      <c r="CG108" s="353"/>
      <c r="CH108" s="353"/>
      <c r="CI108" s="353"/>
      <c r="CJ108" s="353"/>
      <c r="CK108" s="353"/>
      <c r="CL108" s="353"/>
      <c r="CM108" s="353"/>
      <c r="CN108" s="353"/>
      <c r="CO108" s="353"/>
      <c r="CP108" s="353"/>
      <c r="CQ108" s="353"/>
      <c r="CR108" s="353"/>
      <c r="CS108" s="140">
        <f t="shared" si="438"/>
        <v>0</v>
      </c>
      <c r="CT108" s="353"/>
      <c r="CU108" s="353"/>
      <c r="CV108" s="353"/>
      <c r="CW108" s="353"/>
      <c r="CX108" s="353"/>
      <c r="CY108" s="353"/>
      <c r="CZ108" s="353"/>
      <c r="DA108" s="353"/>
      <c r="DB108" s="353"/>
      <c r="DC108" s="353"/>
      <c r="DD108" s="353"/>
      <c r="DE108" s="353"/>
      <c r="DF108" s="140">
        <f t="shared" si="439"/>
        <v>0</v>
      </c>
      <c r="DG108" s="279"/>
      <c r="DH108" s="90">
        <f t="shared" si="440"/>
        <v>6012.1693508285362</v>
      </c>
      <c r="DI108" s="91">
        <f t="shared" si="441"/>
        <v>6012.1693508285352</v>
      </c>
      <c r="DJ108" s="92">
        <f t="shared" si="442"/>
        <v>0</v>
      </c>
      <c r="DK108" s="64">
        <f>+DH108/DH107</f>
        <v>0.84329824838745027</v>
      </c>
    </row>
    <row r="109" spans="1:118" ht="15" customHeight="1" outlineLevel="1">
      <c r="A109" s="607"/>
      <c r="B109" s="549"/>
      <c r="C109" s="554" t="s">
        <v>11</v>
      </c>
      <c r="D109" s="555"/>
      <c r="E109" s="143">
        <f t="shared" ref="E109:R109" si="443">+E107-E108</f>
        <v>1117.1818156478203</v>
      </c>
      <c r="F109" s="144">
        <f t="shared" si="443"/>
        <v>0</v>
      </c>
      <c r="G109" s="145">
        <f t="shared" si="443"/>
        <v>8.6682877901978372</v>
      </c>
      <c r="H109" s="145">
        <f t="shared" si="443"/>
        <v>33.76420360474981</v>
      </c>
      <c r="I109" s="145">
        <f t="shared" si="443"/>
        <v>21.482220876288665</v>
      </c>
      <c r="J109" s="145">
        <f t="shared" si="443"/>
        <v>21.984317361409524</v>
      </c>
      <c r="K109" s="145">
        <f t="shared" si="443"/>
        <v>22.208169184549376</v>
      </c>
      <c r="L109" s="145">
        <f t="shared" si="443"/>
        <v>21.730112844624955</v>
      </c>
      <c r="M109" s="145">
        <f t="shared" si="443"/>
        <v>29.648031368376252</v>
      </c>
      <c r="N109" s="145">
        <f t="shared" si="443"/>
        <v>20.703046189279746</v>
      </c>
      <c r="O109" s="145">
        <f t="shared" si="443"/>
        <v>34.18479224066391</v>
      </c>
      <c r="P109" s="145">
        <f t="shared" si="443"/>
        <v>19.564302503077556</v>
      </c>
      <c r="Q109" s="145">
        <f t="shared" si="443"/>
        <v>22.49910826755297</v>
      </c>
      <c r="R109" s="146">
        <f t="shared" si="443"/>
        <v>22.830343451143449</v>
      </c>
      <c r="S109" s="147">
        <f t="shared" si="432"/>
        <v>279.26693568191405</v>
      </c>
      <c r="T109" s="148">
        <f t="shared" ref="T109:AE109" si="444">+T107-T108</f>
        <v>13.892307860532298</v>
      </c>
      <c r="U109" s="145">
        <f t="shared" si="444"/>
        <v>31.414312142273587</v>
      </c>
      <c r="V109" s="145">
        <f t="shared" si="444"/>
        <v>18.404438383428129</v>
      </c>
      <c r="W109" s="145">
        <f t="shared" si="444"/>
        <v>17.899604207261291</v>
      </c>
      <c r="X109" s="145">
        <f t="shared" si="444"/>
        <v>34.793575057462164</v>
      </c>
      <c r="Y109" s="145">
        <f t="shared" si="444"/>
        <v>26.875417825862968</v>
      </c>
      <c r="Z109" s="145">
        <f t="shared" si="444"/>
        <v>16.398444829647332</v>
      </c>
      <c r="AA109" s="145">
        <f t="shared" si="444"/>
        <v>32.701172685594798</v>
      </c>
      <c r="AB109" s="145">
        <f t="shared" si="444"/>
        <v>26.832665542873372</v>
      </c>
      <c r="AC109" s="145">
        <f t="shared" si="444"/>
        <v>31.226986001818972</v>
      </c>
      <c r="AD109" s="145">
        <f t="shared" si="444"/>
        <v>37.360740397507698</v>
      </c>
      <c r="AE109" s="146">
        <f t="shared" si="444"/>
        <v>34.576008281979824</v>
      </c>
      <c r="AF109" s="147">
        <f t="shared" si="433"/>
        <v>322.37567321624249</v>
      </c>
      <c r="AG109" s="148">
        <f t="shared" ref="AG109:AR109" si="445">+AG107-AG108</f>
        <v>22.489224922315998</v>
      </c>
      <c r="AH109" s="145">
        <f t="shared" si="445"/>
        <v>32.170946836434865</v>
      </c>
      <c r="AI109" s="145">
        <f t="shared" si="445"/>
        <v>26.318972453405195</v>
      </c>
      <c r="AJ109" s="145">
        <f t="shared" si="445"/>
        <v>32.014744550801538</v>
      </c>
      <c r="AK109" s="145">
        <f t="shared" si="445"/>
        <v>36.808635940803384</v>
      </c>
      <c r="AL109" s="145">
        <f t="shared" si="445"/>
        <v>29.79763500095811</v>
      </c>
      <c r="AM109" s="145">
        <f t="shared" si="445"/>
        <v>-36.509776793555048</v>
      </c>
      <c r="AN109" s="145">
        <f t="shared" si="445"/>
        <v>102.21674571006477</v>
      </c>
      <c r="AO109" s="145">
        <f t="shared" si="445"/>
        <v>31.732712235392142</v>
      </c>
      <c r="AP109" s="145">
        <f t="shared" si="445"/>
        <v>31.348801003535613</v>
      </c>
      <c r="AQ109" s="145">
        <f t="shared" si="445"/>
        <v>47.142229416890871</v>
      </c>
      <c r="AR109" s="146">
        <f t="shared" si="445"/>
        <v>42.676305936073049</v>
      </c>
      <c r="AS109" s="408">
        <f t="shared" si="434"/>
        <v>398.20717721312047</v>
      </c>
      <c r="AT109" s="148">
        <f t="shared" ref="AT109:BE109" si="446">+AT107-AT108</f>
        <v>32.867147385834357</v>
      </c>
      <c r="AU109" s="145">
        <f t="shared" si="446"/>
        <v>27.767959064775994</v>
      </c>
      <c r="AV109" s="145">
        <f t="shared" si="446"/>
        <v>39.158438936509143</v>
      </c>
      <c r="AW109" s="145">
        <f t="shared" si="446"/>
        <v>19.43411077810282</v>
      </c>
      <c r="AX109" s="145">
        <f t="shared" si="446"/>
        <v>-1.8956266286799621</v>
      </c>
      <c r="AY109" s="145">
        <f t="shared" si="446"/>
        <v>0</v>
      </c>
      <c r="AZ109" s="145">
        <f t="shared" si="446"/>
        <v>0</v>
      </c>
      <c r="BA109" s="145">
        <f t="shared" si="446"/>
        <v>0</v>
      </c>
      <c r="BB109" s="145">
        <f t="shared" si="446"/>
        <v>0</v>
      </c>
      <c r="BC109" s="145">
        <f t="shared" si="446"/>
        <v>0</v>
      </c>
      <c r="BD109" s="145">
        <f t="shared" si="446"/>
        <v>0</v>
      </c>
      <c r="BE109" s="146">
        <f t="shared" si="446"/>
        <v>0</v>
      </c>
      <c r="BF109" s="147">
        <f t="shared" si="435"/>
        <v>117.33202953654235</v>
      </c>
      <c r="BG109" s="148">
        <f t="shared" ref="BG109:BR109" si="447">+BG107-BG108</f>
        <v>0</v>
      </c>
      <c r="BH109" s="145">
        <f t="shared" si="447"/>
        <v>0</v>
      </c>
      <c r="BI109" s="145">
        <f t="shared" si="447"/>
        <v>0</v>
      </c>
      <c r="BJ109" s="145">
        <f t="shared" si="447"/>
        <v>0</v>
      </c>
      <c r="BK109" s="145">
        <f t="shared" si="447"/>
        <v>0</v>
      </c>
      <c r="BL109" s="145">
        <f t="shared" si="447"/>
        <v>0</v>
      </c>
      <c r="BM109" s="145">
        <f t="shared" si="447"/>
        <v>0</v>
      </c>
      <c r="BN109" s="145">
        <f t="shared" si="447"/>
        <v>0</v>
      </c>
      <c r="BO109" s="145">
        <f t="shared" si="447"/>
        <v>0</v>
      </c>
      <c r="BP109" s="145">
        <f t="shared" si="447"/>
        <v>0</v>
      </c>
      <c r="BQ109" s="145">
        <f t="shared" si="447"/>
        <v>0</v>
      </c>
      <c r="BR109" s="146">
        <f t="shared" si="447"/>
        <v>0</v>
      </c>
      <c r="BS109" s="147">
        <f t="shared" si="436"/>
        <v>0</v>
      </c>
      <c r="BT109" s="148">
        <f t="shared" ref="BT109:CE109" si="448">+BT107-BT108</f>
        <v>0</v>
      </c>
      <c r="BU109" s="145">
        <f t="shared" si="448"/>
        <v>0</v>
      </c>
      <c r="BV109" s="145">
        <f t="shared" si="448"/>
        <v>0</v>
      </c>
      <c r="BW109" s="145">
        <f t="shared" si="448"/>
        <v>0</v>
      </c>
      <c r="BX109" s="145">
        <f t="shared" si="448"/>
        <v>0</v>
      </c>
      <c r="BY109" s="145">
        <f t="shared" si="448"/>
        <v>0</v>
      </c>
      <c r="BZ109" s="145">
        <f t="shared" si="448"/>
        <v>0</v>
      </c>
      <c r="CA109" s="145">
        <f t="shared" si="448"/>
        <v>0</v>
      </c>
      <c r="CB109" s="145">
        <f t="shared" si="448"/>
        <v>0</v>
      </c>
      <c r="CC109" s="145">
        <f t="shared" si="448"/>
        <v>0</v>
      </c>
      <c r="CD109" s="145">
        <f t="shared" si="448"/>
        <v>0</v>
      </c>
      <c r="CE109" s="146">
        <f t="shared" si="448"/>
        <v>0</v>
      </c>
      <c r="CF109" s="147">
        <f t="shared" si="437"/>
        <v>0</v>
      </c>
      <c r="CG109" s="148">
        <f t="shared" ref="CG109:CR109" si="449">+CG107-CG108</f>
        <v>0</v>
      </c>
      <c r="CH109" s="145">
        <f>+CH107-CH108</f>
        <v>0</v>
      </c>
      <c r="CI109" s="145">
        <f t="shared" si="449"/>
        <v>0</v>
      </c>
      <c r="CJ109" s="145">
        <f t="shared" si="449"/>
        <v>0</v>
      </c>
      <c r="CK109" s="145">
        <f t="shared" si="449"/>
        <v>0</v>
      </c>
      <c r="CL109" s="145">
        <f t="shared" si="449"/>
        <v>0</v>
      </c>
      <c r="CM109" s="145">
        <f t="shared" si="449"/>
        <v>0</v>
      </c>
      <c r="CN109" s="145">
        <f t="shared" si="449"/>
        <v>0</v>
      </c>
      <c r="CO109" s="145">
        <f t="shared" si="449"/>
        <v>0</v>
      </c>
      <c r="CP109" s="145">
        <f t="shared" si="449"/>
        <v>0</v>
      </c>
      <c r="CQ109" s="145">
        <f>+CQ107-CQ108</f>
        <v>0</v>
      </c>
      <c r="CR109" s="146">
        <f t="shared" si="449"/>
        <v>0</v>
      </c>
      <c r="CS109" s="147">
        <f t="shared" si="438"/>
        <v>0</v>
      </c>
      <c r="CT109" s="148">
        <f>+CT107-CT108</f>
        <v>0</v>
      </c>
      <c r="CU109" s="145">
        <f>+CU107-CU108</f>
        <v>0</v>
      </c>
      <c r="CV109" s="145">
        <f t="shared" ref="CV109:DC109" si="450">+CV107-CV108</f>
        <v>0</v>
      </c>
      <c r="CW109" s="145">
        <f t="shared" si="450"/>
        <v>0</v>
      </c>
      <c r="CX109" s="145">
        <f t="shared" si="450"/>
        <v>0</v>
      </c>
      <c r="CY109" s="145">
        <f t="shared" si="450"/>
        <v>0</v>
      </c>
      <c r="CZ109" s="145">
        <f t="shared" si="450"/>
        <v>0</v>
      </c>
      <c r="DA109" s="145">
        <f t="shared" si="450"/>
        <v>0</v>
      </c>
      <c r="DB109" s="145">
        <f t="shared" si="450"/>
        <v>0</v>
      </c>
      <c r="DC109" s="145">
        <f t="shared" si="450"/>
        <v>0</v>
      </c>
      <c r="DD109" s="145">
        <f>+DD107-DD108</f>
        <v>0</v>
      </c>
      <c r="DE109" s="146">
        <f>+DE107-DE108</f>
        <v>0</v>
      </c>
      <c r="DF109" s="147">
        <f t="shared" si="439"/>
        <v>0</v>
      </c>
      <c r="DG109" s="146">
        <f>+DG107-DG108</f>
        <v>0</v>
      </c>
      <c r="DH109" s="98">
        <f t="shared" si="440"/>
        <v>1117.1818156478196</v>
      </c>
      <c r="DI109" s="99">
        <f t="shared" si="441"/>
        <v>1117.1818156478203</v>
      </c>
      <c r="DJ109" s="100">
        <f t="shared" si="442"/>
        <v>0</v>
      </c>
    </row>
    <row r="110" spans="1:118" ht="15" customHeight="1" outlineLevel="1">
      <c r="A110" s="607"/>
      <c r="B110" s="593" t="s">
        <v>95</v>
      </c>
      <c r="C110" s="246" t="s">
        <v>62</v>
      </c>
      <c r="D110" s="183" t="s">
        <v>122</v>
      </c>
      <c r="E110" s="153">
        <f>AF110+AS110+BF110+BS110+CF110+CS110+DF110+S110+DG110</f>
        <v>1818.2012828789495</v>
      </c>
      <c r="F110" s="128">
        <v>4080</v>
      </c>
      <c r="G110" s="129"/>
      <c r="H110" s="130">
        <v>1387.07294317218</v>
      </c>
      <c r="I110" s="130"/>
      <c r="J110" s="130"/>
      <c r="K110" s="130"/>
      <c r="L110" s="130">
        <v>153.08313742252616</v>
      </c>
      <c r="M110" s="130"/>
      <c r="N110" s="130"/>
      <c r="O110" s="130"/>
      <c r="P110" s="130"/>
      <c r="Q110" s="130"/>
      <c r="R110" s="131"/>
      <c r="S110" s="132">
        <f t="shared" si="432"/>
        <v>1540.1560805947061</v>
      </c>
      <c r="T110" s="385"/>
      <c r="U110" s="379"/>
      <c r="V110" s="379"/>
      <c r="W110" s="379"/>
      <c r="X110" s="379"/>
      <c r="Y110" s="379"/>
      <c r="Z110" s="379"/>
      <c r="AA110" s="379">
        <v>216.04520228424354</v>
      </c>
      <c r="AB110" s="379"/>
      <c r="AC110" s="379"/>
      <c r="AD110" s="379"/>
      <c r="AE110" s="480"/>
      <c r="AF110" s="132">
        <f t="shared" si="433"/>
        <v>216.04520228424354</v>
      </c>
      <c r="AG110" s="496"/>
      <c r="AH110" s="510"/>
      <c r="AI110" s="510"/>
      <c r="AJ110" s="510"/>
      <c r="AK110" s="510"/>
      <c r="AL110" s="510"/>
      <c r="AM110" s="510"/>
      <c r="AN110" s="510"/>
      <c r="AO110" s="510"/>
      <c r="AP110" s="510"/>
      <c r="AQ110" s="510"/>
      <c r="AR110" s="515"/>
      <c r="AS110" s="406">
        <f t="shared" si="434"/>
        <v>0</v>
      </c>
      <c r="AT110" s="516"/>
      <c r="AU110" s="510"/>
      <c r="AV110" s="510"/>
      <c r="AW110" s="510"/>
      <c r="AX110" s="510"/>
      <c r="AY110" s="510"/>
      <c r="AZ110" s="130">
        <v>62</v>
      </c>
      <c r="BA110" s="130"/>
      <c r="BB110" s="130"/>
      <c r="BC110" s="130"/>
      <c r="BD110" s="130"/>
      <c r="BE110" s="131"/>
      <c r="BF110" s="132">
        <f t="shared" si="435"/>
        <v>62</v>
      </c>
      <c r="BG110" s="133"/>
      <c r="BH110" s="130"/>
      <c r="BI110" s="130"/>
      <c r="BJ110" s="130"/>
      <c r="BK110" s="130"/>
      <c r="BL110" s="130"/>
      <c r="BM110" s="130"/>
      <c r="BN110" s="130"/>
      <c r="BO110" s="130"/>
      <c r="BP110" s="130"/>
      <c r="BQ110" s="130"/>
      <c r="BR110" s="131"/>
      <c r="BS110" s="132">
        <f t="shared" si="436"/>
        <v>0</v>
      </c>
      <c r="BT110" s="133"/>
      <c r="BU110" s="130"/>
      <c r="BV110" s="130"/>
      <c r="BW110" s="130"/>
      <c r="BX110" s="130"/>
      <c r="BY110" s="130"/>
      <c r="BZ110" s="130"/>
      <c r="CA110" s="130"/>
      <c r="CB110" s="130"/>
      <c r="CC110" s="130"/>
      <c r="CD110" s="130"/>
      <c r="CE110" s="131"/>
      <c r="CF110" s="132">
        <f t="shared" si="437"/>
        <v>0</v>
      </c>
      <c r="CG110" s="133"/>
      <c r="CH110" s="130"/>
      <c r="CI110" s="130"/>
      <c r="CJ110" s="130"/>
      <c r="CK110" s="130"/>
      <c r="CL110" s="130"/>
      <c r="CM110" s="130"/>
      <c r="CN110" s="130"/>
      <c r="CO110" s="130"/>
      <c r="CP110" s="130"/>
      <c r="CQ110" s="130"/>
      <c r="CR110" s="131"/>
      <c r="CS110" s="132">
        <f t="shared" si="438"/>
        <v>0</v>
      </c>
      <c r="CT110" s="133"/>
      <c r="CU110" s="130"/>
      <c r="CV110" s="130"/>
      <c r="CW110" s="130"/>
      <c r="CX110" s="130"/>
      <c r="CY110" s="130"/>
      <c r="CZ110" s="130"/>
      <c r="DA110" s="130"/>
      <c r="DB110" s="130"/>
      <c r="DC110" s="130"/>
      <c r="DD110" s="130"/>
      <c r="DE110" s="131"/>
      <c r="DF110" s="132">
        <f t="shared" si="439"/>
        <v>0</v>
      </c>
      <c r="DG110" s="278"/>
      <c r="DH110" s="159">
        <f t="shared" si="440"/>
        <v>5898.2012828789502</v>
      </c>
      <c r="DI110" s="165">
        <f t="shared" si="441"/>
        <v>1818.2012828789495</v>
      </c>
      <c r="DJ110" s="166">
        <f t="shared" si="442"/>
        <v>-4080.0000000000009</v>
      </c>
    </row>
    <row r="111" spans="1:118" ht="15" customHeight="1" outlineLevel="1">
      <c r="A111" s="607"/>
      <c r="B111" s="548"/>
      <c r="C111" s="245" t="s">
        <v>63</v>
      </c>
      <c r="D111" s="184" t="s">
        <v>124</v>
      </c>
      <c r="E111" s="136">
        <f>AF111+AS111+BF111+BS111+CF111+CS111+DF111+S111+DG111</f>
        <v>270.38751815625261</v>
      </c>
      <c r="F111" s="136">
        <v>561.58299999999997</v>
      </c>
      <c r="G111" s="137">
        <v>20.211385253654342</v>
      </c>
      <c r="H111" s="138">
        <v>20.869140542832909</v>
      </c>
      <c r="I111" s="138">
        <v>15.071784278350515</v>
      </c>
      <c r="J111" s="138">
        <v>13.490045724108294</v>
      </c>
      <c r="K111" s="138">
        <v>12.055576824034334</v>
      </c>
      <c r="L111" s="138">
        <v>11.539856849754219</v>
      </c>
      <c r="M111" s="138">
        <v>16.63790789529687</v>
      </c>
      <c r="N111" s="138">
        <v>17.781249790619764</v>
      </c>
      <c r="O111" s="138">
        <v>17.673135435684646</v>
      </c>
      <c r="P111" s="138">
        <v>18.108956709068526</v>
      </c>
      <c r="Q111" s="138">
        <v>17.44494686331533</v>
      </c>
      <c r="R111" s="139">
        <v>17.02701738045738</v>
      </c>
      <c r="S111" s="140">
        <f t="shared" si="432"/>
        <v>197.91100354717713</v>
      </c>
      <c r="T111" s="380">
        <v>8.4710345780895402</v>
      </c>
      <c r="U111" s="381">
        <v>4.0786959934587079</v>
      </c>
      <c r="V111" s="381">
        <v>3.9760543054427293</v>
      </c>
      <c r="W111" s="381">
        <v>5.7108853541177877</v>
      </c>
      <c r="X111" s="381">
        <v>4.5818018150114925</v>
      </c>
      <c r="Y111" s="381">
        <v>4.9145858597867873</v>
      </c>
      <c r="Z111" s="381">
        <v>4.6981451683602309</v>
      </c>
      <c r="AA111" s="381">
        <v>5.9675350277487329</v>
      </c>
      <c r="AB111" s="381">
        <v>5.0669231487875219</v>
      </c>
      <c r="AC111" s="381">
        <v>3.9785477084898573</v>
      </c>
      <c r="AD111" s="381">
        <v>3.8953537345216498</v>
      </c>
      <c r="AE111" s="392">
        <v>3.1463630333241746</v>
      </c>
      <c r="AF111" s="140">
        <f t="shared" si="433"/>
        <v>58.485925727139204</v>
      </c>
      <c r="AG111" s="497">
        <v>1.2907939208031232</v>
      </c>
      <c r="AH111" s="499">
        <v>0.55998201762977473</v>
      </c>
      <c r="AI111" s="499">
        <v>3.3689899581916931</v>
      </c>
      <c r="AJ111" s="499">
        <v>1.8000494752623688</v>
      </c>
      <c r="AK111" s="499">
        <v>0.30003836248318277</v>
      </c>
      <c r="AL111" s="499">
        <v>0</v>
      </c>
      <c r="AM111" s="499"/>
      <c r="AN111" s="499"/>
      <c r="AO111" s="499"/>
      <c r="AP111" s="499"/>
      <c r="AQ111" s="499"/>
      <c r="AR111" s="511"/>
      <c r="AS111" s="407">
        <f t="shared" si="434"/>
        <v>7.3198537343701426</v>
      </c>
      <c r="AT111" s="501"/>
      <c r="AU111" s="499">
        <v>0.67073514756611696</v>
      </c>
      <c r="AV111" s="499"/>
      <c r="AW111" s="499"/>
      <c r="AX111" s="499"/>
      <c r="AY111" s="499"/>
      <c r="AZ111" s="138">
        <v>6</v>
      </c>
      <c r="BA111" s="138"/>
      <c r="BB111" s="138"/>
      <c r="BC111" s="138"/>
      <c r="BD111" s="138"/>
      <c r="BE111" s="139"/>
      <c r="BF111" s="140">
        <f t="shared" si="435"/>
        <v>6.6707351475661172</v>
      </c>
      <c r="BG111" s="141"/>
      <c r="BH111" s="138"/>
      <c r="BI111" s="138"/>
      <c r="BJ111" s="138"/>
      <c r="BK111" s="138"/>
      <c r="BL111" s="138"/>
      <c r="BM111" s="138"/>
      <c r="BN111" s="138"/>
      <c r="BO111" s="138"/>
      <c r="BP111" s="138"/>
      <c r="BQ111" s="138"/>
      <c r="BR111" s="139"/>
      <c r="BS111" s="140">
        <f t="shared" si="436"/>
        <v>0</v>
      </c>
      <c r="BT111" s="141"/>
      <c r="BU111" s="138"/>
      <c r="BV111" s="138"/>
      <c r="BW111" s="138"/>
      <c r="BX111" s="138"/>
      <c r="BY111" s="138"/>
      <c r="BZ111" s="138"/>
      <c r="CA111" s="138"/>
      <c r="CB111" s="138"/>
      <c r="CC111" s="138"/>
      <c r="CD111" s="138"/>
      <c r="CE111" s="139"/>
      <c r="CF111" s="140">
        <f t="shared" si="437"/>
        <v>0</v>
      </c>
      <c r="CG111" s="141"/>
      <c r="CH111" s="138"/>
      <c r="CI111" s="138"/>
      <c r="CJ111" s="138"/>
      <c r="CK111" s="138"/>
      <c r="CL111" s="138"/>
      <c r="CM111" s="138"/>
      <c r="CN111" s="138"/>
      <c r="CO111" s="138"/>
      <c r="CP111" s="138"/>
      <c r="CQ111" s="138"/>
      <c r="CR111" s="139"/>
      <c r="CS111" s="140">
        <f t="shared" si="438"/>
        <v>0</v>
      </c>
      <c r="CT111" s="141"/>
      <c r="CU111" s="138"/>
      <c r="CV111" s="138"/>
      <c r="CW111" s="138"/>
      <c r="CX111" s="138"/>
      <c r="CY111" s="138"/>
      <c r="CZ111" s="138"/>
      <c r="DA111" s="138"/>
      <c r="DB111" s="138"/>
      <c r="DC111" s="138"/>
      <c r="DD111" s="138"/>
      <c r="DE111" s="139"/>
      <c r="DF111" s="140">
        <f t="shared" si="439"/>
        <v>0</v>
      </c>
      <c r="DG111" s="279"/>
      <c r="DH111" s="90">
        <f t="shared" si="440"/>
        <v>831.97051815625241</v>
      </c>
      <c r="DI111" s="91">
        <f t="shared" si="441"/>
        <v>270.38751815625261</v>
      </c>
      <c r="DJ111" s="92">
        <f t="shared" si="442"/>
        <v>-561.58299999999986</v>
      </c>
      <c r="DK111" s="64">
        <f>+DH111/DH110</f>
        <v>0.14105495527445991</v>
      </c>
    </row>
    <row r="112" spans="1:118" ht="15" customHeight="1" outlineLevel="1">
      <c r="A112" s="607"/>
      <c r="B112" s="549"/>
      <c r="C112" s="554" t="s">
        <v>11</v>
      </c>
      <c r="D112" s="555"/>
      <c r="E112" s="143">
        <f>+E110-E111</f>
        <v>1547.813764722697</v>
      </c>
      <c r="F112" s="144">
        <f t="shared" ref="F112:R112" si="451">+F110-F111</f>
        <v>3518.4169999999999</v>
      </c>
      <c r="G112" s="145">
        <f t="shared" si="451"/>
        <v>-20.211385253654342</v>
      </c>
      <c r="H112" s="145">
        <f t="shared" si="451"/>
        <v>1366.2038026293471</v>
      </c>
      <c r="I112" s="145">
        <f t="shared" si="451"/>
        <v>-15.071784278350515</v>
      </c>
      <c r="J112" s="145">
        <f t="shared" si="451"/>
        <v>-13.490045724108294</v>
      </c>
      <c r="K112" s="145">
        <f t="shared" si="451"/>
        <v>-12.055576824034334</v>
      </c>
      <c r="L112" s="145">
        <f t="shared" si="451"/>
        <v>141.54328057277195</v>
      </c>
      <c r="M112" s="145">
        <f t="shared" si="451"/>
        <v>-16.63790789529687</v>
      </c>
      <c r="N112" s="145">
        <f t="shared" si="451"/>
        <v>-17.781249790619764</v>
      </c>
      <c r="O112" s="145">
        <f t="shared" si="451"/>
        <v>-17.673135435684646</v>
      </c>
      <c r="P112" s="145">
        <f t="shared" si="451"/>
        <v>-18.108956709068526</v>
      </c>
      <c r="Q112" s="145">
        <f t="shared" si="451"/>
        <v>-17.44494686331533</v>
      </c>
      <c r="R112" s="146">
        <f t="shared" si="451"/>
        <v>-17.02701738045738</v>
      </c>
      <c r="S112" s="147">
        <f t="shared" si="432"/>
        <v>1342.2450770475291</v>
      </c>
      <c r="T112" s="148">
        <f t="shared" ref="T112:AE112" si="452">+T110-T111</f>
        <v>-8.4710345780895402</v>
      </c>
      <c r="U112" s="145">
        <f t="shared" si="452"/>
        <v>-4.0786959934587079</v>
      </c>
      <c r="V112" s="145">
        <f t="shared" si="452"/>
        <v>-3.9760543054427293</v>
      </c>
      <c r="W112" s="145">
        <f t="shared" si="452"/>
        <v>-5.7108853541177877</v>
      </c>
      <c r="X112" s="145">
        <f t="shared" si="452"/>
        <v>-4.5818018150114925</v>
      </c>
      <c r="Y112" s="145">
        <f t="shared" si="452"/>
        <v>-4.9145858597867873</v>
      </c>
      <c r="Z112" s="145">
        <f t="shared" si="452"/>
        <v>-4.6981451683602309</v>
      </c>
      <c r="AA112" s="145">
        <f t="shared" si="452"/>
        <v>210.07766725649481</v>
      </c>
      <c r="AB112" s="145">
        <f t="shared" si="452"/>
        <v>-5.0669231487875219</v>
      </c>
      <c r="AC112" s="145">
        <f>+AC110-AC111</f>
        <v>-3.9785477084898573</v>
      </c>
      <c r="AD112" s="145">
        <f t="shared" si="452"/>
        <v>-3.8953537345216498</v>
      </c>
      <c r="AE112" s="146">
        <f t="shared" si="452"/>
        <v>-3.1463630333241746</v>
      </c>
      <c r="AF112" s="147">
        <f t="shared" si="433"/>
        <v>157.55927655710434</v>
      </c>
      <c r="AG112" s="148">
        <f t="shared" ref="AG112:AR112" si="453">+AG110-AG111</f>
        <v>-1.2907939208031232</v>
      </c>
      <c r="AH112" s="145">
        <f t="shared" si="453"/>
        <v>-0.55998201762977473</v>
      </c>
      <c r="AI112" s="145">
        <f t="shared" si="453"/>
        <v>-3.3689899581916931</v>
      </c>
      <c r="AJ112" s="145">
        <f t="shared" si="453"/>
        <v>-1.8000494752623688</v>
      </c>
      <c r="AK112" s="145">
        <f t="shared" si="453"/>
        <v>-0.30003836248318277</v>
      </c>
      <c r="AL112" s="145">
        <f t="shared" si="453"/>
        <v>0</v>
      </c>
      <c r="AM112" s="145">
        <f t="shared" si="453"/>
        <v>0</v>
      </c>
      <c r="AN112" s="145">
        <f t="shared" si="453"/>
        <v>0</v>
      </c>
      <c r="AO112" s="145">
        <f t="shared" si="453"/>
        <v>0</v>
      </c>
      <c r="AP112" s="145">
        <f t="shared" si="453"/>
        <v>0</v>
      </c>
      <c r="AQ112" s="145">
        <f t="shared" si="453"/>
        <v>0</v>
      </c>
      <c r="AR112" s="146">
        <f t="shared" si="453"/>
        <v>0</v>
      </c>
      <c r="AS112" s="408">
        <f t="shared" si="434"/>
        <v>-7.3198537343701426</v>
      </c>
      <c r="AT112" s="148">
        <f t="shared" ref="AT112:BE112" si="454">+AT110-AT111</f>
        <v>0</v>
      </c>
      <c r="AU112" s="145">
        <f t="shared" si="454"/>
        <v>-0.67073514756611696</v>
      </c>
      <c r="AV112" s="145">
        <f t="shared" si="454"/>
        <v>0</v>
      </c>
      <c r="AW112" s="145">
        <f t="shared" si="454"/>
        <v>0</v>
      </c>
      <c r="AX112" s="145">
        <f t="shared" si="454"/>
        <v>0</v>
      </c>
      <c r="AY112" s="145">
        <f t="shared" si="454"/>
        <v>0</v>
      </c>
      <c r="AZ112" s="145">
        <f t="shared" si="454"/>
        <v>56</v>
      </c>
      <c r="BA112" s="145">
        <f t="shared" si="454"/>
        <v>0</v>
      </c>
      <c r="BB112" s="145">
        <f t="shared" si="454"/>
        <v>0</v>
      </c>
      <c r="BC112" s="145">
        <f t="shared" si="454"/>
        <v>0</v>
      </c>
      <c r="BD112" s="145">
        <f t="shared" si="454"/>
        <v>0</v>
      </c>
      <c r="BE112" s="146">
        <f t="shared" si="454"/>
        <v>0</v>
      </c>
      <c r="BF112" s="147">
        <f t="shared" si="435"/>
        <v>55.32926485243388</v>
      </c>
      <c r="BG112" s="148">
        <f t="shared" ref="BG112:BR112" si="455">+BG110-BG111</f>
        <v>0</v>
      </c>
      <c r="BH112" s="145">
        <f t="shared" si="455"/>
        <v>0</v>
      </c>
      <c r="BI112" s="145">
        <f t="shared" si="455"/>
        <v>0</v>
      </c>
      <c r="BJ112" s="145">
        <f t="shared" si="455"/>
        <v>0</v>
      </c>
      <c r="BK112" s="145">
        <f t="shared" si="455"/>
        <v>0</v>
      </c>
      <c r="BL112" s="145">
        <f t="shared" si="455"/>
        <v>0</v>
      </c>
      <c r="BM112" s="145">
        <f t="shared" si="455"/>
        <v>0</v>
      </c>
      <c r="BN112" s="145">
        <f t="shared" si="455"/>
        <v>0</v>
      </c>
      <c r="BO112" s="145">
        <f t="shared" si="455"/>
        <v>0</v>
      </c>
      <c r="BP112" s="145">
        <f t="shared" si="455"/>
        <v>0</v>
      </c>
      <c r="BQ112" s="145">
        <f t="shared" si="455"/>
        <v>0</v>
      </c>
      <c r="BR112" s="146">
        <f t="shared" si="455"/>
        <v>0</v>
      </c>
      <c r="BS112" s="147">
        <f t="shared" si="436"/>
        <v>0</v>
      </c>
      <c r="BT112" s="148">
        <f t="shared" ref="BT112:CE112" si="456">+BT110-BT111</f>
        <v>0</v>
      </c>
      <c r="BU112" s="145">
        <f t="shared" si="456"/>
        <v>0</v>
      </c>
      <c r="BV112" s="145">
        <f t="shared" si="456"/>
        <v>0</v>
      </c>
      <c r="BW112" s="145">
        <f t="shared" si="456"/>
        <v>0</v>
      </c>
      <c r="BX112" s="145">
        <f t="shared" si="456"/>
        <v>0</v>
      </c>
      <c r="BY112" s="145">
        <f t="shared" si="456"/>
        <v>0</v>
      </c>
      <c r="BZ112" s="145">
        <f t="shared" si="456"/>
        <v>0</v>
      </c>
      <c r="CA112" s="145">
        <f t="shared" si="456"/>
        <v>0</v>
      </c>
      <c r="CB112" s="145">
        <f t="shared" si="456"/>
        <v>0</v>
      </c>
      <c r="CC112" s="145">
        <f t="shared" si="456"/>
        <v>0</v>
      </c>
      <c r="CD112" s="145">
        <f t="shared" si="456"/>
        <v>0</v>
      </c>
      <c r="CE112" s="146">
        <f t="shared" si="456"/>
        <v>0</v>
      </c>
      <c r="CF112" s="147">
        <f t="shared" si="437"/>
        <v>0</v>
      </c>
      <c r="CG112" s="148">
        <f t="shared" ref="CG112:CR112" si="457">+CG110-CG111</f>
        <v>0</v>
      </c>
      <c r="CH112" s="145">
        <f t="shared" si="457"/>
        <v>0</v>
      </c>
      <c r="CI112" s="145">
        <f t="shared" si="457"/>
        <v>0</v>
      </c>
      <c r="CJ112" s="145">
        <f t="shared" si="457"/>
        <v>0</v>
      </c>
      <c r="CK112" s="145">
        <f t="shared" si="457"/>
        <v>0</v>
      </c>
      <c r="CL112" s="145">
        <f t="shared" si="457"/>
        <v>0</v>
      </c>
      <c r="CM112" s="145">
        <f t="shared" si="457"/>
        <v>0</v>
      </c>
      <c r="CN112" s="145">
        <f t="shared" si="457"/>
        <v>0</v>
      </c>
      <c r="CO112" s="145">
        <f t="shared" si="457"/>
        <v>0</v>
      </c>
      <c r="CP112" s="145">
        <f t="shared" si="457"/>
        <v>0</v>
      </c>
      <c r="CQ112" s="145">
        <f t="shared" si="457"/>
        <v>0</v>
      </c>
      <c r="CR112" s="146">
        <f t="shared" si="457"/>
        <v>0</v>
      </c>
      <c r="CS112" s="147">
        <f t="shared" si="438"/>
        <v>0</v>
      </c>
      <c r="CT112" s="148">
        <f t="shared" ref="CT112:DE112" si="458">+CT110-CT111</f>
        <v>0</v>
      </c>
      <c r="CU112" s="145">
        <f t="shared" si="458"/>
        <v>0</v>
      </c>
      <c r="CV112" s="145">
        <f t="shared" si="458"/>
        <v>0</v>
      </c>
      <c r="CW112" s="145">
        <f t="shared" si="458"/>
        <v>0</v>
      </c>
      <c r="CX112" s="145">
        <f t="shared" si="458"/>
        <v>0</v>
      </c>
      <c r="CY112" s="145">
        <f t="shared" si="458"/>
        <v>0</v>
      </c>
      <c r="CZ112" s="145">
        <f t="shared" si="458"/>
        <v>0</v>
      </c>
      <c r="DA112" s="145">
        <f t="shared" si="458"/>
        <v>0</v>
      </c>
      <c r="DB112" s="145">
        <f t="shared" si="458"/>
        <v>0</v>
      </c>
      <c r="DC112" s="145">
        <f t="shared" si="458"/>
        <v>0</v>
      </c>
      <c r="DD112" s="145">
        <f t="shared" si="458"/>
        <v>0</v>
      </c>
      <c r="DE112" s="146">
        <f t="shared" si="458"/>
        <v>0</v>
      </c>
      <c r="DF112" s="147">
        <f t="shared" si="439"/>
        <v>0</v>
      </c>
      <c r="DG112" s="146">
        <f>+DG110-DG111</f>
        <v>0</v>
      </c>
      <c r="DH112" s="98">
        <f t="shared" si="440"/>
        <v>5066.2307647226971</v>
      </c>
      <c r="DI112" s="150">
        <f t="shared" si="441"/>
        <v>1547.813764722697</v>
      </c>
      <c r="DJ112" s="151">
        <f t="shared" si="442"/>
        <v>-3518.4170000000004</v>
      </c>
    </row>
    <row r="113" spans="1:115" ht="15" hidden="1" customHeight="1" outlineLevel="1">
      <c r="A113" s="607"/>
      <c r="B113" s="593" t="s">
        <v>96</v>
      </c>
      <c r="C113" s="246" t="s">
        <v>62</v>
      </c>
      <c r="D113" s="183" t="s">
        <v>122</v>
      </c>
      <c r="E113" s="153">
        <f>79.6*4</f>
        <v>318.39999999999998</v>
      </c>
      <c r="F113" s="153">
        <v>238.79999999999998</v>
      </c>
      <c r="G113" s="154">
        <v>87.560189165950121</v>
      </c>
      <c r="H113" s="155"/>
      <c r="I113" s="155"/>
      <c r="J113" s="155"/>
      <c r="K113" s="155"/>
      <c r="L113" s="155"/>
      <c r="M113" s="155"/>
      <c r="N113" s="155"/>
      <c r="O113" s="155"/>
      <c r="P113" s="155"/>
      <c r="Q113" s="155"/>
      <c r="R113" s="156"/>
      <c r="S113" s="157">
        <f t="shared" si="432"/>
        <v>87.560189165950121</v>
      </c>
      <c r="T113" s="378"/>
      <c r="U113" s="382"/>
      <c r="V113" s="382"/>
      <c r="W113" s="382"/>
      <c r="X113" s="382"/>
      <c r="Y113" s="382"/>
      <c r="Z113" s="382"/>
      <c r="AA113" s="382"/>
      <c r="AB113" s="382"/>
      <c r="AC113" s="382"/>
      <c r="AD113" s="382"/>
      <c r="AE113" s="481"/>
      <c r="AF113" s="157">
        <f t="shared" si="433"/>
        <v>0</v>
      </c>
      <c r="AG113" s="154"/>
      <c r="AH113" s="155"/>
      <c r="AI113" s="155"/>
      <c r="AJ113" s="155"/>
      <c r="AK113" s="155"/>
      <c r="AL113" s="155"/>
      <c r="AM113" s="155"/>
      <c r="AN113" s="155"/>
      <c r="AO113" s="155"/>
      <c r="AP113" s="155"/>
      <c r="AQ113" s="155"/>
      <c r="AR113" s="156"/>
      <c r="AS113" s="409">
        <f t="shared" si="434"/>
        <v>0</v>
      </c>
      <c r="AT113" s="158"/>
      <c r="AU113" s="155"/>
      <c r="AV113" s="155"/>
      <c r="AW113" s="155"/>
      <c r="AX113" s="155"/>
      <c r="AY113" s="155"/>
      <c r="AZ113" s="155"/>
      <c r="BA113" s="155"/>
      <c r="BB113" s="155"/>
      <c r="BC113" s="155"/>
      <c r="BD113" s="155"/>
      <c r="BE113" s="156"/>
      <c r="BF113" s="157">
        <f t="shared" si="435"/>
        <v>0</v>
      </c>
      <c r="BG113" s="158"/>
      <c r="BH113" s="155"/>
      <c r="BI113" s="155"/>
      <c r="BJ113" s="155"/>
      <c r="BK113" s="155"/>
      <c r="BL113" s="155"/>
      <c r="BM113" s="155"/>
      <c r="BN113" s="155"/>
      <c r="BO113" s="155"/>
      <c r="BP113" s="155"/>
      <c r="BQ113" s="155"/>
      <c r="BR113" s="156"/>
      <c r="BS113" s="157">
        <f t="shared" si="436"/>
        <v>0</v>
      </c>
      <c r="BT113" s="158"/>
      <c r="BU113" s="155"/>
      <c r="BV113" s="155"/>
      <c r="BW113" s="155"/>
      <c r="BX113" s="155"/>
      <c r="BY113" s="155"/>
      <c r="BZ113" s="155"/>
      <c r="CA113" s="155"/>
      <c r="CB113" s="155"/>
      <c r="CC113" s="155"/>
      <c r="CD113" s="155"/>
      <c r="CE113" s="156"/>
      <c r="CF113" s="157">
        <f t="shared" si="437"/>
        <v>0</v>
      </c>
      <c r="CG113" s="158"/>
      <c r="CH113" s="155"/>
      <c r="CI113" s="155"/>
      <c r="CJ113" s="155"/>
      <c r="CK113" s="155"/>
      <c r="CL113" s="155"/>
      <c r="CM113" s="155"/>
      <c r="CN113" s="155"/>
      <c r="CO113" s="155"/>
      <c r="CP113" s="155"/>
      <c r="CQ113" s="155"/>
      <c r="CR113" s="156"/>
      <c r="CS113" s="157">
        <f t="shared" si="438"/>
        <v>0</v>
      </c>
      <c r="CT113" s="158"/>
      <c r="CU113" s="155"/>
      <c r="CV113" s="155"/>
      <c r="CW113" s="155"/>
      <c r="CX113" s="155"/>
      <c r="CY113" s="155"/>
      <c r="CZ113" s="155"/>
      <c r="DA113" s="155"/>
      <c r="DB113" s="155"/>
      <c r="DC113" s="155"/>
      <c r="DD113" s="155"/>
      <c r="DE113" s="156"/>
      <c r="DF113" s="157">
        <f t="shared" si="439"/>
        <v>0</v>
      </c>
      <c r="DG113" s="280"/>
      <c r="DH113" s="159">
        <f t="shared" si="440"/>
        <v>326.36018916595009</v>
      </c>
      <c r="DI113" s="160">
        <f t="shared" si="441"/>
        <v>318.39999999999998</v>
      </c>
      <c r="DJ113" s="161">
        <f t="shared" si="442"/>
        <v>-7.9601891659501121</v>
      </c>
    </row>
    <row r="114" spans="1:115" ht="15" hidden="1" customHeight="1" outlineLevel="1">
      <c r="A114" s="607"/>
      <c r="B114" s="548"/>
      <c r="C114" s="245" t="s">
        <v>63</v>
      </c>
      <c r="D114" s="184" t="s">
        <v>124</v>
      </c>
      <c r="E114" s="136">
        <f>+E113*85%</f>
        <v>270.64</v>
      </c>
      <c r="F114" s="136">
        <v>202.98</v>
      </c>
      <c r="G114" s="137">
        <v>10.049526354256233</v>
      </c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9"/>
      <c r="S114" s="162">
        <f t="shared" si="432"/>
        <v>10.049526354256233</v>
      </c>
      <c r="T114" s="380"/>
      <c r="U114" s="381"/>
      <c r="V114" s="381"/>
      <c r="W114" s="381"/>
      <c r="X114" s="381"/>
      <c r="Y114" s="381"/>
      <c r="Z114" s="381"/>
      <c r="AA114" s="381"/>
      <c r="AB114" s="381"/>
      <c r="AC114" s="381"/>
      <c r="AD114" s="381"/>
      <c r="AE114" s="392"/>
      <c r="AF114" s="162">
        <f t="shared" si="433"/>
        <v>0</v>
      </c>
      <c r="AG114" s="137"/>
      <c r="AH114" s="138"/>
      <c r="AI114" s="138"/>
      <c r="AJ114" s="138"/>
      <c r="AK114" s="138"/>
      <c r="AL114" s="138"/>
      <c r="AM114" s="138"/>
      <c r="AN114" s="138"/>
      <c r="AO114" s="138"/>
      <c r="AP114" s="138"/>
      <c r="AQ114" s="138"/>
      <c r="AR114" s="139"/>
      <c r="AS114" s="410">
        <f t="shared" si="434"/>
        <v>0</v>
      </c>
      <c r="AT114" s="141"/>
      <c r="AU114" s="138"/>
      <c r="AV114" s="138"/>
      <c r="AW114" s="138"/>
      <c r="AX114" s="138"/>
      <c r="AY114" s="138"/>
      <c r="AZ114" s="138"/>
      <c r="BA114" s="138"/>
      <c r="BB114" s="138"/>
      <c r="BC114" s="138"/>
      <c r="BD114" s="138"/>
      <c r="BE114" s="139"/>
      <c r="BF114" s="162">
        <f t="shared" si="435"/>
        <v>0</v>
      </c>
      <c r="BG114" s="141"/>
      <c r="BH114" s="138"/>
      <c r="BI114" s="138"/>
      <c r="BJ114" s="138"/>
      <c r="BK114" s="138"/>
      <c r="BL114" s="138"/>
      <c r="BM114" s="138"/>
      <c r="BN114" s="138"/>
      <c r="BO114" s="138"/>
      <c r="BP114" s="138"/>
      <c r="BQ114" s="138"/>
      <c r="BR114" s="139"/>
      <c r="BS114" s="162">
        <f t="shared" si="436"/>
        <v>0</v>
      </c>
      <c r="BT114" s="141"/>
      <c r="BU114" s="138"/>
      <c r="BV114" s="138"/>
      <c r="BW114" s="138"/>
      <c r="BX114" s="138"/>
      <c r="BY114" s="138"/>
      <c r="BZ114" s="138"/>
      <c r="CA114" s="138"/>
      <c r="CB114" s="138"/>
      <c r="CC114" s="138"/>
      <c r="CD114" s="138"/>
      <c r="CE114" s="139"/>
      <c r="CF114" s="162">
        <f t="shared" si="437"/>
        <v>0</v>
      </c>
      <c r="CG114" s="141"/>
      <c r="CH114" s="138"/>
      <c r="CI114" s="138"/>
      <c r="CJ114" s="138"/>
      <c r="CK114" s="138"/>
      <c r="CL114" s="138"/>
      <c r="CM114" s="138"/>
      <c r="CN114" s="138"/>
      <c r="CO114" s="138"/>
      <c r="CP114" s="138"/>
      <c r="CQ114" s="138"/>
      <c r="CR114" s="139"/>
      <c r="CS114" s="162">
        <f t="shared" si="438"/>
        <v>0</v>
      </c>
      <c r="CT114" s="141"/>
      <c r="CU114" s="138"/>
      <c r="CV114" s="138"/>
      <c r="CW114" s="138"/>
      <c r="CX114" s="138"/>
      <c r="CY114" s="138"/>
      <c r="CZ114" s="138"/>
      <c r="DA114" s="138"/>
      <c r="DB114" s="138"/>
      <c r="DC114" s="138"/>
      <c r="DD114" s="138"/>
      <c r="DE114" s="139"/>
      <c r="DF114" s="162">
        <f t="shared" si="439"/>
        <v>0</v>
      </c>
      <c r="DG114" s="279"/>
      <c r="DH114" s="90">
        <f t="shared" si="440"/>
        <v>213.02952635425623</v>
      </c>
      <c r="DI114" s="91">
        <f t="shared" si="441"/>
        <v>270.64</v>
      </c>
      <c r="DJ114" s="92">
        <f t="shared" si="442"/>
        <v>57.610473645743753</v>
      </c>
      <c r="DK114" s="64">
        <f>+DH114/DH113</f>
        <v>0.65274360484554494</v>
      </c>
    </row>
    <row r="115" spans="1:115" ht="15" hidden="1" customHeight="1" outlineLevel="1">
      <c r="A115" s="607"/>
      <c r="B115" s="549"/>
      <c r="C115" s="554" t="s">
        <v>11</v>
      </c>
      <c r="D115" s="555"/>
      <c r="E115" s="143">
        <f>+E113-E114</f>
        <v>47.759999999999991</v>
      </c>
      <c r="F115" s="144">
        <f t="shared" ref="F115:R115" si="459">+F113-F114</f>
        <v>35.819999999999993</v>
      </c>
      <c r="G115" s="145">
        <f t="shared" si="459"/>
        <v>77.510662811693891</v>
      </c>
      <c r="H115" s="145">
        <f t="shared" si="459"/>
        <v>0</v>
      </c>
      <c r="I115" s="145">
        <f t="shared" si="459"/>
        <v>0</v>
      </c>
      <c r="J115" s="145">
        <f t="shared" si="459"/>
        <v>0</v>
      </c>
      <c r="K115" s="145">
        <f t="shared" si="459"/>
        <v>0</v>
      </c>
      <c r="L115" s="145">
        <f t="shared" si="459"/>
        <v>0</v>
      </c>
      <c r="M115" s="145">
        <f t="shared" si="459"/>
        <v>0</v>
      </c>
      <c r="N115" s="145">
        <f t="shared" si="459"/>
        <v>0</v>
      </c>
      <c r="O115" s="145">
        <f t="shared" si="459"/>
        <v>0</v>
      </c>
      <c r="P115" s="145">
        <f t="shared" si="459"/>
        <v>0</v>
      </c>
      <c r="Q115" s="145">
        <f t="shared" si="459"/>
        <v>0</v>
      </c>
      <c r="R115" s="146">
        <f t="shared" si="459"/>
        <v>0</v>
      </c>
      <c r="S115" s="147">
        <f t="shared" si="432"/>
        <v>77.510662811693891</v>
      </c>
      <c r="T115" s="148">
        <f t="shared" ref="T115:AE115" si="460">+T113-T114</f>
        <v>0</v>
      </c>
      <c r="U115" s="145">
        <f t="shared" si="460"/>
        <v>0</v>
      </c>
      <c r="V115" s="145">
        <f t="shared" si="460"/>
        <v>0</v>
      </c>
      <c r="W115" s="145">
        <f t="shared" si="460"/>
        <v>0</v>
      </c>
      <c r="X115" s="145">
        <f t="shared" si="460"/>
        <v>0</v>
      </c>
      <c r="Y115" s="145">
        <f t="shared" si="460"/>
        <v>0</v>
      </c>
      <c r="Z115" s="145">
        <f t="shared" si="460"/>
        <v>0</v>
      </c>
      <c r="AA115" s="145">
        <f t="shared" si="460"/>
        <v>0</v>
      </c>
      <c r="AB115" s="145">
        <f t="shared" si="460"/>
        <v>0</v>
      </c>
      <c r="AC115" s="145">
        <f t="shared" si="460"/>
        <v>0</v>
      </c>
      <c r="AD115" s="145">
        <f t="shared" si="460"/>
        <v>0</v>
      </c>
      <c r="AE115" s="146">
        <f t="shared" si="460"/>
        <v>0</v>
      </c>
      <c r="AF115" s="147">
        <f t="shared" si="433"/>
        <v>0</v>
      </c>
      <c r="AG115" s="148">
        <f t="shared" ref="AG115:AR115" si="461">+AG113-AG114</f>
        <v>0</v>
      </c>
      <c r="AH115" s="145">
        <f t="shared" si="461"/>
        <v>0</v>
      </c>
      <c r="AI115" s="145">
        <f t="shared" si="461"/>
        <v>0</v>
      </c>
      <c r="AJ115" s="145">
        <f t="shared" si="461"/>
        <v>0</v>
      </c>
      <c r="AK115" s="145">
        <f t="shared" si="461"/>
        <v>0</v>
      </c>
      <c r="AL115" s="145">
        <f t="shared" si="461"/>
        <v>0</v>
      </c>
      <c r="AM115" s="145">
        <f t="shared" si="461"/>
        <v>0</v>
      </c>
      <c r="AN115" s="145">
        <f t="shared" si="461"/>
        <v>0</v>
      </c>
      <c r="AO115" s="145">
        <f t="shared" si="461"/>
        <v>0</v>
      </c>
      <c r="AP115" s="145">
        <f t="shared" si="461"/>
        <v>0</v>
      </c>
      <c r="AQ115" s="145">
        <f t="shared" si="461"/>
        <v>0</v>
      </c>
      <c r="AR115" s="146">
        <f t="shared" si="461"/>
        <v>0</v>
      </c>
      <c r="AS115" s="408">
        <f t="shared" si="434"/>
        <v>0</v>
      </c>
      <c r="AT115" s="148">
        <f t="shared" ref="AT115:BE115" si="462">+AT113-AT114</f>
        <v>0</v>
      </c>
      <c r="AU115" s="145">
        <f t="shared" si="462"/>
        <v>0</v>
      </c>
      <c r="AV115" s="145">
        <f t="shared" si="462"/>
        <v>0</v>
      </c>
      <c r="AW115" s="145">
        <f t="shared" si="462"/>
        <v>0</v>
      </c>
      <c r="AX115" s="145">
        <f t="shared" si="462"/>
        <v>0</v>
      </c>
      <c r="AY115" s="145">
        <f t="shared" si="462"/>
        <v>0</v>
      </c>
      <c r="AZ115" s="145">
        <f t="shared" si="462"/>
        <v>0</v>
      </c>
      <c r="BA115" s="145">
        <f t="shared" si="462"/>
        <v>0</v>
      </c>
      <c r="BB115" s="145">
        <f t="shared" si="462"/>
        <v>0</v>
      </c>
      <c r="BC115" s="145">
        <f t="shared" si="462"/>
        <v>0</v>
      </c>
      <c r="BD115" s="145">
        <f t="shared" si="462"/>
        <v>0</v>
      </c>
      <c r="BE115" s="146">
        <f t="shared" si="462"/>
        <v>0</v>
      </c>
      <c r="BF115" s="147">
        <f t="shared" si="435"/>
        <v>0</v>
      </c>
      <c r="BG115" s="148">
        <f t="shared" ref="BG115:BR115" si="463">+BG113-BG114</f>
        <v>0</v>
      </c>
      <c r="BH115" s="145">
        <f t="shared" si="463"/>
        <v>0</v>
      </c>
      <c r="BI115" s="145">
        <f t="shared" si="463"/>
        <v>0</v>
      </c>
      <c r="BJ115" s="145">
        <f t="shared" si="463"/>
        <v>0</v>
      </c>
      <c r="BK115" s="145">
        <f t="shared" si="463"/>
        <v>0</v>
      </c>
      <c r="BL115" s="145">
        <f t="shared" si="463"/>
        <v>0</v>
      </c>
      <c r="BM115" s="145">
        <f t="shared" si="463"/>
        <v>0</v>
      </c>
      <c r="BN115" s="145">
        <f t="shared" si="463"/>
        <v>0</v>
      </c>
      <c r="BO115" s="145">
        <f t="shared" si="463"/>
        <v>0</v>
      </c>
      <c r="BP115" s="145">
        <f t="shared" si="463"/>
        <v>0</v>
      </c>
      <c r="BQ115" s="145">
        <f t="shared" si="463"/>
        <v>0</v>
      </c>
      <c r="BR115" s="146">
        <f t="shared" si="463"/>
        <v>0</v>
      </c>
      <c r="BS115" s="147">
        <f t="shared" si="436"/>
        <v>0</v>
      </c>
      <c r="BT115" s="148">
        <f t="shared" ref="BT115:CE115" si="464">+BT113-BT114</f>
        <v>0</v>
      </c>
      <c r="BU115" s="145">
        <f t="shared" si="464"/>
        <v>0</v>
      </c>
      <c r="BV115" s="145">
        <f t="shared" si="464"/>
        <v>0</v>
      </c>
      <c r="BW115" s="145">
        <f t="shared" si="464"/>
        <v>0</v>
      </c>
      <c r="BX115" s="145">
        <f t="shared" si="464"/>
        <v>0</v>
      </c>
      <c r="BY115" s="145">
        <f t="shared" si="464"/>
        <v>0</v>
      </c>
      <c r="BZ115" s="145">
        <f t="shared" si="464"/>
        <v>0</v>
      </c>
      <c r="CA115" s="145">
        <f t="shared" si="464"/>
        <v>0</v>
      </c>
      <c r="CB115" s="145">
        <f t="shared" si="464"/>
        <v>0</v>
      </c>
      <c r="CC115" s="145">
        <f t="shared" si="464"/>
        <v>0</v>
      </c>
      <c r="CD115" s="145">
        <f t="shared" si="464"/>
        <v>0</v>
      </c>
      <c r="CE115" s="146">
        <f t="shared" si="464"/>
        <v>0</v>
      </c>
      <c r="CF115" s="147">
        <f t="shared" si="437"/>
        <v>0</v>
      </c>
      <c r="CG115" s="148">
        <f t="shared" ref="CG115:CR115" si="465">+CG113-CG114</f>
        <v>0</v>
      </c>
      <c r="CH115" s="145">
        <f t="shared" si="465"/>
        <v>0</v>
      </c>
      <c r="CI115" s="145">
        <f t="shared" si="465"/>
        <v>0</v>
      </c>
      <c r="CJ115" s="145">
        <f t="shared" si="465"/>
        <v>0</v>
      </c>
      <c r="CK115" s="145">
        <f t="shared" si="465"/>
        <v>0</v>
      </c>
      <c r="CL115" s="145">
        <f t="shared" si="465"/>
        <v>0</v>
      </c>
      <c r="CM115" s="145">
        <f t="shared" si="465"/>
        <v>0</v>
      </c>
      <c r="CN115" s="145">
        <f t="shared" si="465"/>
        <v>0</v>
      </c>
      <c r="CO115" s="145">
        <f t="shared" si="465"/>
        <v>0</v>
      </c>
      <c r="CP115" s="145">
        <f t="shared" si="465"/>
        <v>0</v>
      </c>
      <c r="CQ115" s="145">
        <f t="shared" si="465"/>
        <v>0</v>
      </c>
      <c r="CR115" s="146">
        <f t="shared" si="465"/>
        <v>0</v>
      </c>
      <c r="CS115" s="147">
        <f t="shared" si="438"/>
        <v>0</v>
      </c>
      <c r="CT115" s="148">
        <f t="shared" ref="CT115:DE115" si="466">+CT113-CT114</f>
        <v>0</v>
      </c>
      <c r="CU115" s="145">
        <f t="shared" si="466"/>
        <v>0</v>
      </c>
      <c r="CV115" s="145">
        <f t="shared" si="466"/>
        <v>0</v>
      </c>
      <c r="CW115" s="145">
        <f t="shared" si="466"/>
        <v>0</v>
      </c>
      <c r="CX115" s="145">
        <f t="shared" si="466"/>
        <v>0</v>
      </c>
      <c r="CY115" s="145">
        <f t="shared" si="466"/>
        <v>0</v>
      </c>
      <c r="CZ115" s="145">
        <f t="shared" si="466"/>
        <v>0</v>
      </c>
      <c r="DA115" s="145">
        <f t="shared" si="466"/>
        <v>0</v>
      </c>
      <c r="DB115" s="145">
        <f t="shared" si="466"/>
        <v>0</v>
      </c>
      <c r="DC115" s="145">
        <f t="shared" si="466"/>
        <v>0</v>
      </c>
      <c r="DD115" s="145">
        <f t="shared" si="466"/>
        <v>0</v>
      </c>
      <c r="DE115" s="146">
        <f t="shared" si="466"/>
        <v>0</v>
      </c>
      <c r="DF115" s="147">
        <f t="shared" si="439"/>
        <v>0</v>
      </c>
      <c r="DG115" s="146">
        <f>+DG113-DG114</f>
        <v>0</v>
      </c>
      <c r="DH115" s="98">
        <f t="shared" si="440"/>
        <v>113.33066281169388</v>
      </c>
      <c r="DI115" s="99">
        <f t="shared" si="441"/>
        <v>47.759999999999991</v>
      </c>
      <c r="DJ115" s="100">
        <f t="shared" si="442"/>
        <v>-65.570662811693893</v>
      </c>
    </row>
    <row r="116" spans="1:115" ht="15" customHeight="1" outlineLevel="1">
      <c r="A116" s="607"/>
      <c r="B116" s="609" t="s">
        <v>97</v>
      </c>
      <c r="C116" s="246" t="s">
        <v>62</v>
      </c>
      <c r="D116" s="183" t="s">
        <v>122</v>
      </c>
      <c r="E116" s="153">
        <f>AF116+AS116+BF116+BS116+CF116+CS116+DF116+S116+DG116</f>
        <v>2322.593075924337</v>
      </c>
      <c r="F116" s="128">
        <v>200</v>
      </c>
      <c r="G116" s="129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355">
        <v>655.06029106029109</v>
      </c>
      <c r="S116" s="163">
        <f t="shared" si="432"/>
        <v>655.06029106029109</v>
      </c>
      <c r="T116" s="386"/>
      <c r="U116" s="387"/>
      <c r="V116" s="387"/>
      <c r="W116" s="387"/>
      <c r="X116" s="387"/>
      <c r="Y116" s="387"/>
      <c r="Z116" s="387"/>
      <c r="AA116" s="386"/>
      <c r="AB116" s="387"/>
      <c r="AC116" s="387"/>
      <c r="AD116" s="387"/>
      <c r="AE116" s="387"/>
      <c r="AF116" s="163">
        <f t="shared" si="433"/>
        <v>0</v>
      </c>
      <c r="AG116" s="503"/>
      <c r="AH116" s="507"/>
      <c r="AI116" s="507"/>
      <c r="AJ116" s="507"/>
      <c r="AK116" s="507"/>
      <c r="AL116" s="507">
        <v>402.63753114816899</v>
      </c>
      <c r="AM116" s="507"/>
      <c r="AN116" s="507"/>
      <c r="AO116" s="507">
        <v>198.86393759230506</v>
      </c>
      <c r="AP116" s="507"/>
      <c r="AQ116" s="507"/>
      <c r="AR116" s="503"/>
      <c r="AS116" s="414">
        <f t="shared" si="434"/>
        <v>601.50146874047402</v>
      </c>
      <c r="AT116" s="516">
        <v>202.03131612357174</v>
      </c>
      <c r="AU116" s="510"/>
      <c r="AV116" s="516"/>
      <c r="AW116" s="516"/>
      <c r="AX116" s="510"/>
      <c r="AY116" s="510"/>
      <c r="AZ116" s="282"/>
      <c r="BA116" s="282"/>
      <c r="BB116" s="282">
        <v>216</v>
      </c>
      <c r="BC116" s="282"/>
      <c r="BD116" s="282"/>
      <c r="BE116" s="284"/>
      <c r="BF116" s="163">
        <f t="shared" si="435"/>
        <v>418.03131612357174</v>
      </c>
      <c r="BG116" s="352"/>
      <c r="BH116" s="282"/>
      <c r="BI116" s="282">
        <v>216</v>
      </c>
      <c r="BJ116" s="282"/>
      <c r="BK116" s="282"/>
      <c r="BL116" s="282"/>
      <c r="BM116" s="282"/>
      <c r="BN116" s="282"/>
      <c r="BO116" s="282"/>
      <c r="BP116" s="282"/>
      <c r="BQ116" s="282"/>
      <c r="BR116" s="284"/>
      <c r="BS116" s="163">
        <f t="shared" si="436"/>
        <v>216</v>
      </c>
      <c r="BT116" s="352"/>
      <c r="BU116" s="282"/>
      <c r="BV116" s="282"/>
      <c r="BW116" s="282"/>
      <c r="BX116" s="282"/>
      <c r="BY116" s="282"/>
      <c r="BZ116" s="282"/>
      <c r="CA116" s="282"/>
      <c r="CB116" s="282"/>
      <c r="CC116" s="282"/>
      <c r="CD116" s="282"/>
      <c r="CE116" s="284"/>
      <c r="CF116" s="163">
        <f t="shared" si="437"/>
        <v>0</v>
      </c>
      <c r="CG116" s="352"/>
      <c r="CH116" s="282"/>
      <c r="CI116" s="282"/>
      <c r="CJ116" s="282"/>
      <c r="CK116" s="282"/>
      <c r="CL116" s="282"/>
      <c r="CM116" s="282">
        <v>216</v>
      </c>
      <c r="CN116" s="282"/>
      <c r="CO116" s="282"/>
      <c r="CP116" s="282"/>
      <c r="CQ116" s="282"/>
      <c r="CR116" s="284">
        <v>216</v>
      </c>
      <c r="CS116" s="163">
        <f t="shared" si="438"/>
        <v>432</v>
      </c>
      <c r="CT116" s="352"/>
      <c r="CU116" s="282"/>
      <c r="CV116" s="282"/>
      <c r="CW116" s="282"/>
      <c r="CX116" s="282"/>
      <c r="CY116" s="282"/>
      <c r="CZ116" s="282"/>
      <c r="DA116" s="282"/>
      <c r="DB116" s="282"/>
      <c r="DC116" s="282"/>
      <c r="DD116" s="282"/>
      <c r="DE116" s="284"/>
      <c r="DF116" s="163">
        <f t="shared" si="439"/>
        <v>0</v>
      </c>
      <c r="DG116" s="278"/>
      <c r="DH116" s="159">
        <f t="shared" si="440"/>
        <v>2090.593075924337</v>
      </c>
      <c r="DI116" s="165">
        <f t="shared" si="441"/>
        <v>2322.593075924337</v>
      </c>
      <c r="DJ116" s="166">
        <f t="shared" si="442"/>
        <v>232</v>
      </c>
    </row>
    <row r="117" spans="1:115" ht="15" customHeight="1" outlineLevel="1">
      <c r="A117" s="607"/>
      <c r="B117" s="548"/>
      <c r="C117" s="245" t="s">
        <v>63</v>
      </c>
      <c r="D117" s="184" t="s">
        <v>124</v>
      </c>
      <c r="E117" s="136">
        <f>AF117+AS117+BF117+BS117+CF117+CS117+DF117+S117+DG117</f>
        <v>839.93690878634311</v>
      </c>
      <c r="F117" s="136"/>
      <c r="G117" s="137">
        <v>27.272379105760962</v>
      </c>
      <c r="H117" s="138">
        <v>25.005415592783507</v>
      </c>
      <c r="I117" s="138">
        <v>25.005415592783507</v>
      </c>
      <c r="J117" s="138">
        <v>25.130148689299528</v>
      </c>
      <c r="K117" s="138">
        <v>25.930276051502148</v>
      </c>
      <c r="L117" s="138">
        <v>24.229837016456511</v>
      </c>
      <c r="M117" s="138">
        <v>28.149459714832943</v>
      </c>
      <c r="N117" s="138">
        <v>25.160016541038527</v>
      </c>
      <c r="O117" s="138">
        <v>23.512089294605808</v>
      </c>
      <c r="P117" s="138">
        <v>23.568561181780879</v>
      </c>
      <c r="Q117" s="138">
        <v>22.20438612380557</v>
      </c>
      <c r="R117" s="139">
        <v>22.478460498960498</v>
      </c>
      <c r="S117" s="162">
        <f t="shared" si="432"/>
        <v>297.64644540361041</v>
      </c>
      <c r="T117" s="388">
        <v>20.124380524035484</v>
      </c>
      <c r="U117" s="388">
        <v>9.6007906377759618</v>
      </c>
      <c r="V117" s="388">
        <v>8.0905353777416735</v>
      </c>
      <c r="W117" s="388">
        <v>8.6564749671929064</v>
      </c>
      <c r="X117" s="388">
        <v>7.9908504795117699</v>
      </c>
      <c r="Y117" s="388">
        <v>8.6955295842745617</v>
      </c>
      <c r="Z117" s="388">
        <v>9.1743307830245069</v>
      </c>
      <c r="AA117" s="388">
        <v>8.1384527869379877</v>
      </c>
      <c r="AB117" s="388">
        <v>42.003246841870101</v>
      </c>
      <c r="AC117" s="388">
        <v>5.6774745541539797</v>
      </c>
      <c r="AD117" s="388">
        <v>5.4536909850934618</v>
      </c>
      <c r="AE117" s="388">
        <v>3.9598017427483612</v>
      </c>
      <c r="AF117" s="162">
        <f t="shared" si="433"/>
        <v>137.56555926436076</v>
      </c>
      <c r="AG117" s="504">
        <v>4.8366868377021746</v>
      </c>
      <c r="AH117" s="504">
        <v>6.0268766699314398</v>
      </c>
      <c r="AI117" s="504"/>
      <c r="AJ117" s="504">
        <v>4.2845690231807172</v>
      </c>
      <c r="AK117" s="504">
        <v>3.7347717470689985</v>
      </c>
      <c r="AL117" s="504">
        <v>9.9442563925627763</v>
      </c>
      <c r="AM117" s="504">
        <v>5.011089572753999</v>
      </c>
      <c r="AN117" s="504">
        <v>16.090710519337854</v>
      </c>
      <c r="AO117" s="504">
        <v>6.7552352027871398</v>
      </c>
      <c r="AP117" s="504">
        <v>5.1282719428289045</v>
      </c>
      <c r="AQ117" s="504">
        <v>6.9228123366044025</v>
      </c>
      <c r="AR117" s="504">
        <v>48.374883219178081</v>
      </c>
      <c r="AS117" s="410">
        <f t="shared" si="434"/>
        <v>117.11016346393649</v>
      </c>
      <c r="AT117" s="501">
        <v>5.6144578155657294</v>
      </c>
      <c r="AU117" s="499">
        <v>5.7779293982368696</v>
      </c>
      <c r="AV117" s="499">
        <v>5.4171995372828645</v>
      </c>
      <c r="AW117" s="499">
        <v>6.1685420160097122</v>
      </c>
      <c r="AX117" s="499">
        <v>4.7737151756885092</v>
      </c>
      <c r="AY117" s="499">
        <v>7.8628967116517776</v>
      </c>
      <c r="AZ117" s="253">
        <v>6</v>
      </c>
      <c r="BA117" s="253">
        <v>6</v>
      </c>
      <c r="BB117" s="253">
        <v>6</v>
      </c>
      <c r="BC117" s="253">
        <v>6</v>
      </c>
      <c r="BD117" s="253">
        <v>6</v>
      </c>
      <c r="BE117" s="338">
        <v>6</v>
      </c>
      <c r="BF117" s="162">
        <f t="shared" si="435"/>
        <v>71.614740654435465</v>
      </c>
      <c r="BG117" s="353">
        <v>6</v>
      </c>
      <c r="BH117" s="253">
        <v>6</v>
      </c>
      <c r="BI117" s="253">
        <v>6</v>
      </c>
      <c r="BJ117" s="253">
        <v>6</v>
      </c>
      <c r="BK117" s="253">
        <v>6</v>
      </c>
      <c r="BL117" s="253">
        <v>6</v>
      </c>
      <c r="BM117" s="253">
        <v>6</v>
      </c>
      <c r="BN117" s="253">
        <v>6</v>
      </c>
      <c r="BO117" s="253">
        <v>6</v>
      </c>
      <c r="BP117" s="253">
        <v>6</v>
      </c>
      <c r="BQ117" s="253">
        <v>6</v>
      </c>
      <c r="BR117" s="338">
        <v>6</v>
      </c>
      <c r="BS117" s="162">
        <f t="shared" si="436"/>
        <v>72</v>
      </c>
      <c r="BT117" s="353">
        <v>6</v>
      </c>
      <c r="BU117" s="253">
        <v>6</v>
      </c>
      <c r="BV117" s="253">
        <v>6</v>
      </c>
      <c r="BW117" s="253">
        <v>6</v>
      </c>
      <c r="BX117" s="253">
        <v>6</v>
      </c>
      <c r="BY117" s="253">
        <v>6</v>
      </c>
      <c r="BZ117" s="253">
        <v>6</v>
      </c>
      <c r="CA117" s="253">
        <v>6</v>
      </c>
      <c r="CB117" s="253">
        <v>6</v>
      </c>
      <c r="CC117" s="253">
        <v>6</v>
      </c>
      <c r="CD117" s="253">
        <v>6</v>
      </c>
      <c r="CE117" s="338">
        <v>6</v>
      </c>
      <c r="CF117" s="162">
        <f t="shared" si="437"/>
        <v>72</v>
      </c>
      <c r="CG117" s="353">
        <v>6</v>
      </c>
      <c r="CH117" s="253">
        <v>6</v>
      </c>
      <c r="CI117" s="253">
        <v>6</v>
      </c>
      <c r="CJ117" s="253">
        <v>6</v>
      </c>
      <c r="CK117" s="253">
        <v>6</v>
      </c>
      <c r="CL117" s="253">
        <v>6</v>
      </c>
      <c r="CM117" s="253">
        <v>6</v>
      </c>
      <c r="CN117" s="253">
        <v>6</v>
      </c>
      <c r="CO117" s="253">
        <v>6</v>
      </c>
      <c r="CP117" s="253">
        <v>6</v>
      </c>
      <c r="CQ117" s="253">
        <v>6</v>
      </c>
      <c r="CR117" s="253">
        <v>6</v>
      </c>
      <c r="CS117" s="162">
        <f t="shared" si="438"/>
        <v>72</v>
      </c>
      <c r="CT117" s="353"/>
      <c r="CU117" s="253"/>
      <c r="CV117" s="253"/>
      <c r="CW117" s="253"/>
      <c r="CX117" s="253"/>
      <c r="CY117" s="253"/>
      <c r="CZ117" s="253"/>
      <c r="DA117" s="253"/>
      <c r="DB117" s="253"/>
      <c r="DC117" s="253"/>
      <c r="DD117" s="253"/>
      <c r="DE117" s="338"/>
      <c r="DF117" s="162">
        <f t="shared" si="439"/>
        <v>0</v>
      </c>
      <c r="DG117" s="279"/>
      <c r="DH117" s="90">
        <f t="shared" si="440"/>
        <v>695.93690878634311</v>
      </c>
      <c r="DI117" s="91">
        <f t="shared" si="441"/>
        <v>839.93690878634311</v>
      </c>
      <c r="DJ117" s="92">
        <f t="shared" si="442"/>
        <v>144</v>
      </c>
      <c r="DK117" s="64">
        <f>+DH117/DH116</f>
        <v>0.33288970330997619</v>
      </c>
    </row>
    <row r="118" spans="1:115" ht="15" customHeight="1" outlineLevel="1">
      <c r="A118" s="607"/>
      <c r="B118" s="556"/>
      <c r="C118" s="554" t="s">
        <v>11</v>
      </c>
      <c r="D118" s="555"/>
      <c r="E118" s="143">
        <f>+E116-E117</f>
        <v>1482.6561671379939</v>
      </c>
      <c r="F118" s="144">
        <f t="shared" ref="F118:R118" si="467">+F116-F117</f>
        <v>200</v>
      </c>
      <c r="G118" s="145">
        <f t="shared" si="467"/>
        <v>-27.272379105760962</v>
      </c>
      <c r="H118" s="145">
        <f t="shared" si="467"/>
        <v>-25.005415592783507</v>
      </c>
      <c r="I118" s="145">
        <f t="shared" si="467"/>
        <v>-25.005415592783507</v>
      </c>
      <c r="J118" s="145">
        <f t="shared" si="467"/>
        <v>-25.130148689299528</v>
      </c>
      <c r="K118" s="145">
        <f t="shared" si="467"/>
        <v>-25.930276051502148</v>
      </c>
      <c r="L118" s="145">
        <f t="shared" si="467"/>
        <v>-24.229837016456511</v>
      </c>
      <c r="M118" s="145">
        <f t="shared" si="467"/>
        <v>-28.149459714832943</v>
      </c>
      <c r="N118" s="145">
        <f t="shared" si="467"/>
        <v>-25.160016541038527</v>
      </c>
      <c r="O118" s="145">
        <f t="shared" si="467"/>
        <v>-23.512089294605808</v>
      </c>
      <c r="P118" s="145">
        <f t="shared" si="467"/>
        <v>-23.568561181780879</v>
      </c>
      <c r="Q118" s="145">
        <f t="shared" si="467"/>
        <v>-22.20438612380557</v>
      </c>
      <c r="R118" s="146">
        <f t="shared" si="467"/>
        <v>632.58183056133055</v>
      </c>
      <c r="S118" s="147">
        <f t="shared" si="432"/>
        <v>357.41384565668062</v>
      </c>
      <c r="T118" s="148">
        <f t="shared" ref="T118:AE118" si="468">+T116-T117</f>
        <v>-20.124380524035484</v>
      </c>
      <c r="U118" s="145">
        <f t="shared" si="468"/>
        <v>-9.6007906377759618</v>
      </c>
      <c r="V118" s="145">
        <f t="shared" si="468"/>
        <v>-8.0905353777416735</v>
      </c>
      <c r="W118" s="145">
        <f t="shared" si="468"/>
        <v>-8.6564749671929064</v>
      </c>
      <c r="X118" s="145">
        <f t="shared" si="468"/>
        <v>-7.9908504795117699</v>
      </c>
      <c r="Y118" s="145">
        <f t="shared" si="468"/>
        <v>-8.6955295842745617</v>
      </c>
      <c r="Z118" s="145">
        <f t="shared" si="468"/>
        <v>-9.1743307830245069</v>
      </c>
      <c r="AA118" s="145">
        <f t="shared" si="468"/>
        <v>-8.1384527869379877</v>
      </c>
      <c r="AB118" s="145">
        <f t="shared" si="468"/>
        <v>-42.003246841870101</v>
      </c>
      <c r="AC118" s="145">
        <f t="shared" si="468"/>
        <v>-5.6774745541539797</v>
      </c>
      <c r="AD118" s="145">
        <f t="shared" si="468"/>
        <v>-5.4536909850934618</v>
      </c>
      <c r="AE118" s="146">
        <f t="shared" si="468"/>
        <v>-3.9598017427483612</v>
      </c>
      <c r="AF118" s="147">
        <f t="shared" si="433"/>
        <v>-137.56555926436076</v>
      </c>
      <c r="AG118" s="148">
        <f t="shared" ref="AG118:AR118" si="469">+AG116-AG117</f>
        <v>-4.8366868377021746</v>
      </c>
      <c r="AH118" s="145">
        <f t="shared" si="469"/>
        <v>-6.0268766699314398</v>
      </c>
      <c r="AI118" s="145">
        <f t="shared" si="469"/>
        <v>0</v>
      </c>
      <c r="AJ118" s="145">
        <f t="shared" si="469"/>
        <v>-4.2845690231807172</v>
      </c>
      <c r="AK118" s="145">
        <f t="shared" si="469"/>
        <v>-3.7347717470689985</v>
      </c>
      <c r="AL118" s="145">
        <f t="shared" si="469"/>
        <v>392.69327475560624</v>
      </c>
      <c r="AM118" s="145">
        <f t="shared" si="469"/>
        <v>-5.011089572753999</v>
      </c>
      <c r="AN118" s="145">
        <f t="shared" si="469"/>
        <v>-16.090710519337854</v>
      </c>
      <c r="AO118" s="145">
        <f t="shared" si="469"/>
        <v>192.10870238951793</v>
      </c>
      <c r="AP118" s="145">
        <f t="shared" si="469"/>
        <v>-5.1282719428289045</v>
      </c>
      <c r="AQ118" s="145">
        <f t="shared" si="469"/>
        <v>-6.9228123366044025</v>
      </c>
      <c r="AR118" s="146">
        <f t="shared" si="469"/>
        <v>-48.374883219178081</v>
      </c>
      <c r="AS118" s="408">
        <f t="shared" si="434"/>
        <v>484.39130527653776</v>
      </c>
      <c r="AT118" s="148">
        <f t="shared" ref="AT118:BE118" si="470">+AT116-AT117</f>
        <v>196.416858308006</v>
      </c>
      <c r="AU118" s="145">
        <f t="shared" si="470"/>
        <v>-5.7779293982368696</v>
      </c>
      <c r="AV118" s="145">
        <f t="shared" si="470"/>
        <v>-5.4171995372828645</v>
      </c>
      <c r="AW118" s="145">
        <f t="shared" si="470"/>
        <v>-6.1685420160097122</v>
      </c>
      <c r="AX118" s="145">
        <f t="shared" si="470"/>
        <v>-4.7737151756885092</v>
      </c>
      <c r="AY118" s="145">
        <f t="shared" si="470"/>
        <v>-7.8628967116517776</v>
      </c>
      <c r="AZ118" s="145">
        <f t="shared" si="470"/>
        <v>-6</v>
      </c>
      <c r="BA118" s="145">
        <f t="shared" si="470"/>
        <v>-6</v>
      </c>
      <c r="BB118" s="145">
        <f t="shared" si="470"/>
        <v>210</v>
      </c>
      <c r="BC118" s="145">
        <f t="shared" si="470"/>
        <v>-6</v>
      </c>
      <c r="BD118" s="145">
        <f t="shared" si="470"/>
        <v>-6</v>
      </c>
      <c r="BE118" s="146">
        <f t="shared" si="470"/>
        <v>-6</v>
      </c>
      <c r="BF118" s="147">
        <f t="shared" si="435"/>
        <v>346.41657546913621</v>
      </c>
      <c r="BG118" s="148">
        <f t="shared" ref="BG118:BR118" si="471">+BG116-BG117</f>
        <v>-6</v>
      </c>
      <c r="BH118" s="145">
        <f t="shared" si="471"/>
        <v>-6</v>
      </c>
      <c r="BI118" s="145">
        <f t="shared" si="471"/>
        <v>210</v>
      </c>
      <c r="BJ118" s="145">
        <f t="shared" si="471"/>
        <v>-6</v>
      </c>
      <c r="BK118" s="145">
        <f t="shared" si="471"/>
        <v>-6</v>
      </c>
      <c r="BL118" s="145">
        <f t="shared" si="471"/>
        <v>-6</v>
      </c>
      <c r="BM118" s="145">
        <f t="shared" si="471"/>
        <v>-6</v>
      </c>
      <c r="BN118" s="145">
        <f t="shared" si="471"/>
        <v>-6</v>
      </c>
      <c r="BO118" s="145">
        <f t="shared" si="471"/>
        <v>-6</v>
      </c>
      <c r="BP118" s="145">
        <f t="shared" si="471"/>
        <v>-6</v>
      </c>
      <c r="BQ118" s="145">
        <f t="shared" si="471"/>
        <v>-6</v>
      </c>
      <c r="BR118" s="146">
        <f t="shared" si="471"/>
        <v>-6</v>
      </c>
      <c r="BS118" s="147">
        <f t="shared" si="436"/>
        <v>144</v>
      </c>
      <c r="BT118" s="148">
        <f t="shared" ref="BT118:CE118" si="472">+BT116-BT117</f>
        <v>-6</v>
      </c>
      <c r="BU118" s="145">
        <f t="shared" si="472"/>
        <v>-6</v>
      </c>
      <c r="BV118" s="145">
        <f t="shared" si="472"/>
        <v>-6</v>
      </c>
      <c r="BW118" s="145">
        <f t="shared" si="472"/>
        <v>-6</v>
      </c>
      <c r="BX118" s="145">
        <f t="shared" si="472"/>
        <v>-6</v>
      </c>
      <c r="BY118" s="145">
        <f t="shared" si="472"/>
        <v>-6</v>
      </c>
      <c r="BZ118" s="145">
        <f t="shared" si="472"/>
        <v>-6</v>
      </c>
      <c r="CA118" s="145">
        <f t="shared" si="472"/>
        <v>-6</v>
      </c>
      <c r="CB118" s="145">
        <f t="shared" si="472"/>
        <v>-6</v>
      </c>
      <c r="CC118" s="145">
        <f t="shared" si="472"/>
        <v>-6</v>
      </c>
      <c r="CD118" s="145">
        <f t="shared" si="472"/>
        <v>-6</v>
      </c>
      <c r="CE118" s="146">
        <f t="shared" si="472"/>
        <v>-6</v>
      </c>
      <c r="CF118" s="147">
        <f t="shared" si="437"/>
        <v>-72</v>
      </c>
      <c r="CG118" s="148">
        <f t="shared" ref="CG118:CR118" si="473">+CG116-CG117</f>
        <v>-6</v>
      </c>
      <c r="CH118" s="145">
        <f t="shared" si="473"/>
        <v>-6</v>
      </c>
      <c r="CI118" s="145">
        <f t="shared" si="473"/>
        <v>-6</v>
      </c>
      <c r="CJ118" s="145">
        <f t="shared" si="473"/>
        <v>-6</v>
      </c>
      <c r="CK118" s="145">
        <f t="shared" si="473"/>
        <v>-6</v>
      </c>
      <c r="CL118" s="145">
        <f t="shared" si="473"/>
        <v>-6</v>
      </c>
      <c r="CM118" s="145">
        <f t="shared" si="473"/>
        <v>210</v>
      </c>
      <c r="CN118" s="145">
        <f t="shared" si="473"/>
        <v>-6</v>
      </c>
      <c r="CO118" s="145">
        <f t="shared" si="473"/>
        <v>-6</v>
      </c>
      <c r="CP118" s="145">
        <f t="shared" si="473"/>
        <v>-6</v>
      </c>
      <c r="CQ118" s="145">
        <f t="shared" si="473"/>
        <v>-6</v>
      </c>
      <c r="CR118" s="146">
        <f t="shared" si="473"/>
        <v>210</v>
      </c>
      <c r="CS118" s="147">
        <f t="shared" si="438"/>
        <v>360</v>
      </c>
      <c r="CT118" s="148">
        <f t="shared" ref="CT118:DE118" si="474">+CT116-CT117</f>
        <v>0</v>
      </c>
      <c r="CU118" s="145">
        <f t="shared" si="474"/>
        <v>0</v>
      </c>
      <c r="CV118" s="145">
        <f t="shared" si="474"/>
        <v>0</v>
      </c>
      <c r="CW118" s="145">
        <f t="shared" si="474"/>
        <v>0</v>
      </c>
      <c r="CX118" s="145">
        <f t="shared" si="474"/>
        <v>0</v>
      </c>
      <c r="CY118" s="145">
        <f t="shared" si="474"/>
        <v>0</v>
      </c>
      <c r="CZ118" s="145">
        <f t="shared" si="474"/>
        <v>0</v>
      </c>
      <c r="DA118" s="145">
        <f t="shared" si="474"/>
        <v>0</v>
      </c>
      <c r="DB118" s="145">
        <f t="shared" si="474"/>
        <v>0</v>
      </c>
      <c r="DC118" s="145">
        <f t="shared" si="474"/>
        <v>0</v>
      </c>
      <c r="DD118" s="145">
        <f t="shared" si="474"/>
        <v>0</v>
      </c>
      <c r="DE118" s="146">
        <f t="shared" si="474"/>
        <v>0</v>
      </c>
      <c r="DF118" s="147">
        <f t="shared" si="439"/>
        <v>0</v>
      </c>
      <c r="DG118" s="146">
        <f>+DG116-DG117</f>
        <v>0</v>
      </c>
      <c r="DH118" s="98">
        <f t="shared" si="440"/>
        <v>1394.6561671379939</v>
      </c>
      <c r="DI118" s="150">
        <f t="shared" si="441"/>
        <v>1482.6561671379939</v>
      </c>
      <c r="DJ118" s="151">
        <f t="shared" si="442"/>
        <v>88</v>
      </c>
    </row>
    <row r="119" spans="1:115" ht="15" customHeight="1" outlineLevel="1">
      <c r="A119" s="607"/>
      <c r="B119" s="593" t="s">
        <v>98</v>
      </c>
      <c r="C119" s="246" t="s">
        <v>62</v>
      </c>
      <c r="D119" s="183" t="s">
        <v>122</v>
      </c>
      <c r="E119" s="153">
        <f>AF119+AS119+BF119+BS119+CF119+CS119+DF119+S119+DG119</f>
        <v>1808.4590354020661</v>
      </c>
      <c r="F119" s="153"/>
      <c r="G119" s="154">
        <v>219.96041702493551</v>
      </c>
      <c r="H119" s="155"/>
      <c r="I119" s="155"/>
      <c r="J119" s="155"/>
      <c r="K119" s="155"/>
      <c r="L119" s="155"/>
      <c r="M119" s="155"/>
      <c r="N119" s="155"/>
      <c r="O119" s="155"/>
      <c r="P119" s="155"/>
      <c r="Q119" s="155"/>
      <c r="R119" s="156"/>
      <c r="S119" s="157">
        <f t="shared" si="432"/>
        <v>219.96041702493551</v>
      </c>
      <c r="T119" s="378"/>
      <c r="U119" s="382"/>
      <c r="V119" s="382"/>
      <c r="W119" s="382"/>
      <c r="X119" s="389"/>
      <c r="Y119" s="389"/>
      <c r="Z119" s="387"/>
      <c r="AA119" s="389"/>
      <c r="AB119" s="389"/>
      <c r="AC119" s="389"/>
      <c r="AD119" s="389"/>
      <c r="AE119" s="482"/>
      <c r="AF119" s="157">
        <f t="shared" si="433"/>
        <v>0</v>
      </c>
      <c r="AG119" s="505"/>
      <c r="AH119" s="514"/>
      <c r="AI119" s="514"/>
      <c r="AJ119" s="514"/>
      <c r="AK119" s="514"/>
      <c r="AL119" s="514"/>
      <c r="AM119" s="514"/>
      <c r="AN119" s="514"/>
      <c r="AO119" s="514"/>
      <c r="AP119" s="514"/>
      <c r="AQ119" s="514"/>
      <c r="AR119" s="505"/>
      <c r="AS119" s="409">
        <f t="shared" si="434"/>
        <v>0</v>
      </c>
      <c r="AT119" s="519">
        <v>590.49885738468049</v>
      </c>
      <c r="AU119" s="514"/>
      <c r="AV119" s="514"/>
      <c r="AW119" s="514">
        <v>388.19976099245002</v>
      </c>
      <c r="AX119" s="514"/>
      <c r="AY119" s="514"/>
      <c r="AZ119" s="366"/>
      <c r="BA119" s="366"/>
      <c r="BB119" s="366"/>
      <c r="BC119" s="366"/>
      <c r="BD119" s="366"/>
      <c r="BE119" s="367"/>
      <c r="BF119" s="157">
        <f t="shared" si="435"/>
        <v>978.69861837713052</v>
      </c>
      <c r="BG119" s="396"/>
      <c r="BH119" s="366"/>
      <c r="BI119" s="366">
        <v>393.8</v>
      </c>
      <c r="BJ119" s="366"/>
      <c r="BK119" s="366"/>
      <c r="BL119" s="366"/>
      <c r="BM119" s="366"/>
      <c r="BN119" s="366"/>
      <c r="BO119" s="366"/>
      <c r="BP119" s="366"/>
      <c r="BQ119" s="366"/>
      <c r="BR119" s="367"/>
      <c r="BS119" s="157">
        <f t="shared" si="436"/>
        <v>393.8</v>
      </c>
      <c r="BT119" s="396"/>
      <c r="BU119" s="366"/>
      <c r="BV119" s="366"/>
      <c r="BW119" s="366"/>
      <c r="BX119" s="366"/>
      <c r="BY119" s="366"/>
      <c r="BZ119" s="366"/>
      <c r="CA119" s="366"/>
      <c r="CB119" s="366"/>
      <c r="CC119" s="366"/>
      <c r="CD119" s="366"/>
      <c r="CE119" s="367"/>
      <c r="CF119" s="157">
        <f t="shared" si="437"/>
        <v>0</v>
      </c>
      <c r="CG119" s="396"/>
      <c r="CH119" s="366"/>
      <c r="CI119" s="366"/>
      <c r="CJ119" s="366"/>
      <c r="CK119" s="366"/>
      <c r="CL119" s="366"/>
      <c r="CM119" s="366"/>
      <c r="CN119" s="366"/>
      <c r="CO119" s="366"/>
      <c r="CP119" s="366"/>
      <c r="CQ119" s="366"/>
      <c r="CR119" s="367">
        <v>216</v>
      </c>
      <c r="CS119" s="157">
        <f t="shared" si="438"/>
        <v>216</v>
      </c>
      <c r="CT119" s="396"/>
      <c r="CU119" s="366"/>
      <c r="CV119" s="366"/>
      <c r="CW119" s="366"/>
      <c r="CX119" s="366"/>
      <c r="CY119" s="366"/>
      <c r="CZ119" s="366"/>
      <c r="DA119" s="366"/>
      <c r="DB119" s="366"/>
      <c r="DC119" s="366"/>
      <c r="DD119" s="366"/>
      <c r="DE119" s="367"/>
      <c r="DF119" s="157">
        <f t="shared" si="439"/>
        <v>0</v>
      </c>
      <c r="DG119" s="280"/>
      <c r="DH119" s="159">
        <f t="shared" si="440"/>
        <v>1592.4590354020659</v>
      </c>
      <c r="DI119" s="160">
        <f t="shared" si="441"/>
        <v>1808.4590354020661</v>
      </c>
      <c r="DJ119" s="161">
        <f t="shared" si="442"/>
        <v>216.00000000000023</v>
      </c>
    </row>
    <row r="120" spans="1:115" ht="15" customHeight="1" outlineLevel="1">
      <c r="A120" s="607"/>
      <c r="B120" s="548"/>
      <c r="C120" s="245" t="s">
        <v>63</v>
      </c>
      <c r="D120" s="184" t="s">
        <v>124</v>
      </c>
      <c r="E120" s="136">
        <f>AF120+AS120+BF120+BS120+CF120+CS120+DF120+S120+DG120</f>
        <v>827.34197783994136</v>
      </c>
      <c r="F120" s="136"/>
      <c r="G120" s="137">
        <v>11.79975674978504</v>
      </c>
      <c r="H120" s="138">
        <v>22.590401908396949</v>
      </c>
      <c r="I120" s="138">
        <v>20.066855369415808</v>
      </c>
      <c r="J120" s="138">
        <v>17.881765921787707</v>
      </c>
      <c r="K120" s="138">
        <v>18.869788755364809</v>
      </c>
      <c r="L120" s="138">
        <v>18.614331566574055</v>
      </c>
      <c r="M120" s="138">
        <v>21.573417705894869</v>
      </c>
      <c r="N120" s="138">
        <v>22.64604878559464</v>
      </c>
      <c r="O120" s="138">
        <v>22.076587842323651</v>
      </c>
      <c r="P120" s="138">
        <v>21.739311325400081</v>
      </c>
      <c r="Q120" s="138">
        <v>20.98912280847528</v>
      </c>
      <c r="R120" s="139">
        <v>19.662092224532227</v>
      </c>
      <c r="S120" s="162">
        <f t="shared" si="432"/>
        <v>238.50948096354509</v>
      </c>
      <c r="T120" s="380">
        <v>19.101102537652157</v>
      </c>
      <c r="U120" s="381">
        <v>10.410026410466067</v>
      </c>
      <c r="V120" s="381">
        <v>10.047727579203899</v>
      </c>
      <c r="W120" s="381">
        <v>10.636385811428799</v>
      </c>
      <c r="X120" s="388">
        <v>10.172935325354681</v>
      </c>
      <c r="Y120" s="388">
        <v>10.110294891610192</v>
      </c>
      <c r="Z120" s="388">
        <v>11.311360749153218</v>
      </c>
      <c r="AA120" s="388">
        <v>10.446838253036274</v>
      </c>
      <c r="AB120" s="388">
        <v>57.468430683618344</v>
      </c>
      <c r="AC120" s="388">
        <v>7.7154586183716241</v>
      </c>
      <c r="AD120" s="388">
        <v>6.6228784210111211</v>
      </c>
      <c r="AE120" s="487">
        <v>7.5200224516230323</v>
      </c>
      <c r="AF120" s="162">
        <f t="shared" si="433"/>
        <v>171.56346173252939</v>
      </c>
      <c r="AG120" s="506">
        <v>8.2643275834594867</v>
      </c>
      <c r="AH120" s="504">
        <v>8.7393971008814884</v>
      </c>
      <c r="AI120" s="504">
        <v>6.365328019380299</v>
      </c>
      <c r="AJ120" s="504">
        <v>6.8587848767923729</v>
      </c>
      <c r="AK120" s="504">
        <v>5.910049509898136</v>
      </c>
      <c r="AL120" s="504">
        <v>69.451218861414603</v>
      </c>
      <c r="AM120" s="504">
        <v>5.1699031346645796</v>
      </c>
      <c r="AN120" s="504">
        <v>12.028177279442403</v>
      </c>
      <c r="AO120" s="504">
        <v>24.646914075813232</v>
      </c>
      <c r="AP120" s="504">
        <v>6.6612712586003724</v>
      </c>
      <c r="AQ120" s="504">
        <v>6.1809509339597613</v>
      </c>
      <c r="AR120" s="508">
        <v>6.8358920471841707</v>
      </c>
      <c r="AS120" s="410">
        <f t="shared" si="434"/>
        <v>167.11221468149091</v>
      </c>
      <c r="AT120" s="528">
        <v>5.7864373100450122</v>
      </c>
      <c r="AU120" s="504">
        <v>7.3941720199310081</v>
      </c>
      <c r="AV120" s="504">
        <v>7.1406021391185615</v>
      </c>
      <c r="AW120" s="504">
        <v>6.9792133237224476</v>
      </c>
      <c r="AX120" s="504">
        <v>7.2104956125356123</v>
      </c>
      <c r="AY120" s="504">
        <v>9.8699000570233792</v>
      </c>
      <c r="AZ120" s="368">
        <v>6</v>
      </c>
      <c r="BA120" s="368">
        <v>6</v>
      </c>
      <c r="BB120" s="368">
        <v>6</v>
      </c>
      <c r="BC120" s="368">
        <v>6</v>
      </c>
      <c r="BD120" s="368">
        <v>6</v>
      </c>
      <c r="BE120" s="369">
        <v>6</v>
      </c>
      <c r="BF120" s="162">
        <f t="shared" si="435"/>
        <v>80.380820462376022</v>
      </c>
      <c r="BG120" s="368">
        <v>14.147999999999998</v>
      </c>
      <c r="BH120" s="368">
        <v>14.147999999999998</v>
      </c>
      <c r="BI120" s="368">
        <v>14.147999999999998</v>
      </c>
      <c r="BJ120" s="368">
        <v>14.147999999999998</v>
      </c>
      <c r="BK120" s="368">
        <v>14.147999999999998</v>
      </c>
      <c r="BL120" s="368">
        <v>14.147999999999998</v>
      </c>
      <c r="BM120" s="368">
        <v>14.147999999999998</v>
      </c>
      <c r="BN120" s="368">
        <v>14.147999999999998</v>
      </c>
      <c r="BO120" s="368">
        <v>14.147999999999998</v>
      </c>
      <c r="BP120" s="368">
        <v>14.147999999999998</v>
      </c>
      <c r="BQ120" s="368">
        <v>14.147999999999998</v>
      </c>
      <c r="BR120" s="369">
        <v>14.147999999999998</v>
      </c>
      <c r="BS120" s="162">
        <f t="shared" si="436"/>
        <v>169.77599999999998</v>
      </c>
      <c r="BT120" s="368"/>
      <c r="BU120" s="368"/>
      <c r="BV120" s="368"/>
      <c r="BW120" s="368"/>
      <c r="BX120" s="368"/>
      <c r="BY120" s="368"/>
      <c r="BZ120" s="368"/>
      <c r="CA120" s="368"/>
      <c r="CB120" s="368"/>
      <c r="CC120" s="368"/>
      <c r="CD120" s="368"/>
      <c r="CE120" s="369"/>
      <c r="CF120" s="162">
        <f t="shared" si="437"/>
        <v>0</v>
      </c>
      <c r="CG120" s="368"/>
      <c r="CH120" s="368"/>
      <c r="CI120" s="368"/>
      <c r="CJ120" s="368"/>
      <c r="CK120" s="368"/>
      <c r="CL120" s="368"/>
      <c r="CM120" s="368"/>
      <c r="CN120" s="368"/>
      <c r="CO120" s="368"/>
      <c r="CP120" s="368"/>
      <c r="CQ120" s="368"/>
      <c r="CR120" s="369"/>
      <c r="CS120" s="162">
        <f t="shared" si="438"/>
        <v>0</v>
      </c>
      <c r="CT120" s="368"/>
      <c r="CU120" s="368"/>
      <c r="CV120" s="368"/>
      <c r="CW120" s="368"/>
      <c r="CX120" s="368"/>
      <c r="CY120" s="368"/>
      <c r="CZ120" s="368"/>
      <c r="DA120" s="368"/>
      <c r="DB120" s="368"/>
      <c r="DC120" s="368"/>
      <c r="DD120" s="368"/>
      <c r="DE120" s="369"/>
      <c r="DF120" s="162">
        <f t="shared" si="439"/>
        <v>0</v>
      </c>
      <c r="DG120" s="279"/>
      <c r="DH120" s="90">
        <f t="shared" si="440"/>
        <v>827.34197783994148</v>
      </c>
      <c r="DI120" s="91">
        <f t="shared" si="441"/>
        <v>827.34197783994136</v>
      </c>
      <c r="DJ120" s="92">
        <f t="shared" si="442"/>
        <v>0</v>
      </c>
      <c r="DK120" s="64">
        <f>+DH120/DH119</f>
        <v>0.51953736921782312</v>
      </c>
    </row>
    <row r="121" spans="1:115" ht="15" customHeight="1" outlineLevel="1">
      <c r="A121" s="607"/>
      <c r="B121" s="549"/>
      <c r="C121" s="554" t="s">
        <v>11</v>
      </c>
      <c r="D121" s="555"/>
      <c r="E121" s="143">
        <f>+E119-E120</f>
        <v>981.11705756212473</v>
      </c>
      <c r="F121" s="144">
        <f t="shared" ref="F121:R121" si="475">+F119-F120</f>
        <v>0</v>
      </c>
      <c r="G121" s="145">
        <f t="shared" si="475"/>
        <v>208.16066027515046</v>
      </c>
      <c r="H121" s="145">
        <f t="shared" si="475"/>
        <v>-22.590401908396949</v>
      </c>
      <c r="I121" s="145">
        <f t="shared" si="475"/>
        <v>-20.066855369415808</v>
      </c>
      <c r="J121" s="145">
        <f t="shared" si="475"/>
        <v>-17.881765921787707</v>
      </c>
      <c r="K121" s="145">
        <f t="shared" si="475"/>
        <v>-18.869788755364809</v>
      </c>
      <c r="L121" s="145">
        <f t="shared" si="475"/>
        <v>-18.614331566574055</v>
      </c>
      <c r="M121" s="145">
        <f t="shared" si="475"/>
        <v>-21.573417705894869</v>
      </c>
      <c r="N121" s="145">
        <f t="shared" si="475"/>
        <v>-22.64604878559464</v>
      </c>
      <c r="O121" s="145">
        <f t="shared" si="475"/>
        <v>-22.076587842323651</v>
      </c>
      <c r="P121" s="145">
        <f t="shared" si="475"/>
        <v>-21.739311325400081</v>
      </c>
      <c r="Q121" s="145">
        <f t="shared" si="475"/>
        <v>-20.98912280847528</v>
      </c>
      <c r="R121" s="146">
        <f t="shared" si="475"/>
        <v>-19.662092224532227</v>
      </c>
      <c r="S121" s="147">
        <f t="shared" si="432"/>
        <v>-18.549063938609638</v>
      </c>
      <c r="T121" s="148">
        <f t="shared" ref="T121:AE121" si="476">+T119-T120</f>
        <v>-19.101102537652157</v>
      </c>
      <c r="U121" s="145">
        <f t="shared" si="476"/>
        <v>-10.410026410466067</v>
      </c>
      <c r="V121" s="145">
        <f t="shared" si="476"/>
        <v>-10.047727579203899</v>
      </c>
      <c r="W121" s="145">
        <f t="shared" si="476"/>
        <v>-10.636385811428799</v>
      </c>
      <c r="X121" s="145">
        <f t="shared" si="476"/>
        <v>-10.172935325354681</v>
      </c>
      <c r="Y121" s="145">
        <f t="shared" si="476"/>
        <v>-10.110294891610192</v>
      </c>
      <c r="Z121" s="145">
        <f t="shared" si="476"/>
        <v>-11.311360749153218</v>
      </c>
      <c r="AA121" s="145">
        <f t="shared" si="476"/>
        <v>-10.446838253036274</v>
      </c>
      <c r="AB121" s="145">
        <f t="shared" si="476"/>
        <v>-57.468430683618344</v>
      </c>
      <c r="AC121" s="145">
        <f t="shared" si="476"/>
        <v>-7.7154586183716241</v>
      </c>
      <c r="AD121" s="145">
        <f t="shared" si="476"/>
        <v>-6.6228784210111211</v>
      </c>
      <c r="AE121" s="146">
        <f t="shared" si="476"/>
        <v>-7.5200224516230323</v>
      </c>
      <c r="AF121" s="147">
        <f t="shared" si="433"/>
        <v>-171.56346173252939</v>
      </c>
      <c r="AG121" s="148">
        <f t="shared" ref="AG121:AR121" si="477">+AG119-AG120</f>
        <v>-8.2643275834594867</v>
      </c>
      <c r="AH121" s="145">
        <f t="shared" si="477"/>
        <v>-8.7393971008814884</v>
      </c>
      <c r="AI121" s="145">
        <f t="shared" si="477"/>
        <v>-6.365328019380299</v>
      </c>
      <c r="AJ121" s="145">
        <f t="shared" si="477"/>
        <v>-6.8587848767923729</v>
      </c>
      <c r="AK121" s="145">
        <f t="shared" si="477"/>
        <v>-5.910049509898136</v>
      </c>
      <c r="AL121" s="145">
        <f t="shared" si="477"/>
        <v>-69.451218861414603</v>
      </c>
      <c r="AM121" s="145">
        <f t="shared" si="477"/>
        <v>-5.1699031346645796</v>
      </c>
      <c r="AN121" s="145">
        <f t="shared" si="477"/>
        <v>-12.028177279442403</v>
      </c>
      <c r="AO121" s="145">
        <f t="shared" si="477"/>
        <v>-24.646914075813232</v>
      </c>
      <c r="AP121" s="145">
        <f t="shared" si="477"/>
        <v>-6.6612712586003724</v>
      </c>
      <c r="AQ121" s="145">
        <f t="shared" si="477"/>
        <v>-6.1809509339597613</v>
      </c>
      <c r="AR121" s="146">
        <f t="shared" si="477"/>
        <v>-6.8358920471841707</v>
      </c>
      <c r="AS121" s="408">
        <f t="shared" si="434"/>
        <v>-167.11221468149091</v>
      </c>
      <c r="AT121" s="148">
        <f t="shared" ref="AT121:BE121" si="478">+AT119-AT120</f>
        <v>584.71242007463547</v>
      </c>
      <c r="AU121" s="145">
        <f t="shared" si="478"/>
        <v>-7.3941720199310081</v>
      </c>
      <c r="AV121" s="145">
        <f t="shared" si="478"/>
        <v>-7.1406021391185615</v>
      </c>
      <c r="AW121" s="145">
        <f t="shared" si="478"/>
        <v>381.22054766872759</v>
      </c>
      <c r="AX121" s="145">
        <f t="shared" si="478"/>
        <v>-7.2104956125356123</v>
      </c>
      <c r="AY121" s="145">
        <f t="shared" si="478"/>
        <v>-9.8699000570233792</v>
      </c>
      <c r="AZ121" s="145">
        <f t="shared" si="478"/>
        <v>-6</v>
      </c>
      <c r="BA121" s="145">
        <f t="shared" si="478"/>
        <v>-6</v>
      </c>
      <c r="BB121" s="145">
        <f t="shared" si="478"/>
        <v>-6</v>
      </c>
      <c r="BC121" s="145">
        <f t="shared" si="478"/>
        <v>-6</v>
      </c>
      <c r="BD121" s="145">
        <f t="shared" si="478"/>
        <v>-6</v>
      </c>
      <c r="BE121" s="146">
        <f t="shared" si="478"/>
        <v>-6</v>
      </c>
      <c r="BF121" s="147">
        <f t="shared" si="435"/>
        <v>898.31779791475446</v>
      </c>
      <c r="BG121" s="148">
        <f t="shared" ref="BG121:BR121" si="479">+BG119-BG120</f>
        <v>-14.147999999999998</v>
      </c>
      <c r="BH121" s="145">
        <f t="shared" si="479"/>
        <v>-14.147999999999998</v>
      </c>
      <c r="BI121" s="145">
        <f t="shared" si="479"/>
        <v>379.65199999999999</v>
      </c>
      <c r="BJ121" s="145">
        <f t="shared" si="479"/>
        <v>-14.147999999999998</v>
      </c>
      <c r="BK121" s="145">
        <f t="shared" si="479"/>
        <v>-14.147999999999998</v>
      </c>
      <c r="BL121" s="145">
        <f t="shared" si="479"/>
        <v>-14.147999999999998</v>
      </c>
      <c r="BM121" s="145">
        <f t="shared" si="479"/>
        <v>-14.147999999999998</v>
      </c>
      <c r="BN121" s="145">
        <f t="shared" si="479"/>
        <v>-14.147999999999998</v>
      </c>
      <c r="BO121" s="145">
        <f t="shared" si="479"/>
        <v>-14.147999999999998</v>
      </c>
      <c r="BP121" s="145">
        <f t="shared" si="479"/>
        <v>-14.147999999999998</v>
      </c>
      <c r="BQ121" s="145">
        <f t="shared" si="479"/>
        <v>-14.147999999999998</v>
      </c>
      <c r="BR121" s="146">
        <f t="shared" si="479"/>
        <v>-14.147999999999998</v>
      </c>
      <c r="BS121" s="147">
        <f t="shared" si="436"/>
        <v>224.02399999999986</v>
      </c>
      <c r="BT121" s="148">
        <f t="shared" ref="BT121:CE121" si="480">+BT119-BT120</f>
        <v>0</v>
      </c>
      <c r="BU121" s="145">
        <f t="shared" si="480"/>
        <v>0</v>
      </c>
      <c r="BV121" s="145">
        <f t="shared" si="480"/>
        <v>0</v>
      </c>
      <c r="BW121" s="145">
        <f t="shared" si="480"/>
        <v>0</v>
      </c>
      <c r="BX121" s="145">
        <f t="shared" si="480"/>
        <v>0</v>
      </c>
      <c r="BY121" s="145">
        <f t="shared" si="480"/>
        <v>0</v>
      </c>
      <c r="BZ121" s="145">
        <f t="shared" si="480"/>
        <v>0</v>
      </c>
      <c r="CA121" s="145">
        <f t="shared" si="480"/>
        <v>0</v>
      </c>
      <c r="CB121" s="145">
        <f t="shared" si="480"/>
        <v>0</v>
      </c>
      <c r="CC121" s="145">
        <f t="shared" si="480"/>
        <v>0</v>
      </c>
      <c r="CD121" s="145">
        <f t="shared" si="480"/>
        <v>0</v>
      </c>
      <c r="CE121" s="146">
        <f t="shared" si="480"/>
        <v>0</v>
      </c>
      <c r="CF121" s="147">
        <f t="shared" si="437"/>
        <v>0</v>
      </c>
      <c r="CG121" s="148">
        <f t="shared" ref="CG121:CR121" si="481">+CG119-CG120</f>
        <v>0</v>
      </c>
      <c r="CH121" s="145">
        <f t="shared" si="481"/>
        <v>0</v>
      </c>
      <c r="CI121" s="145">
        <f t="shared" si="481"/>
        <v>0</v>
      </c>
      <c r="CJ121" s="145">
        <f t="shared" si="481"/>
        <v>0</v>
      </c>
      <c r="CK121" s="145">
        <f t="shared" si="481"/>
        <v>0</v>
      </c>
      <c r="CL121" s="145">
        <f t="shared" si="481"/>
        <v>0</v>
      </c>
      <c r="CM121" s="145">
        <f t="shared" si="481"/>
        <v>0</v>
      </c>
      <c r="CN121" s="145">
        <f t="shared" si="481"/>
        <v>0</v>
      </c>
      <c r="CO121" s="145">
        <f t="shared" si="481"/>
        <v>0</v>
      </c>
      <c r="CP121" s="145">
        <f t="shared" si="481"/>
        <v>0</v>
      </c>
      <c r="CQ121" s="145">
        <f t="shared" si="481"/>
        <v>0</v>
      </c>
      <c r="CR121" s="146">
        <f t="shared" si="481"/>
        <v>216</v>
      </c>
      <c r="CS121" s="147">
        <f t="shared" si="438"/>
        <v>216</v>
      </c>
      <c r="CT121" s="148">
        <f t="shared" ref="CT121:DE121" si="482">+CT119-CT120</f>
        <v>0</v>
      </c>
      <c r="CU121" s="145">
        <f t="shared" si="482"/>
        <v>0</v>
      </c>
      <c r="CV121" s="145">
        <f t="shared" si="482"/>
        <v>0</v>
      </c>
      <c r="CW121" s="145">
        <f t="shared" si="482"/>
        <v>0</v>
      </c>
      <c r="CX121" s="145">
        <f t="shared" si="482"/>
        <v>0</v>
      </c>
      <c r="CY121" s="145">
        <f t="shared" si="482"/>
        <v>0</v>
      </c>
      <c r="CZ121" s="145">
        <f t="shared" si="482"/>
        <v>0</v>
      </c>
      <c r="DA121" s="145">
        <f t="shared" si="482"/>
        <v>0</v>
      </c>
      <c r="DB121" s="145">
        <f t="shared" si="482"/>
        <v>0</v>
      </c>
      <c r="DC121" s="145">
        <f t="shared" si="482"/>
        <v>0</v>
      </c>
      <c r="DD121" s="145">
        <f t="shared" si="482"/>
        <v>0</v>
      </c>
      <c r="DE121" s="146">
        <f t="shared" si="482"/>
        <v>0</v>
      </c>
      <c r="DF121" s="147">
        <f t="shared" si="439"/>
        <v>0</v>
      </c>
      <c r="DG121" s="146">
        <f>+DG119-DG120</f>
        <v>0</v>
      </c>
      <c r="DH121" s="98">
        <f t="shared" si="440"/>
        <v>765.11705756212439</v>
      </c>
      <c r="DI121" s="99">
        <f t="shared" si="441"/>
        <v>981.11705756212473</v>
      </c>
      <c r="DJ121" s="100">
        <f t="shared" si="442"/>
        <v>216.00000000000034</v>
      </c>
    </row>
    <row r="122" spans="1:115" ht="15" customHeight="1" outlineLevel="1">
      <c r="A122" s="607"/>
      <c r="B122" s="557" t="s">
        <v>344</v>
      </c>
      <c r="C122" s="246" t="s">
        <v>62</v>
      </c>
      <c r="D122" s="183" t="s">
        <v>122</v>
      </c>
      <c r="E122" s="153">
        <f>AF122+AS122+BF122+BS122+CF122+CS122+DF122+S122+DG122</f>
        <v>367.20000000000005</v>
      </c>
      <c r="F122" s="153"/>
      <c r="G122" s="154"/>
      <c r="H122" s="155"/>
      <c r="I122" s="155"/>
      <c r="J122" s="155"/>
      <c r="K122" s="155"/>
      <c r="L122" s="155"/>
      <c r="M122" s="155"/>
      <c r="N122" s="155"/>
      <c r="O122" s="155"/>
      <c r="P122" s="155"/>
      <c r="Q122" s="155"/>
      <c r="R122" s="284"/>
      <c r="S122" s="157"/>
      <c r="T122" s="378"/>
      <c r="U122" s="382"/>
      <c r="V122" s="382"/>
      <c r="W122" s="382"/>
      <c r="X122" s="382"/>
      <c r="Y122" s="382"/>
      <c r="Z122" s="382"/>
      <c r="AA122" s="382"/>
      <c r="AB122" s="382"/>
      <c r="AC122" s="382"/>
      <c r="AD122" s="382"/>
      <c r="AE122" s="481"/>
      <c r="AF122" s="157">
        <f t="shared" si="433"/>
        <v>0</v>
      </c>
      <c r="AG122" s="500"/>
      <c r="AH122" s="513"/>
      <c r="AI122" s="513"/>
      <c r="AJ122" s="513"/>
      <c r="AK122" s="513"/>
      <c r="AL122" s="513"/>
      <c r="AM122" s="513"/>
      <c r="AN122" s="513"/>
      <c r="AO122" s="513"/>
      <c r="AP122" s="513"/>
      <c r="AQ122" s="513"/>
      <c r="AR122" s="512"/>
      <c r="AS122" s="409">
        <f t="shared" si="434"/>
        <v>0</v>
      </c>
      <c r="AT122" s="513"/>
      <c r="AU122" s="513"/>
      <c r="AV122" s="513"/>
      <c r="AW122" s="513"/>
      <c r="AX122" s="513"/>
      <c r="AY122" s="513"/>
      <c r="AZ122" s="155"/>
      <c r="BA122" s="155"/>
      <c r="BB122" s="155"/>
      <c r="BC122" s="155"/>
      <c r="BD122" s="155"/>
      <c r="BE122" s="156"/>
      <c r="BF122" s="157">
        <f t="shared" si="435"/>
        <v>0</v>
      </c>
      <c r="BG122" s="158"/>
      <c r="BH122" s="155">
        <v>367.20000000000005</v>
      </c>
      <c r="BI122" s="155"/>
      <c r="BJ122" s="155"/>
      <c r="BK122" s="155"/>
      <c r="BL122" s="155"/>
      <c r="BM122" s="155"/>
      <c r="BN122" s="155"/>
      <c r="BO122" s="155"/>
      <c r="BP122" s="155"/>
      <c r="BQ122" s="155"/>
      <c r="BR122" s="156"/>
      <c r="BS122" s="157">
        <f t="shared" ref="BS122:BS136" si="483">SUM(BG122:BR122)</f>
        <v>367.20000000000005</v>
      </c>
      <c r="BT122" s="158"/>
      <c r="BU122" s="155"/>
      <c r="BV122" s="155"/>
      <c r="BW122" s="155"/>
      <c r="BX122" s="155"/>
      <c r="BY122" s="155"/>
      <c r="BZ122" s="155"/>
      <c r="CA122" s="155"/>
      <c r="CB122" s="155"/>
      <c r="CC122" s="155"/>
      <c r="CD122" s="155"/>
      <c r="CE122" s="156"/>
      <c r="CF122" s="157">
        <f t="shared" ref="CF122:CF136" si="484">SUM(BT122:CE122)</f>
        <v>0</v>
      </c>
      <c r="CG122" s="158"/>
      <c r="CH122" s="155"/>
      <c r="CI122" s="155"/>
      <c r="CJ122" s="155"/>
      <c r="CK122" s="155"/>
      <c r="CL122" s="155"/>
      <c r="CM122" s="155"/>
      <c r="CN122" s="155"/>
      <c r="CO122" s="155"/>
      <c r="CP122" s="155"/>
      <c r="CQ122" s="155"/>
      <c r="CR122" s="156"/>
      <c r="CS122" s="157">
        <f t="shared" ref="CS122:CS136" si="485">SUM(CG122:CR122)</f>
        <v>0</v>
      </c>
      <c r="CT122" s="158"/>
      <c r="CU122" s="155"/>
      <c r="CV122" s="155"/>
      <c r="CW122" s="155"/>
      <c r="CX122" s="155"/>
      <c r="CY122" s="155"/>
      <c r="CZ122" s="155"/>
      <c r="DA122" s="155"/>
      <c r="DB122" s="155"/>
      <c r="DC122" s="155"/>
      <c r="DD122" s="155"/>
      <c r="DE122" s="156"/>
      <c r="DF122" s="157">
        <f t="shared" ref="DF122:DF136" si="486">SUM(CT122:DE122)</f>
        <v>0</v>
      </c>
      <c r="DG122" s="280"/>
      <c r="DH122" s="159">
        <f t="shared" si="440"/>
        <v>367.20000000000005</v>
      </c>
      <c r="DI122" s="160">
        <f t="shared" si="441"/>
        <v>367.20000000000005</v>
      </c>
      <c r="DJ122" s="161">
        <f t="shared" si="442"/>
        <v>0</v>
      </c>
    </row>
    <row r="123" spans="1:115" ht="15" customHeight="1" outlineLevel="1">
      <c r="A123" s="607"/>
      <c r="B123" s="558"/>
      <c r="C123" s="245" t="s">
        <v>63</v>
      </c>
      <c r="D123" s="184" t="s">
        <v>124</v>
      </c>
      <c r="E123" s="136">
        <f>AF123+AS123+BF123+BS123+CF123+CS123+DF123+S123+DG123</f>
        <v>312.12</v>
      </c>
      <c r="F123" s="136"/>
      <c r="G123" s="137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9"/>
      <c r="S123" s="162"/>
      <c r="T123" s="380"/>
      <c r="U123" s="381"/>
      <c r="V123" s="381"/>
      <c r="W123" s="381"/>
      <c r="X123" s="381"/>
      <c r="Y123" s="381"/>
      <c r="Z123" s="381"/>
      <c r="AA123" s="381"/>
      <c r="AB123" s="381"/>
      <c r="AC123" s="381"/>
      <c r="AD123" s="381"/>
      <c r="AE123" s="392"/>
      <c r="AF123" s="162">
        <f t="shared" si="433"/>
        <v>0</v>
      </c>
      <c r="AG123" s="501"/>
      <c r="AH123" s="499"/>
      <c r="AI123" s="499"/>
      <c r="AJ123" s="499"/>
      <c r="AK123" s="499"/>
      <c r="AL123" s="499"/>
      <c r="AM123" s="499"/>
      <c r="AN123" s="499"/>
      <c r="AO123" s="499"/>
      <c r="AP123" s="499"/>
      <c r="AQ123" s="499"/>
      <c r="AR123" s="511"/>
      <c r="AS123" s="410">
        <f t="shared" si="434"/>
        <v>0</v>
      </c>
      <c r="AT123" s="499"/>
      <c r="AU123" s="499"/>
      <c r="AV123" s="499"/>
      <c r="AW123" s="499"/>
      <c r="AX123" s="499"/>
      <c r="AY123" s="499"/>
      <c r="AZ123" s="138"/>
      <c r="BA123" s="138"/>
      <c r="BB123" s="138"/>
      <c r="BC123" s="138"/>
      <c r="BD123" s="138"/>
      <c r="BE123" s="139"/>
      <c r="BF123" s="162">
        <f t="shared" si="435"/>
        <v>0</v>
      </c>
      <c r="BG123" s="141"/>
      <c r="BH123" s="138">
        <v>312.12</v>
      </c>
      <c r="BI123" s="138"/>
      <c r="BJ123" s="138"/>
      <c r="BK123" s="138"/>
      <c r="BL123" s="138"/>
      <c r="BM123" s="138"/>
      <c r="BN123" s="138"/>
      <c r="BO123" s="138"/>
      <c r="BP123" s="138"/>
      <c r="BQ123" s="138"/>
      <c r="BR123" s="139"/>
      <c r="BS123" s="162">
        <f t="shared" si="483"/>
        <v>312.12</v>
      </c>
      <c r="BT123" s="141"/>
      <c r="BU123" s="138"/>
      <c r="BV123" s="138"/>
      <c r="BW123" s="138"/>
      <c r="BX123" s="138"/>
      <c r="BY123" s="138"/>
      <c r="BZ123" s="138"/>
      <c r="CA123" s="138"/>
      <c r="CB123" s="138"/>
      <c r="CC123" s="138"/>
      <c r="CD123" s="138"/>
      <c r="CE123" s="139"/>
      <c r="CF123" s="162">
        <f t="shared" si="484"/>
        <v>0</v>
      </c>
      <c r="CG123" s="141"/>
      <c r="CH123" s="138"/>
      <c r="CI123" s="138"/>
      <c r="CJ123" s="138"/>
      <c r="CK123" s="138"/>
      <c r="CL123" s="138"/>
      <c r="CM123" s="138"/>
      <c r="CN123" s="138"/>
      <c r="CO123" s="138"/>
      <c r="CP123" s="138"/>
      <c r="CQ123" s="138"/>
      <c r="CR123" s="139"/>
      <c r="CS123" s="162">
        <f t="shared" si="485"/>
        <v>0</v>
      </c>
      <c r="CT123" s="141"/>
      <c r="CU123" s="138"/>
      <c r="CV123" s="138"/>
      <c r="CW123" s="138"/>
      <c r="CX123" s="138"/>
      <c r="CY123" s="138"/>
      <c r="CZ123" s="138"/>
      <c r="DA123" s="138"/>
      <c r="DB123" s="138"/>
      <c r="DC123" s="138"/>
      <c r="DD123" s="138"/>
      <c r="DE123" s="139"/>
      <c r="DF123" s="162">
        <f t="shared" si="486"/>
        <v>0</v>
      </c>
      <c r="DG123" s="279"/>
      <c r="DH123" s="90">
        <f t="shared" si="440"/>
        <v>312.12</v>
      </c>
      <c r="DI123" s="91">
        <f t="shared" si="441"/>
        <v>312.12</v>
      </c>
      <c r="DJ123" s="92">
        <f t="shared" si="442"/>
        <v>0</v>
      </c>
      <c r="DK123" s="64">
        <f>+DH123/DH122</f>
        <v>0.84999999999999987</v>
      </c>
    </row>
    <row r="124" spans="1:115" ht="15" customHeight="1" outlineLevel="1">
      <c r="A124" s="607"/>
      <c r="B124" s="559"/>
      <c r="C124" s="357" t="s">
        <v>11</v>
      </c>
      <c r="D124" s="358"/>
      <c r="E124" s="143">
        <f t="shared" ref="E124:R124" si="487">+E122-E123</f>
        <v>55.080000000000041</v>
      </c>
      <c r="F124" s="144">
        <f t="shared" si="487"/>
        <v>0</v>
      </c>
      <c r="G124" s="145">
        <f t="shared" si="487"/>
        <v>0</v>
      </c>
      <c r="H124" s="145">
        <f t="shared" si="487"/>
        <v>0</v>
      </c>
      <c r="I124" s="145">
        <f t="shared" si="487"/>
        <v>0</v>
      </c>
      <c r="J124" s="145">
        <f t="shared" si="487"/>
        <v>0</v>
      </c>
      <c r="K124" s="145">
        <f t="shared" si="487"/>
        <v>0</v>
      </c>
      <c r="L124" s="145">
        <f t="shared" si="487"/>
        <v>0</v>
      </c>
      <c r="M124" s="145">
        <f t="shared" si="487"/>
        <v>0</v>
      </c>
      <c r="N124" s="145">
        <f t="shared" si="487"/>
        <v>0</v>
      </c>
      <c r="O124" s="145">
        <f t="shared" si="487"/>
        <v>0</v>
      </c>
      <c r="P124" s="145">
        <f t="shared" si="487"/>
        <v>0</v>
      </c>
      <c r="Q124" s="145">
        <f t="shared" si="487"/>
        <v>0</v>
      </c>
      <c r="R124" s="146">
        <f t="shared" si="487"/>
        <v>0</v>
      </c>
      <c r="S124" s="147"/>
      <c r="T124" s="148">
        <f t="shared" ref="T124:AE124" si="488">+T122-T123</f>
        <v>0</v>
      </c>
      <c r="U124" s="145">
        <f t="shared" si="488"/>
        <v>0</v>
      </c>
      <c r="V124" s="145">
        <f t="shared" si="488"/>
        <v>0</v>
      </c>
      <c r="W124" s="145">
        <f t="shared" si="488"/>
        <v>0</v>
      </c>
      <c r="X124" s="145">
        <f t="shared" si="488"/>
        <v>0</v>
      </c>
      <c r="Y124" s="145">
        <f t="shared" si="488"/>
        <v>0</v>
      </c>
      <c r="Z124" s="145">
        <f t="shared" si="488"/>
        <v>0</v>
      </c>
      <c r="AA124" s="145">
        <f t="shared" si="488"/>
        <v>0</v>
      </c>
      <c r="AB124" s="145">
        <f t="shared" si="488"/>
        <v>0</v>
      </c>
      <c r="AC124" s="145">
        <f t="shared" si="488"/>
        <v>0</v>
      </c>
      <c r="AD124" s="145">
        <f t="shared" si="488"/>
        <v>0</v>
      </c>
      <c r="AE124" s="146">
        <f t="shared" si="488"/>
        <v>0</v>
      </c>
      <c r="AF124" s="147">
        <f t="shared" si="433"/>
        <v>0</v>
      </c>
      <c r="AG124" s="148">
        <f t="shared" ref="AG124:AR124" si="489">+AG122-AG123</f>
        <v>0</v>
      </c>
      <c r="AH124" s="145">
        <f t="shared" si="489"/>
        <v>0</v>
      </c>
      <c r="AI124" s="145">
        <f t="shared" si="489"/>
        <v>0</v>
      </c>
      <c r="AJ124" s="145">
        <f t="shared" si="489"/>
        <v>0</v>
      </c>
      <c r="AK124" s="145">
        <f t="shared" si="489"/>
        <v>0</v>
      </c>
      <c r="AL124" s="145">
        <f t="shared" si="489"/>
        <v>0</v>
      </c>
      <c r="AM124" s="145">
        <f t="shared" si="489"/>
        <v>0</v>
      </c>
      <c r="AN124" s="145">
        <f t="shared" si="489"/>
        <v>0</v>
      </c>
      <c r="AO124" s="145">
        <f t="shared" si="489"/>
        <v>0</v>
      </c>
      <c r="AP124" s="145">
        <f t="shared" si="489"/>
        <v>0</v>
      </c>
      <c r="AQ124" s="145">
        <f t="shared" si="489"/>
        <v>0</v>
      </c>
      <c r="AR124" s="146">
        <f t="shared" si="489"/>
        <v>0</v>
      </c>
      <c r="AS124" s="408">
        <f t="shared" si="434"/>
        <v>0</v>
      </c>
      <c r="AT124" s="148">
        <f t="shared" ref="AT124:BE124" si="490">+AT122-AT123</f>
        <v>0</v>
      </c>
      <c r="AU124" s="145">
        <f t="shared" si="490"/>
        <v>0</v>
      </c>
      <c r="AV124" s="145">
        <f t="shared" si="490"/>
        <v>0</v>
      </c>
      <c r="AW124" s="145">
        <f t="shared" si="490"/>
        <v>0</v>
      </c>
      <c r="AX124" s="145">
        <f t="shared" si="490"/>
        <v>0</v>
      </c>
      <c r="AY124" s="145">
        <f t="shared" si="490"/>
        <v>0</v>
      </c>
      <c r="AZ124" s="145">
        <f t="shared" si="490"/>
        <v>0</v>
      </c>
      <c r="BA124" s="145">
        <f t="shared" si="490"/>
        <v>0</v>
      </c>
      <c r="BB124" s="145">
        <f t="shared" si="490"/>
        <v>0</v>
      </c>
      <c r="BC124" s="145">
        <f t="shared" si="490"/>
        <v>0</v>
      </c>
      <c r="BD124" s="145">
        <f t="shared" si="490"/>
        <v>0</v>
      </c>
      <c r="BE124" s="146">
        <f t="shared" si="490"/>
        <v>0</v>
      </c>
      <c r="BF124" s="147">
        <f t="shared" si="435"/>
        <v>0</v>
      </c>
      <c r="BG124" s="148">
        <f t="shared" ref="BG124:BR124" si="491">+BG122-BG123</f>
        <v>0</v>
      </c>
      <c r="BH124" s="145">
        <f t="shared" si="491"/>
        <v>55.080000000000041</v>
      </c>
      <c r="BI124" s="145">
        <f t="shared" si="491"/>
        <v>0</v>
      </c>
      <c r="BJ124" s="145">
        <f t="shared" si="491"/>
        <v>0</v>
      </c>
      <c r="BK124" s="145">
        <f t="shared" si="491"/>
        <v>0</v>
      </c>
      <c r="BL124" s="145">
        <f t="shared" si="491"/>
        <v>0</v>
      </c>
      <c r="BM124" s="145">
        <f t="shared" si="491"/>
        <v>0</v>
      </c>
      <c r="BN124" s="145">
        <f t="shared" si="491"/>
        <v>0</v>
      </c>
      <c r="BO124" s="145">
        <f t="shared" si="491"/>
        <v>0</v>
      </c>
      <c r="BP124" s="145">
        <f t="shared" si="491"/>
        <v>0</v>
      </c>
      <c r="BQ124" s="145">
        <f t="shared" si="491"/>
        <v>0</v>
      </c>
      <c r="BR124" s="146">
        <f t="shared" si="491"/>
        <v>0</v>
      </c>
      <c r="BS124" s="147">
        <f t="shared" si="483"/>
        <v>55.080000000000041</v>
      </c>
      <c r="BT124" s="148">
        <f t="shared" ref="BT124:CE124" si="492">+BT122-BT123</f>
        <v>0</v>
      </c>
      <c r="BU124" s="145">
        <f t="shared" si="492"/>
        <v>0</v>
      </c>
      <c r="BV124" s="145">
        <f t="shared" si="492"/>
        <v>0</v>
      </c>
      <c r="BW124" s="145">
        <f t="shared" si="492"/>
        <v>0</v>
      </c>
      <c r="BX124" s="145">
        <f t="shared" si="492"/>
        <v>0</v>
      </c>
      <c r="BY124" s="145">
        <f t="shared" si="492"/>
        <v>0</v>
      </c>
      <c r="BZ124" s="145">
        <f t="shared" si="492"/>
        <v>0</v>
      </c>
      <c r="CA124" s="145">
        <f t="shared" si="492"/>
        <v>0</v>
      </c>
      <c r="CB124" s="145">
        <f t="shared" si="492"/>
        <v>0</v>
      </c>
      <c r="CC124" s="145">
        <f t="shared" si="492"/>
        <v>0</v>
      </c>
      <c r="CD124" s="145">
        <f t="shared" si="492"/>
        <v>0</v>
      </c>
      <c r="CE124" s="146">
        <f t="shared" si="492"/>
        <v>0</v>
      </c>
      <c r="CF124" s="147">
        <f t="shared" si="484"/>
        <v>0</v>
      </c>
      <c r="CG124" s="148">
        <f t="shared" ref="CG124:CR124" si="493">+CG122-CG123</f>
        <v>0</v>
      </c>
      <c r="CH124" s="145">
        <f t="shared" si="493"/>
        <v>0</v>
      </c>
      <c r="CI124" s="145">
        <f t="shared" si="493"/>
        <v>0</v>
      </c>
      <c r="CJ124" s="145">
        <f t="shared" si="493"/>
        <v>0</v>
      </c>
      <c r="CK124" s="145">
        <f t="shared" si="493"/>
        <v>0</v>
      </c>
      <c r="CL124" s="145">
        <f t="shared" si="493"/>
        <v>0</v>
      </c>
      <c r="CM124" s="145">
        <f t="shared" si="493"/>
        <v>0</v>
      </c>
      <c r="CN124" s="145">
        <f t="shared" si="493"/>
        <v>0</v>
      </c>
      <c r="CO124" s="145">
        <f t="shared" si="493"/>
        <v>0</v>
      </c>
      <c r="CP124" s="145">
        <f t="shared" si="493"/>
        <v>0</v>
      </c>
      <c r="CQ124" s="145">
        <f t="shared" si="493"/>
        <v>0</v>
      </c>
      <c r="CR124" s="146">
        <f t="shared" si="493"/>
        <v>0</v>
      </c>
      <c r="CS124" s="147">
        <f t="shared" si="485"/>
        <v>0</v>
      </c>
      <c r="CT124" s="148">
        <f t="shared" ref="CT124:DE124" si="494">+CT122-CT123</f>
        <v>0</v>
      </c>
      <c r="CU124" s="145">
        <f t="shared" si="494"/>
        <v>0</v>
      </c>
      <c r="CV124" s="145">
        <f t="shared" si="494"/>
        <v>0</v>
      </c>
      <c r="CW124" s="145">
        <f t="shared" si="494"/>
        <v>0</v>
      </c>
      <c r="CX124" s="145">
        <f t="shared" si="494"/>
        <v>0</v>
      </c>
      <c r="CY124" s="145">
        <f t="shared" si="494"/>
        <v>0</v>
      </c>
      <c r="CZ124" s="145">
        <f t="shared" si="494"/>
        <v>0</v>
      </c>
      <c r="DA124" s="145">
        <f t="shared" si="494"/>
        <v>0</v>
      </c>
      <c r="DB124" s="145">
        <f t="shared" si="494"/>
        <v>0</v>
      </c>
      <c r="DC124" s="145">
        <f t="shared" si="494"/>
        <v>0</v>
      </c>
      <c r="DD124" s="145">
        <f t="shared" si="494"/>
        <v>0</v>
      </c>
      <c r="DE124" s="146">
        <f t="shared" si="494"/>
        <v>0</v>
      </c>
      <c r="DF124" s="147">
        <f t="shared" si="486"/>
        <v>0</v>
      </c>
      <c r="DG124" s="146">
        <f>+DG122-DG123</f>
        <v>0</v>
      </c>
      <c r="DH124" s="98">
        <f t="shared" si="440"/>
        <v>55.080000000000041</v>
      </c>
      <c r="DI124" s="99">
        <f t="shared" si="441"/>
        <v>55.080000000000041</v>
      </c>
      <c r="DJ124" s="100">
        <f t="shared" si="442"/>
        <v>0</v>
      </c>
    </row>
    <row r="125" spans="1:115" ht="15" customHeight="1" outlineLevel="1">
      <c r="A125" s="607"/>
      <c r="B125" s="557" t="s">
        <v>197</v>
      </c>
      <c r="C125" s="246" t="s">
        <v>62</v>
      </c>
      <c r="D125" s="183" t="s">
        <v>122</v>
      </c>
      <c r="E125" s="153">
        <f>AF125+AS125+BF125+BS125+CF125+CS125+DF125+S125+DG125</f>
        <v>424.56813993871378</v>
      </c>
      <c r="F125" s="153"/>
      <c r="G125" s="154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284"/>
      <c r="S125" s="157"/>
      <c r="T125" s="378"/>
      <c r="U125" s="382"/>
      <c r="V125" s="382"/>
      <c r="W125" s="382"/>
      <c r="X125" s="382"/>
      <c r="Y125" s="382"/>
      <c r="Z125" s="382"/>
      <c r="AA125" s="382"/>
      <c r="AB125" s="382">
        <v>104.20431605670417</v>
      </c>
      <c r="AC125" s="382"/>
      <c r="AD125" s="382">
        <v>320.36382388200963</v>
      </c>
      <c r="AE125" s="481"/>
      <c r="AF125" s="157">
        <f t="shared" si="433"/>
        <v>424.56813993871378</v>
      </c>
      <c r="AG125" s="500"/>
      <c r="AH125" s="513"/>
      <c r="AI125" s="513"/>
      <c r="AJ125" s="513"/>
      <c r="AK125" s="513"/>
      <c r="AL125" s="513"/>
      <c r="AM125" s="513"/>
      <c r="AN125" s="513"/>
      <c r="AO125" s="513"/>
      <c r="AP125" s="513"/>
      <c r="AQ125" s="513"/>
      <c r="AR125" s="512"/>
      <c r="AS125" s="409">
        <f t="shared" si="434"/>
        <v>0</v>
      </c>
      <c r="AT125" s="500"/>
      <c r="AU125" s="513"/>
      <c r="AV125" s="513"/>
      <c r="AW125" s="513"/>
      <c r="AX125" s="513"/>
      <c r="AY125" s="513"/>
      <c r="AZ125" s="155"/>
      <c r="BA125" s="155"/>
      <c r="BB125" s="155"/>
      <c r="BC125" s="155"/>
      <c r="BD125" s="155"/>
      <c r="BE125" s="156"/>
      <c r="BF125" s="157">
        <f t="shared" si="435"/>
        <v>0</v>
      </c>
      <c r="BG125" s="158"/>
      <c r="BH125" s="155"/>
      <c r="BI125" s="155"/>
      <c r="BJ125" s="155"/>
      <c r="BK125" s="155"/>
      <c r="BL125" s="155"/>
      <c r="BM125" s="155"/>
      <c r="BN125" s="155"/>
      <c r="BO125" s="155"/>
      <c r="BP125" s="155"/>
      <c r="BQ125" s="155"/>
      <c r="BR125" s="156"/>
      <c r="BS125" s="157">
        <f t="shared" si="483"/>
        <v>0</v>
      </c>
      <c r="BT125" s="158"/>
      <c r="BU125" s="155"/>
      <c r="BV125" s="155"/>
      <c r="BW125" s="155"/>
      <c r="BX125" s="155"/>
      <c r="BY125" s="155"/>
      <c r="BZ125" s="155"/>
      <c r="CA125" s="155"/>
      <c r="CB125" s="155"/>
      <c r="CC125" s="155"/>
      <c r="CD125" s="155"/>
      <c r="CE125" s="156"/>
      <c r="CF125" s="157">
        <f t="shared" si="484"/>
        <v>0</v>
      </c>
      <c r="CG125" s="158"/>
      <c r="CH125" s="155"/>
      <c r="CI125" s="155"/>
      <c r="CJ125" s="155"/>
      <c r="CK125" s="155"/>
      <c r="CL125" s="155"/>
      <c r="CM125" s="155"/>
      <c r="CN125" s="155"/>
      <c r="CO125" s="155"/>
      <c r="CP125" s="155"/>
      <c r="CQ125" s="155"/>
      <c r="CR125" s="156"/>
      <c r="CS125" s="157">
        <f t="shared" si="485"/>
        <v>0</v>
      </c>
      <c r="CT125" s="158"/>
      <c r="CU125" s="155"/>
      <c r="CV125" s="155"/>
      <c r="CW125" s="155"/>
      <c r="CX125" s="155"/>
      <c r="CY125" s="155"/>
      <c r="CZ125" s="155"/>
      <c r="DA125" s="155"/>
      <c r="DB125" s="155"/>
      <c r="DC125" s="155"/>
      <c r="DD125" s="155"/>
      <c r="DE125" s="156"/>
      <c r="DF125" s="157">
        <f t="shared" si="486"/>
        <v>0</v>
      </c>
      <c r="DG125" s="280"/>
      <c r="DH125" s="159">
        <f t="shared" si="440"/>
        <v>424.56813993871378</v>
      </c>
      <c r="DI125" s="160">
        <f t="shared" si="441"/>
        <v>424.56813993871378</v>
      </c>
      <c r="DJ125" s="161">
        <f t="shared" si="442"/>
        <v>0</v>
      </c>
    </row>
    <row r="126" spans="1:115" ht="15" customHeight="1" outlineLevel="1">
      <c r="A126" s="607"/>
      <c r="B126" s="558"/>
      <c r="C126" s="245" t="s">
        <v>63</v>
      </c>
      <c r="D126" s="184" t="s">
        <v>124</v>
      </c>
      <c r="E126" s="136">
        <f>AF126+AS126+BF126+BS126+CF126+CS126+DF126+S126+DG126</f>
        <v>310.20831513717292</v>
      </c>
      <c r="F126" s="136"/>
      <c r="G126" s="137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9"/>
      <c r="S126" s="162"/>
      <c r="T126" s="380"/>
      <c r="U126" s="381"/>
      <c r="V126" s="381"/>
      <c r="W126" s="381"/>
      <c r="X126" s="381"/>
      <c r="Y126" s="381"/>
      <c r="Z126" s="381">
        <v>6.4234738394102413</v>
      </c>
      <c r="AA126" s="381">
        <v>19.385744068205582</v>
      </c>
      <c r="AB126" s="381">
        <v>110.59894747958893</v>
      </c>
      <c r="AC126" s="381">
        <v>99.4968455059512</v>
      </c>
      <c r="AD126" s="381">
        <v>72.703010292609832</v>
      </c>
      <c r="AE126" s="392">
        <v>1.6002939514071515</v>
      </c>
      <c r="AF126" s="162">
        <f t="shared" si="433"/>
        <v>310.20831513717292</v>
      </c>
      <c r="AG126" s="501"/>
      <c r="AH126" s="499"/>
      <c r="AI126" s="499"/>
      <c r="AJ126" s="499"/>
      <c r="AK126" s="499"/>
      <c r="AL126" s="499"/>
      <c r="AM126" s="499"/>
      <c r="AN126" s="499"/>
      <c r="AO126" s="499"/>
      <c r="AP126" s="499"/>
      <c r="AQ126" s="499"/>
      <c r="AR126" s="511"/>
      <c r="AS126" s="410">
        <f t="shared" si="434"/>
        <v>0</v>
      </c>
      <c r="AT126" s="501"/>
      <c r="AU126" s="499"/>
      <c r="AV126" s="499"/>
      <c r="AW126" s="499"/>
      <c r="AX126" s="499"/>
      <c r="AY126" s="499"/>
      <c r="AZ126" s="138"/>
      <c r="BA126" s="138"/>
      <c r="BB126" s="138"/>
      <c r="BC126" s="138"/>
      <c r="BD126" s="138"/>
      <c r="BE126" s="139"/>
      <c r="BF126" s="162">
        <f t="shared" si="435"/>
        <v>0</v>
      </c>
      <c r="BG126" s="141"/>
      <c r="BH126" s="138"/>
      <c r="BI126" s="138"/>
      <c r="BJ126" s="138"/>
      <c r="BK126" s="138"/>
      <c r="BL126" s="138"/>
      <c r="BM126" s="138"/>
      <c r="BN126" s="138"/>
      <c r="BO126" s="138"/>
      <c r="BP126" s="138"/>
      <c r="BQ126" s="138"/>
      <c r="BR126" s="139"/>
      <c r="BS126" s="162">
        <f t="shared" si="483"/>
        <v>0</v>
      </c>
      <c r="BT126" s="141"/>
      <c r="BU126" s="138"/>
      <c r="BV126" s="138"/>
      <c r="BW126" s="138"/>
      <c r="BX126" s="138"/>
      <c r="BY126" s="138"/>
      <c r="BZ126" s="138"/>
      <c r="CA126" s="138"/>
      <c r="CB126" s="138"/>
      <c r="CC126" s="138"/>
      <c r="CD126" s="138"/>
      <c r="CE126" s="139"/>
      <c r="CF126" s="162">
        <f t="shared" si="484"/>
        <v>0</v>
      </c>
      <c r="CG126" s="141"/>
      <c r="CH126" s="138"/>
      <c r="CI126" s="138"/>
      <c r="CJ126" s="138"/>
      <c r="CK126" s="138"/>
      <c r="CL126" s="138"/>
      <c r="CM126" s="138"/>
      <c r="CN126" s="138"/>
      <c r="CO126" s="138"/>
      <c r="CP126" s="138"/>
      <c r="CQ126" s="138"/>
      <c r="CR126" s="138"/>
      <c r="CS126" s="162">
        <f t="shared" si="485"/>
        <v>0</v>
      </c>
      <c r="CT126" s="141"/>
      <c r="CU126" s="138"/>
      <c r="CV126" s="138"/>
      <c r="CW126" s="138"/>
      <c r="CX126" s="138"/>
      <c r="CY126" s="138"/>
      <c r="CZ126" s="138"/>
      <c r="DA126" s="138"/>
      <c r="DB126" s="138"/>
      <c r="DC126" s="138"/>
      <c r="DD126" s="138"/>
      <c r="DE126" s="138"/>
      <c r="DF126" s="162">
        <f t="shared" si="486"/>
        <v>0</v>
      </c>
      <c r="DG126" s="279"/>
      <c r="DH126" s="90">
        <f t="shared" si="440"/>
        <v>310.20831513717292</v>
      </c>
      <c r="DI126" s="91">
        <f t="shared" si="441"/>
        <v>310.20831513717292</v>
      </c>
      <c r="DJ126" s="92">
        <f t="shared" si="442"/>
        <v>0</v>
      </c>
      <c r="DK126" s="64">
        <f>+DH126/DH125</f>
        <v>0.73064435589055587</v>
      </c>
    </row>
    <row r="127" spans="1:115" ht="15" customHeight="1" outlineLevel="1">
      <c r="A127" s="607"/>
      <c r="B127" s="559"/>
      <c r="C127" s="357" t="s">
        <v>11</v>
      </c>
      <c r="D127" s="358"/>
      <c r="E127" s="143">
        <f t="shared" ref="E127:R127" si="495">+E125-E126</f>
        <v>114.35982480154087</v>
      </c>
      <c r="F127" s="144">
        <f t="shared" si="495"/>
        <v>0</v>
      </c>
      <c r="G127" s="145">
        <f t="shared" si="495"/>
        <v>0</v>
      </c>
      <c r="H127" s="145">
        <f t="shared" si="495"/>
        <v>0</v>
      </c>
      <c r="I127" s="145">
        <f t="shared" si="495"/>
        <v>0</v>
      </c>
      <c r="J127" s="145">
        <f t="shared" si="495"/>
        <v>0</v>
      </c>
      <c r="K127" s="145">
        <f t="shared" si="495"/>
        <v>0</v>
      </c>
      <c r="L127" s="145">
        <f t="shared" si="495"/>
        <v>0</v>
      </c>
      <c r="M127" s="145">
        <f t="shared" si="495"/>
        <v>0</v>
      </c>
      <c r="N127" s="145">
        <f t="shared" si="495"/>
        <v>0</v>
      </c>
      <c r="O127" s="145">
        <f t="shared" si="495"/>
        <v>0</v>
      </c>
      <c r="P127" s="145">
        <f t="shared" si="495"/>
        <v>0</v>
      </c>
      <c r="Q127" s="145">
        <f t="shared" si="495"/>
        <v>0</v>
      </c>
      <c r="R127" s="146">
        <f t="shared" si="495"/>
        <v>0</v>
      </c>
      <c r="S127" s="147"/>
      <c r="T127" s="148">
        <f t="shared" ref="T127:AE127" si="496">+T125-T126</f>
        <v>0</v>
      </c>
      <c r="U127" s="145">
        <f t="shared" si="496"/>
        <v>0</v>
      </c>
      <c r="V127" s="145">
        <f t="shared" si="496"/>
        <v>0</v>
      </c>
      <c r="W127" s="145">
        <f t="shared" si="496"/>
        <v>0</v>
      </c>
      <c r="X127" s="145">
        <f t="shared" si="496"/>
        <v>0</v>
      </c>
      <c r="Y127" s="145">
        <f t="shared" si="496"/>
        <v>0</v>
      </c>
      <c r="Z127" s="145">
        <f t="shared" si="496"/>
        <v>-6.4234738394102413</v>
      </c>
      <c r="AA127" s="145">
        <f t="shared" si="496"/>
        <v>-19.385744068205582</v>
      </c>
      <c r="AB127" s="145">
        <f t="shared" si="496"/>
        <v>-6.3946314228847569</v>
      </c>
      <c r="AC127" s="145">
        <f t="shared" si="496"/>
        <v>-99.4968455059512</v>
      </c>
      <c r="AD127" s="145">
        <f t="shared" si="496"/>
        <v>247.66081358939979</v>
      </c>
      <c r="AE127" s="146">
        <f t="shared" si="496"/>
        <v>-1.6002939514071515</v>
      </c>
      <c r="AF127" s="147">
        <f t="shared" si="433"/>
        <v>114.35982480154085</v>
      </c>
      <c r="AG127" s="148">
        <f t="shared" ref="AG127:AR127" si="497">+AG125-AG126</f>
        <v>0</v>
      </c>
      <c r="AH127" s="145">
        <f t="shared" si="497"/>
        <v>0</v>
      </c>
      <c r="AI127" s="145">
        <f t="shared" si="497"/>
        <v>0</v>
      </c>
      <c r="AJ127" s="145">
        <f t="shared" si="497"/>
        <v>0</v>
      </c>
      <c r="AK127" s="145">
        <f t="shared" si="497"/>
        <v>0</v>
      </c>
      <c r="AL127" s="145">
        <f t="shared" si="497"/>
        <v>0</v>
      </c>
      <c r="AM127" s="145">
        <f t="shared" si="497"/>
        <v>0</v>
      </c>
      <c r="AN127" s="145">
        <f t="shared" si="497"/>
        <v>0</v>
      </c>
      <c r="AO127" s="145">
        <f t="shared" si="497"/>
        <v>0</v>
      </c>
      <c r="AP127" s="145">
        <f t="shared" si="497"/>
        <v>0</v>
      </c>
      <c r="AQ127" s="145">
        <f t="shared" si="497"/>
        <v>0</v>
      </c>
      <c r="AR127" s="146">
        <f t="shared" si="497"/>
        <v>0</v>
      </c>
      <c r="AS127" s="408">
        <f t="shared" si="434"/>
        <v>0</v>
      </c>
      <c r="AT127" s="148">
        <f t="shared" ref="AT127:BE127" si="498">+AT125-AT126</f>
        <v>0</v>
      </c>
      <c r="AU127" s="145">
        <f t="shared" si="498"/>
        <v>0</v>
      </c>
      <c r="AV127" s="145">
        <f t="shared" si="498"/>
        <v>0</v>
      </c>
      <c r="AW127" s="145">
        <f t="shared" si="498"/>
        <v>0</v>
      </c>
      <c r="AX127" s="145">
        <f t="shared" si="498"/>
        <v>0</v>
      </c>
      <c r="AY127" s="145">
        <f t="shared" si="498"/>
        <v>0</v>
      </c>
      <c r="AZ127" s="145">
        <f t="shared" si="498"/>
        <v>0</v>
      </c>
      <c r="BA127" s="145">
        <f t="shared" si="498"/>
        <v>0</v>
      </c>
      <c r="BB127" s="145">
        <f t="shared" si="498"/>
        <v>0</v>
      </c>
      <c r="BC127" s="145">
        <f t="shared" si="498"/>
        <v>0</v>
      </c>
      <c r="BD127" s="145">
        <f t="shared" si="498"/>
        <v>0</v>
      </c>
      <c r="BE127" s="146">
        <f t="shared" si="498"/>
        <v>0</v>
      </c>
      <c r="BF127" s="147">
        <f t="shared" si="435"/>
        <v>0</v>
      </c>
      <c r="BG127" s="148">
        <f t="shared" ref="BG127:BR127" si="499">+BG125-BG126</f>
        <v>0</v>
      </c>
      <c r="BH127" s="145">
        <f t="shared" si="499"/>
        <v>0</v>
      </c>
      <c r="BI127" s="145">
        <f t="shared" si="499"/>
        <v>0</v>
      </c>
      <c r="BJ127" s="145">
        <f t="shared" si="499"/>
        <v>0</v>
      </c>
      <c r="BK127" s="145">
        <f t="shared" si="499"/>
        <v>0</v>
      </c>
      <c r="BL127" s="145">
        <f t="shared" si="499"/>
        <v>0</v>
      </c>
      <c r="BM127" s="145">
        <f t="shared" si="499"/>
        <v>0</v>
      </c>
      <c r="BN127" s="145">
        <f t="shared" si="499"/>
        <v>0</v>
      </c>
      <c r="BO127" s="145">
        <f t="shared" si="499"/>
        <v>0</v>
      </c>
      <c r="BP127" s="145">
        <f t="shared" si="499"/>
        <v>0</v>
      </c>
      <c r="BQ127" s="145">
        <f t="shared" si="499"/>
        <v>0</v>
      </c>
      <c r="BR127" s="146">
        <f t="shared" si="499"/>
        <v>0</v>
      </c>
      <c r="BS127" s="147">
        <f t="shared" si="483"/>
        <v>0</v>
      </c>
      <c r="BT127" s="148">
        <f t="shared" ref="BT127:CE127" si="500">+BT125-BT126</f>
        <v>0</v>
      </c>
      <c r="BU127" s="145">
        <f t="shared" si="500"/>
        <v>0</v>
      </c>
      <c r="BV127" s="145">
        <f t="shared" si="500"/>
        <v>0</v>
      </c>
      <c r="BW127" s="145">
        <f t="shared" si="500"/>
        <v>0</v>
      </c>
      <c r="BX127" s="145">
        <f t="shared" si="500"/>
        <v>0</v>
      </c>
      <c r="BY127" s="145">
        <f t="shared" si="500"/>
        <v>0</v>
      </c>
      <c r="BZ127" s="145">
        <f t="shared" si="500"/>
        <v>0</v>
      </c>
      <c r="CA127" s="145">
        <f t="shared" si="500"/>
        <v>0</v>
      </c>
      <c r="CB127" s="145">
        <f t="shared" si="500"/>
        <v>0</v>
      </c>
      <c r="CC127" s="145">
        <f t="shared" si="500"/>
        <v>0</v>
      </c>
      <c r="CD127" s="145">
        <f t="shared" si="500"/>
        <v>0</v>
      </c>
      <c r="CE127" s="146">
        <f t="shared" si="500"/>
        <v>0</v>
      </c>
      <c r="CF127" s="147">
        <f t="shared" si="484"/>
        <v>0</v>
      </c>
      <c r="CG127" s="148">
        <f t="shared" ref="CG127:CR127" si="501">+CG125-CG126</f>
        <v>0</v>
      </c>
      <c r="CH127" s="145">
        <f t="shared" si="501"/>
        <v>0</v>
      </c>
      <c r="CI127" s="145">
        <f t="shared" si="501"/>
        <v>0</v>
      </c>
      <c r="CJ127" s="145">
        <f t="shared" si="501"/>
        <v>0</v>
      </c>
      <c r="CK127" s="145">
        <f t="shared" si="501"/>
        <v>0</v>
      </c>
      <c r="CL127" s="145">
        <f t="shared" si="501"/>
        <v>0</v>
      </c>
      <c r="CM127" s="145">
        <f t="shared" si="501"/>
        <v>0</v>
      </c>
      <c r="CN127" s="145">
        <f t="shared" si="501"/>
        <v>0</v>
      </c>
      <c r="CO127" s="145">
        <f t="shared" si="501"/>
        <v>0</v>
      </c>
      <c r="CP127" s="145">
        <f t="shared" si="501"/>
        <v>0</v>
      </c>
      <c r="CQ127" s="145">
        <f t="shared" si="501"/>
        <v>0</v>
      </c>
      <c r="CR127" s="146">
        <f t="shared" si="501"/>
        <v>0</v>
      </c>
      <c r="CS127" s="147">
        <f t="shared" si="485"/>
        <v>0</v>
      </c>
      <c r="CT127" s="148">
        <f t="shared" ref="CT127:DE127" si="502">+CT125-CT126</f>
        <v>0</v>
      </c>
      <c r="CU127" s="145">
        <f t="shared" si="502"/>
        <v>0</v>
      </c>
      <c r="CV127" s="145">
        <f t="shared" si="502"/>
        <v>0</v>
      </c>
      <c r="CW127" s="145">
        <f t="shared" si="502"/>
        <v>0</v>
      </c>
      <c r="CX127" s="145">
        <f t="shared" si="502"/>
        <v>0</v>
      </c>
      <c r="CY127" s="145">
        <f t="shared" si="502"/>
        <v>0</v>
      </c>
      <c r="CZ127" s="145">
        <f t="shared" si="502"/>
        <v>0</v>
      </c>
      <c r="DA127" s="145">
        <f t="shared" si="502"/>
        <v>0</v>
      </c>
      <c r="DB127" s="145">
        <f t="shared" si="502"/>
        <v>0</v>
      </c>
      <c r="DC127" s="145">
        <f t="shared" si="502"/>
        <v>0</v>
      </c>
      <c r="DD127" s="145">
        <f t="shared" si="502"/>
        <v>0</v>
      </c>
      <c r="DE127" s="146">
        <f t="shared" si="502"/>
        <v>0</v>
      </c>
      <c r="DF127" s="147">
        <f t="shared" si="486"/>
        <v>0</v>
      </c>
      <c r="DG127" s="146">
        <f>+DG125-DG126</f>
        <v>0</v>
      </c>
      <c r="DH127" s="98">
        <f t="shared" si="440"/>
        <v>114.35982480154085</v>
      </c>
      <c r="DI127" s="99">
        <f t="shared" si="441"/>
        <v>114.35982480154087</v>
      </c>
      <c r="DJ127" s="100">
        <f t="shared" si="442"/>
        <v>0</v>
      </c>
    </row>
    <row r="128" spans="1:115" ht="15" customHeight="1" outlineLevel="1">
      <c r="A128" s="607"/>
      <c r="B128" s="557" t="s">
        <v>210</v>
      </c>
      <c r="C128" s="246" t="s">
        <v>62</v>
      </c>
      <c r="D128" s="183" t="s">
        <v>122</v>
      </c>
      <c r="E128" s="153">
        <f>AF128+AS128+BF128+BS128+CF128+CS128+DF128+S128+DG128</f>
        <v>445.42910958742868</v>
      </c>
      <c r="F128" s="153"/>
      <c r="G128" s="154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284"/>
      <c r="S128" s="157">
        <f t="shared" ref="S128:S133" si="503">SUM(G128:R128)</f>
        <v>0</v>
      </c>
      <c r="T128" s="378"/>
      <c r="U128" s="382"/>
      <c r="V128" s="382"/>
      <c r="W128" s="382"/>
      <c r="X128" s="389">
        <v>88.850910596813819</v>
      </c>
      <c r="Y128" s="389">
        <v>144.38845167043158</v>
      </c>
      <c r="Z128" s="389">
        <v>212.1897473201833</v>
      </c>
      <c r="AA128" s="389"/>
      <c r="AB128" s="389"/>
      <c r="AC128" s="389"/>
      <c r="AD128" s="389"/>
      <c r="AE128" s="482"/>
      <c r="AF128" s="157">
        <f t="shared" si="433"/>
        <v>445.42910958742868</v>
      </c>
      <c r="AG128" s="500"/>
      <c r="AH128" s="513"/>
      <c r="AI128" s="513"/>
      <c r="AJ128" s="513"/>
      <c r="AK128" s="513"/>
      <c r="AL128" s="513"/>
      <c r="AM128" s="513"/>
      <c r="AN128" s="513"/>
      <c r="AO128" s="513"/>
      <c r="AP128" s="513"/>
      <c r="AQ128" s="513"/>
      <c r="AR128" s="512"/>
      <c r="AS128" s="409">
        <f t="shared" si="434"/>
        <v>0</v>
      </c>
      <c r="AT128" s="500"/>
      <c r="AU128" s="513"/>
      <c r="AV128" s="513"/>
      <c r="AW128" s="513"/>
      <c r="AX128" s="513"/>
      <c r="AY128" s="513"/>
      <c r="AZ128" s="155"/>
      <c r="BA128" s="155"/>
      <c r="BB128" s="155"/>
      <c r="BC128" s="155"/>
      <c r="BD128" s="155"/>
      <c r="BE128" s="156"/>
      <c r="BF128" s="157">
        <f t="shared" si="435"/>
        <v>0</v>
      </c>
      <c r="BG128" s="158"/>
      <c r="BH128" s="155"/>
      <c r="BI128" s="155"/>
      <c r="BJ128" s="155"/>
      <c r="BK128" s="155"/>
      <c r="BL128" s="155"/>
      <c r="BM128" s="155"/>
      <c r="BN128" s="155"/>
      <c r="BO128" s="155"/>
      <c r="BP128" s="155"/>
      <c r="BQ128" s="155"/>
      <c r="BR128" s="156"/>
      <c r="BS128" s="157">
        <f t="shared" si="483"/>
        <v>0</v>
      </c>
      <c r="BT128" s="158"/>
      <c r="BU128" s="155"/>
      <c r="BV128" s="155"/>
      <c r="BW128" s="155"/>
      <c r="BX128" s="155"/>
      <c r="BY128" s="155"/>
      <c r="BZ128" s="155"/>
      <c r="CA128" s="155"/>
      <c r="CB128" s="155"/>
      <c r="CC128" s="155"/>
      <c r="CD128" s="155"/>
      <c r="CE128" s="156"/>
      <c r="CF128" s="157">
        <f t="shared" si="484"/>
        <v>0</v>
      </c>
      <c r="CG128" s="158"/>
      <c r="CH128" s="155"/>
      <c r="CI128" s="155"/>
      <c r="CJ128" s="155"/>
      <c r="CK128" s="155"/>
      <c r="CL128" s="155"/>
      <c r="CM128" s="155"/>
      <c r="CN128" s="155"/>
      <c r="CO128" s="155"/>
      <c r="CP128" s="155"/>
      <c r="CQ128" s="155"/>
      <c r="CR128" s="156"/>
      <c r="CS128" s="157">
        <f t="shared" si="485"/>
        <v>0</v>
      </c>
      <c r="CT128" s="158"/>
      <c r="CU128" s="155"/>
      <c r="CV128" s="155"/>
      <c r="CW128" s="155"/>
      <c r="CX128" s="155"/>
      <c r="CY128" s="155"/>
      <c r="CZ128" s="155"/>
      <c r="DA128" s="155"/>
      <c r="DB128" s="155"/>
      <c r="DC128" s="155"/>
      <c r="DD128" s="155"/>
      <c r="DE128" s="156"/>
      <c r="DF128" s="157">
        <f t="shared" si="486"/>
        <v>0</v>
      </c>
      <c r="DG128" s="280"/>
      <c r="DH128" s="159">
        <f t="shared" si="440"/>
        <v>445.42910958742868</v>
      </c>
      <c r="DI128" s="160">
        <f t="shared" si="441"/>
        <v>445.42910958742868</v>
      </c>
      <c r="DJ128" s="161">
        <f t="shared" si="442"/>
        <v>0</v>
      </c>
    </row>
    <row r="129" spans="1:115" ht="15" customHeight="1" outlineLevel="1">
      <c r="A129" s="607"/>
      <c r="B129" s="560"/>
      <c r="C129" s="245" t="s">
        <v>63</v>
      </c>
      <c r="D129" s="184" t="s">
        <v>124</v>
      </c>
      <c r="E129" s="136">
        <f>AF129+AS129+BF129+BS129+CF129+CS129+DF129+S129+DG129</f>
        <v>322.03880754093865</v>
      </c>
      <c r="F129" s="136"/>
      <c r="G129" s="137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9"/>
      <c r="S129" s="162">
        <f t="shared" si="503"/>
        <v>0</v>
      </c>
      <c r="T129" s="380"/>
      <c r="U129" s="381"/>
      <c r="V129" s="381"/>
      <c r="W129" s="381">
        <v>17.70370334433531</v>
      </c>
      <c r="X129" s="388">
        <v>100.11023515891257</v>
      </c>
      <c r="Y129" s="388">
        <v>106.99149522450759</v>
      </c>
      <c r="Z129" s="388">
        <v>93.355955289898375</v>
      </c>
      <c r="AA129" s="388">
        <v>3.8774185232848066</v>
      </c>
      <c r="AB129" s="388"/>
      <c r="AC129" s="388"/>
      <c r="AD129" s="388"/>
      <c r="AE129" s="483"/>
      <c r="AF129" s="162">
        <f t="shared" si="433"/>
        <v>322.03880754093865</v>
      </c>
      <c r="AG129" s="501"/>
      <c r="AH129" s="499"/>
      <c r="AI129" s="499"/>
      <c r="AJ129" s="499"/>
      <c r="AK129" s="499"/>
      <c r="AL129" s="499"/>
      <c r="AM129" s="499"/>
      <c r="AN129" s="499"/>
      <c r="AO129" s="499"/>
      <c r="AP129" s="499"/>
      <c r="AQ129" s="499"/>
      <c r="AR129" s="511"/>
      <c r="AS129" s="410">
        <f t="shared" si="434"/>
        <v>0</v>
      </c>
      <c r="AT129" s="501"/>
      <c r="AU129" s="499"/>
      <c r="AV129" s="499"/>
      <c r="AW129" s="499"/>
      <c r="AX129" s="499"/>
      <c r="AY129" s="499"/>
      <c r="AZ129" s="138"/>
      <c r="BA129" s="138"/>
      <c r="BB129" s="138"/>
      <c r="BC129" s="138"/>
      <c r="BD129" s="138"/>
      <c r="BE129" s="139"/>
      <c r="BF129" s="162">
        <f t="shared" si="435"/>
        <v>0</v>
      </c>
      <c r="BG129" s="141"/>
      <c r="BH129" s="138"/>
      <c r="BI129" s="138"/>
      <c r="BJ129" s="138"/>
      <c r="BK129" s="138"/>
      <c r="BL129" s="138"/>
      <c r="BM129" s="138"/>
      <c r="BN129" s="138"/>
      <c r="BO129" s="138"/>
      <c r="BP129" s="138"/>
      <c r="BQ129" s="138"/>
      <c r="BR129" s="139"/>
      <c r="BS129" s="162">
        <f t="shared" si="483"/>
        <v>0</v>
      </c>
      <c r="BT129" s="141"/>
      <c r="BU129" s="138"/>
      <c r="BV129" s="138"/>
      <c r="BW129" s="138"/>
      <c r="BX129" s="138"/>
      <c r="BY129" s="138"/>
      <c r="BZ129" s="138"/>
      <c r="CA129" s="138"/>
      <c r="CB129" s="138"/>
      <c r="CC129" s="138"/>
      <c r="CD129" s="138"/>
      <c r="CE129" s="139"/>
      <c r="CF129" s="162">
        <f t="shared" si="484"/>
        <v>0</v>
      </c>
      <c r="CG129" s="141"/>
      <c r="CH129" s="138"/>
      <c r="CI129" s="138"/>
      <c r="CJ129" s="138"/>
      <c r="CK129" s="138"/>
      <c r="CL129" s="138"/>
      <c r="CM129" s="138"/>
      <c r="CN129" s="138"/>
      <c r="CO129" s="138"/>
      <c r="CP129" s="138"/>
      <c r="CQ129" s="138"/>
      <c r="CR129" s="139"/>
      <c r="CS129" s="162">
        <f t="shared" si="485"/>
        <v>0</v>
      </c>
      <c r="CT129" s="141"/>
      <c r="CU129" s="138"/>
      <c r="CV129" s="138"/>
      <c r="CW129" s="138"/>
      <c r="CX129" s="138"/>
      <c r="CY129" s="138"/>
      <c r="CZ129" s="138"/>
      <c r="DA129" s="138"/>
      <c r="DB129" s="138"/>
      <c r="DC129" s="138"/>
      <c r="DD129" s="138"/>
      <c r="DE129" s="139"/>
      <c r="DF129" s="162">
        <f t="shared" si="486"/>
        <v>0</v>
      </c>
      <c r="DG129" s="279"/>
      <c r="DH129" s="90">
        <f t="shared" si="440"/>
        <v>322.03880754093865</v>
      </c>
      <c r="DI129" s="91">
        <f t="shared" si="441"/>
        <v>322.03880754093865</v>
      </c>
      <c r="DJ129" s="92">
        <f t="shared" si="442"/>
        <v>0</v>
      </c>
      <c r="DK129" s="64">
        <f>+DH129/DH128</f>
        <v>0.7229855449708299</v>
      </c>
    </row>
    <row r="130" spans="1:115" ht="15" customHeight="1" outlineLevel="1">
      <c r="A130" s="607"/>
      <c r="B130" s="561"/>
      <c r="C130" s="554" t="s">
        <v>11</v>
      </c>
      <c r="D130" s="555"/>
      <c r="E130" s="143">
        <v>47.072000000000003</v>
      </c>
      <c r="F130" s="144">
        <f t="shared" ref="F130:R130" si="504">+F128-F129</f>
        <v>0</v>
      </c>
      <c r="G130" s="145">
        <f t="shared" si="504"/>
        <v>0</v>
      </c>
      <c r="H130" s="145">
        <f t="shared" si="504"/>
        <v>0</v>
      </c>
      <c r="I130" s="145">
        <f t="shared" si="504"/>
        <v>0</v>
      </c>
      <c r="J130" s="145">
        <f t="shared" si="504"/>
        <v>0</v>
      </c>
      <c r="K130" s="145">
        <f t="shared" si="504"/>
        <v>0</v>
      </c>
      <c r="L130" s="145">
        <f t="shared" si="504"/>
        <v>0</v>
      </c>
      <c r="M130" s="145">
        <f t="shared" si="504"/>
        <v>0</v>
      </c>
      <c r="N130" s="145">
        <f t="shared" si="504"/>
        <v>0</v>
      </c>
      <c r="O130" s="145">
        <f t="shared" si="504"/>
        <v>0</v>
      </c>
      <c r="P130" s="145">
        <f t="shared" si="504"/>
        <v>0</v>
      </c>
      <c r="Q130" s="145">
        <f t="shared" si="504"/>
        <v>0</v>
      </c>
      <c r="R130" s="146">
        <f t="shared" si="504"/>
        <v>0</v>
      </c>
      <c r="S130" s="147">
        <f t="shared" si="503"/>
        <v>0</v>
      </c>
      <c r="T130" s="148">
        <f t="shared" ref="T130:AE130" si="505">+T128-T129</f>
        <v>0</v>
      </c>
      <c r="U130" s="145">
        <f t="shared" si="505"/>
        <v>0</v>
      </c>
      <c r="V130" s="145">
        <f t="shared" si="505"/>
        <v>0</v>
      </c>
      <c r="W130" s="145">
        <f t="shared" si="505"/>
        <v>-17.70370334433531</v>
      </c>
      <c r="X130" s="145">
        <f t="shared" si="505"/>
        <v>-11.259324562098755</v>
      </c>
      <c r="Y130" s="145">
        <f t="shared" si="505"/>
        <v>37.39695644592399</v>
      </c>
      <c r="Z130" s="145">
        <f t="shared" si="505"/>
        <v>118.83379203028493</v>
      </c>
      <c r="AA130" s="145">
        <f t="shared" si="505"/>
        <v>-3.8774185232848066</v>
      </c>
      <c r="AB130" s="145">
        <f t="shared" si="505"/>
        <v>0</v>
      </c>
      <c r="AC130" s="145">
        <f t="shared" si="505"/>
        <v>0</v>
      </c>
      <c r="AD130" s="145">
        <f t="shared" si="505"/>
        <v>0</v>
      </c>
      <c r="AE130" s="146">
        <f t="shared" si="505"/>
        <v>0</v>
      </c>
      <c r="AF130" s="147">
        <f t="shared" si="433"/>
        <v>123.39030204649005</v>
      </c>
      <c r="AG130" s="148">
        <f t="shared" ref="AG130:AR130" si="506">+AG128-AG129</f>
        <v>0</v>
      </c>
      <c r="AH130" s="145">
        <f t="shared" si="506"/>
        <v>0</v>
      </c>
      <c r="AI130" s="145">
        <f t="shared" si="506"/>
        <v>0</v>
      </c>
      <c r="AJ130" s="145">
        <f t="shared" si="506"/>
        <v>0</v>
      </c>
      <c r="AK130" s="145">
        <f t="shared" si="506"/>
        <v>0</v>
      </c>
      <c r="AL130" s="145">
        <f t="shared" si="506"/>
        <v>0</v>
      </c>
      <c r="AM130" s="145">
        <f t="shared" si="506"/>
        <v>0</v>
      </c>
      <c r="AN130" s="145">
        <f t="shared" si="506"/>
        <v>0</v>
      </c>
      <c r="AO130" s="145">
        <f t="shared" si="506"/>
        <v>0</v>
      </c>
      <c r="AP130" s="145">
        <f t="shared" si="506"/>
        <v>0</v>
      </c>
      <c r="AQ130" s="145">
        <f t="shared" si="506"/>
        <v>0</v>
      </c>
      <c r="AR130" s="146">
        <f t="shared" si="506"/>
        <v>0</v>
      </c>
      <c r="AS130" s="408">
        <f t="shared" si="434"/>
        <v>0</v>
      </c>
      <c r="AT130" s="148">
        <f t="shared" ref="AT130:BE130" si="507">+AT128-AT129</f>
        <v>0</v>
      </c>
      <c r="AU130" s="145">
        <f t="shared" si="507"/>
        <v>0</v>
      </c>
      <c r="AV130" s="145">
        <f t="shared" si="507"/>
        <v>0</v>
      </c>
      <c r="AW130" s="145">
        <f t="shared" si="507"/>
        <v>0</v>
      </c>
      <c r="AX130" s="145">
        <f t="shared" si="507"/>
        <v>0</v>
      </c>
      <c r="AY130" s="145">
        <f t="shared" si="507"/>
        <v>0</v>
      </c>
      <c r="AZ130" s="145">
        <f t="shared" si="507"/>
        <v>0</v>
      </c>
      <c r="BA130" s="145">
        <f t="shared" si="507"/>
        <v>0</v>
      </c>
      <c r="BB130" s="145">
        <f t="shared" si="507"/>
        <v>0</v>
      </c>
      <c r="BC130" s="145">
        <f t="shared" si="507"/>
        <v>0</v>
      </c>
      <c r="BD130" s="145">
        <f t="shared" si="507"/>
        <v>0</v>
      </c>
      <c r="BE130" s="146">
        <f t="shared" si="507"/>
        <v>0</v>
      </c>
      <c r="BF130" s="147">
        <f t="shared" si="435"/>
        <v>0</v>
      </c>
      <c r="BG130" s="148">
        <f t="shared" ref="BG130:BR130" si="508">+BG128-BG129</f>
        <v>0</v>
      </c>
      <c r="BH130" s="145">
        <f t="shared" si="508"/>
        <v>0</v>
      </c>
      <c r="BI130" s="145">
        <f t="shared" si="508"/>
        <v>0</v>
      </c>
      <c r="BJ130" s="145">
        <f t="shared" si="508"/>
        <v>0</v>
      </c>
      <c r="BK130" s="145">
        <f t="shared" si="508"/>
        <v>0</v>
      </c>
      <c r="BL130" s="145">
        <f t="shared" si="508"/>
        <v>0</v>
      </c>
      <c r="BM130" s="145">
        <f t="shared" si="508"/>
        <v>0</v>
      </c>
      <c r="BN130" s="145">
        <f t="shared" si="508"/>
        <v>0</v>
      </c>
      <c r="BO130" s="145">
        <f t="shared" si="508"/>
        <v>0</v>
      </c>
      <c r="BP130" s="145">
        <f t="shared" si="508"/>
        <v>0</v>
      </c>
      <c r="BQ130" s="145">
        <f t="shared" si="508"/>
        <v>0</v>
      </c>
      <c r="BR130" s="146">
        <f t="shared" si="508"/>
        <v>0</v>
      </c>
      <c r="BS130" s="147">
        <f t="shared" si="483"/>
        <v>0</v>
      </c>
      <c r="BT130" s="148">
        <f t="shared" ref="BT130:CE130" si="509">+BT128-BT129</f>
        <v>0</v>
      </c>
      <c r="BU130" s="145">
        <f t="shared" si="509"/>
        <v>0</v>
      </c>
      <c r="BV130" s="145">
        <f t="shared" si="509"/>
        <v>0</v>
      </c>
      <c r="BW130" s="145">
        <f t="shared" si="509"/>
        <v>0</v>
      </c>
      <c r="BX130" s="145">
        <f t="shared" si="509"/>
        <v>0</v>
      </c>
      <c r="BY130" s="145">
        <f t="shared" si="509"/>
        <v>0</v>
      </c>
      <c r="BZ130" s="145">
        <f t="shared" si="509"/>
        <v>0</v>
      </c>
      <c r="CA130" s="145">
        <f t="shared" si="509"/>
        <v>0</v>
      </c>
      <c r="CB130" s="145">
        <f t="shared" si="509"/>
        <v>0</v>
      </c>
      <c r="CC130" s="145">
        <f t="shared" si="509"/>
        <v>0</v>
      </c>
      <c r="CD130" s="145">
        <f t="shared" si="509"/>
        <v>0</v>
      </c>
      <c r="CE130" s="146">
        <f t="shared" si="509"/>
        <v>0</v>
      </c>
      <c r="CF130" s="147">
        <f t="shared" si="484"/>
        <v>0</v>
      </c>
      <c r="CG130" s="148">
        <f t="shared" ref="CG130:CR130" si="510">+CG128-CG129</f>
        <v>0</v>
      </c>
      <c r="CH130" s="145">
        <f t="shared" si="510"/>
        <v>0</v>
      </c>
      <c r="CI130" s="145">
        <f t="shared" si="510"/>
        <v>0</v>
      </c>
      <c r="CJ130" s="145">
        <f t="shared" si="510"/>
        <v>0</v>
      </c>
      <c r="CK130" s="145">
        <f t="shared" si="510"/>
        <v>0</v>
      </c>
      <c r="CL130" s="145">
        <f t="shared" si="510"/>
        <v>0</v>
      </c>
      <c r="CM130" s="145">
        <f t="shared" si="510"/>
        <v>0</v>
      </c>
      <c r="CN130" s="145">
        <f t="shared" si="510"/>
        <v>0</v>
      </c>
      <c r="CO130" s="145">
        <f t="shared" si="510"/>
        <v>0</v>
      </c>
      <c r="CP130" s="145">
        <f t="shared" si="510"/>
        <v>0</v>
      </c>
      <c r="CQ130" s="145">
        <f t="shared" si="510"/>
        <v>0</v>
      </c>
      <c r="CR130" s="146">
        <f t="shared" si="510"/>
        <v>0</v>
      </c>
      <c r="CS130" s="147">
        <f t="shared" si="485"/>
        <v>0</v>
      </c>
      <c r="CT130" s="148">
        <f t="shared" ref="CT130:DE130" si="511">+CT128-CT129</f>
        <v>0</v>
      </c>
      <c r="CU130" s="145">
        <f t="shared" si="511"/>
        <v>0</v>
      </c>
      <c r="CV130" s="145">
        <f t="shared" si="511"/>
        <v>0</v>
      </c>
      <c r="CW130" s="145">
        <f t="shared" si="511"/>
        <v>0</v>
      </c>
      <c r="CX130" s="145">
        <f t="shared" si="511"/>
        <v>0</v>
      </c>
      <c r="CY130" s="145">
        <f t="shared" si="511"/>
        <v>0</v>
      </c>
      <c r="CZ130" s="145">
        <f t="shared" si="511"/>
        <v>0</v>
      </c>
      <c r="DA130" s="145">
        <f t="shared" si="511"/>
        <v>0</v>
      </c>
      <c r="DB130" s="145">
        <f t="shared" si="511"/>
        <v>0</v>
      </c>
      <c r="DC130" s="145">
        <f t="shared" si="511"/>
        <v>0</v>
      </c>
      <c r="DD130" s="145">
        <f t="shared" si="511"/>
        <v>0</v>
      </c>
      <c r="DE130" s="146">
        <f t="shared" si="511"/>
        <v>0</v>
      </c>
      <c r="DF130" s="147">
        <f t="shared" si="486"/>
        <v>0</v>
      </c>
      <c r="DG130" s="146">
        <f>+DG128-DG129</f>
        <v>0</v>
      </c>
      <c r="DH130" s="98">
        <f t="shared" si="440"/>
        <v>123.39030204649005</v>
      </c>
      <c r="DI130" s="99">
        <f t="shared" si="441"/>
        <v>47.072000000000003</v>
      </c>
      <c r="DJ130" s="100">
        <f t="shared" si="442"/>
        <v>-76.318302046490047</v>
      </c>
    </row>
    <row r="131" spans="1:115" ht="15" customHeight="1" outlineLevel="1">
      <c r="A131" s="607"/>
      <c r="B131" s="557" t="s">
        <v>345</v>
      </c>
      <c r="C131" s="246" t="s">
        <v>62</v>
      </c>
      <c r="D131" s="183" t="s">
        <v>122</v>
      </c>
      <c r="E131" s="153">
        <f>AF131+AS131+BF131+BS131+CF131+CS131+DF131+S131+DG131</f>
        <v>329.61008626411882</v>
      </c>
      <c r="F131" s="153"/>
      <c r="G131" s="154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284"/>
      <c r="S131" s="157">
        <f t="shared" si="503"/>
        <v>0</v>
      </c>
      <c r="T131" s="378"/>
      <c r="U131" s="382"/>
      <c r="V131" s="382"/>
      <c r="W131" s="382"/>
      <c r="X131" s="389"/>
      <c r="Y131" s="389"/>
      <c r="Z131" s="389"/>
      <c r="AA131" s="389"/>
      <c r="AB131" s="389"/>
      <c r="AC131" s="389"/>
      <c r="AD131" s="389"/>
      <c r="AE131" s="482"/>
      <c r="AF131" s="157">
        <v>0</v>
      </c>
      <c r="AG131" s="500"/>
      <c r="AH131" s="513"/>
      <c r="AI131" s="513"/>
      <c r="AJ131" s="513"/>
      <c r="AK131" s="513"/>
      <c r="AL131" s="513"/>
      <c r="AM131" s="513"/>
      <c r="AN131" s="513"/>
      <c r="AO131" s="513"/>
      <c r="AP131" s="513"/>
      <c r="AQ131" s="513"/>
      <c r="AR131" s="512"/>
      <c r="AS131" s="409">
        <f t="shared" si="434"/>
        <v>0</v>
      </c>
      <c r="AT131" s="500"/>
      <c r="AU131" s="500"/>
      <c r="AV131" s="500"/>
      <c r="AW131" s="513">
        <v>263.619973443606</v>
      </c>
      <c r="AX131" s="513">
        <v>65.990112820512806</v>
      </c>
      <c r="AY131" s="513"/>
      <c r="AZ131" s="155"/>
      <c r="BA131" s="155"/>
      <c r="BB131" s="155"/>
      <c r="BC131" s="155"/>
      <c r="BD131" s="155"/>
      <c r="BE131" s="156"/>
      <c r="BF131" s="157">
        <f t="shared" si="435"/>
        <v>329.61008626411882</v>
      </c>
      <c r="BG131" s="158"/>
      <c r="BH131" s="155"/>
      <c r="BI131" s="155"/>
      <c r="BJ131" s="155"/>
      <c r="BK131" s="155"/>
      <c r="BL131" s="155"/>
      <c r="BM131" s="155"/>
      <c r="BN131" s="155"/>
      <c r="BO131" s="155"/>
      <c r="BP131" s="155"/>
      <c r="BQ131" s="155"/>
      <c r="BR131" s="156"/>
      <c r="BS131" s="157">
        <f t="shared" si="483"/>
        <v>0</v>
      </c>
      <c r="BT131" s="158"/>
      <c r="BU131" s="155"/>
      <c r="BV131" s="155"/>
      <c r="BW131" s="155"/>
      <c r="BX131" s="155"/>
      <c r="BY131" s="155"/>
      <c r="BZ131" s="155"/>
      <c r="CA131" s="155"/>
      <c r="CB131" s="155"/>
      <c r="CC131" s="155"/>
      <c r="CD131" s="155"/>
      <c r="CE131" s="156"/>
      <c r="CF131" s="157">
        <f t="shared" si="484"/>
        <v>0</v>
      </c>
      <c r="CG131" s="158"/>
      <c r="CH131" s="155"/>
      <c r="CI131" s="155"/>
      <c r="CJ131" s="155"/>
      <c r="CK131" s="155"/>
      <c r="CL131" s="155"/>
      <c r="CM131" s="155"/>
      <c r="CN131" s="155"/>
      <c r="CO131" s="155"/>
      <c r="CP131" s="155"/>
      <c r="CQ131" s="155"/>
      <c r="CR131" s="156"/>
      <c r="CS131" s="157">
        <f t="shared" si="485"/>
        <v>0</v>
      </c>
      <c r="CT131" s="158"/>
      <c r="CU131" s="155"/>
      <c r="CV131" s="155"/>
      <c r="CW131" s="155"/>
      <c r="CX131" s="155"/>
      <c r="CY131" s="155"/>
      <c r="CZ131" s="155"/>
      <c r="DA131" s="155"/>
      <c r="DB131" s="155"/>
      <c r="DC131" s="155"/>
      <c r="DD131" s="155"/>
      <c r="DE131" s="156"/>
      <c r="DF131" s="157">
        <f t="shared" si="486"/>
        <v>0</v>
      </c>
      <c r="DG131" s="280"/>
      <c r="DH131" s="159">
        <f t="shared" si="440"/>
        <v>329.61008626411882</v>
      </c>
      <c r="DI131" s="160">
        <f t="shared" si="441"/>
        <v>329.61008626411882</v>
      </c>
      <c r="DJ131" s="161">
        <f t="shared" si="442"/>
        <v>0</v>
      </c>
    </row>
    <row r="132" spans="1:115" ht="15" customHeight="1" outlineLevel="1">
      <c r="A132" s="607"/>
      <c r="B132" s="560"/>
      <c r="C132" s="245" t="s">
        <v>63</v>
      </c>
      <c r="D132" s="184" t="s">
        <v>124</v>
      </c>
      <c r="E132" s="136">
        <f>AF132+AS132+BF132+BS132+CF132+CS132+DF132+S132+DG132</f>
        <v>236.08161694062366</v>
      </c>
      <c r="F132" s="136"/>
      <c r="G132" s="137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9"/>
      <c r="S132" s="162">
        <f t="shared" si="503"/>
        <v>0</v>
      </c>
      <c r="T132" s="380"/>
      <c r="U132" s="381"/>
      <c r="V132" s="381"/>
      <c r="W132" s="381"/>
      <c r="X132" s="388"/>
      <c r="Y132" s="388"/>
      <c r="Z132" s="388"/>
      <c r="AA132" s="388"/>
      <c r="AB132" s="388"/>
      <c r="AC132" s="388"/>
      <c r="AD132" s="388"/>
      <c r="AE132" s="483"/>
      <c r="AF132" s="162">
        <v>0</v>
      </c>
      <c r="AG132" s="501"/>
      <c r="AH132" s="499"/>
      <c r="AI132" s="499"/>
      <c r="AJ132" s="499"/>
      <c r="AK132" s="499"/>
      <c r="AL132" s="499"/>
      <c r="AM132" s="499"/>
      <c r="AN132" s="499"/>
      <c r="AO132" s="499"/>
      <c r="AP132" s="499"/>
      <c r="AQ132" s="499"/>
      <c r="AR132" s="511"/>
      <c r="AS132" s="410">
        <f t="shared" si="434"/>
        <v>0</v>
      </c>
      <c r="AT132" s="501"/>
      <c r="AU132" s="501"/>
      <c r="AV132" s="501">
        <v>97.906446635818853</v>
      </c>
      <c r="AW132" s="499">
        <v>138.15281547099661</v>
      </c>
      <c r="AX132" s="499">
        <v>2.2354833808167142E-2</v>
      </c>
      <c r="AY132" s="499"/>
      <c r="AZ132" s="138"/>
      <c r="BA132" s="138"/>
      <c r="BB132" s="138"/>
      <c r="BC132" s="138"/>
      <c r="BD132" s="138"/>
      <c r="BE132" s="139"/>
      <c r="BF132" s="162">
        <f t="shared" si="435"/>
        <v>236.08161694062366</v>
      </c>
      <c r="BG132" s="141"/>
      <c r="BH132" s="138"/>
      <c r="BI132" s="138"/>
      <c r="BJ132" s="138"/>
      <c r="BK132" s="138"/>
      <c r="BL132" s="138"/>
      <c r="BM132" s="138"/>
      <c r="BN132" s="138"/>
      <c r="BO132" s="138"/>
      <c r="BP132" s="138"/>
      <c r="BQ132" s="138"/>
      <c r="BR132" s="139"/>
      <c r="BS132" s="162">
        <f t="shared" si="483"/>
        <v>0</v>
      </c>
      <c r="BT132" s="141"/>
      <c r="BU132" s="138"/>
      <c r="BV132" s="138"/>
      <c r="BW132" s="138"/>
      <c r="BX132" s="138"/>
      <c r="BY132" s="138"/>
      <c r="BZ132" s="138"/>
      <c r="CA132" s="138"/>
      <c r="CB132" s="138"/>
      <c r="CC132" s="138"/>
      <c r="CD132" s="138"/>
      <c r="CE132" s="139"/>
      <c r="CF132" s="162">
        <f t="shared" si="484"/>
        <v>0</v>
      </c>
      <c r="CG132" s="141"/>
      <c r="CH132" s="138"/>
      <c r="CI132" s="138"/>
      <c r="CJ132" s="138"/>
      <c r="CK132" s="138"/>
      <c r="CL132" s="138"/>
      <c r="CM132" s="138"/>
      <c r="CN132" s="138"/>
      <c r="CO132" s="138"/>
      <c r="CP132" s="138"/>
      <c r="CQ132" s="138"/>
      <c r="CR132" s="139"/>
      <c r="CS132" s="162">
        <f t="shared" si="485"/>
        <v>0</v>
      </c>
      <c r="CT132" s="141"/>
      <c r="CU132" s="138"/>
      <c r="CV132" s="138"/>
      <c r="CW132" s="138"/>
      <c r="CX132" s="138"/>
      <c r="CY132" s="138"/>
      <c r="CZ132" s="138"/>
      <c r="DA132" s="138"/>
      <c r="DB132" s="138"/>
      <c r="DC132" s="138"/>
      <c r="DD132" s="138"/>
      <c r="DE132" s="139"/>
      <c r="DF132" s="162">
        <f t="shared" si="486"/>
        <v>0</v>
      </c>
      <c r="DG132" s="279"/>
      <c r="DH132" s="90">
        <f t="shared" si="440"/>
        <v>236.08161694062366</v>
      </c>
      <c r="DI132" s="91">
        <f t="shared" si="441"/>
        <v>236.08161694062366</v>
      </c>
      <c r="DJ132" s="92">
        <f t="shared" si="442"/>
        <v>0</v>
      </c>
      <c r="DK132" s="64">
        <f>+DH132/DH131</f>
        <v>0.71624512349251912</v>
      </c>
    </row>
    <row r="133" spans="1:115" ht="15" customHeight="1" outlineLevel="1">
      <c r="A133" s="607"/>
      <c r="B133" s="561"/>
      <c r="C133" s="554" t="s">
        <v>11</v>
      </c>
      <c r="D133" s="555"/>
      <c r="E133" s="143">
        <v>47.072000000000003</v>
      </c>
      <c r="F133" s="144">
        <f t="shared" ref="F133:R133" si="512">+F131-F132</f>
        <v>0</v>
      </c>
      <c r="G133" s="145">
        <f t="shared" si="512"/>
        <v>0</v>
      </c>
      <c r="H133" s="145">
        <f t="shared" si="512"/>
        <v>0</v>
      </c>
      <c r="I133" s="145">
        <f t="shared" si="512"/>
        <v>0</v>
      </c>
      <c r="J133" s="145">
        <f t="shared" si="512"/>
        <v>0</v>
      </c>
      <c r="K133" s="145">
        <f t="shared" si="512"/>
        <v>0</v>
      </c>
      <c r="L133" s="145">
        <f t="shared" si="512"/>
        <v>0</v>
      </c>
      <c r="M133" s="145">
        <f t="shared" si="512"/>
        <v>0</v>
      </c>
      <c r="N133" s="145">
        <f t="shared" si="512"/>
        <v>0</v>
      </c>
      <c r="O133" s="145">
        <f t="shared" si="512"/>
        <v>0</v>
      </c>
      <c r="P133" s="145">
        <f t="shared" si="512"/>
        <v>0</v>
      </c>
      <c r="Q133" s="145">
        <f t="shared" si="512"/>
        <v>0</v>
      </c>
      <c r="R133" s="146">
        <f t="shared" si="512"/>
        <v>0</v>
      </c>
      <c r="S133" s="147">
        <f t="shared" si="503"/>
        <v>0</v>
      </c>
      <c r="T133" s="148">
        <f t="shared" ref="T133:AE133" si="513">+T131-T132</f>
        <v>0</v>
      </c>
      <c r="U133" s="145">
        <f t="shared" si="513"/>
        <v>0</v>
      </c>
      <c r="V133" s="145">
        <f t="shared" si="513"/>
        <v>0</v>
      </c>
      <c r="W133" s="145">
        <f t="shared" si="513"/>
        <v>0</v>
      </c>
      <c r="X133" s="145">
        <f t="shared" si="513"/>
        <v>0</v>
      </c>
      <c r="Y133" s="145">
        <f t="shared" si="513"/>
        <v>0</v>
      </c>
      <c r="Z133" s="145">
        <f t="shared" si="513"/>
        <v>0</v>
      </c>
      <c r="AA133" s="145">
        <f t="shared" si="513"/>
        <v>0</v>
      </c>
      <c r="AB133" s="145">
        <f t="shared" si="513"/>
        <v>0</v>
      </c>
      <c r="AC133" s="145">
        <f t="shared" si="513"/>
        <v>0</v>
      </c>
      <c r="AD133" s="145">
        <f t="shared" si="513"/>
        <v>0</v>
      </c>
      <c r="AE133" s="146">
        <f t="shared" si="513"/>
        <v>0</v>
      </c>
      <c r="AF133" s="147">
        <v>0</v>
      </c>
      <c r="AG133" s="148">
        <f t="shared" ref="AG133:AR133" si="514">+AG131-AG132</f>
        <v>0</v>
      </c>
      <c r="AH133" s="145">
        <f t="shared" si="514"/>
        <v>0</v>
      </c>
      <c r="AI133" s="145">
        <f t="shared" si="514"/>
        <v>0</v>
      </c>
      <c r="AJ133" s="145">
        <f t="shared" si="514"/>
        <v>0</v>
      </c>
      <c r="AK133" s="145">
        <f t="shared" si="514"/>
        <v>0</v>
      </c>
      <c r="AL133" s="145">
        <f t="shared" si="514"/>
        <v>0</v>
      </c>
      <c r="AM133" s="145">
        <f t="shared" si="514"/>
        <v>0</v>
      </c>
      <c r="AN133" s="145">
        <f t="shared" si="514"/>
        <v>0</v>
      </c>
      <c r="AO133" s="145">
        <f t="shared" si="514"/>
        <v>0</v>
      </c>
      <c r="AP133" s="145">
        <f t="shared" si="514"/>
        <v>0</v>
      </c>
      <c r="AQ133" s="145">
        <f t="shared" si="514"/>
        <v>0</v>
      </c>
      <c r="AR133" s="146">
        <f t="shared" si="514"/>
        <v>0</v>
      </c>
      <c r="AS133" s="408">
        <f t="shared" si="434"/>
        <v>0</v>
      </c>
      <c r="AT133" s="148">
        <f t="shared" ref="AT133:BE133" si="515">+AT131-AT132</f>
        <v>0</v>
      </c>
      <c r="AU133" s="145">
        <f t="shared" si="515"/>
        <v>0</v>
      </c>
      <c r="AV133" s="145">
        <f t="shared" si="515"/>
        <v>-97.906446635818853</v>
      </c>
      <c r="AW133" s="145">
        <f t="shared" si="515"/>
        <v>125.46715797260939</v>
      </c>
      <c r="AX133" s="145">
        <f t="shared" si="515"/>
        <v>65.96775798670464</v>
      </c>
      <c r="AY133" s="145">
        <f t="shared" si="515"/>
        <v>0</v>
      </c>
      <c r="AZ133" s="145">
        <f t="shared" si="515"/>
        <v>0</v>
      </c>
      <c r="BA133" s="145">
        <f t="shared" si="515"/>
        <v>0</v>
      </c>
      <c r="BB133" s="145">
        <f t="shared" si="515"/>
        <v>0</v>
      </c>
      <c r="BC133" s="145">
        <f t="shared" si="515"/>
        <v>0</v>
      </c>
      <c r="BD133" s="145">
        <f t="shared" si="515"/>
        <v>0</v>
      </c>
      <c r="BE133" s="146">
        <f t="shared" si="515"/>
        <v>0</v>
      </c>
      <c r="BF133" s="147">
        <f t="shared" si="435"/>
        <v>93.528469323495173</v>
      </c>
      <c r="BG133" s="148">
        <f t="shared" ref="BG133:BR133" si="516">+BG131-BG132</f>
        <v>0</v>
      </c>
      <c r="BH133" s="145">
        <f t="shared" si="516"/>
        <v>0</v>
      </c>
      <c r="BI133" s="145">
        <f t="shared" si="516"/>
        <v>0</v>
      </c>
      <c r="BJ133" s="145">
        <f t="shared" si="516"/>
        <v>0</v>
      </c>
      <c r="BK133" s="145">
        <f t="shared" si="516"/>
        <v>0</v>
      </c>
      <c r="BL133" s="145">
        <f t="shared" si="516"/>
        <v>0</v>
      </c>
      <c r="BM133" s="145">
        <f t="shared" si="516"/>
        <v>0</v>
      </c>
      <c r="BN133" s="145">
        <f t="shared" si="516"/>
        <v>0</v>
      </c>
      <c r="BO133" s="145">
        <f t="shared" si="516"/>
        <v>0</v>
      </c>
      <c r="BP133" s="145">
        <f t="shared" si="516"/>
        <v>0</v>
      </c>
      <c r="BQ133" s="145">
        <f t="shared" si="516"/>
        <v>0</v>
      </c>
      <c r="BR133" s="146">
        <f t="shared" si="516"/>
        <v>0</v>
      </c>
      <c r="BS133" s="147">
        <f t="shared" si="483"/>
        <v>0</v>
      </c>
      <c r="BT133" s="148">
        <f t="shared" ref="BT133:CE133" si="517">+BT131-BT132</f>
        <v>0</v>
      </c>
      <c r="BU133" s="145">
        <f t="shared" si="517"/>
        <v>0</v>
      </c>
      <c r="BV133" s="145">
        <f t="shared" si="517"/>
        <v>0</v>
      </c>
      <c r="BW133" s="145">
        <f t="shared" si="517"/>
        <v>0</v>
      </c>
      <c r="BX133" s="145">
        <f t="shared" si="517"/>
        <v>0</v>
      </c>
      <c r="BY133" s="145">
        <f t="shared" si="517"/>
        <v>0</v>
      </c>
      <c r="BZ133" s="145">
        <f t="shared" si="517"/>
        <v>0</v>
      </c>
      <c r="CA133" s="145">
        <f t="shared" si="517"/>
        <v>0</v>
      </c>
      <c r="CB133" s="145">
        <f t="shared" si="517"/>
        <v>0</v>
      </c>
      <c r="CC133" s="145">
        <f t="shared" si="517"/>
        <v>0</v>
      </c>
      <c r="CD133" s="145">
        <f t="shared" si="517"/>
        <v>0</v>
      </c>
      <c r="CE133" s="146">
        <f t="shared" si="517"/>
        <v>0</v>
      </c>
      <c r="CF133" s="147">
        <f t="shared" si="484"/>
        <v>0</v>
      </c>
      <c r="CG133" s="148">
        <f t="shared" ref="CG133:CR133" si="518">+CG131-CG132</f>
        <v>0</v>
      </c>
      <c r="CH133" s="145">
        <f t="shared" si="518"/>
        <v>0</v>
      </c>
      <c r="CI133" s="145">
        <f t="shared" si="518"/>
        <v>0</v>
      </c>
      <c r="CJ133" s="145">
        <f t="shared" si="518"/>
        <v>0</v>
      </c>
      <c r="CK133" s="145">
        <f t="shared" si="518"/>
        <v>0</v>
      </c>
      <c r="CL133" s="145">
        <f t="shared" si="518"/>
        <v>0</v>
      </c>
      <c r="CM133" s="145">
        <f t="shared" si="518"/>
        <v>0</v>
      </c>
      <c r="CN133" s="145">
        <f t="shared" si="518"/>
        <v>0</v>
      </c>
      <c r="CO133" s="145">
        <f t="shared" si="518"/>
        <v>0</v>
      </c>
      <c r="CP133" s="145">
        <f t="shared" si="518"/>
        <v>0</v>
      </c>
      <c r="CQ133" s="145">
        <f t="shared" si="518"/>
        <v>0</v>
      </c>
      <c r="CR133" s="146">
        <f t="shared" si="518"/>
        <v>0</v>
      </c>
      <c r="CS133" s="147">
        <f t="shared" si="485"/>
        <v>0</v>
      </c>
      <c r="CT133" s="148">
        <f t="shared" ref="CT133:DE133" si="519">+CT131-CT132</f>
        <v>0</v>
      </c>
      <c r="CU133" s="145">
        <f t="shared" si="519"/>
        <v>0</v>
      </c>
      <c r="CV133" s="145">
        <f t="shared" si="519"/>
        <v>0</v>
      </c>
      <c r="CW133" s="145">
        <f t="shared" si="519"/>
        <v>0</v>
      </c>
      <c r="CX133" s="145">
        <f t="shared" si="519"/>
        <v>0</v>
      </c>
      <c r="CY133" s="145">
        <f t="shared" si="519"/>
        <v>0</v>
      </c>
      <c r="CZ133" s="145">
        <f t="shared" si="519"/>
        <v>0</v>
      </c>
      <c r="DA133" s="145">
        <f t="shared" si="519"/>
        <v>0</v>
      </c>
      <c r="DB133" s="145">
        <f t="shared" si="519"/>
        <v>0</v>
      </c>
      <c r="DC133" s="145">
        <f t="shared" si="519"/>
        <v>0</v>
      </c>
      <c r="DD133" s="145">
        <f t="shared" si="519"/>
        <v>0</v>
      </c>
      <c r="DE133" s="146">
        <f t="shared" si="519"/>
        <v>0</v>
      </c>
      <c r="DF133" s="147">
        <f t="shared" si="486"/>
        <v>0</v>
      </c>
      <c r="DG133" s="146">
        <f>+DG131-DG132</f>
        <v>0</v>
      </c>
      <c r="DH133" s="98">
        <f t="shared" si="440"/>
        <v>93.528469323495173</v>
      </c>
      <c r="DI133" s="99">
        <f t="shared" si="441"/>
        <v>47.072000000000003</v>
      </c>
      <c r="DJ133" s="100">
        <f t="shared" si="442"/>
        <v>-46.45646932349517</v>
      </c>
    </row>
    <row r="134" spans="1:115" ht="15" customHeight="1" outlineLevel="1">
      <c r="A134" s="607"/>
      <c r="B134" s="557" t="s">
        <v>346</v>
      </c>
      <c r="C134" s="246" t="s">
        <v>62</v>
      </c>
      <c r="D134" s="183" t="s">
        <v>122</v>
      </c>
      <c r="E134" s="153">
        <f>AF134+AS134+BF134+BS134+CF134+CS134+DF134+S134+DG134</f>
        <v>388.96340019965641</v>
      </c>
      <c r="F134" s="153"/>
      <c r="G134" s="154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284"/>
      <c r="S134" s="157">
        <f t="shared" ref="S134:S154" si="520">SUM(G134:R134)</f>
        <v>0</v>
      </c>
      <c r="T134" s="378"/>
      <c r="U134" s="382"/>
      <c r="V134" s="382"/>
      <c r="W134" s="382"/>
      <c r="X134" s="389"/>
      <c r="Y134" s="389"/>
      <c r="Z134" s="389"/>
      <c r="AA134" s="389"/>
      <c r="AB134" s="389"/>
      <c r="AC134" s="389"/>
      <c r="AD134" s="389"/>
      <c r="AE134" s="482"/>
      <c r="AF134" s="157">
        <v>0</v>
      </c>
      <c r="AG134" s="500"/>
      <c r="AH134" s="513"/>
      <c r="AI134" s="513"/>
      <c r="AJ134" s="513"/>
      <c r="AK134" s="513"/>
      <c r="AL134" s="513"/>
      <c r="AM134" s="513"/>
      <c r="AN134" s="513"/>
      <c r="AO134" s="513"/>
      <c r="AP134" s="513"/>
      <c r="AQ134" s="513"/>
      <c r="AR134" s="512"/>
      <c r="AS134" s="409">
        <f t="shared" si="434"/>
        <v>0</v>
      </c>
      <c r="AT134" s="500">
        <v>312.05364521217251</v>
      </c>
      <c r="AU134" s="513"/>
      <c r="AV134" s="513">
        <v>76.909754987483879</v>
      </c>
      <c r="AW134" s="513"/>
      <c r="AX134" s="513"/>
      <c r="AY134" s="513"/>
      <c r="AZ134" s="155"/>
      <c r="BA134" s="155"/>
      <c r="BB134" s="155"/>
      <c r="BC134" s="155"/>
      <c r="BD134" s="155"/>
      <c r="BE134" s="156"/>
      <c r="BF134" s="157">
        <f t="shared" si="435"/>
        <v>388.96340019965641</v>
      </c>
      <c r="BG134" s="158"/>
      <c r="BH134" s="155"/>
      <c r="BI134" s="155"/>
      <c r="BJ134" s="155"/>
      <c r="BK134" s="155"/>
      <c r="BL134" s="155"/>
      <c r="BM134" s="155"/>
      <c r="BN134" s="155"/>
      <c r="BO134" s="155"/>
      <c r="BP134" s="155"/>
      <c r="BQ134" s="155"/>
      <c r="BR134" s="156"/>
      <c r="BS134" s="157">
        <f t="shared" si="483"/>
        <v>0</v>
      </c>
      <c r="BT134" s="158"/>
      <c r="BU134" s="155"/>
      <c r="BV134" s="155"/>
      <c r="BW134" s="155"/>
      <c r="BX134" s="155"/>
      <c r="BY134" s="155"/>
      <c r="BZ134" s="155"/>
      <c r="CA134" s="155"/>
      <c r="CB134" s="155"/>
      <c r="CC134" s="155"/>
      <c r="CD134" s="155"/>
      <c r="CE134" s="156"/>
      <c r="CF134" s="157">
        <f t="shared" si="484"/>
        <v>0</v>
      </c>
      <c r="CG134" s="158"/>
      <c r="CH134" s="155"/>
      <c r="CI134" s="155"/>
      <c r="CJ134" s="155"/>
      <c r="CK134" s="155"/>
      <c r="CL134" s="155"/>
      <c r="CM134" s="155"/>
      <c r="CN134" s="155"/>
      <c r="CO134" s="155"/>
      <c r="CP134" s="155"/>
      <c r="CQ134" s="155"/>
      <c r="CR134" s="156"/>
      <c r="CS134" s="157">
        <f t="shared" si="485"/>
        <v>0</v>
      </c>
      <c r="CT134" s="158"/>
      <c r="CU134" s="155"/>
      <c r="CV134" s="155"/>
      <c r="CW134" s="155"/>
      <c r="CX134" s="155"/>
      <c r="CY134" s="155"/>
      <c r="CZ134" s="155"/>
      <c r="DA134" s="155"/>
      <c r="DB134" s="155"/>
      <c r="DC134" s="155"/>
      <c r="DD134" s="155"/>
      <c r="DE134" s="156"/>
      <c r="DF134" s="157">
        <f t="shared" si="486"/>
        <v>0</v>
      </c>
      <c r="DG134" s="280"/>
      <c r="DH134" s="159">
        <f t="shared" si="440"/>
        <v>388.96340019965641</v>
      </c>
      <c r="DI134" s="160">
        <f t="shared" si="441"/>
        <v>388.96340019965641</v>
      </c>
      <c r="DJ134" s="161">
        <f t="shared" si="442"/>
        <v>0</v>
      </c>
    </row>
    <row r="135" spans="1:115" ht="15" customHeight="1" outlineLevel="1">
      <c r="A135" s="607"/>
      <c r="B135" s="560"/>
      <c r="C135" s="245" t="s">
        <v>63</v>
      </c>
      <c r="D135" s="184" t="s">
        <v>124</v>
      </c>
      <c r="E135" s="136">
        <f>AF135+AS135+BF135+BS135+CF135+CS135+DF135+S135+DG135</f>
        <v>242.24059338770937</v>
      </c>
      <c r="F135" s="136"/>
      <c r="G135" s="137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9"/>
      <c r="S135" s="162">
        <f t="shared" si="520"/>
        <v>0</v>
      </c>
      <c r="T135" s="380"/>
      <c r="U135" s="381"/>
      <c r="V135" s="381"/>
      <c r="W135" s="381"/>
      <c r="X135" s="388"/>
      <c r="Y135" s="388"/>
      <c r="Z135" s="388"/>
      <c r="AA135" s="388"/>
      <c r="AB135" s="388"/>
      <c r="AC135" s="388"/>
      <c r="AD135" s="388"/>
      <c r="AE135" s="483"/>
      <c r="AF135" s="162">
        <v>0</v>
      </c>
      <c r="AG135" s="501"/>
      <c r="AH135" s="499"/>
      <c r="AI135" s="499"/>
      <c r="AJ135" s="499"/>
      <c r="AK135" s="499"/>
      <c r="AL135" s="499"/>
      <c r="AM135" s="499"/>
      <c r="AN135" s="499"/>
      <c r="AO135" s="499"/>
      <c r="AP135" s="499">
        <v>1.328617098110769</v>
      </c>
      <c r="AQ135" s="499">
        <v>2.2788321524646684</v>
      </c>
      <c r="AR135" s="511">
        <v>90.342344558599692</v>
      </c>
      <c r="AS135" s="410">
        <f t="shared" si="434"/>
        <v>93.949793809175134</v>
      </c>
      <c r="AT135" s="501">
        <v>4.0956082022082869</v>
      </c>
      <c r="AU135" s="499">
        <v>144.14196676887696</v>
      </c>
      <c r="AV135" s="499">
        <v>5.3224607448987334E-2</v>
      </c>
      <c r="AW135" s="499"/>
      <c r="AX135" s="499"/>
      <c r="AY135" s="499"/>
      <c r="AZ135" s="138"/>
      <c r="BA135" s="138"/>
      <c r="BB135" s="138"/>
      <c r="BC135" s="138"/>
      <c r="BD135" s="138"/>
      <c r="BE135" s="139"/>
      <c r="BF135" s="162">
        <f t="shared" si="435"/>
        <v>148.29079957853423</v>
      </c>
      <c r="BG135" s="141"/>
      <c r="BH135" s="138"/>
      <c r="BI135" s="138"/>
      <c r="BJ135" s="138"/>
      <c r="BK135" s="138"/>
      <c r="BL135" s="138"/>
      <c r="BM135" s="138"/>
      <c r="BN135" s="138"/>
      <c r="BO135" s="138"/>
      <c r="BP135" s="138"/>
      <c r="BQ135" s="138"/>
      <c r="BR135" s="139"/>
      <c r="BS135" s="162">
        <f t="shared" si="483"/>
        <v>0</v>
      </c>
      <c r="BT135" s="141"/>
      <c r="BU135" s="138"/>
      <c r="BV135" s="138"/>
      <c r="BW135" s="138"/>
      <c r="BX135" s="138"/>
      <c r="BY135" s="138"/>
      <c r="BZ135" s="138"/>
      <c r="CA135" s="138"/>
      <c r="CB135" s="138"/>
      <c r="CC135" s="138"/>
      <c r="CD135" s="138"/>
      <c r="CE135" s="139"/>
      <c r="CF135" s="162">
        <f t="shared" si="484"/>
        <v>0</v>
      </c>
      <c r="CG135" s="141"/>
      <c r="CH135" s="138"/>
      <c r="CI135" s="138"/>
      <c r="CJ135" s="138"/>
      <c r="CK135" s="138"/>
      <c r="CL135" s="138"/>
      <c r="CM135" s="138"/>
      <c r="CN135" s="138"/>
      <c r="CO135" s="138"/>
      <c r="CP135" s="138"/>
      <c r="CQ135" s="138"/>
      <c r="CR135" s="139"/>
      <c r="CS135" s="162">
        <f t="shared" si="485"/>
        <v>0</v>
      </c>
      <c r="CT135" s="141"/>
      <c r="CU135" s="138"/>
      <c r="CV135" s="138"/>
      <c r="CW135" s="138"/>
      <c r="CX135" s="138"/>
      <c r="CY135" s="138"/>
      <c r="CZ135" s="138"/>
      <c r="DA135" s="138"/>
      <c r="DB135" s="138"/>
      <c r="DC135" s="138"/>
      <c r="DD135" s="138"/>
      <c r="DE135" s="139"/>
      <c r="DF135" s="162">
        <f t="shared" si="486"/>
        <v>0</v>
      </c>
      <c r="DG135" s="279"/>
      <c r="DH135" s="90">
        <f t="shared" si="440"/>
        <v>242.24059338770937</v>
      </c>
      <c r="DI135" s="91">
        <f t="shared" si="441"/>
        <v>242.24059338770937</v>
      </c>
      <c r="DJ135" s="92">
        <f t="shared" si="442"/>
        <v>0</v>
      </c>
      <c r="DK135" s="64">
        <f>+DH135/DH134</f>
        <v>0.62278505706029497</v>
      </c>
    </row>
    <row r="136" spans="1:115" ht="15" customHeight="1" outlineLevel="1">
      <c r="A136" s="607"/>
      <c r="B136" s="561"/>
      <c r="C136" s="554" t="s">
        <v>11</v>
      </c>
      <c r="D136" s="555"/>
      <c r="E136" s="143">
        <v>47.072000000000003</v>
      </c>
      <c r="F136" s="144">
        <f t="shared" ref="F136:R136" si="521">+F134-F135</f>
        <v>0</v>
      </c>
      <c r="G136" s="145">
        <f t="shared" si="521"/>
        <v>0</v>
      </c>
      <c r="H136" s="145">
        <f t="shared" si="521"/>
        <v>0</v>
      </c>
      <c r="I136" s="145">
        <f t="shared" si="521"/>
        <v>0</v>
      </c>
      <c r="J136" s="145">
        <f t="shared" si="521"/>
        <v>0</v>
      </c>
      <c r="K136" s="145">
        <f t="shared" si="521"/>
        <v>0</v>
      </c>
      <c r="L136" s="145">
        <f t="shared" si="521"/>
        <v>0</v>
      </c>
      <c r="M136" s="145">
        <f t="shared" si="521"/>
        <v>0</v>
      </c>
      <c r="N136" s="145">
        <f t="shared" si="521"/>
        <v>0</v>
      </c>
      <c r="O136" s="145">
        <f t="shared" si="521"/>
        <v>0</v>
      </c>
      <c r="P136" s="145">
        <f t="shared" si="521"/>
        <v>0</v>
      </c>
      <c r="Q136" s="145">
        <f t="shared" si="521"/>
        <v>0</v>
      </c>
      <c r="R136" s="146">
        <f t="shared" si="521"/>
        <v>0</v>
      </c>
      <c r="S136" s="147">
        <f t="shared" si="520"/>
        <v>0</v>
      </c>
      <c r="T136" s="148">
        <f t="shared" ref="T136:AE136" si="522">+T134-T135</f>
        <v>0</v>
      </c>
      <c r="U136" s="145">
        <f t="shared" si="522"/>
        <v>0</v>
      </c>
      <c r="V136" s="145">
        <f t="shared" si="522"/>
        <v>0</v>
      </c>
      <c r="W136" s="145">
        <f t="shared" si="522"/>
        <v>0</v>
      </c>
      <c r="X136" s="145">
        <f t="shared" si="522"/>
        <v>0</v>
      </c>
      <c r="Y136" s="145">
        <f t="shared" si="522"/>
        <v>0</v>
      </c>
      <c r="Z136" s="145">
        <f t="shared" si="522"/>
        <v>0</v>
      </c>
      <c r="AA136" s="145">
        <f t="shared" si="522"/>
        <v>0</v>
      </c>
      <c r="AB136" s="145">
        <f t="shared" si="522"/>
        <v>0</v>
      </c>
      <c r="AC136" s="145">
        <f t="shared" si="522"/>
        <v>0</v>
      </c>
      <c r="AD136" s="145">
        <f t="shared" si="522"/>
        <v>0</v>
      </c>
      <c r="AE136" s="146">
        <f t="shared" si="522"/>
        <v>0</v>
      </c>
      <c r="AF136" s="147">
        <v>0</v>
      </c>
      <c r="AG136" s="148">
        <f t="shared" ref="AG136:AR136" si="523">+AG134-AG135</f>
        <v>0</v>
      </c>
      <c r="AH136" s="145">
        <f t="shared" si="523"/>
        <v>0</v>
      </c>
      <c r="AI136" s="145">
        <f t="shared" si="523"/>
        <v>0</v>
      </c>
      <c r="AJ136" s="145">
        <f t="shared" si="523"/>
        <v>0</v>
      </c>
      <c r="AK136" s="145">
        <f t="shared" si="523"/>
        <v>0</v>
      </c>
      <c r="AL136" s="145">
        <f t="shared" si="523"/>
        <v>0</v>
      </c>
      <c r="AM136" s="145">
        <f t="shared" si="523"/>
        <v>0</v>
      </c>
      <c r="AN136" s="145">
        <f t="shared" si="523"/>
        <v>0</v>
      </c>
      <c r="AO136" s="145">
        <f t="shared" si="523"/>
        <v>0</v>
      </c>
      <c r="AP136" s="145">
        <f t="shared" si="523"/>
        <v>-1.328617098110769</v>
      </c>
      <c r="AQ136" s="145">
        <f t="shared" si="523"/>
        <v>-2.2788321524646684</v>
      </c>
      <c r="AR136" s="146">
        <f t="shared" si="523"/>
        <v>-90.342344558599692</v>
      </c>
      <c r="AS136" s="408">
        <f t="shared" si="434"/>
        <v>-93.949793809175134</v>
      </c>
      <c r="AT136" s="148">
        <f t="shared" ref="AT136:BE136" si="524">+AT134-AT135</f>
        <v>307.95803700996424</v>
      </c>
      <c r="AU136" s="145">
        <f t="shared" si="524"/>
        <v>-144.14196676887696</v>
      </c>
      <c r="AV136" s="145">
        <f t="shared" si="524"/>
        <v>76.856530380034897</v>
      </c>
      <c r="AW136" s="145">
        <f t="shared" si="524"/>
        <v>0</v>
      </c>
      <c r="AX136" s="145">
        <f t="shared" si="524"/>
        <v>0</v>
      </c>
      <c r="AY136" s="145">
        <f t="shared" si="524"/>
        <v>0</v>
      </c>
      <c r="AZ136" s="145">
        <f t="shared" si="524"/>
        <v>0</v>
      </c>
      <c r="BA136" s="145">
        <f t="shared" si="524"/>
        <v>0</v>
      </c>
      <c r="BB136" s="145">
        <f t="shared" si="524"/>
        <v>0</v>
      </c>
      <c r="BC136" s="145">
        <f t="shared" si="524"/>
        <v>0</v>
      </c>
      <c r="BD136" s="145">
        <f t="shared" si="524"/>
        <v>0</v>
      </c>
      <c r="BE136" s="146">
        <f t="shared" si="524"/>
        <v>0</v>
      </c>
      <c r="BF136" s="147">
        <f t="shared" si="435"/>
        <v>240.67260062112217</v>
      </c>
      <c r="BG136" s="148">
        <f t="shared" ref="BG136:BR136" si="525">+BG134-BG135</f>
        <v>0</v>
      </c>
      <c r="BH136" s="145">
        <f t="shared" si="525"/>
        <v>0</v>
      </c>
      <c r="BI136" s="145">
        <f t="shared" si="525"/>
        <v>0</v>
      </c>
      <c r="BJ136" s="145">
        <f t="shared" si="525"/>
        <v>0</v>
      </c>
      <c r="BK136" s="145">
        <f t="shared" si="525"/>
        <v>0</v>
      </c>
      <c r="BL136" s="145">
        <f t="shared" si="525"/>
        <v>0</v>
      </c>
      <c r="BM136" s="145">
        <f t="shared" si="525"/>
        <v>0</v>
      </c>
      <c r="BN136" s="145">
        <f t="shared" si="525"/>
        <v>0</v>
      </c>
      <c r="BO136" s="145">
        <f t="shared" si="525"/>
        <v>0</v>
      </c>
      <c r="BP136" s="145">
        <f t="shared" si="525"/>
        <v>0</v>
      </c>
      <c r="BQ136" s="145">
        <f t="shared" si="525"/>
        <v>0</v>
      </c>
      <c r="BR136" s="146">
        <f t="shared" si="525"/>
        <v>0</v>
      </c>
      <c r="BS136" s="147">
        <f t="shared" si="483"/>
        <v>0</v>
      </c>
      <c r="BT136" s="148">
        <f t="shared" ref="BT136:CE136" si="526">+BT134-BT135</f>
        <v>0</v>
      </c>
      <c r="BU136" s="145">
        <f t="shared" si="526"/>
        <v>0</v>
      </c>
      <c r="BV136" s="145">
        <f t="shared" si="526"/>
        <v>0</v>
      </c>
      <c r="BW136" s="145">
        <f t="shared" si="526"/>
        <v>0</v>
      </c>
      <c r="BX136" s="145">
        <f t="shared" si="526"/>
        <v>0</v>
      </c>
      <c r="BY136" s="145">
        <f t="shared" si="526"/>
        <v>0</v>
      </c>
      <c r="BZ136" s="145">
        <f t="shared" si="526"/>
        <v>0</v>
      </c>
      <c r="CA136" s="145">
        <f t="shared" si="526"/>
        <v>0</v>
      </c>
      <c r="CB136" s="145">
        <f t="shared" si="526"/>
        <v>0</v>
      </c>
      <c r="CC136" s="145">
        <f t="shared" si="526"/>
        <v>0</v>
      </c>
      <c r="CD136" s="145">
        <f t="shared" si="526"/>
        <v>0</v>
      </c>
      <c r="CE136" s="146">
        <f t="shared" si="526"/>
        <v>0</v>
      </c>
      <c r="CF136" s="147">
        <f t="shared" si="484"/>
        <v>0</v>
      </c>
      <c r="CG136" s="148">
        <f t="shared" ref="CG136:CR136" si="527">+CG134-CG135</f>
        <v>0</v>
      </c>
      <c r="CH136" s="145">
        <f t="shared" si="527"/>
        <v>0</v>
      </c>
      <c r="CI136" s="145">
        <f t="shared" si="527"/>
        <v>0</v>
      </c>
      <c r="CJ136" s="145">
        <f t="shared" si="527"/>
        <v>0</v>
      </c>
      <c r="CK136" s="145">
        <f t="shared" si="527"/>
        <v>0</v>
      </c>
      <c r="CL136" s="145">
        <f t="shared" si="527"/>
        <v>0</v>
      </c>
      <c r="CM136" s="145">
        <f t="shared" si="527"/>
        <v>0</v>
      </c>
      <c r="CN136" s="145">
        <f t="shared" si="527"/>
        <v>0</v>
      </c>
      <c r="CO136" s="145">
        <f t="shared" si="527"/>
        <v>0</v>
      </c>
      <c r="CP136" s="145">
        <f t="shared" si="527"/>
        <v>0</v>
      </c>
      <c r="CQ136" s="145">
        <f t="shared" si="527"/>
        <v>0</v>
      </c>
      <c r="CR136" s="146">
        <f t="shared" si="527"/>
        <v>0</v>
      </c>
      <c r="CS136" s="147">
        <f t="shared" si="485"/>
        <v>0</v>
      </c>
      <c r="CT136" s="148">
        <f t="shared" ref="CT136:DE136" si="528">+CT134-CT135</f>
        <v>0</v>
      </c>
      <c r="CU136" s="145">
        <f t="shared" si="528"/>
        <v>0</v>
      </c>
      <c r="CV136" s="145">
        <f t="shared" si="528"/>
        <v>0</v>
      </c>
      <c r="CW136" s="145">
        <f t="shared" si="528"/>
        <v>0</v>
      </c>
      <c r="CX136" s="145">
        <f t="shared" si="528"/>
        <v>0</v>
      </c>
      <c r="CY136" s="145">
        <f t="shared" si="528"/>
        <v>0</v>
      </c>
      <c r="CZ136" s="145">
        <f t="shared" si="528"/>
        <v>0</v>
      </c>
      <c r="DA136" s="145">
        <f t="shared" si="528"/>
        <v>0</v>
      </c>
      <c r="DB136" s="145">
        <f t="shared" si="528"/>
        <v>0</v>
      </c>
      <c r="DC136" s="145">
        <f t="shared" si="528"/>
        <v>0</v>
      </c>
      <c r="DD136" s="145">
        <f t="shared" si="528"/>
        <v>0</v>
      </c>
      <c r="DE136" s="146">
        <f t="shared" si="528"/>
        <v>0</v>
      </c>
      <c r="DF136" s="147">
        <f t="shared" si="486"/>
        <v>0</v>
      </c>
      <c r="DG136" s="146">
        <f>+DG134-DG135</f>
        <v>0</v>
      </c>
      <c r="DH136" s="98">
        <f t="shared" si="440"/>
        <v>146.72280681194704</v>
      </c>
      <c r="DI136" s="99">
        <f t="shared" si="441"/>
        <v>47.072000000000003</v>
      </c>
      <c r="DJ136" s="100">
        <f t="shared" si="442"/>
        <v>-99.650806811947035</v>
      </c>
    </row>
    <row r="137" spans="1:115" ht="15" customHeight="1" outlineLevel="1">
      <c r="A137" s="607"/>
      <c r="B137" s="609" t="s">
        <v>99</v>
      </c>
      <c r="C137" s="246" t="s">
        <v>62</v>
      </c>
      <c r="D137" s="183" t="s">
        <v>122</v>
      </c>
      <c r="E137" s="153">
        <f>AF137+AS137+BF137+BS137+CF137+CS137+DF137+S137+DG137</f>
        <v>2250.406513575535</v>
      </c>
      <c r="F137" s="128"/>
      <c r="G137" s="284">
        <v>470.33521926053299</v>
      </c>
      <c r="H137" s="130"/>
      <c r="I137" s="130"/>
      <c r="J137" s="130"/>
      <c r="K137" s="130"/>
      <c r="L137" s="130">
        <v>701.43175037401159</v>
      </c>
      <c r="M137" s="130"/>
      <c r="N137" s="130"/>
      <c r="O137" s="282"/>
      <c r="P137" s="130"/>
      <c r="Q137" s="130"/>
      <c r="R137" s="282">
        <v>669.9223384615384</v>
      </c>
      <c r="S137" s="163">
        <f t="shared" si="520"/>
        <v>1841.6893080960831</v>
      </c>
      <c r="T137" s="385"/>
      <c r="U137" s="379"/>
      <c r="V137" s="379"/>
      <c r="W137" s="379"/>
      <c r="X137" s="387"/>
      <c r="Y137" s="387"/>
      <c r="Z137" s="387"/>
      <c r="AA137" s="387"/>
      <c r="AB137" s="387"/>
      <c r="AC137" s="387"/>
      <c r="AD137" s="387"/>
      <c r="AE137" s="488"/>
      <c r="AF137" s="163">
        <f t="shared" ref="AF137:AF160" si="529">SUM(T137:AE137)</f>
        <v>0</v>
      </c>
      <c r="AG137" s="507"/>
      <c r="AH137" s="510"/>
      <c r="AI137" s="510"/>
      <c r="AJ137" s="510"/>
      <c r="AK137" s="510"/>
      <c r="AL137" s="510"/>
      <c r="AM137" s="510"/>
      <c r="AN137" s="510"/>
      <c r="AO137" s="510"/>
      <c r="AP137" s="510"/>
      <c r="AQ137" s="510"/>
      <c r="AR137" s="515">
        <v>408.71720547945205</v>
      </c>
      <c r="AS137" s="414">
        <f t="shared" si="434"/>
        <v>408.71720547945205</v>
      </c>
      <c r="AT137" s="516"/>
      <c r="AU137" s="510"/>
      <c r="AV137" s="510"/>
      <c r="AW137" s="510"/>
      <c r="AX137" s="510"/>
      <c r="AY137" s="510"/>
      <c r="AZ137" s="365"/>
      <c r="BA137" s="365"/>
      <c r="BB137" s="365"/>
      <c r="BC137" s="365"/>
      <c r="BD137" s="365"/>
      <c r="BE137" s="370"/>
      <c r="BF137" s="163">
        <f t="shared" si="435"/>
        <v>0</v>
      </c>
      <c r="BG137" s="352"/>
      <c r="BH137" s="282"/>
      <c r="BI137" s="282"/>
      <c r="BJ137" s="282"/>
      <c r="BK137" s="282"/>
      <c r="BL137" s="282"/>
      <c r="BM137" s="282"/>
      <c r="BN137" s="282"/>
      <c r="BO137" s="282"/>
      <c r="BP137" s="282"/>
      <c r="BQ137" s="282"/>
      <c r="BR137" s="284"/>
      <c r="BS137" s="163">
        <f t="shared" ref="BS137:BS160" si="530">SUM(BG137:BR137)</f>
        <v>0</v>
      </c>
      <c r="BT137" s="352"/>
      <c r="BU137" s="282"/>
      <c r="BV137" s="282"/>
      <c r="BW137" s="282"/>
      <c r="BX137" s="282"/>
      <c r="BY137" s="282"/>
      <c r="BZ137" s="282"/>
      <c r="CA137" s="282"/>
      <c r="CB137" s="282"/>
      <c r="CC137" s="282"/>
      <c r="CD137" s="282"/>
      <c r="CE137" s="284"/>
      <c r="CF137" s="163">
        <f t="shared" si="437"/>
        <v>0</v>
      </c>
      <c r="CG137" s="352"/>
      <c r="CH137" s="282"/>
      <c r="CI137" s="282"/>
      <c r="CJ137" s="282"/>
      <c r="CK137" s="282"/>
      <c r="CL137" s="282"/>
      <c r="CM137" s="282"/>
      <c r="CN137" s="282"/>
      <c r="CO137" s="282"/>
      <c r="CP137" s="282"/>
      <c r="CQ137" s="282"/>
      <c r="CR137" s="284"/>
      <c r="CS137" s="163">
        <f t="shared" si="438"/>
        <v>0</v>
      </c>
      <c r="CT137" s="352"/>
      <c r="CU137" s="282"/>
      <c r="CV137" s="282"/>
      <c r="CW137" s="282"/>
      <c r="CX137" s="282"/>
      <c r="CY137" s="282"/>
      <c r="CZ137" s="282"/>
      <c r="DA137" s="282"/>
      <c r="DB137" s="282"/>
      <c r="DC137" s="282"/>
      <c r="DD137" s="282"/>
      <c r="DE137" s="284"/>
      <c r="DF137" s="163">
        <f t="shared" si="439"/>
        <v>0</v>
      </c>
      <c r="DG137" s="278"/>
      <c r="DH137" s="159">
        <f t="shared" si="440"/>
        <v>2250.406513575535</v>
      </c>
      <c r="DI137" s="165">
        <f t="shared" si="441"/>
        <v>2250.406513575535</v>
      </c>
      <c r="DJ137" s="166">
        <f t="shared" si="442"/>
        <v>0</v>
      </c>
    </row>
    <row r="138" spans="1:115" ht="15" customHeight="1" outlineLevel="1">
      <c r="A138" s="607"/>
      <c r="B138" s="548"/>
      <c r="C138" s="245" t="s">
        <v>63</v>
      </c>
      <c r="D138" s="184" t="s">
        <v>124</v>
      </c>
      <c r="E138" s="136">
        <f>AF138+AS138+BF138+BS138+CF138+CS138+DF138+S138+DG138</f>
        <v>1413.4751837320534</v>
      </c>
      <c r="F138" s="136"/>
      <c r="G138" s="137">
        <v>46.141832631126398</v>
      </c>
      <c r="H138" s="138">
        <v>198.31040555555558</v>
      </c>
      <c r="I138" s="138">
        <v>19.612089046391752</v>
      </c>
      <c r="J138" s="138">
        <v>38.435390201976794</v>
      </c>
      <c r="K138" s="138">
        <v>73.418847467811148</v>
      </c>
      <c r="L138" s="138">
        <v>53.928126052575337</v>
      </c>
      <c r="M138" s="138">
        <v>122.09420795914025</v>
      </c>
      <c r="N138" s="138">
        <v>49.740869514237858</v>
      </c>
      <c r="O138" s="138">
        <v>32.959805103734439</v>
      </c>
      <c r="P138" s="138">
        <v>33.088145055395984</v>
      </c>
      <c r="Q138" s="138">
        <v>82.655227710843377</v>
      </c>
      <c r="R138" s="139">
        <v>75.829682536382535</v>
      </c>
      <c r="S138" s="162">
        <f t="shared" si="520"/>
        <v>826.21462883517142</v>
      </c>
      <c r="T138" s="380">
        <v>217.02230447699606</v>
      </c>
      <c r="U138" s="381">
        <v>36.316852248569091</v>
      </c>
      <c r="V138" s="381">
        <v>30.472185134037368</v>
      </c>
      <c r="W138" s="381">
        <v>23.727143794488409</v>
      </c>
      <c r="X138" s="388">
        <v>14.684929658397401</v>
      </c>
      <c r="Y138" s="388">
        <v>13.658141956961122</v>
      </c>
      <c r="Z138" s="388">
        <v>9.5058691771269164</v>
      </c>
      <c r="AA138" s="388">
        <v>6.6465550148797554</v>
      </c>
      <c r="AB138" s="388">
        <v>0.57733437588854142</v>
      </c>
      <c r="AC138" s="388">
        <v>38.646826248566569</v>
      </c>
      <c r="AD138" s="388">
        <v>0.91695177064437261</v>
      </c>
      <c r="AE138" s="483">
        <v>48.57782596067041</v>
      </c>
      <c r="AF138" s="162">
        <f t="shared" si="529"/>
        <v>440.75291981722597</v>
      </c>
      <c r="AG138" s="497">
        <v>32.675415664090508</v>
      </c>
      <c r="AH138" s="499"/>
      <c r="AI138" s="499"/>
      <c r="AJ138" s="499"/>
      <c r="AK138" s="499"/>
      <c r="AL138" s="499"/>
      <c r="AM138" s="499"/>
      <c r="AN138" s="499"/>
      <c r="AO138" s="499"/>
      <c r="AP138" s="499"/>
      <c r="AQ138" s="499">
        <v>49.342909710908195</v>
      </c>
      <c r="AR138" s="511">
        <v>26.134975076103498</v>
      </c>
      <c r="AS138" s="410">
        <f t="shared" si="434"/>
        <v>108.15330045110221</v>
      </c>
      <c r="AT138" s="501">
        <v>38.354334628553843</v>
      </c>
      <c r="AU138" s="499"/>
      <c r="AV138" s="499"/>
      <c r="AW138" s="499"/>
      <c r="AX138" s="499"/>
      <c r="AY138" s="499"/>
      <c r="AZ138" s="354"/>
      <c r="BA138" s="354"/>
      <c r="BB138" s="354"/>
      <c r="BC138" s="354"/>
      <c r="BD138" s="354"/>
      <c r="BE138" s="371"/>
      <c r="BF138" s="162">
        <f t="shared" si="435"/>
        <v>38.354334628553843</v>
      </c>
      <c r="BG138" s="353"/>
      <c r="BH138" s="253"/>
      <c r="BI138" s="253"/>
      <c r="BJ138" s="253"/>
      <c r="BK138" s="253"/>
      <c r="BL138" s="253"/>
      <c r="BM138" s="253"/>
      <c r="BN138" s="253"/>
      <c r="BO138" s="253"/>
      <c r="BP138" s="253"/>
      <c r="BQ138" s="253"/>
      <c r="BR138" s="338"/>
      <c r="BS138" s="162">
        <f t="shared" si="530"/>
        <v>0</v>
      </c>
      <c r="BT138" s="353"/>
      <c r="BU138" s="253"/>
      <c r="BV138" s="253"/>
      <c r="BW138" s="253"/>
      <c r="BX138" s="253"/>
      <c r="BY138" s="253"/>
      <c r="BZ138" s="253"/>
      <c r="CA138" s="253"/>
      <c r="CB138" s="253"/>
      <c r="CC138" s="253"/>
      <c r="CD138" s="253"/>
      <c r="CE138" s="338"/>
      <c r="CF138" s="162">
        <f t="shared" si="437"/>
        <v>0</v>
      </c>
      <c r="CG138" s="353"/>
      <c r="CH138" s="253"/>
      <c r="CI138" s="253"/>
      <c r="CJ138" s="253"/>
      <c r="CK138" s="253"/>
      <c r="CL138" s="253"/>
      <c r="CM138" s="253"/>
      <c r="CN138" s="253"/>
      <c r="CO138" s="253"/>
      <c r="CP138" s="253"/>
      <c r="CQ138" s="253"/>
      <c r="CR138" s="338"/>
      <c r="CS138" s="162">
        <f t="shared" si="438"/>
        <v>0</v>
      </c>
      <c r="CT138" s="353"/>
      <c r="CU138" s="253"/>
      <c r="CV138" s="253"/>
      <c r="CW138" s="253"/>
      <c r="CX138" s="253"/>
      <c r="CY138" s="253"/>
      <c r="CZ138" s="253"/>
      <c r="DA138" s="253"/>
      <c r="DB138" s="253"/>
      <c r="DC138" s="253"/>
      <c r="DD138" s="253"/>
      <c r="DE138" s="338"/>
      <c r="DF138" s="162">
        <f t="shared" si="439"/>
        <v>0</v>
      </c>
      <c r="DG138" s="279"/>
      <c r="DH138" s="90">
        <f t="shared" si="440"/>
        <v>1413.4751837320537</v>
      </c>
      <c r="DI138" s="91">
        <f t="shared" si="441"/>
        <v>1413.4751837320534</v>
      </c>
      <c r="DJ138" s="92">
        <f t="shared" si="442"/>
        <v>0</v>
      </c>
      <c r="DK138" s="64">
        <f>+DH138/DH137</f>
        <v>0.62809771266004222</v>
      </c>
    </row>
    <row r="139" spans="1:115" ht="15" customHeight="1" outlineLevel="1">
      <c r="A139" s="607"/>
      <c r="B139" s="556"/>
      <c r="C139" s="554" t="s">
        <v>11</v>
      </c>
      <c r="D139" s="555"/>
      <c r="E139" s="143">
        <f>+E137-E138</f>
        <v>836.93132984348154</v>
      </c>
      <c r="F139" s="144">
        <f t="shared" ref="F139:R139" si="531">+F137-F138</f>
        <v>0</v>
      </c>
      <c r="G139" s="145">
        <f t="shared" si="531"/>
        <v>424.19338662940658</v>
      </c>
      <c r="H139" s="145">
        <f t="shared" si="531"/>
        <v>-198.31040555555558</v>
      </c>
      <c r="I139" s="145">
        <f t="shared" si="531"/>
        <v>-19.612089046391752</v>
      </c>
      <c r="J139" s="145">
        <f t="shared" si="531"/>
        <v>-38.435390201976794</v>
      </c>
      <c r="K139" s="145">
        <f t="shared" si="531"/>
        <v>-73.418847467811148</v>
      </c>
      <c r="L139" s="145">
        <f t="shared" si="531"/>
        <v>647.50362432143629</v>
      </c>
      <c r="M139" s="145">
        <f t="shared" si="531"/>
        <v>-122.09420795914025</v>
      </c>
      <c r="N139" s="145">
        <f t="shared" si="531"/>
        <v>-49.740869514237858</v>
      </c>
      <c r="O139" s="145">
        <f t="shared" si="531"/>
        <v>-32.959805103734439</v>
      </c>
      <c r="P139" s="145">
        <f t="shared" si="531"/>
        <v>-33.088145055395984</v>
      </c>
      <c r="Q139" s="145">
        <f t="shared" si="531"/>
        <v>-82.655227710843377</v>
      </c>
      <c r="R139" s="146">
        <f t="shared" si="531"/>
        <v>594.0926559251559</v>
      </c>
      <c r="S139" s="147">
        <f t="shared" si="520"/>
        <v>1015.4746792609116</v>
      </c>
      <c r="T139" s="148">
        <f t="shared" ref="T139:AE139" si="532">+T137-T138</f>
        <v>-217.02230447699606</v>
      </c>
      <c r="U139" s="145">
        <f t="shared" si="532"/>
        <v>-36.316852248569091</v>
      </c>
      <c r="V139" s="145">
        <f t="shared" si="532"/>
        <v>-30.472185134037368</v>
      </c>
      <c r="W139" s="145">
        <f t="shared" si="532"/>
        <v>-23.727143794488409</v>
      </c>
      <c r="X139" s="145">
        <f t="shared" si="532"/>
        <v>-14.684929658397401</v>
      </c>
      <c r="Y139" s="145">
        <f t="shared" si="532"/>
        <v>-13.658141956961122</v>
      </c>
      <c r="Z139" s="145">
        <f t="shared" si="532"/>
        <v>-9.5058691771269164</v>
      </c>
      <c r="AA139" s="145">
        <f t="shared" si="532"/>
        <v>-6.6465550148797554</v>
      </c>
      <c r="AB139" s="145">
        <f t="shared" si="532"/>
        <v>-0.57733437588854142</v>
      </c>
      <c r="AC139" s="145">
        <f t="shared" si="532"/>
        <v>-38.646826248566569</v>
      </c>
      <c r="AD139" s="145">
        <f t="shared" si="532"/>
        <v>-0.91695177064437261</v>
      </c>
      <c r="AE139" s="146">
        <f t="shared" si="532"/>
        <v>-48.57782596067041</v>
      </c>
      <c r="AF139" s="147">
        <f t="shared" si="529"/>
        <v>-440.75291981722597</v>
      </c>
      <c r="AG139" s="148">
        <f t="shared" ref="AG139:AP139" si="533">+AG137-AG138</f>
        <v>-32.675415664090508</v>
      </c>
      <c r="AH139" s="145">
        <f t="shared" si="533"/>
        <v>0</v>
      </c>
      <c r="AI139" s="145">
        <f t="shared" si="533"/>
        <v>0</v>
      </c>
      <c r="AJ139" s="145">
        <f t="shared" si="533"/>
        <v>0</v>
      </c>
      <c r="AK139" s="145">
        <f t="shared" si="533"/>
        <v>0</v>
      </c>
      <c r="AL139" s="145">
        <f t="shared" si="533"/>
        <v>0</v>
      </c>
      <c r="AM139" s="145">
        <f t="shared" si="533"/>
        <v>0</v>
      </c>
      <c r="AN139" s="145">
        <f t="shared" si="533"/>
        <v>0</v>
      </c>
      <c r="AO139" s="145">
        <f t="shared" si="533"/>
        <v>0</v>
      </c>
      <c r="AP139" s="145">
        <f t="shared" si="533"/>
        <v>0</v>
      </c>
      <c r="AQ139" s="145">
        <f>+AQ137-AQ138</f>
        <v>-49.342909710908195</v>
      </c>
      <c r="AR139" s="146">
        <f>+AR137-AR138</f>
        <v>382.58223040334855</v>
      </c>
      <c r="AS139" s="408">
        <f t="shared" ref="AS139:AS160" si="534">SUM(AG139:AR139)</f>
        <v>300.56390502834984</v>
      </c>
      <c r="AT139" s="148">
        <f t="shared" ref="AT139:BE139" si="535">+AT137-AT138</f>
        <v>-38.354334628553843</v>
      </c>
      <c r="AU139" s="145">
        <f t="shared" si="535"/>
        <v>0</v>
      </c>
      <c r="AV139" s="145">
        <f t="shared" si="535"/>
        <v>0</v>
      </c>
      <c r="AW139" s="145">
        <f t="shared" si="535"/>
        <v>0</v>
      </c>
      <c r="AX139" s="145">
        <f t="shared" si="535"/>
        <v>0</v>
      </c>
      <c r="AY139" s="145">
        <f t="shared" si="535"/>
        <v>0</v>
      </c>
      <c r="AZ139" s="145">
        <f t="shared" si="535"/>
        <v>0</v>
      </c>
      <c r="BA139" s="145">
        <f t="shared" si="535"/>
        <v>0</v>
      </c>
      <c r="BB139" s="145">
        <f t="shared" si="535"/>
        <v>0</v>
      </c>
      <c r="BC139" s="145">
        <f t="shared" si="535"/>
        <v>0</v>
      </c>
      <c r="BD139" s="145">
        <f t="shared" si="535"/>
        <v>0</v>
      </c>
      <c r="BE139" s="146">
        <f t="shared" si="535"/>
        <v>0</v>
      </c>
      <c r="BF139" s="147">
        <f t="shared" ref="BF139:BF160" si="536">SUM(AT139:BE139)</f>
        <v>-38.354334628553843</v>
      </c>
      <c r="BG139" s="148">
        <f t="shared" ref="BG139:BR139" si="537">+BG137-BG138</f>
        <v>0</v>
      </c>
      <c r="BH139" s="145">
        <f t="shared" si="537"/>
        <v>0</v>
      </c>
      <c r="BI139" s="145">
        <f t="shared" si="537"/>
        <v>0</v>
      </c>
      <c r="BJ139" s="145">
        <f t="shared" si="537"/>
        <v>0</v>
      </c>
      <c r="BK139" s="145">
        <f t="shared" si="537"/>
        <v>0</v>
      </c>
      <c r="BL139" s="145">
        <f t="shared" si="537"/>
        <v>0</v>
      </c>
      <c r="BM139" s="145">
        <f t="shared" si="537"/>
        <v>0</v>
      </c>
      <c r="BN139" s="145">
        <f t="shared" si="537"/>
        <v>0</v>
      </c>
      <c r="BO139" s="145">
        <f t="shared" si="537"/>
        <v>0</v>
      </c>
      <c r="BP139" s="145">
        <f t="shared" si="537"/>
        <v>0</v>
      </c>
      <c r="BQ139" s="145">
        <f t="shared" si="537"/>
        <v>0</v>
      </c>
      <c r="BR139" s="146">
        <f t="shared" si="537"/>
        <v>0</v>
      </c>
      <c r="BS139" s="147">
        <f t="shared" si="530"/>
        <v>0</v>
      </c>
      <c r="BT139" s="148">
        <f t="shared" ref="BT139:CE139" si="538">+BT137-BT138</f>
        <v>0</v>
      </c>
      <c r="BU139" s="145">
        <f t="shared" si="538"/>
        <v>0</v>
      </c>
      <c r="BV139" s="145">
        <f t="shared" si="538"/>
        <v>0</v>
      </c>
      <c r="BW139" s="145">
        <f t="shared" si="538"/>
        <v>0</v>
      </c>
      <c r="BX139" s="145">
        <f t="shared" si="538"/>
        <v>0</v>
      </c>
      <c r="BY139" s="145">
        <f t="shared" si="538"/>
        <v>0</v>
      </c>
      <c r="BZ139" s="145">
        <f t="shared" si="538"/>
        <v>0</v>
      </c>
      <c r="CA139" s="145">
        <f t="shared" si="538"/>
        <v>0</v>
      </c>
      <c r="CB139" s="145">
        <f t="shared" si="538"/>
        <v>0</v>
      </c>
      <c r="CC139" s="145">
        <f t="shared" si="538"/>
        <v>0</v>
      </c>
      <c r="CD139" s="145">
        <f t="shared" si="538"/>
        <v>0</v>
      </c>
      <c r="CE139" s="146">
        <f t="shared" si="538"/>
        <v>0</v>
      </c>
      <c r="CF139" s="147">
        <f t="shared" si="437"/>
        <v>0</v>
      </c>
      <c r="CG139" s="148">
        <f t="shared" ref="CG139:CR139" si="539">+CG137-CG138</f>
        <v>0</v>
      </c>
      <c r="CH139" s="145">
        <f t="shared" si="539"/>
        <v>0</v>
      </c>
      <c r="CI139" s="145">
        <f t="shared" si="539"/>
        <v>0</v>
      </c>
      <c r="CJ139" s="145">
        <f t="shared" si="539"/>
        <v>0</v>
      </c>
      <c r="CK139" s="145">
        <f t="shared" si="539"/>
        <v>0</v>
      </c>
      <c r="CL139" s="145">
        <f t="shared" si="539"/>
        <v>0</v>
      </c>
      <c r="CM139" s="145">
        <f t="shared" si="539"/>
        <v>0</v>
      </c>
      <c r="CN139" s="145">
        <f t="shared" si="539"/>
        <v>0</v>
      </c>
      <c r="CO139" s="145">
        <f t="shared" si="539"/>
        <v>0</v>
      </c>
      <c r="CP139" s="145">
        <f t="shared" si="539"/>
        <v>0</v>
      </c>
      <c r="CQ139" s="145">
        <f t="shared" si="539"/>
        <v>0</v>
      </c>
      <c r="CR139" s="146">
        <f t="shared" si="539"/>
        <v>0</v>
      </c>
      <c r="CS139" s="147">
        <f t="shared" si="438"/>
        <v>0</v>
      </c>
      <c r="CT139" s="148">
        <f t="shared" ref="CT139:DE139" si="540">+CT137-CT138</f>
        <v>0</v>
      </c>
      <c r="CU139" s="145">
        <f t="shared" si="540"/>
        <v>0</v>
      </c>
      <c r="CV139" s="145">
        <f t="shared" si="540"/>
        <v>0</v>
      </c>
      <c r="CW139" s="145">
        <f t="shared" si="540"/>
        <v>0</v>
      </c>
      <c r="CX139" s="145">
        <f t="shared" si="540"/>
        <v>0</v>
      </c>
      <c r="CY139" s="145">
        <f t="shared" si="540"/>
        <v>0</v>
      </c>
      <c r="CZ139" s="145">
        <f t="shared" si="540"/>
        <v>0</v>
      </c>
      <c r="DA139" s="145">
        <f t="shared" si="540"/>
        <v>0</v>
      </c>
      <c r="DB139" s="145">
        <f t="shared" si="540"/>
        <v>0</v>
      </c>
      <c r="DC139" s="145">
        <f t="shared" si="540"/>
        <v>0</v>
      </c>
      <c r="DD139" s="145">
        <f t="shared" si="540"/>
        <v>0</v>
      </c>
      <c r="DE139" s="146">
        <f t="shared" si="540"/>
        <v>0</v>
      </c>
      <c r="DF139" s="147">
        <f t="shared" si="439"/>
        <v>0</v>
      </c>
      <c r="DG139" s="146">
        <f>+DG137-DG138</f>
        <v>0</v>
      </c>
      <c r="DH139" s="98">
        <f t="shared" si="440"/>
        <v>836.93132984348165</v>
      </c>
      <c r="DI139" s="150">
        <f t="shared" si="441"/>
        <v>836.93132984348154</v>
      </c>
      <c r="DJ139" s="151">
        <f t="shared" si="442"/>
        <v>0</v>
      </c>
    </row>
    <row r="140" spans="1:115" ht="15" customHeight="1" outlineLevel="1">
      <c r="A140" s="607"/>
      <c r="B140" s="593" t="s">
        <v>100</v>
      </c>
      <c r="C140" s="246" t="s">
        <v>62</v>
      </c>
      <c r="D140" s="183" t="s">
        <v>122</v>
      </c>
      <c r="E140" s="153">
        <f>AF140+AS140+BF140+BS140+CF140+CS140+DF140+S140+DG140</f>
        <v>2214.1660841299718</v>
      </c>
      <c r="F140" s="153"/>
      <c r="G140" s="284">
        <v>470.33521926053299</v>
      </c>
      <c r="H140" s="155"/>
      <c r="I140" s="155"/>
      <c r="J140" s="155"/>
      <c r="K140" s="155"/>
      <c r="L140" s="155">
        <v>701.43175037401159</v>
      </c>
      <c r="M140" s="155"/>
      <c r="N140" s="155"/>
      <c r="O140" s="155"/>
      <c r="P140" s="155"/>
      <c r="Q140" s="155"/>
      <c r="R140" s="282"/>
      <c r="S140" s="157">
        <f t="shared" si="520"/>
        <v>1171.7669696345447</v>
      </c>
      <c r="T140" s="378"/>
      <c r="U140" s="382"/>
      <c r="V140" s="382"/>
      <c r="W140" s="382"/>
      <c r="X140" s="389"/>
      <c r="Y140" s="389"/>
      <c r="Z140" s="389"/>
      <c r="AA140" s="387"/>
      <c r="AB140" s="389"/>
      <c r="AC140" s="389"/>
      <c r="AD140" s="389"/>
      <c r="AE140" s="389">
        <v>632.39911449542728</v>
      </c>
      <c r="AF140" s="157">
        <f t="shared" si="529"/>
        <v>632.39911449542728</v>
      </c>
      <c r="AG140" s="507"/>
      <c r="AH140" s="507"/>
      <c r="AI140" s="514"/>
      <c r="AJ140" s="514"/>
      <c r="AK140" s="514"/>
      <c r="AL140" s="514"/>
      <c r="AM140" s="514"/>
      <c r="AN140" s="514"/>
      <c r="AO140" s="514"/>
      <c r="AP140" s="514"/>
      <c r="AQ140" s="514"/>
      <c r="AR140" s="505"/>
      <c r="AS140" s="409">
        <f t="shared" si="534"/>
        <v>0</v>
      </c>
      <c r="AT140" s="500"/>
      <c r="AU140" s="513"/>
      <c r="AV140" s="500"/>
      <c r="AW140" s="513"/>
      <c r="AX140" s="513"/>
      <c r="AY140" s="513"/>
      <c r="AZ140" s="155"/>
      <c r="BA140" s="155"/>
      <c r="BB140" s="155"/>
      <c r="BC140" s="155">
        <v>410</v>
      </c>
      <c r="BD140" s="155"/>
      <c r="BE140" s="156"/>
      <c r="BF140" s="157">
        <f t="shared" si="536"/>
        <v>410</v>
      </c>
      <c r="BG140" s="158"/>
      <c r="BH140" s="155"/>
      <c r="BI140" s="155"/>
      <c r="BJ140" s="155"/>
      <c r="BK140" s="155"/>
      <c r="BL140" s="155"/>
      <c r="BM140" s="155"/>
      <c r="BN140" s="155"/>
      <c r="BO140" s="155"/>
      <c r="BP140" s="155"/>
      <c r="BQ140" s="155"/>
      <c r="BR140" s="156"/>
      <c r="BS140" s="157">
        <f t="shared" si="530"/>
        <v>0</v>
      </c>
      <c r="BT140" s="158"/>
      <c r="BU140" s="155"/>
      <c r="BV140" s="155"/>
      <c r="BW140" s="155"/>
      <c r="BX140" s="155"/>
      <c r="BY140" s="155"/>
      <c r="BZ140" s="155"/>
      <c r="CA140" s="155"/>
      <c r="CB140" s="155"/>
      <c r="CC140" s="155"/>
      <c r="CD140" s="155"/>
      <c r="CE140" s="156"/>
      <c r="CF140" s="157">
        <f t="shared" si="437"/>
        <v>0</v>
      </c>
      <c r="CG140" s="158"/>
      <c r="CH140" s="155"/>
      <c r="CI140" s="155"/>
      <c r="CJ140" s="155"/>
      <c r="CK140" s="155"/>
      <c r="CL140" s="155"/>
      <c r="CM140" s="155"/>
      <c r="CN140" s="155"/>
      <c r="CO140" s="155"/>
      <c r="CP140" s="155"/>
      <c r="CQ140" s="155"/>
      <c r="CR140" s="156"/>
      <c r="CS140" s="157">
        <f t="shared" si="438"/>
        <v>0</v>
      </c>
      <c r="CT140" s="158"/>
      <c r="CU140" s="155"/>
      <c r="CV140" s="155"/>
      <c r="CW140" s="155"/>
      <c r="CX140" s="155"/>
      <c r="CY140" s="155"/>
      <c r="CZ140" s="155"/>
      <c r="DA140" s="155"/>
      <c r="DB140" s="155"/>
      <c r="DC140" s="155"/>
      <c r="DD140" s="155"/>
      <c r="DE140" s="156"/>
      <c r="DF140" s="157">
        <f t="shared" si="439"/>
        <v>0</v>
      </c>
      <c r="DG140" s="280"/>
      <c r="DH140" s="159">
        <f t="shared" si="440"/>
        <v>2214.1660841299718</v>
      </c>
      <c r="DI140" s="160">
        <f t="shared" si="441"/>
        <v>2214.1660841299718</v>
      </c>
      <c r="DJ140" s="161">
        <f t="shared" si="442"/>
        <v>0</v>
      </c>
    </row>
    <row r="141" spans="1:115" ht="15" customHeight="1" outlineLevel="1">
      <c r="A141" s="607"/>
      <c r="B141" s="548"/>
      <c r="C141" s="245" t="s">
        <v>63</v>
      </c>
      <c r="D141" s="184" t="s">
        <v>124</v>
      </c>
      <c r="E141" s="136">
        <f>AF141+AS141+BF141+BS141+CF141+CS141+DF141+S141+DG141</f>
        <v>1184.6052395539045</v>
      </c>
      <c r="F141" s="136"/>
      <c r="G141" s="137">
        <v>39.241300687876183</v>
      </c>
      <c r="H141" s="138">
        <v>126.40433477523325</v>
      </c>
      <c r="I141" s="138">
        <v>87.092030412371145</v>
      </c>
      <c r="J141" s="138">
        <v>24.179475118177912</v>
      </c>
      <c r="K141" s="138">
        <v>54.475679570815451</v>
      </c>
      <c r="L141" s="138">
        <v>28.459148365035265</v>
      </c>
      <c r="M141" s="138">
        <v>51.876596509895727</v>
      </c>
      <c r="N141" s="138">
        <v>32.359608207705193</v>
      </c>
      <c r="O141" s="138">
        <v>32.677686016597505</v>
      </c>
      <c r="P141" s="138">
        <v>32.741119819450148</v>
      </c>
      <c r="Q141" s="138">
        <v>24.215637349397593</v>
      </c>
      <c r="R141" s="139">
        <v>22.942545987525989</v>
      </c>
      <c r="S141" s="162">
        <f t="shared" si="520"/>
        <v>556.66516282008138</v>
      </c>
      <c r="T141" s="380">
        <v>22.818630781926963</v>
      </c>
      <c r="U141" s="381">
        <v>7.8575224856909234</v>
      </c>
      <c r="V141" s="381">
        <v>7.9367004874086104</v>
      </c>
      <c r="W141" s="381">
        <v>22.507978645564084</v>
      </c>
      <c r="X141" s="388">
        <v>74.910611952128079</v>
      </c>
      <c r="Y141" s="388">
        <v>20.415147663773631</v>
      </c>
      <c r="Z141" s="388">
        <v>16.792967842199641</v>
      </c>
      <c r="AA141" s="388">
        <v>14.98927628086544</v>
      </c>
      <c r="AB141" s="388">
        <v>23.891441772614648</v>
      </c>
      <c r="AC141" s="388">
        <v>13.891504448574478</v>
      </c>
      <c r="AD141" s="388">
        <v>13.802519520466914</v>
      </c>
      <c r="AE141" s="483">
        <v>3.0238895474349414</v>
      </c>
      <c r="AF141" s="162">
        <f t="shared" si="529"/>
        <v>242.83819142864834</v>
      </c>
      <c r="AG141" s="508">
        <v>40.374556290335427</v>
      </c>
      <c r="AH141" s="508">
        <v>4.698869970617042</v>
      </c>
      <c r="AI141" s="508">
        <v>16.509484155823859</v>
      </c>
      <c r="AJ141" s="508">
        <v>7.3519755122438779</v>
      </c>
      <c r="AK141" s="508">
        <v>5.5531133576782628</v>
      </c>
      <c r="AL141" s="508">
        <v>6.8954789342534024</v>
      </c>
      <c r="AM141" s="508">
        <v>4.6675611469588789</v>
      </c>
      <c r="AN141" s="508">
        <v>37.45547248001818</v>
      </c>
      <c r="AO141" s="508">
        <v>7.0556464952474727</v>
      </c>
      <c r="AP141" s="508">
        <v>6.4939673470939301</v>
      </c>
      <c r="AQ141" s="508">
        <v>2.8348344257947184</v>
      </c>
      <c r="AR141" s="508">
        <v>53.079317732115676</v>
      </c>
      <c r="AS141" s="410">
        <f t="shared" si="534"/>
        <v>192.97027784818073</v>
      </c>
      <c r="AT141" s="501">
        <v>5.1521563497864813</v>
      </c>
      <c r="AU141" s="501"/>
      <c r="AV141" s="501">
        <v>68.297895016308885</v>
      </c>
      <c r="AW141" s="499">
        <v>38.681556090898745</v>
      </c>
      <c r="AX141" s="499"/>
      <c r="AY141" s="499"/>
      <c r="AZ141" s="138">
        <v>40</v>
      </c>
      <c r="BA141" s="138">
        <v>40</v>
      </c>
      <c r="BB141" s="138"/>
      <c r="BC141" s="138"/>
      <c r="BD141" s="138"/>
      <c r="BE141" s="139"/>
      <c r="BF141" s="162">
        <f t="shared" si="536"/>
        <v>192.13160745699412</v>
      </c>
      <c r="BG141" s="141"/>
      <c r="BH141" s="138"/>
      <c r="BI141" s="138"/>
      <c r="BJ141" s="138"/>
      <c r="BK141" s="138"/>
      <c r="BL141" s="138"/>
      <c r="BM141" s="138"/>
      <c r="BN141" s="138"/>
      <c r="BO141" s="138"/>
      <c r="BP141" s="138"/>
      <c r="BQ141" s="138"/>
      <c r="BR141" s="139"/>
      <c r="BS141" s="162">
        <f t="shared" si="530"/>
        <v>0</v>
      </c>
      <c r="BT141" s="141"/>
      <c r="BU141" s="138"/>
      <c r="BV141" s="138"/>
      <c r="BW141" s="138"/>
      <c r="BX141" s="138"/>
      <c r="BY141" s="138"/>
      <c r="BZ141" s="138"/>
      <c r="CA141" s="138"/>
      <c r="CB141" s="138"/>
      <c r="CC141" s="138"/>
      <c r="CD141" s="138"/>
      <c r="CE141" s="139"/>
      <c r="CF141" s="162">
        <f t="shared" si="437"/>
        <v>0</v>
      </c>
      <c r="CG141" s="141"/>
      <c r="CH141" s="138"/>
      <c r="CI141" s="138"/>
      <c r="CJ141" s="138"/>
      <c r="CK141" s="138"/>
      <c r="CL141" s="138"/>
      <c r="CM141" s="138"/>
      <c r="CN141" s="138"/>
      <c r="CO141" s="138"/>
      <c r="CP141" s="138"/>
      <c r="CQ141" s="138"/>
      <c r="CR141" s="139"/>
      <c r="CS141" s="162">
        <f t="shared" si="438"/>
        <v>0</v>
      </c>
      <c r="CT141" s="141"/>
      <c r="CU141" s="138"/>
      <c r="CV141" s="138"/>
      <c r="CW141" s="138"/>
      <c r="CX141" s="138"/>
      <c r="CY141" s="138"/>
      <c r="CZ141" s="138"/>
      <c r="DA141" s="138"/>
      <c r="DB141" s="138"/>
      <c r="DC141" s="138"/>
      <c r="DD141" s="138"/>
      <c r="DE141" s="139"/>
      <c r="DF141" s="162">
        <f t="shared" si="439"/>
        <v>0</v>
      </c>
      <c r="DG141" s="279"/>
      <c r="DH141" s="90">
        <f t="shared" si="440"/>
        <v>1184.6052395539045</v>
      </c>
      <c r="DI141" s="91">
        <f t="shared" si="441"/>
        <v>1184.6052395539045</v>
      </c>
      <c r="DJ141" s="92">
        <f t="shared" si="442"/>
        <v>0</v>
      </c>
      <c r="DK141" s="64">
        <f>+DH141/DH140</f>
        <v>0.5350119162444763</v>
      </c>
    </row>
    <row r="142" spans="1:115" ht="15" customHeight="1" outlineLevel="1">
      <c r="A142" s="607"/>
      <c r="B142" s="549"/>
      <c r="C142" s="554" t="s">
        <v>11</v>
      </c>
      <c r="D142" s="555"/>
      <c r="E142" s="143">
        <f>+E140-E141</f>
        <v>1029.5608445760672</v>
      </c>
      <c r="F142" s="144">
        <f t="shared" ref="F142:R142" si="541">+F140-F141</f>
        <v>0</v>
      </c>
      <c r="G142" s="145">
        <f t="shared" si="541"/>
        <v>431.09391857265683</v>
      </c>
      <c r="H142" s="145">
        <f t="shared" si="541"/>
        <v>-126.40433477523325</v>
      </c>
      <c r="I142" s="145">
        <f t="shared" si="541"/>
        <v>-87.092030412371145</v>
      </c>
      <c r="J142" s="145">
        <f t="shared" si="541"/>
        <v>-24.179475118177912</v>
      </c>
      <c r="K142" s="145">
        <f t="shared" si="541"/>
        <v>-54.475679570815451</v>
      </c>
      <c r="L142" s="145">
        <f t="shared" si="541"/>
        <v>672.97260200897631</v>
      </c>
      <c r="M142" s="145">
        <f t="shared" si="541"/>
        <v>-51.876596509895727</v>
      </c>
      <c r="N142" s="145">
        <f t="shared" si="541"/>
        <v>-32.359608207705193</v>
      </c>
      <c r="O142" s="145">
        <f t="shared" si="541"/>
        <v>-32.677686016597505</v>
      </c>
      <c r="P142" s="145">
        <f t="shared" si="541"/>
        <v>-32.741119819450148</v>
      </c>
      <c r="Q142" s="145">
        <f t="shared" si="541"/>
        <v>-24.215637349397593</v>
      </c>
      <c r="R142" s="146">
        <f t="shared" si="541"/>
        <v>-22.942545987525989</v>
      </c>
      <c r="S142" s="147">
        <f t="shared" si="520"/>
        <v>615.10180681446309</v>
      </c>
      <c r="T142" s="148">
        <f t="shared" ref="T142:AE142" si="542">+T140-T141</f>
        <v>-22.818630781926963</v>
      </c>
      <c r="U142" s="145">
        <f t="shared" si="542"/>
        <v>-7.8575224856909234</v>
      </c>
      <c r="V142" s="145">
        <f t="shared" si="542"/>
        <v>-7.9367004874086104</v>
      </c>
      <c r="W142" s="145">
        <f t="shared" si="542"/>
        <v>-22.507978645564084</v>
      </c>
      <c r="X142" s="145">
        <f t="shared" si="542"/>
        <v>-74.910611952128079</v>
      </c>
      <c r="Y142" s="145">
        <f t="shared" si="542"/>
        <v>-20.415147663773631</v>
      </c>
      <c r="Z142" s="145">
        <f t="shared" si="542"/>
        <v>-16.792967842199641</v>
      </c>
      <c r="AA142" s="145">
        <f t="shared" si="542"/>
        <v>-14.98927628086544</v>
      </c>
      <c r="AB142" s="145">
        <f t="shared" si="542"/>
        <v>-23.891441772614648</v>
      </c>
      <c r="AC142" s="145">
        <f t="shared" si="542"/>
        <v>-13.891504448574478</v>
      </c>
      <c r="AD142" s="145">
        <f t="shared" si="542"/>
        <v>-13.802519520466914</v>
      </c>
      <c r="AE142" s="146">
        <f t="shared" si="542"/>
        <v>629.37522494799236</v>
      </c>
      <c r="AF142" s="147">
        <f t="shared" si="529"/>
        <v>389.56092306677897</v>
      </c>
      <c r="AG142" s="148">
        <f t="shared" ref="AG142:AR142" si="543">+AG140-AG141</f>
        <v>-40.374556290335427</v>
      </c>
      <c r="AH142" s="145">
        <f t="shared" si="543"/>
        <v>-4.698869970617042</v>
      </c>
      <c r="AI142" s="145">
        <f t="shared" si="543"/>
        <v>-16.509484155823859</v>
      </c>
      <c r="AJ142" s="145">
        <f t="shared" si="543"/>
        <v>-7.3519755122438779</v>
      </c>
      <c r="AK142" s="145">
        <f t="shared" si="543"/>
        <v>-5.5531133576782628</v>
      </c>
      <c r="AL142" s="145">
        <f t="shared" si="543"/>
        <v>-6.8954789342534024</v>
      </c>
      <c r="AM142" s="145">
        <f t="shared" si="543"/>
        <v>-4.6675611469588789</v>
      </c>
      <c r="AN142" s="145">
        <f t="shared" si="543"/>
        <v>-37.45547248001818</v>
      </c>
      <c r="AO142" s="145">
        <f t="shared" si="543"/>
        <v>-7.0556464952474727</v>
      </c>
      <c r="AP142" s="145">
        <f t="shared" si="543"/>
        <v>-6.4939673470939301</v>
      </c>
      <c r="AQ142" s="145">
        <f t="shared" si="543"/>
        <v>-2.8348344257947184</v>
      </c>
      <c r="AR142" s="146">
        <f t="shared" si="543"/>
        <v>-53.079317732115676</v>
      </c>
      <c r="AS142" s="408">
        <f t="shared" si="534"/>
        <v>-192.97027784818073</v>
      </c>
      <c r="AT142" s="148">
        <f t="shared" ref="AT142:BE142" si="544">+AT140-AT141</f>
        <v>-5.1521563497864813</v>
      </c>
      <c r="AU142" s="145">
        <f t="shared" si="544"/>
        <v>0</v>
      </c>
      <c r="AV142" s="145">
        <f t="shared" si="544"/>
        <v>-68.297895016308885</v>
      </c>
      <c r="AW142" s="145">
        <f t="shared" si="544"/>
        <v>-38.681556090898745</v>
      </c>
      <c r="AX142" s="145">
        <f t="shared" si="544"/>
        <v>0</v>
      </c>
      <c r="AY142" s="145">
        <f t="shared" si="544"/>
        <v>0</v>
      </c>
      <c r="AZ142" s="145">
        <f t="shared" si="544"/>
        <v>-40</v>
      </c>
      <c r="BA142" s="145">
        <f t="shared" si="544"/>
        <v>-40</v>
      </c>
      <c r="BB142" s="145">
        <f t="shared" si="544"/>
        <v>0</v>
      </c>
      <c r="BC142" s="145">
        <f t="shared" si="544"/>
        <v>410</v>
      </c>
      <c r="BD142" s="145">
        <f t="shared" si="544"/>
        <v>0</v>
      </c>
      <c r="BE142" s="146">
        <f t="shared" si="544"/>
        <v>0</v>
      </c>
      <c r="BF142" s="147">
        <f t="shared" si="536"/>
        <v>217.86839254300588</v>
      </c>
      <c r="BG142" s="148">
        <f t="shared" ref="BG142:BR142" si="545">+BG140-BG141</f>
        <v>0</v>
      </c>
      <c r="BH142" s="145">
        <f t="shared" si="545"/>
        <v>0</v>
      </c>
      <c r="BI142" s="145">
        <f t="shared" si="545"/>
        <v>0</v>
      </c>
      <c r="BJ142" s="145">
        <f t="shared" si="545"/>
        <v>0</v>
      </c>
      <c r="BK142" s="145">
        <f t="shared" si="545"/>
        <v>0</v>
      </c>
      <c r="BL142" s="145">
        <f t="shared" si="545"/>
        <v>0</v>
      </c>
      <c r="BM142" s="145">
        <f t="shared" si="545"/>
        <v>0</v>
      </c>
      <c r="BN142" s="145">
        <f t="shared" si="545"/>
        <v>0</v>
      </c>
      <c r="BO142" s="145">
        <f t="shared" si="545"/>
        <v>0</v>
      </c>
      <c r="BP142" s="145">
        <f t="shared" si="545"/>
        <v>0</v>
      </c>
      <c r="BQ142" s="145">
        <f t="shared" si="545"/>
        <v>0</v>
      </c>
      <c r="BR142" s="146">
        <f t="shared" si="545"/>
        <v>0</v>
      </c>
      <c r="BS142" s="147">
        <f t="shared" si="530"/>
        <v>0</v>
      </c>
      <c r="BT142" s="148">
        <f t="shared" ref="BT142:CE142" si="546">+BT140-BT141</f>
        <v>0</v>
      </c>
      <c r="BU142" s="145">
        <f t="shared" si="546"/>
        <v>0</v>
      </c>
      <c r="BV142" s="145">
        <f t="shared" si="546"/>
        <v>0</v>
      </c>
      <c r="BW142" s="145">
        <f t="shared" si="546"/>
        <v>0</v>
      </c>
      <c r="BX142" s="145">
        <f t="shared" si="546"/>
        <v>0</v>
      </c>
      <c r="BY142" s="145">
        <f t="shared" si="546"/>
        <v>0</v>
      </c>
      <c r="BZ142" s="145">
        <f t="shared" si="546"/>
        <v>0</v>
      </c>
      <c r="CA142" s="145">
        <f t="shared" si="546"/>
        <v>0</v>
      </c>
      <c r="CB142" s="145">
        <f t="shared" si="546"/>
        <v>0</v>
      </c>
      <c r="CC142" s="145">
        <f t="shared" si="546"/>
        <v>0</v>
      </c>
      <c r="CD142" s="145">
        <f t="shared" si="546"/>
        <v>0</v>
      </c>
      <c r="CE142" s="146">
        <f t="shared" si="546"/>
        <v>0</v>
      </c>
      <c r="CF142" s="147">
        <f t="shared" si="437"/>
        <v>0</v>
      </c>
      <c r="CG142" s="148">
        <f t="shared" ref="CG142:CR142" si="547">+CG140-CG141</f>
        <v>0</v>
      </c>
      <c r="CH142" s="145">
        <f t="shared" si="547"/>
        <v>0</v>
      </c>
      <c r="CI142" s="145">
        <f t="shared" si="547"/>
        <v>0</v>
      </c>
      <c r="CJ142" s="145">
        <f t="shared" si="547"/>
        <v>0</v>
      </c>
      <c r="CK142" s="145">
        <f t="shared" si="547"/>
        <v>0</v>
      </c>
      <c r="CL142" s="145">
        <f t="shared" si="547"/>
        <v>0</v>
      </c>
      <c r="CM142" s="145">
        <f t="shared" si="547"/>
        <v>0</v>
      </c>
      <c r="CN142" s="145">
        <f t="shared" si="547"/>
        <v>0</v>
      </c>
      <c r="CO142" s="145">
        <f t="shared" si="547"/>
        <v>0</v>
      </c>
      <c r="CP142" s="145">
        <f t="shared" si="547"/>
        <v>0</v>
      </c>
      <c r="CQ142" s="145">
        <f t="shared" si="547"/>
        <v>0</v>
      </c>
      <c r="CR142" s="146">
        <f t="shared" si="547"/>
        <v>0</v>
      </c>
      <c r="CS142" s="147">
        <f t="shared" si="438"/>
        <v>0</v>
      </c>
      <c r="CT142" s="148">
        <f t="shared" ref="CT142:DE142" si="548">+CT140-CT141</f>
        <v>0</v>
      </c>
      <c r="CU142" s="145">
        <f t="shared" si="548"/>
        <v>0</v>
      </c>
      <c r="CV142" s="145">
        <f t="shared" si="548"/>
        <v>0</v>
      </c>
      <c r="CW142" s="145">
        <f t="shared" si="548"/>
        <v>0</v>
      </c>
      <c r="CX142" s="145">
        <f t="shared" si="548"/>
        <v>0</v>
      </c>
      <c r="CY142" s="145">
        <f t="shared" si="548"/>
        <v>0</v>
      </c>
      <c r="CZ142" s="145">
        <f t="shared" si="548"/>
        <v>0</v>
      </c>
      <c r="DA142" s="145">
        <f t="shared" si="548"/>
        <v>0</v>
      </c>
      <c r="DB142" s="145">
        <f t="shared" si="548"/>
        <v>0</v>
      </c>
      <c r="DC142" s="145">
        <f t="shared" si="548"/>
        <v>0</v>
      </c>
      <c r="DD142" s="145">
        <f t="shared" si="548"/>
        <v>0</v>
      </c>
      <c r="DE142" s="146">
        <f t="shared" si="548"/>
        <v>0</v>
      </c>
      <c r="DF142" s="147">
        <f t="shared" si="439"/>
        <v>0</v>
      </c>
      <c r="DG142" s="146">
        <f>+DG140-DG141</f>
        <v>0</v>
      </c>
      <c r="DH142" s="98">
        <f t="shared" si="440"/>
        <v>1029.5608445760672</v>
      </c>
      <c r="DI142" s="99">
        <f t="shared" si="441"/>
        <v>1029.5608445760672</v>
      </c>
      <c r="DJ142" s="100">
        <f t="shared" si="442"/>
        <v>0</v>
      </c>
    </row>
    <row r="143" spans="1:115" ht="15" customHeight="1" outlineLevel="1">
      <c r="A143" s="607"/>
      <c r="B143" s="609" t="s">
        <v>101</v>
      </c>
      <c r="C143" s="246" t="s">
        <v>62</v>
      </c>
      <c r="D143" s="183" t="s">
        <v>122</v>
      </c>
      <c r="E143" s="153">
        <f>AF143+AS143+BF143+BS143+CF143+CS143+DF143+S143+DG143</f>
        <v>1836.6874301715525</v>
      </c>
      <c r="F143" s="128"/>
      <c r="G143" s="129"/>
      <c r="H143" s="130"/>
      <c r="I143" s="130"/>
      <c r="J143" s="130"/>
      <c r="K143" s="130"/>
      <c r="L143" s="130"/>
      <c r="M143" s="130"/>
      <c r="N143" s="130"/>
      <c r="O143" s="130"/>
      <c r="P143" s="284"/>
      <c r="Q143" s="284"/>
      <c r="R143" s="284">
        <v>427.91854303534308</v>
      </c>
      <c r="S143" s="163">
        <f t="shared" si="520"/>
        <v>427.91854303534308</v>
      </c>
      <c r="T143" s="385"/>
      <c r="U143" s="379"/>
      <c r="V143" s="379"/>
      <c r="W143" s="379"/>
      <c r="X143" s="387"/>
      <c r="Y143" s="387"/>
      <c r="Z143" s="387"/>
      <c r="AA143" s="387"/>
      <c r="AB143" s="387"/>
      <c r="AC143" s="387"/>
      <c r="AD143" s="387">
        <v>608.76888713620951</v>
      </c>
      <c r="AE143" s="387"/>
      <c r="AF143" s="163">
        <f t="shared" si="529"/>
        <v>608.76888713620951</v>
      </c>
      <c r="AG143" s="507"/>
      <c r="AH143" s="507"/>
      <c r="AI143" s="507"/>
      <c r="AJ143" s="507"/>
      <c r="AK143" s="507"/>
      <c r="AL143" s="507"/>
      <c r="AM143" s="507"/>
      <c r="AN143" s="507"/>
      <c r="AO143" s="507"/>
      <c r="AP143" s="507"/>
      <c r="AQ143" s="507"/>
      <c r="AR143" s="503"/>
      <c r="AS143" s="414">
        <f t="shared" si="534"/>
        <v>0</v>
      </c>
      <c r="AT143" s="503"/>
      <c r="AU143" s="510"/>
      <c r="AV143" s="510"/>
      <c r="AW143" s="510"/>
      <c r="AX143" s="510"/>
      <c r="AY143" s="510"/>
      <c r="AZ143" s="282"/>
      <c r="BA143" s="282"/>
      <c r="BB143" s="130"/>
      <c r="BC143" s="130"/>
      <c r="BD143" s="130"/>
      <c r="BE143" s="131"/>
      <c r="BF143" s="163">
        <f t="shared" si="536"/>
        <v>0</v>
      </c>
      <c r="BG143" s="133">
        <v>450</v>
      </c>
      <c r="BH143" s="130"/>
      <c r="BI143" s="130"/>
      <c r="BJ143" s="130"/>
      <c r="BK143" s="130"/>
      <c r="BL143" s="130"/>
      <c r="BM143" s="130"/>
      <c r="BN143" s="130"/>
      <c r="BO143" s="130">
        <v>350</v>
      </c>
      <c r="BP143" s="130"/>
      <c r="BQ143" s="130"/>
      <c r="BR143" s="131"/>
      <c r="BS143" s="163">
        <f t="shared" si="530"/>
        <v>800</v>
      </c>
      <c r="BT143" s="133"/>
      <c r="BU143" s="130"/>
      <c r="BV143" s="130"/>
      <c r="BW143" s="130"/>
      <c r="BX143" s="130"/>
      <c r="BY143" s="130"/>
      <c r="BZ143" s="130"/>
      <c r="CA143" s="130"/>
      <c r="CB143" s="130"/>
      <c r="CC143" s="130"/>
      <c r="CD143" s="130"/>
      <c r="CE143" s="131"/>
      <c r="CF143" s="163">
        <f t="shared" si="437"/>
        <v>0</v>
      </c>
      <c r="CG143" s="133"/>
      <c r="CH143" s="130"/>
      <c r="CI143" s="130"/>
      <c r="CJ143" s="130"/>
      <c r="CK143" s="130"/>
      <c r="CL143" s="130"/>
      <c r="CM143" s="130"/>
      <c r="CN143" s="130"/>
      <c r="CO143" s="130"/>
      <c r="CP143" s="130"/>
      <c r="CQ143" s="130"/>
      <c r="CR143" s="131"/>
      <c r="CS143" s="163">
        <f t="shared" si="438"/>
        <v>0</v>
      </c>
      <c r="CT143" s="133"/>
      <c r="CU143" s="130"/>
      <c r="CV143" s="130"/>
      <c r="CW143" s="130"/>
      <c r="CX143" s="130"/>
      <c r="CY143" s="130"/>
      <c r="CZ143" s="130"/>
      <c r="DA143" s="130"/>
      <c r="DB143" s="130"/>
      <c r="DC143" s="130"/>
      <c r="DD143" s="130"/>
      <c r="DE143" s="131"/>
      <c r="DF143" s="163">
        <f t="shared" si="439"/>
        <v>0</v>
      </c>
      <c r="DG143" s="278"/>
      <c r="DH143" s="159">
        <f t="shared" si="440"/>
        <v>1836.6874301715525</v>
      </c>
      <c r="DI143" s="165">
        <f t="shared" si="441"/>
        <v>1836.6874301715525</v>
      </c>
      <c r="DJ143" s="166">
        <f t="shared" si="442"/>
        <v>0</v>
      </c>
    </row>
    <row r="144" spans="1:115" ht="15" customHeight="1" outlineLevel="1">
      <c r="A144" s="607"/>
      <c r="B144" s="548"/>
      <c r="C144" s="245" t="s">
        <v>63</v>
      </c>
      <c r="D144" s="184" t="s">
        <v>124</v>
      </c>
      <c r="E144" s="136">
        <f>AF144+AS144+BF144+BS144+CF144+CS144+DF144+S144+DG144</f>
        <v>981.91473916488451</v>
      </c>
      <c r="F144" s="136"/>
      <c r="G144" s="137"/>
      <c r="H144" s="138"/>
      <c r="I144" s="138"/>
      <c r="J144" s="138"/>
      <c r="K144" s="138"/>
      <c r="L144" s="138"/>
      <c r="M144" s="138">
        <v>119.70101340710789</v>
      </c>
      <c r="N144" s="138">
        <v>70.028134087102188</v>
      </c>
      <c r="O144" s="138">
        <v>7.4103578838174275</v>
      </c>
      <c r="P144" s="253">
        <v>7.8792554370127208</v>
      </c>
      <c r="Q144" s="253">
        <v>8.4604189447444949</v>
      </c>
      <c r="R144" s="338">
        <v>8.3881844906444911</v>
      </c>
      <c r="S144" s="162">
        <f t="shared" si="520"/>
        <v>221.8673642504292</v>
      </c>
      <c r="T144" s="380">
        <v>11.553060903651744</v>
      </c>
      <c r="U144" s="381">
        <v>11.976594112837285</v>
      </c>
      <c r="V144" s="381">
        <v>11.815289926888708</v>
      </c>
      <c r="W144" s="381">
        <v>14.733020559112418</v>
      </c>
      <c r="X144" s="388">
        <v>18.333056669572798</v>
      </c>
      <c r="Y144" s="388">
        <v>17.853375064399795</v>
      </c>
      <c r="Z144" s="388">
        <v>22.783512293285515</v>
      </c>
      <c r="AA144" s="388">
        <v>69.547810986889729</v>
      </c>
      <c r="AB144" s="388">
        <v>8.0110961452536653</v>
      </c>
      <c r="AC144" s="388">
        <v>7.9691094151607418</v>
      </c>
      <c r="AD144" s="388">
        <v>8.2191300575755193</v>
      </c>
      <c r="AE144" s="483">
        <v>1.5064668524551557</v>
      </c>
      <c r="AF144" s="162">
        <f t="shared" si="529"/>
        <v>204.30152298708308</v>
      </c>
      <c r="AG144" s="506">
        <v>24.367682057206597</v>
      </c>
      <c r="AH144" s="504">
        <v>4.6442912438785502</v>
      </c>
      <c r="AI144" s="504">
        <v>5.0214643847927167</v>
      </c>
      <c r="AJ144" s="504">
        <v>7.5386514050666973</v>
      </c>
      <c r="AK144" s="504">
        <v>7.0489777820488184</v>
      </c>
      <c r="AL144" s="504">
        <v>6.3656712286754837</v>
      </c>
      <c r="AM144" s="504">
        <v>7.9038121873926155</v>
      </c>
      <c r="AN144" s="504">
        <v>5.9715517254441455</v>
      </c>
      <c r="AO144" s="504">
        <v>6.020820540008331</v>
      </c>
      <c r="AP144" s="504">
        <v>6.2769354544417837</v>
      </c>
      <c r="AQ144" s="504">
        <v>8.0810838479899978</v>
      </c>
      <c r="AR144" s="508">
        <v>9.095569863013699</v>
      </c>
      <c r="AS144" s="410">
        <f t="shared" si="534"/>
        <v>98.336511719959432</v>
      </c>
      <c r="AT144" s="501">
        <v>12.919038895087139</v>
      </c>
      <c r="AU144" s="499">
        <v>14.508061134534305</v>
      </c>
      <c r="AV144" s="499">
        <v>10.971140408101343</v>
      </c>
      <c r="AW144" s="499">
        <v>10.103713873819189</v>
      </c>
      <c r="AX144" s="499">
        <v>11.771400455840455</v>
      </c>
      <c r="AY144" s="499">
        <v>7.1359854400304128</v>
      </c>
      <c r="AZ144" s="253">
        <v>30</v>
      </c>
      <c r="BA144" s="253">
        <v>30</v>
      </c>
      <c r="BB144" s="138">
        <v>30</v>
      </c>
      <c r="BC144" s="138">
        <v>30</v>
      </c>
      <c r="BD144" s="138">
        <v>30</v>
      </c>
      <c r="BE144" s="139">
        <v>30</v>
      </c>
      <c r="BF144" s="162">
        <f t="shared" si="536"/>
        <v>247.40934020741284</v>
      </c>
      <c r="BG144" s="141">
        <v>30</v>
      </c>
      <c r="BH144" s="138">
        <v>30</v>
      </c>
      <c r="BI144" s="138">
        <v>30</v>
      </c>
      <c r="BJ144" s="138">
        <v>30</v>
      </c>
      <c r="BK144" s="138">
        <v>30</v>
      </c>
      <c r="BL144" s="138">
        <v>30</v>
      </c>
      <c r="BM144" s="138">
        <v>30</v>
      </c>
      <c r="BN144" s="138"/>
      <c r="BO144" s="138"/>
      <c r="BP144" s="138"/>
      <c r="BQ144" s="138"/>
      <c r="BR144" s="139"/>
      <c r="BS144" s="162">
        <f t="shared" si="530"/>
        <v>210</v>
      </c>
      <c r="BT144" s="141"/>
      <c r="BU144" s="138"/>
      <c r="BV144" s="138"/>
      <c r="BW144" s="138"/>
      <c r="BX144" s="138"/>
      <c r="BY144" s="138"/>
      <c r="BZ144" s="138"/>
      <c r="CA144" s="138"/>
      <c r="CB144" s="138"/>
      <c r="CC144" s="138"/>
      <c r="CD144" s="138"/>
      <c r="CE144" s="139"/>
      <c r="CF144" s="162">
        <f t="shared" si="437"/>
        <v>0</v>
      </c>
      <c r="CG144" s="141"/>
      <c r="CH144" s="138"/>
      <c r="CI144" s="138"/>
      <c r="CJ144" s="138"/>
      <c r="CK144" s="138"/>
      <c r="CL144" s="138"/>
      <c r="CM144" s="138"/>
      <c r="CN144" s="138"/>
      <c r="CO144" s="138"/>
      <c r="CP144" s="138"/>
      <c r="CQ144" s="138"/>
      <c r="CR144" s="139"/>
      <c r="CS144" s="162">
        <f t="shared" si="438"/>
        <v>0</v>
      </c>
      <c r="CT144" s="141"/>
      <c r="CU144" s="138"/>
      <c r="CV144" s="138"/>
      <c r="CW144" s="138"/>
      <c r="CX144" s="138"/>
      <c r="CY144" s="138"/>
      <c r="CZ144" s="138"/>
      <c r="DA144" s="138"/>
      <c r="DB144" s="138"/>
      <c r="DC144" s="138"/>
      <c r="DD144" s="138"/>
      <c r="DE144" s="139"/>
      <c r="DF144" s="162">
        <f t="shared" si="439"/>
        <v>0</v>
      </c>
      <c r="DG144" s="279"/>
      <c r="DH144" s="90">
        <f t="shared" si="440"/>
        <v>981.91473916488451</v>
      </c>
      <c r="DI144" s="91">
        <f t="shared" si="441"/>
        <v>981.91473916488451</v>
      </c>
      <c r="DJ144" s="92">
        <f t="shared" si="442"/>
        <v>0</v>
      </c>
      <c r="DK144" s="64">
        <f>+DH144/DH143</f>
        <v>0.5346117815338729</v>
      </c>
    </row>
    <row r="145" spans="1:115" ht="15" customHeight="1" outlineLevel="1">
      <c r="A145" s="607"/>
      <c r="B145" s="556"/>
      <c r="C145" s="554" t="s">
        <v>11</v>
      </c>
      <c r="D145" s="555"/>
      <c r="E145" s="143">
        <f>+E143-E144</f>
        <v>854.77269100666797</v>
      </c>
      <c r="F145" s="144">
        <f t="shared" ref="F145:R145" si="549">+F143-F144</f>
        <v>0</v>
      </c>
      <c r="G145" s="145">
        <f t="shared" si="549"/>
        <v>0</v>
      </c>
      <c r="H145" s="145">
        <f t="shared" si="549"/>
        <v>0</v>
      </c>
      <c r="I145" s="145">
        <f t="shared" si="549"/>
        <v>0</v>
      </c>
      <c r="J145" s="145">
        <f t="shared" si="549"/>
        <v>0</v>
      </c>
      <c r="K145" s="145">
        <f t="shared" si="549"/>
        <v>0</v>
      </c>
      <c r="L145" s="145">
        <f t="shared" si="549"/>
        <v>0</v>
      </c>
      <c r="M145" s="145">
        <f t="shared" si="549"/>
        <v>-119.70101340710789</v>
      </c>
      <c r="N145" s="145">
        <f t="shared" si="549"/>
        <v>-70.028134087102188</v>
      </c>
      <c r="O145" s="145">
        <f t="shared" si="549"/>
        <v>-7.4103578838174275</v>
      </c>
      <c r="P145" s="145">
        <f t="shared" si="549"/>
        <v>-7.8792554370127208</v>
      </c>
      <c r="Q145" s="145">
        <f t="shared" si="549"/>
        <v>-8.4604189447444949</v>
      </c>
      <c r="R145" s="146">
        <f t="shared" si="549"/>
        <v>419.53035854469857</v>
      </c>
      <c r="S145" s="147">
        <f t="shared" si="520"/>
        <v>206.05117878491384</v>
      </c>
      <c r="T145" s="148">
        <f t="shared" ref="T145:AE145" si="550">+T143-T144</f>
        <v>-11.553060903651744</v>
      </c>
      <c r="U145" s="145">
        <f t="shared" si="550"/>
        <v>-11.976594112837285</v>
      </c>
      <c r="V145" s="145">
        <f t="shared" si="550"/>
        <v>-11.815289926888708</v>
      </c>
      <c r="W145" s="145">
        <f t="shared" si="550"/>
        <v>-14.733020559112418</v>
      </c>
      <c r="X145" s="145">
        <f t="shared" si="550"/>
        <v>-18.333056669572798</v>
      </c>
      <c r="Y145" s="145">
        <f t="shared" si="550"/>
        <v>-17.853375064399795</v>
      </c>
      <c r="Z145" s="145">
        <f t="shared" si="550"/>
        <v>-22.783512293285515</v>
      </c>
      <c r="AA145" s="145">
        <f t="shared" si="550"/>
        <v>-69.547810986889729</v>
      </c>
      <c r="AB145" s="145">
        <f t="shared" si="550"/>
        <v>-8.0110961452536653</v>
      </c>
      <c r="AC145" s="145">
        <f t="shared" si="550"/>
        <v>-7.9691094151607418</v>
      </c>
      <c r="AD145" s="145">
        <f t="shared" si="550"/>
        <v>600.549757078634</v>
      </c>
      <c r="AE145" s="146">
        <f t="shared" si="550"/>
        <v>-1.5064668524551557</v>
      </c>
      <c r="AF145" s="147">
        <f t="shared" si="529"/>
        <v>404.46736414912647</v>
      </c>
      <c r="AG145" s="148">
        <f t="shared" ref="AG145:AR145" si="551">+AG143-AG144</f>
        <v>-24.367682057206597</v>
      </c>
      <c r="AH145" s="145">
        <f t="shared" si="551"/>
        <v>-4.6442912438785502</v>
      </c>
      <c r="AI145" s="145">
        <f t="shared" si="551"/>
        <v>-5.0214643847927167</v>
      </c>
      <c r="AJ145" s="145">
        <f t="shared" si="551"/>
        <v>-7.5386514050666973</v>
      </c>
      <c r="AK145" s="145">
        <f t="shared" si="551"/>
        <v>-7.0489777820488184</v>
      </c>
      <c r="AL145" s="145">
        <f t="shared" si="551"/>
        <v>-6.3656712286754837</v>
      </c>
      <c r="AM145" s="145">
        <f t="shared" si="551"/>
        <v>-7.9038121873926155</v>
      </c>
      <c r="AN145" s="145">
        <f t="shared" si="551"/>
        <v>-5.9715517254441455</v>
      </c>
      <c r="AO145" s="145">
        <f t="shared" si="551"/>
        <v>-6.020820540008331</v>
      </c>
      <c r="AP145" s="145">
        <f t="shared" si="551"/>
        <v>-6.2769354544417837</v>
      </c>
      <c r="AQ145" s="145">
        <f t="shared" si="551"/>
        <v>-8.0810838479899978</v>
      </c>
      <c r="AR145" s="146">
        <f t="shared" si="551"/>
        <v>-9.095569863013699</v>
      </c>
      <c r="AS145" s="408">
        <f t="shared" si="534"/>
        <v>-98.336511719959432</v>
      </c>
      <c r="AT145" s="148">
        <f t="shared" ref="AT145:BE145" si="552">+AT143-AT144</f>
        <v>-12.919038895087139</v>
      </c>
      <c r="AU145" s="145">
        <f t="shared" si="552"/>
        <v>-14.508061134534305</v>
      </c>
      <c r="AV145" s="145">
        <f t="shared" si="552"/>
        <v>-10.971140408101343</v>
      </c>
      <c r="AW145" s="145">
        <f t="shared" si="552"/>
        <v>-10.103713873819189</v>
      </c>
      <c r="AX145" s="145">
        <f t="shared" si="552"/>
        <v>-11.771400455840455</v>
      </c>
      <c r="AY145" s="145">
        <f t="shared" si="552"/>
        <v>-7.1359854400304128</v>
      </c>
      <c r="AZ145" s="145">
        <f t="shared" si="552"/>
        <v>-30</v>
      </c>
      <c r="BA145" s="145">
        <f t="shared" si="552"/>
        <v>-30</v>
      </c>
      <c r="BB145" s="145">
        <f t="shared" si="552"/>
        <v>-30</v>
      </c>
      <c r="BC145" s="145">
        <f t="shared" si="552"/>
        <v>-30</v>
      </c>
      <c r="BD145" s="145">
        <f t="shared" si="552"/>
        <v>-30</v>
      </c>
      <c r="BE145" s="146">
        <f t="shared" si="552"/>
        <v>-30</v>
      </c>
      <c r="BF145" s="147">
        <f t="shared" si="536"/>
        <v>-247.40934020741284</v>
      </c>
      <c r="BG145" s="148">
        <f t="shared" ref="BG145:BR145" si="553">+BG143-BG144</f>
        <v>420</v>
      </c>
      <c r="BH145" s="145">
        <f t="shared" si="553"/>
        <v>-30</v>
      </c>
      <c r="BI145" s="145">
        <f t="shared" si="553"/>
        <v>-30</v>
      </c>
      <c r="BJ145" s="145">
        <f t="shared" si="553"/>
        <v>-30</v>
      </c>
      <c r="BK145" s="145">
        <f t="shared" si="553"/>
        <v>-30</v>
      </c>
      <c r="BL145" s="145">
        <f t="shared" si="553"/>
        <v>-30</v>
      </c>
      <c r="BM145" s="145">
        <f t="shared" si="553"/>
        <v>-30</v>
      </c>
      <c r="BN145" s="145">
        <f t="shared" si="553"/>
        <v>0</v>
      </c>
      <c r="BO145" s="145">
        <f t="shared" si="553"/>
        <v>350</v>
      </c>
      <c r="BP145" s="145">
        <f t="shared" si="553"/>
        <v>0</v>
      </c>
      <c r="BQ145" s="145">
        <f t="shared" si="553"/>
        <v>0</v>
      </c>
      <c r="BR145" s="146">
        <f t="shared" si="553"/>
        <v>0</v>
      </c>
      <c r="BS145" s="147">
        <f t="shared" si="530"/>
        <v>590</v>
      </c>
      <c r="BT145" s="148">
        <f t="shared" ref="BT145:CE145" si="554">+BT143-BT144</f>
        <v>0</v>
      </c>
      <c r="BU145" s="145">
        <f t="shared" si="554"/>
        <v>0</v>
      </c>
      <c r="BV145" s="145">
        <f t="shared" si="554"/>
        <v>0</v>
      </c>
      <c r="BW145" s="145">
        <f t="shared" si="554"/>
        <v>0</v>
      </c>
      <c r="BX145" s="145">
        <f t="shared" si="554"/>
        <v>0</v>
      </c>
      <c r="BY145" s="145">
        <f t="shared" si="554"/>
        <v>0</v>
      </c>
      <c r="BZ145" s="145">
        <f t="shared" si="554"/>
        <v>0</v>
      </c>
      <c r="CA145" s="145">
        <f t="shared" si="554"/>
        <v>0</v>
      </c>
      <c r="CB145" s="145">
        <f t="shared" si="554"/>
        <v>0</v>
      </c>
      <c r="CC145" s="145">
        <f t="shared" si="554"/>
        <v>0</v>
      </c>
      <c r="CD145" s="145">
        <f t="shared" si="554"/>
        <v>0</v>
      </c>
      <c r="CE145" s="146">
        <f t="shared" si="554"/>
        <v>0</v>
      </c>
      <c r="CF145" s="147">
        <f t="shared" si="437"/>
        <v>0</v>
      </c>
      <c r="CG145" s="148">
        <f t="shared" ref="CG145:CR145" si="555">+CG143-CG144</f>
        <v>0</v>
      </c>
      <c r="CH145" s="145">
        <f t="shared" si="555"/>
        <v>0</v>
      </c>
      <c r="CI145" s="145">
        <f t="shared" si="555"/>
        <v>0</v>
      </c>
      <c r="CJ145" s="145">
        <f t="shared" si="555"/>
        <v>0</v>
      </c>
      <c r="CK145" s="145">
        <f t="shared" si="555"/>
        <v>0</v>
      </c>
      <c r="CL145" s="145">
        <f t="shared" si="555"/>
        <v>0</v>
      </c>
      <c r="CM145" s="145">
        <f t="shared" si="555"/>
        <v>0</v>
      </c>
      <c r="CN145" s="145">
        <f t="shared" si="555"/>
        <v>0</v>
      </c>
      <c r="CO145" s="145">
        <f t="shared" si="555"/>
        <v>0</v>
      </c>
      <c r="CP145" s="145">
        <f t="shared" si="555"/>
        <v>0</v>
      </c>
      <c r="CQ145" s="145">
        <f t="shared" si="555"/>
        <v>0</v>
      </c>
      <c r="CR145" s="146">
        <f t="shared" si="555"/>
        <v>0</v>
      </c>
      <c r="CS145" s="147">
        <f t="shared" si="438"/>
        <v>0</v>
      </c>
      <c r="CT145" s="148">
        <f t="shared" ref="CT145:DE145" si="556">+CT143-CT144</f>
        <v>0</v>
      </c>
      <c r="CU145" s="145">
        <f t="shared" si="556"/>
        <v>0</v>
      </c>
      <c r="CV145" s="145">
        <f t="shared" si="556"/>
        <v>0</v>
      </c>
      <c r="CW145" s="145">
        <f t="shared" si="556"/>
        <v>0</v>
      </c>
      <c r="CX145" s="145">
        <f t="shared" si="556"/>
        <v>0</v>
      </c>
      <c r="CY145" s="145">
        <f t="shared" si="556"/>
        <v>0</v>
      </c>
      <c r="CZ145" s="145">
        <f t="shared" si="556"/>
        <v>0</v>
      </c>
      <c r="DA145" s="145">
        <f t="shared" si="556"/>
        <v>0</v>
      </c>
      <c r="DB145" s="145">
        <f t="shared" si="556"/>
        <v>0</v>
      </c>
      <c r="DC145" s="145">
        <f t="shared" si="556"/>
        <v>0</v>
      </c>
      <c r="DD145" s="145">
        <f t="shared" si="556"/>
        <v>0</v>
      </c>
      <c r="DE145" s="146">
        <f t="shared" si="556"/>
        <v>0</v>
      </c>
      <c r="DF145" s="147">
        <f t="shared" si="439"/>
        <v>0</v>
      </c>
      <c r="DG145" s="146">
        <f>+DG143-DG144</f>
        <v>0</v>
      </c>
      <c r="DH145" s="98">
        <f t="shared" si="440"/>
        <v>854.77269100666808</v>
      </c>
      <c r="DI145" s="150">
        <f t="shared" si="441"/>
        <v>854.77269100666797</v>
      </c>
      <c r="DJ145" s="151">
        <f t="shared" si="442"/>
        <v>0</v>
      </c>
    </row>
    <row r="146" spans="1:115" ht="15" customHeight="1" outlineLevel="1">
      <c r="A146" s="607"/>
      <c r="B146" s="593" t="s">
        <v>190</v>
      </c>
      <c r="C146" s="246" t="s">
        <v>62</v>
      </c>
      <c r="D146" s="183" t="s">
        <v>122</v>
      </c>
      <c r="E146" s="153">
        <f>AF146+AS146+BF146+BS146+CF146+CS146+DF146+S146+DG146</f>
        <v>2108.8902563714164</v>
      </c>
      <c r="F146" s="153"/>
      <c r="G146" s="154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284"/>
      <c r="S146" s="157">
        <f t="shared" si="520"/>
        <v>0</v>
      </c>
      <c r="T146" s="378"/>
      <c r="U146" s="382"/>
      <c r="V146" s="382"/>
      <c r="W146" s="382"/>
      <c r="X146" s="389"/>
      <c r="Y146" s="389"/>
      <c r="Z146" s="389"/>
      <c r="AA146" s="389"/>
      <c r="AB146" s="389"/>
      <c r="AC146" s="389"/>
      <c r="AD146" s="389"/>
      <c r="AE146" s="482"/>
      <c r="AF146" s="157">
        <f t="shared" si="529"/>
        <v>0</v>
      </c>
      <c r="AG146" s="509"/>
      <c r="AH146" s="514"/>
      <c r="AI146" s="514"/>
      <c r="AJ146" s="514"/>
      <c r="AK146" s="514"/>
      <c r="AL146" s="514"/>
      <c r="AM146" s="519"/>
      <c r="AN146" s="514"/>
      <c r="AO146" s="507">
        <v>413.89025637141668</v>
      </c>
      <c r="AP146" s="514"/>
      <c r="AQ146" s="514"/>
      <c r="AR146" s="507"/>
      <c r="AS146" s="409">
        <f t="shared" si="534"/>
        <v>413.89025637141668</v>
      </c>
      <c r="AT146" s="519"/>
      <c r="AU146" s="514"/>
      <c r="AV146" s="514"/>
      <c r="AW146" s="514"/>
      <c r="AX146" s="514"/>
      <c r="AY146" s="519"/>
      <c r="AZ146" s="366"/>
      <c r="BA146" s="366"/>
      <c r="BB146" s="366"/>
      <c r="BC146" s="366"/>
      <c r="BD146" s="366"/>
      <c r="BE146" s="367"/>
      <c r="BF146" s="157">
        <f t="shared" si="536"/>
        <v>0</v>
      </c>
      <c r="BG146" s="158"/>
      <c r="BH146" s="155"/>
      <c r="BI146" s="155">
        <v>635</v>
      </c>
      <c r="BJ146" s="155"/>
      <c r="BK146" s="155"/>
      <c r="BL146" s="155"/>
      <c r="BM146" s="155"/>
      <c r="BN146" s="155"/>
      <c r="BO146" s="155"/>
      <c r="BP146" s="155"/>
      <c r="BQ146" s="155"/>
      <c r="BR146" s="156">
        <v>635</v>
      </c>
      <c r="BS146" s="157">
        <f t="shared" si="530"/>
        <v>1270</v>
      </c>
      <c r="BT146" s="158"/>
      <c r="BU146" s="155"/>
      <c r="BV146" s="155"/>
      <c r="BW146" s="155"/>
      <c r="BX146" s="155"/>
      <c r="BY146" s="155"/>
      <c r="BZ146" s="155"/>
      <c r="CA146" s="155"/>
      <c r="CB146" s="155"/>
      <c r="CC146" s="155"/>
      <c r="CD146" s="155"/>
      <c r="CE146" s="156">
        <v>425</v>
      </c>
      <c r="CF146" s="157">
        <f t="shared" si="437"/>
        <v>425</v>
      </c>
      <c r="CG146" s="158"/>
      <c r="CH146" s="155"/>
      <c r="CI146" s="155"/>
      <c r="CJ146" s="155"/>
      <c r="CK146" s="155"/>
      <c r="CL146" s="155"/>
      <c r="CM146" s="155"/>
      <c r="CN146" s="155"/>
      <c r="CO146" s="155"/>
      <c r="CP146" s="155"/>
      <c r="CQ146" s="155"/>
      <c r="CR146" s="156"/>
      <c r="CS146" s="157">
        <f t="shared" si="438"/>
        <v>0</v>
      </c>
      <c r="CT146" s="158"/>
      <c r="CU146" s="155"/>
      <c r="CV146" s="155"/>
      <c r="CW146" s="155"/>
      <c r="CX146" s="155"/>
      <c r="CY146" s="155"/>
      <c r="CZ146" s="155"/>
      <c r="DA146" s="155"/>
      <c r="DB146" s="155"/>
      <c r="DC146" s="155"/>
      <c r="DD146" s="155"/>
      <c r="DE146" s="156"/>
      <c r="DF146" s="157">
        <f t="shared" si="439"/>
        <v>0</v>
      </c>
      <c r="DG146" s="280"/>
      <c r="DH146" s="159">
        <f t="shared" si="440"/>
        <v>1683.8902563714166</v>
      </c>
      <c r="DI146" s="160">
        <f t="shared" si="441"/>
        <v>2108.8902563714164</v>
      </c>
      <c r="DJ146" s="161">
        <f t="shared" si="442"/>
        <v>424.99999999999977</v>
      </c>
    </row>
    <row r="147" spans="1:115" ht="15" customHeight="1" outlineLevel="1">
      <c r="A147" s="607"/>
      <c r="B147" s="548"/>
      <c r="C147" s="245" t="s">
        <v>63</v>
      </c>
      <c r="D147" s="184" t="s">
        <v>124</v>
      </c>
      <c r="E147" s="136">
        <f>AF147+AS147+BF147+BS147+CF147+CS147+DF147+S147+DG147</f>
        <v>803.13089463298547</v>
      </c>
      <c r="F147" s="136"/>
      <c r="G147" s="137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9"/>
      <c r="S147" s="162">
        <f t="shared" si="520"/>
        <v>0</v>
      </c>
      <c r="T147" s="390"/>
      <c r="U147" s="381"/>
      <c r="V147" s="381"/>
      <c r="W147" s="381"/>
      <c r="X147" s="388"/>
      <c r="Y147" s="388"/>
      <c r="Z147" s="388"/>
      <c r="AA147" s="388"/>
      <c r="AB147" s="388"/>
      <c r="AC147" s="388"/>
      <c r="AD147" s="388"/>
      <c r="AE147" s="388"/>
      <c r="AF147" s="162">
        <f t="shared" si="529"/>
        <v>0</v>
      </c>
      <c r="AG147" s="504"/>
      <c r="AH147" s="504"/>
      <c r="AI147" s="504"/>
      <c r="AJ147" s="504"/>
      <c r="AK147" s="504"/>
      <c r="AL147" s="504"/>
      <c r="AM147" s="504"/>
      <c r="AN147" s="504"/>
      <c r="AO147" s="504">
        <v>19.285057560495321</v>
      </c>
      <c r="AP147" s="504">
        <v>28.644742501995669</v>
      </c>
      <c r="AQ147" s="504">
        <v>68.137022505967479</v>
      </c>
      <c r="AR147" s="504">
        <v>20.869126940639273</v>
      </c>
      <c r="AS147" s="410">
        <f t="shared" si="534"/>
        <v>136.93594950909772</v>
      </c>
      <c r="AT147" s="528">
        <v>30.720480475512637</v>
      </c>
      <c r="AU147" s="504">
        <v>29.665399118436181</v>
      </c>
      <c r="AV147" s="504">
        <v>21.809654630964122</v>
      </c>
      <c r="AW147" s="504">
        <v>20.384358663075229</v>
      </c>
      <c r="AX147" s="504">
        <v>20.024196733143398</v>
      </c>
      <c r="AY147" s="504">
        <v>3.59085550275613</v>
      </c>
      <c r="AZ147" s="368">
        <v>20</v>
      </c>
      <c r="BA147" s="368">
        <v>20</v>
      </c>
      <c r="BB147" s="368">
        <v>20</v>
      </c>
      <c r="BC147" s="368">
        <v>20</v>
      </c>
      <c r="BD147" s="368">
        <v>20</v>
      </c>
      <c r="BE147" s="368">
        <v>20</v>
      </c>
      <c r="BF147" s="162">
        <f t="shared" si="536"/>
        <v>246.19494512388769</v>
      </c>
      <c r="BG147" s="141">
        <v>20</v>
      </c>
      <c r="BH147" s="138">
        <v>20</v>
      </c>
      <c r="BI147" s="138">
        <v>20</v>
      </c>
      <c r="BJ147" s="138">
        <v>20</v>
      </c>
      <c r="BK147" s="138">
        <v>20</v>
      </c>
      <c r="BL147" s="138">
        <v>20</v>
      </c>
      <c r="BM147" s="138">
        <v>20</v>
      </c>
      <c r="BN147" s="138">
        <v>20</v>
      </c>
      <c r="BO147" s="138">
        <v>20</v>
      </c>
      <c r="BP147" s="138">
        <v>20</v>
      </c>
      <c r="BQ147" s="138">
        <v>20</v>
      </c>
      <c r="BR147" s="139">
        <v>20</v>
      </c>
      <c r="BS147" s="162">
        <f t="shared" si="530"/>
        <v>240</v>
      </c>
      <c r="BT147" s="141">
        <v>20</v>
      </c>
      <c r="BU147" s="138">
        <v>20</v>
      </c>
      <c r="BV147" s="138">
        <v>20</v>
      </c>
      <c r="BW147" s="138">
        <v>20</v>
      </c>
      <c r="BX147" s="138">
        <v>20</v>
      </c>
      <c r="BY147" s="138">
        <v>20</v>
      </c>
      <c r="BZ147" s="138">
        <v>20</v>
      </c>
      <c r="CA147" s="138">
        <v>20</v>
      </c>
      <c r="CB147" s="138">
        <v>20</v>
      </c>
      <c r="CC147" s="138"/>
      <c r="CD147" s="138"/>
      <c r="CE147" s="139"/>
      <c r="CF147" s="162">
        <f t="shared" si="437"/>
        <v>180</v>
      </c>
      <c r="CG147" s="141"/>
      <c r="CH147" s="138"/>
      <c r="CI147" s="138"/>
      <c r="CJ147" s="138"/>
      <c r="CK147" s="138"/>
      <c r="CL147" s="138"/>
      <c r="CM147" s="138"/>
      <c r="CN147" s="138"/>
      <c r="CO147" s="138"/>
      <c r="CP147" s="138"/>
      <c r="CQ147" s="138"/>
      <c r="CR147" s="139"/>
      <c r="CS147" s="162">
        <f t="shared" si="438"/>
        <v>0</v>
      </c>
      <c r="CT147" s="141"/>
      <c r="CU147" s="138"/>
      <c r="CV147" s="138"/>
      <c r="CW147" s="138"/>
      <c r="CX147" s="138"/>
      <c r="CY147" s="138"/>
      <c r="CZ147" s="138"/>
      <c r="DA147" s="138"/>
      <c r="DB147" s="138"/>
      <c r="DC147" s="138"/>
      <c r="DD147" s="138"/>
      <c r="DE147" s="139"/>
      <c r="DF147" s="162">
        <f t="shared" si="439"/>
        <v>0</v>
      </c>
      <c r="DG147" s="279"/>
      <c r="DH147" s="90">
        <f t="shared" si="440"/>
        <v>623.13089463298547</v>
      </c>
      <c r="DI147" s="91">
        <f t="shared" si="441"/>
        <v>803.13089463298547</v>
      </c>
      <c r="DJ147" s="92">
        <f t="shared" si="442"/>
        <v>180</v>
      </c>
      <c r="DK147" s="64">
        <f>+DH147/DH146</f>
        <v>0.37005433832473056</v>
      </c>
    </row>
    <row r="148" spans="1:115" ht="15" customHeight="1" outlineLevel="1">
      <c r="A148" s="607"/>
      <c r="B148" s="549"/>
      <c r="C148" s="554" t="s">
        <v>11</v>
      </c>
      <c r="D148" s="555"/>
      <c r="E148" s="143">
        <f>+E146-E147</f>
        <v>1305.7593617384309</v>
      </c>
      <c r="F148" s="144">
        <f t="shared" ref="F148:R148" si="557">+F146-F147</f>
        <v>0</v>
      </c>
      <c r="G148" s="145">
        <f t="shared" si="557"/>
        <v>0</v>
      </c>
      <c r="H148" s="145">
        <f t="shared" si="557"/>
        <v>0</v>
      </c>
      <c r="I148" s="145">
        <f t="shared" si="557"/>
        <v>0</v>
      </c>
      <c r="J148" s="145">
        <f t="shared" si="557"/>
        <v>0</v>
      </c>
      <c r="K148" s="145">
        <f t="shared" si="557"/>
        <v>0</v>
      </c>
      <c r="L148" s="145">
        <f t="shared" si="557"/>
        <v>0</v>
      </c>
      <c r="M148" s="145">
        <f t="shared" si="557"/>
        <v>0</v>
      </c>
      <c r="N148" s="145">
        <f t="shared" si="557"/>
        <v>0</v>
      </c>
      <c r="O148" s="145">
        <f t="shared" si="557"/>
        <v>0</v>
      </c>
      <c r="P148" s="145">
        <f t="shared" si="557"/>
        <v>0</v>
      </c>
      <c r="Q148" s="145">
        <f t="shared" si="557"/>
        <v>0</v>
      </c>
      <c r="R148" s="146">
        <f t="shared" si="557"/>
        <v>0</v>
      </c>
      <c r="S148" s="147">
        <f t="shared" si="520"/>
        <v>0</v>
      </c>
      <c r="T148" s="148">
        <f t="shared" ref="T148:AE148" si="558">+T146-T147</f>
        <v>0</v>
      </c>
      <c r="U148" s="145">
        <f t="shared" si="558"/>
        <v>0</v>
      </c>
      <c r="V148" s="145">
        <f t="shared" si="558"/>
        <v>0</v>
      </c>
      <c r="W148" s="145">
        <f t="shared" si="558"/>
        <v>0</v>
      </c>
      <c r="X148" s="145">
        <f t="shared" si="558"/>
        <v>0</v>
      </c>
      <c r="Y148" s="145">
        <f t="shared" si="558"/>
        <v>0</v>
      </c>
      <c r="Z148" s="145">
        <f t="shared" si="558"/>
        <v>0</v>
      </c>
      <c r="AA148" s="145">
        <f t="shared" si="558"/>
        <v>0</v>
      </c>
      <c r="AB148" s="145">
        <f t="shared" si="558"/>
        <v>0</v>
      </c>
      <c r="AC148" s="145">
        <f t="shared" si="558"/>
        <v>0</v>
      </c>
      <c r="AD148" s="145">
        <f t="shared" si="558"/>
        <v>0</v>
      </c>
      <c r="AE148" s="146">
        <f t="shared" si="558"/>
        <v>0</v>
      </c>
      <c r="AF148" s="147">
        <f t="shared" si="529"/>
        <v>0</v>
      </c>
      <c r="AG148" s="148">
        <f t="shared" ref="AG148:AR148" si="559">+AG146-AG147</f>
        <v>0</v>
      </c>
      <c r="AH148" s="145">
        <f t="shared" si="559"/>
        <v>0</v>
      </c>
      <c r="AI148" s="145">
        <f t="shared" si="559"/>
        <v>0</v>
      </c>
      <c r="AJ148" s="145">
        <f t="shared" si="559"/>
        <v>0</v>
      </c>
      <c r="AK148" s="145">
        <f t="shared" si="559"/>
        <v>0</v>
      </c>
      <c r="AL148" s="145">
        <f t="shared" si="559"/>
        <v>0</v>
      </c>
      <c r="AM148" s="145">
        <f t="shared" si="559"/>
        <v>0</v>
      </c>
      <c r="AN148" s="145">
        <f t="shared" si="559"/>
        <v>0</v>
      </c>
      <c r="AO148" s="145">
        <f t="shared" si="559"/>
        <v>394.60519881092137</v>
      </c>
      <c r="AP148" s="145">
        <f t="shared" si="559"/>
        <v>-28.644742501995669</v>
      </c>
      <c r="AQ148" s="145">
        <f t="shared" si="559"/>
        <v>-68.137022505967479</v>
      </c>
      <c r="AR148" s="146">
        <f t="shared" si="559"/>
        <v>-20.869126940639273</v>
      </c>
      <c r="AS148" s="408">
        <f t="shared" si="534"/>
        <v>276.95430686231896</v>
      </c>
      <c r="AT148" s="148">
        <f t="shared" ref="AT148:BE148" si="560">+AT146-AT147</f>
        <v>-30.720480475512637</v>
      </c>
      <c r="AU148" s="145">
        <f t="shared" si="560"/>
        <v>-29.665399118436181</v>
      </c>
      <c r="AV148" s="145">
        <f t="shared" si="560"/>
        <v>-21.809654630964122</v>
      </c>
      <c r="AW148" s="145">
        <f t="shared" si="560"/>
        <v>-20.384358663075229</v>
      </c>
      <c r="AX148" s="145">
        <f t="shared" si="560"/>
        <v>-20.024196733143398</v>
      </c>
      <c r="AY148" s="145">
        <f t="shared" si="560"/>
        <v>-3.59085550275613</v>
      </c>
      <c r="AZ148" s="145">
        <f t="shared" si="560"/>
        <v>-20</v>
      </c>
      <c r="BA148" s="145">
        <f t="shared" si="560"/>
        <v>-20</v>
      </c>
      <c r="BB148" s="145">
        <f t="shared" si="560"/>
        <v>-20</v>
      </c>
      <c r="BC148" s="145">
        <f t="shared" si="560"/>
        <v>-20</v>
      </c>
      <c r="BD148" s="145">
        <f t="shared" si="560"/>
        <v>-20</v>
      </c>
      <c r="BE148" s="146">
        <f t="shared" si="560"/>
        <v>-20</v>
      </c>
      <c r="BF148" s="147">
        <f t="shared" si="536"/>
        <v>-246.19494512388769</v>
      </c>
      <c r="BG148" s="148">
        <f t="shared" ref="BG148:BR148" si="561">+BG146-BG147</f>
        <v>-20</v>
      </c>
      <c r="BH148" s="145">
        <f t="shared" si="561"/>
        <v>-20</v>
      </c>
      <c r="BI148" s="145">
        <f t="shared" si="561"/>
        <v>615</v>
      </c>
      <c r="BJ148" s="145">
        <f t="shared" si="561"/>
        <v>-20</v>
      </c>
      <c r="BK148" s="145">
        <f t="shared" si="561"/>
        <v>-20</v>
      </c>
      <c r="BL148" s="145">
        <f t="shared" si="561"/>
        <v>-20</v>
      </c>
      <c r="BM148" s="145">
        <f t="shared" si="561"/>
        <v>-20</v>
      </c>
      <c r="BN148" s="145">
        <f t="shared" si="561"/>
        <v>-20</v>
      </c>
      <c r="BO148" s="145">
        <f t="shared" si="561"/>
        <v>-20</v>
      </c>
      <c r="BP148" s="145">
        <f t="shared" si="561"/>
        <v>-20</v>
      </c>
      <c r="BQ148" s="145">
        <f t="shared" si="561"/>
        <v>-20</v>
      </c>
      <c r="BR148" s="146">
        <f t="shared" si="561"/>
        <v>615</v>
      </c>
      <c r="BS148" s="147">
        <f t="shared" si="530"/>
        <v>1030</v>
      </c>
      <c r="BT148" s="148">
        <f t="shared" ref="BT148:CE148" si="562">+BT146-BT147</f>
        <v>-20</v>
      </c>
      <c r="BU148" s="145">
        <f t="shared" si="562"/>
        <v>-20</v>
      </c>
      <c r="BV148" s="145">
        <f t="shared" si="562"/>
        <v>-20</v>
      </c>
      <c r="BW148" s="145">
        <f t="shared" si="562"/>
        <v>-20</v>
      </c>
      <c r="BX148" s="145">
        <f t="shared" si="562"/>
        <v>-20</v>
      </c>
      <c r="BY148" s="145">
        <f t="shared" si="562"/>
        <v>-20</v>
      </c>
      <c r="BZ148" s="145">
        <f t="shared" si="562"/>
        <v>-20</v>
      </c>
      <c r="CA148" s="145">
        <f t="shared" si="562"/>
        <v>-20</v>
      </c>
      <c r="CB148" s="145">
        <f t="shared" si="562"/>
        <v>-20</v>
      </c>
      <c r="CC148" s="145">
        <f t="shared" si="562"/>
        <v>0</v>
      </c>
      <c r="CD148" s="145">
        <f t="shared" si="562"/>
        <v>0</v>
      </c>
      <c r="CE148" s="146">
        <f t="shared" si="562"/>
        <v>425</v>
      </c>
      <c r="CF148" s="147">
        <f t="shared" si="437"/>
        <v>245</v>
      </c>
      <c r="CG148" s="148">
        <f t="shared" ref="CG148:CR148" si="563">+CG146-CG147</f>
        <v>0</v>
      </c>
      <c r="CH148" s="145">
        <f t="shared" si="563"/>
        <v>0</v>
      </c>
      <c r="CI148" s="145">
        <f t="shared" si="563"/>
        <v>0</v>
      </c>
      <c r="CJ148" s="145">
        <f t="shared" si="563"/>
        <v>0</v>
      </c>
      <c r="CK148" s="145">
        <f t="shared" si="563"/>
        <v>0</v>
      </c>
      <c r="CL148" s="145">
        <f t="shared" si="563"/>
        <v>0</v>
      </c>
      <c r="CM148" s="145">
        <f t="shared" si="563"/>
        <v>0</v>
      </c>
      <c r="CN148" s="145">
        <f t="shared" si="563"/>
        <v>0</v>
      </c>
      <c r="CO148" s="145">
        <f t="shared" si="563"/>
        <v>0</v>
      </c>
      <c r="CP148" s="145">
        <f t="shared" si="563"/>
        <v>0</v>
      </c>
      <c r="CQ148" s="145">
        <f t="shared" si="563"/>
        <v>0</v>
      </c>
      <c r="CR148" s="146">
        <f t="shared" si="563"/>
        <v>0</v>
      </c>
      <c r="CS148" s="147">
        <f t="shared" si="438"/>
        <v>0</v>
      </c>
      <c r="CT148" s="148">
        <f t="shared" ref="CT148:DE148" si="564">+CT146-CT147</f>
        <v>0</v>
      </c>
      <c r="CU148" s="145">
        <f t="shared" si="564"/>
        <v>0</v>
      </c>
      <c r="CV148" s="145">
        <f t="shared" si="564"/>
        <v>0</v>
      </c>
      <c r="CW148" s="145">
        <f t="shared" si="564"/>
        <v>0</v>
      </c>
      <c r="CX148" s="145">
        <f t="shared" si="564"/>
        <v>0</v>
      </c>
      <c r="CY148" s="145">
        <f t="shared" si="564"/>
        <v>0</v>
      </c>
      <c r="CZ148" s="145">
        <f t="shared" si="564"/>
        <v>0</v>
      </c>
      <c r="DA148" s="145">
        <f t="shared" si="564"/>
        <v>0</v>
      </c>
      <c r="DB148" s="145">
        <f t="shared" si="564"/>
        <v>0</v>
      </c>
      <c r="DC148" s="145">
        <f t="shared" si="564"/>
        <v>0</v>
      </c>
      <c r="DD148" s="145">
        <f t="shared" si="564"/>
        <v>0</v>
      </c>
      <c r="DE148" s="146">
        <f t="shared" si="564"/>
        <v>0</v>
      </c>
      <c r="DF148" s="147">
        <f t="shared" si="439"/>
        <v>0</v>
      </c>
      <c r="DG148" s="146">
        <f>+DG146-DG147</f>
        <v>0</v>
      </c>
      <c r="DH148" s="98">
        <f t="shared" si="440"/>
        <v>1060.7593617384314</v>
      </c>
      <c r="DI148" s="99">
        <f t="shared" si="441"/>
        <v>1305.7593617384309</v>
      </c>
      <c r="DJ148" s="100">
        <f t="shared" si="442"/>
        <v>244.99999999999955</v>
      </c>
    </row>
    <row r="149" spans="1:115" ht="15" hidden="1" customHeight="1" outlineLevel="1">
      <c r="A149" s="607"/>
      <c r="B149" s="557" t="s">
        <v>182</v>
      </c>
      <c r="C149" s="246" t="s">
        <v>62</v>
      </c>
      <c r="D149" s="183" t="s">
        <v>122</v>
      </c>
      <c r="E149" s="153"/>
      <c r="F149" s="153"/>
      <c r="G149" s="154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284"/>
      <c r="S149" s="157">
        <f t="shared" si="520"/>
        <v>0</v>
      </c>
      <c r="T149" s="378"/>
      <c r="U149" s="382"/>
      <c r="V149" s="382"/>
      <c r="W149" s="382"/>
      <c r="X149" s="382"/>
      <c r="Y149" s="382"/>
      <c r="Z149" s="382"/>
      <c r="AA149" s="382"/>
      <c r="AB149" s="382"/>
      <c r="AC149" s="382"/>
      <c r="AD149" s="382"/>
      <c r="AE149" s="481"/>
      <c r="AF149" s="157">
        <f t="shared" si="529"/>
        <v>0</v>
      </c>
      <c r="AG149" s="158"/>
      <c r="AH149" s="155"/>
      <c r="AI149" s="155"/>
      <c r="AJ149" s="155"/>
      <c r="AK149" s="155"/>
      <c r="AL149" s="155"/>
      <c r="AM149" s="155"/>
      <c r="AN149" s="155"/>
      <c r="AO149" s="155"/>
      <c r="AP149" s="155"/>
      <c r="AQ149" s="155"/>
      <c r="AR149" s="156"/>
      <c r="AS149" s="409">
        <f t="shared" si="534"/>
        <v>0</v>
      </c>
      <c r="AT149" s="158"/>
      <c r="AU149" s="155"/>
      <c r="AV149" s="155"/>
      <c r="AW149" s="155"/>
      <c r="AX149" s="155"/>
      <c r="AY149" s="155"/>
      <c r="AZ149" s="155"/>
      <c r="BA149" s="155"/>
      <c r="BB149" s="155"/>
      <c r="BC149" s="155"/>
      <c r="BD149" s="155"/>
      <c r="BE149" s="156"/>
      <c r="BF149" s="157">
        <f t="shared" si="536"/>
        <v>0</v>
      </c>
      <c r="BG149" s="158"/>
      <c r="BH149" s="155"/>
      <c r="BI149" s="155"/>
      <c r="BJ149" s="155"/>
      <c r="BK149" s="155"/>
      <c r="BL149" s="155"/>
      <c r="BM149" s="155"/>
      <c r="BN149" s="155"/>
      <c r="BO149" s="155"/>
      <c r="BP149" s="155"/>
      <c r="BQ149" s="155"/>
      <c r="BR149" s="156"/>
      <c r="BS149" s="157">
        <f t="shared" si="530"/>
        <v>0</v>
      </c>
      <c r="BT149" s="158"/>
      <c r="BU149" s="155"/>
      <c r="BV149" s="155"/>
      <c r="BW149" s="155"/>
      <c r="BX149" s="155"/>
      <c r="BY149" s="155"/>
      <c r="BZ149" s="155"/>
      <c r="CA149" s="155"/>
      <c r="CB149" s="155"/>
      <c r="CC149" s="155"/>
      <c r="CD149" s="155"/>
      <c r="CE149" s="156"/>
      <c r="CF149" s="157">
        <f>SUM(BT149:CE149)</f>
        <v>0</v>
      </c>
      <c r="CG149" s="158"/>
      <c r="CH149" s="155"/>
      <c r="CI149" s="155"/>
      <c r="CJ149" s="155"/>
      <c r="CK149" s="155"/>
      <c r="CL149" s="155"/>
      <c r="CM149" s="155"/>
      <c r="CN149" s="155"/>
      <c r="CO149" s="155"/>
      <c r="CP149" s="155"/>
      <c r="CQ149" s="155"/>
      <c r="CR149" s="156"/>
      <c r="CS149" s="157">
        <f>SUM(CG149:CR149)</f>
        <v>0</v>
      </c>
      <c r="CT149" s="158"/>
      <c r="CU149" s="155"/>
      <c r="CV149" s="155"/>
      <c r="CW149" s="155"/>
      <c r="CX149" s="155"/>
      <c r="CY149" s="155"/>
      <c r="CZ149" s="155"/>
      <c r="DA149" s="155"/>
      <c r="DB149" s="155"/>
      <c r="DC149" s="155"/>
      <c r="DD149" s="155"/>
      <c r="DE149" s="156"/>
      <c r="DF149" s="157">
        <f>SUM(CT149:DE149)</f>
        <v>0</v>
      </c>
      <c r="DG149" s="280"/>
      <c r="DH149" s="159">
        <f t="shared" ref="DH149:DH154" si="565">+F149+S149+AF149+AS149+BF149+BS149+DG149</f>
        <v>0</v>
      </c>
      <c r="DI149" s="160">
        <f t="shared" ref="DI149:DI154" si="566">+E149</f>
        <v>0</v>
      </c>
      <c r="DJ149" s="161">
        <f t="shared" si="442"/>
        <v>0</v>
      </c>
    </row>
    <row r="150" spans="1:115" ht="15" hidden="1" customHeight="1" outlineLevel="1">
      <c r="A150" s="607"/>
      <c r="B150" s="560"/>
      <c r="C150" s="245" t="s">
        <v>63</v>
      </c>
      <c r="D150" s="184" t="s">
        <v>124</v>
      </c>
      <c r="E150" s="136"/>
      <c r="F150" s="136"/>
      <c r="G150" s="137"/>
      <c r="H150" s="138"/>
      <c r="I150" s="138"/>
      <c r="J150" s="138">
        <v>6.8089115599484309</v>
      </c>
      <c r="K150" s="138">
        <v>11.993489270386267</v>
      </c>
      <c r="L150" s="138">
        <v>11.324583885445609</v>
      </c>
      <c r="M150" s="138">
        <v>11.181086145988509</v>
      </c>
      <c r="N150" s="138">
        <v>11.728691666666668</v>
      </c>
      <c r="O150" s="138">
        <v>11.68815398340249</v>
      </c>
      <c r="P150" s="138">
        <v>11.724762576938859</v>
      </c>
      <c r="Q150" s="138">
        <v>8.123657000415454</v>
      </c>
      <c r="R150" s="139">
        <v>8.6487021205821204</v>
      </c>
      <c r="S150" s="162">
        <f t="shared" si="520"/>
        <v>93.222038209774396</v>
      </c>
      <c r="T150" s="380">
        <v>6.4679833298947802</v>
      </c>
      <c r="U150" s="381">
        <v>0.68264717906786587</v>
      </c>
      <c r="V150" s="381"/>
      <c r="W150" s="381"/>
      <c r="X150" s="381"/>
      <c r="Y150" s="381"/>
      <c r="Z150" s="381"/>
      <c r="AA150" s="381"/>
      <c r="AB150" s="381"/>
      <c r="AC150" s="381"/>
      <c r="AD150" s="381"/>
      <c r="AE150" s="392"/>
      <c r="AF150" s="162">
        <f t="shared" si="529"/>
        <v>7.1506305089626458</v>
      </c>
      <c r="AG150" s="141"/>
      <c r="AH150" s="138"/>
      <c r="AI150" s="138"/>
      <c r="AJ150" s="138"/>
      <c r="AK150" s="138"/>
      <c r="AL150" s="138"/>
      <c r="AM150" s="138"/>
      <c r="AN150" s="138"/>
      <c r="AO150" s="138"/>
      <c r="AP150" s="138"/>
      <c r="AQ150" s="138"/>
      <c r="AR150" s="139"/>
      <c r="AS150" s="410">
        <f t="shared" si="534"/>
        <v>0</v>
      </c>
      <c r="AT150" s="141"/>
      <c r="AU150" s="138"/>
      <c r="AV150" s="138"/>
      <c r="AW150" s="138"/>
      <c r="AX150" s="138"/>
      <c r="AY150" s="138"/>
      <c r="AZ150" s="138"/>
      <c r="BA150" s="138"/>
      <c r="BB150" s="138"/>
      <c r="BC150" s="138"/>
      <c r="BD150" s="138"/>
      <c r="BE150" s="139"/>
      <c r="BF150" s="162">
        <f t="shared" si="536"/>
        <v>0</v>
      </c>
      <c r="BG150" s="141"/>
      <c r="BH150" s="138"/>
      <c r="BI150" s="138"/>
      <c r="BJ150" s="138"/>
      <c r="BK150" s="138"/>
      <c r="BL150" s="138"/>
      <c r="BM150" s="138"/>
      <c r="BN150" s="138"/>
      <c r="BO150" s="138"/>
      <c r="BP150" s="138"/>
      <c r="BQ150" s="138"/>
      <c r="BR150" s="139"/>
      <c r="BS150" s="162">
        <f t="shared" si="530"/>
        <v>0</v>
      </c>
      <c r="BT150" s="141"/>
      <c r="BU150" s="138"/>
      <c r="BV150" s="138"/>
      <c r="BW150" s="138"/>
      <c r="BX150" s="138"/>
      <c r="BY150" s="138"/>
      <c r="BZ150" s="138"/>
      <c r="CA150" s="138"/>
      <c r="CB150" s="138"/>
      <c r="CC150" s="138"/>
      <c r="CD150" s="138"/>
      <c r="CE150" s="139"/>
      <c r="CF150" s="162">
        <f>SUM(BT150:CE150)</f>
        <v>0</v>
      </c>
      <c r="CG150" s="141"/>
      <c r="CH150" s="138"/>
      <c r="CI150" s="138"/>
      <c r="CJ150" s="138"/>
      <c r="CK150" s="138"/>
      <c r="CL150" s="138"/>
      <c r="CM150" s="138"/>
      <c r="CN150" s="138"/>
      <c r="CO150" s="138"/>
      <c r="CP150" s="138"/>
      <c r="CQ150" s="138"/>
      <c r="CR150" s="139"/>
      <c r="CS150" s="162">
        <f>SUM(CG150:CR150)</f>
        <v>0</v>
      </c>
      <c r="CT150" s="141"/>
      <c r="CU150" s="138"/>
      <c r="CV150" s="138"/>
      <c r="CW150" s="138"/>
      <c r="CX150" s="138"/>
      <c r="CY150" s="138"/>
      <c r="CZ150" s="138"/>
      <c r="DA150" s="138"/>
      <c r="DB150" s="138"/>
      <c r="DC150" s="138"/>
      <c r="DD150" s="138"/>
      <c r="DE150" s="139"/>
      <c r="DF150" s="162">
        <f>SUM(CT150:DE150)</f>
        <v>0</v>
      </c>
      <c r="DG150" s="279"/>
      <c r="DH150" s="90">
        <f t="shared" si="565"/>
        <v>100.37266871873705</v>
      </c>
      <c r="DI150" s="91">
        <f t="shared" si="566"/>
        <v>0</v>
      </c>
      <c r="DJ150" s="92">
        <f t="shared" si="442"/>
        <v>-100.37266871873705</v>
      </c>
      <c r="DK150" s="64" t="e">
        <f>+DH150/DH149</f>
        <v>#DIV/0!</v>
      </c>
    </row>
    <row r="151" spans="1:115" ht="15" hidden="1" customHeight="1" outlineLevel="1">
      <c r="A151" s="607"/>
      <c r="B151" s="561"/>
      <c r="C151" s="554" t="s">
        <v>11</v>
      </c>
      <c r="D151" s="555"/>
      <c r="E151" s="143">
        <f t="shared" ref="E151:R151" si="567">+E149-E150</f>
        <v>0</v>
      </c>
      <c r="F151" s="144">
        <f t="shared" si="567"/>
        <v>0</v>
      </c>
      <c r="G151" s="145">
        <f t="shared" si="567"/>
        <v>0</v>
      </c>
      <c r="H151" s="145">
        <f t="shared" si="567"/>
        <v>0</v>
      </c>
      <c r="I151" s="145">
        <f t="shared" si="567"/>
        <v>0</v>
      </c>
      <c r="J151" s="145">
        <f t="shared" si="567"/>
        <v>-6.8089115599484309</v>
      </c>
      <c r="K151" s="145">
        <f t="shared" si="567"/>
        <v>-11.993489270386267</v>
      </c>
      <c r="L151" s="145">
        <f t="shared" si="567"/>
        <v>-11.324583885445609</v>
      </c>
      <c r="M151" s="145">
        <f t="shared" si="567"/>
        <v>-11.181086145988509</v>
      </c>
      <c r="N151" s="145">
        <f t="shared" si="567"/>
        <v>-11.728691666666668</v>
      </c>
      <c r="O151" s="145">
        <f t="shared" si="567"/>
        <v>-11.68815398340249</v>
      </c>
      <c r="P151" s="145">
        <f t="shared" si="567"/>
        <v>-11.724762576938859</v>
      </c>
      <c r="Q151" s="145">
        <f t="shared" si="567"/>
        <v>-8.123657000415454</v>
      </c>
      <c r="R151" s="146">
        <f t="shared" si="567"/>
        <v>-8.6487021205821204</v>
      </c>
      <c r="S151" s="147">
        <f t="shared" si="520"/>
        <v>-93.222038209774396</v>
      </c>
      <c r="T151" s="148">
        <f t="shared" ref="T151:AE151" si="568">+T149-T150</f>
        <v>-6.4679833298947802</v>
      </c>
      <c r="U151" s="145">
        <f t="shared" si="568"/>
        <v>-0.68264717906786587</v>
      </c>
      <c r="V151" s="145">
        <f t="shared" si="568"/>
        <v>0</v>
      </c>
      <c r="W151" s="145">
        <f t="shared" si="568"/>
        <v>0</v>
      </c>
      <c r="X151" s="145">
        <f t="shared" si="568"/>
        <v>0</v>
      </c>
      <c r="Y151" s="145">
        <f t="shared" si="568"/>
        <v>0</v>
      </c>
      <c r="Z151" s="145">
        <f t="shared" si="568"/>
        <v>0</v>
      </c>
      <c r="AA151" s="145">
        <f t="shared" si="568"/>
        <v>0</v>
      </c>
      <c r="AB151" s="145">
        <f t="shared" si="568"/>
        <v>0</v>
      </c>
      <c r="AC151" s="145">
        <f t="shared" si="568"/>
        <v>0</v>
      </c>
      <c r="AD151" s="145">
        <f t="shared" si="568"/>
        <v>0</v>
      </c>
      <c r="AE151" s="146">
        <f t="shared" si="568"/>
        <v>0</v>
      </c>
      <c r="AF151" s="147">
        <f t="shared" si="529"/>
        <v>-7.1506305089626458</v>
      </c>
      <c r="AG151" s="148">
        <f t="shared" ref="AG151:AR151" si="569">+AG149-AG150</f>
        <v>0</v>
      </c>
      <c r="AH151" s="145">
        <f t="shared" si="569"/>
        <v>0</v>
      </c>
      <c r="AI151" s="145">
        <f t="shared" si="569"/>
        <v>0</v>
      </c>
      <c r="AJ151" s="145">
        <f t="shared" si="569"/>
        <v>0</v>
      </c>
      <c r="AK151" s="145">
        <f t="shared" si="569"/>
        <v>0</v>
      </c>
      <c r="AL151" s="145">
        <f t="shared" si="569"/>
        <v>0</v>
      </c>
      <c r="AM151" s="145">
        <f t="shared" si="569"/>
        <v>0</v>
      </c>
      <c r="AN151" s="145">
        <f t="shared" si="569"/>
        <v>0</v>
      </c>
      <c r="AO151" s="145">
        <f t="shared" si="569"/>
        <v>0</v>
      </c>
      <c r="AP151" s="145">
        <f t="shared" si="569"/>
        <v>0</v>
      </c>
      <c r="AQ151" s="145">
        <f t="shared" si="569"/>
        <v>0</v>
      </c>
      <c r="AR151" s="146">
        <f t="shared" si="569"/>
        <v>0</v>
      </c>
      <c r="AS151" s="408">
        <f t="shared" si="534"/>
        <v>0</v>
      </c>
      <c r="AT151" s="148">
        <f t="shared" ref="AT151:BE151" si="570">+AT149-AT150</f>
        <v>0</v>
      </c>
      <c r="AU151" s="145">
        <f t="shared" si="570"/>
        <v>0</v>
      </c>
      <c r="AV151" s="145">
        <f t="shared" si="570"/>
        <v>0</v>
      </c>
      <c r="AW151" s="145">
        <f t="shared" si="570"/>
        <v>0</v>
      </c>
      <c r="AX151" s="145">
        <f t="shared" si="570"/>
        <v>0</v>
      </c>
      <c r="AY151" s="145">
        <f t="shared" si="570"/>
        <v>0</v>
      </c>
      <c r="AZ151" s="145">
        <f t="shared" si="570"/>
        <v>0</v>
      </c>
      <c r="BA151" s="145">
        <f t="shared" si="570"/>
        <v>0</v>
      </c>
      <c r="BB151" s="145">
        <f t="shared" si="570"/>
        <v>0</v>
      </c>
      <c r="BC151" s="145">
        <f t="shared" si="570"/>
        <v>0</v>
      </c>
      <c r="BD151" s="145">
        <f t="shared" si="570"/>
        <v>0</v>
      </c>
      <c r="BE151" s="146">
        <f t="shared" si="570"/>
        <v>0</v>
      </c>
      <c r="BF151" s="147">
        <f t="shared" si="536"/>
        <v>0</v>
      </c>
      <c r="BG151" s="148">
        <f t="shared" ref="BG151:BR151" si="571">+BG149-BG150</f>
        <v>0</v>
      </c>
      <c r="BH151" s="145">
        <f t="shared" si="571"/>
        <v>0</v>
      </c>
      <c r="BI151" s="145">
        <f t="shared" si="571"/>
        <v>0</v>
      </c>
      <c r="BJ151" s="145">
        <f t="shared" si="571"/>
        <v>0</v>
      </c>
      <c r="BK151" s="145">
        <f t="shared" si="571"/>
        <v>0</v>
      </c>
      <c r="BL151" s="145">
        <f t="shared" si="571"/>
        <v>0</v>
      </c>
      <c r="BM151" s="145">
        <f t="shared" si="571"/>
        <v>0</v>
      </c>
      <c r="BN151" s="145">
        <f t="shared" si="571"/>
        <v>0</v>
      </c>
      <c r="BO151" s="145">
        <f t="shared" si="571"/>
        <v>0</v>
      </c>
      <c r="BP151" s="145">
        <f t="shared" si="571"/>
        <v>0</v>
      </c>
      <c r="BQ151" s="145">
        <f t="shared" si="571"/>
        <v>0</v>
      </c>
      <c r="BR151" s="146">
        <f t="shared" si="571"/>
        <v>0</v>
      </c>
      <c r="BS151" s="147">
        <f t="shared" si="530"/>
        <v>0</v>
      </c>
      <c r="BT151" s="148">
        <f t="shared" ref="BT151:CE151" si="572">+BT149-BT150</f>
        <v>0</v>
      </c>
      <c r="BU151" s="145">
        <f t="shared" si="572"/>
        <v>0</v>
      </c>
      <c r="BV151" s="145">
        <f t="shared" si="572"/>
        <v>0</v>
      </c>
      <c r="BW151" s="145">
        <f t="shared" si="572"/>
        <v>0</v>
      </c>
      <c r="BX151" s="145">
        <f t="shared" si="572"/>
        <v>0</v>
      </c>
      <c r="BY151" s="145">
        <f t="shared" si="572"/>
        <v>0</v>
      </c>
      <c r="BZ151" s="145">
        <f t="shared" si="572"/>
        <v>0</v>
      </c>
      <c r="CA151" s="145">
        <f t="shared" si="572"/>
        <v>0</v>
      </c>
      <c r="CB151" s="145">
        <f t="shared" si="572"/>
        <v>0</v>
      </c>
      <c r="CC151" s="145">
        <f t="shared" si="572"/>
        <v>0</v>
      </c>
      <c r="CD151" s="145">
        <f t="shared" si="572"/>
        <v>0</v>
      </c>
      <c r="CE151" s="146">
        <f t="shared" si="572"/>
        <v>0</v>
      </c>
      <c r="CF151" s="147">
        <f>SUM(BT151:CE151)</f>
        <v>0</v>
      </c>
      <c r="CG151" s="148">
        <f t="shared" ref="CG151:CR151" si="573">+CG149-CG150</f>
        <v>0</v>
      </c>
      <c r="CH151" s="145">
        <f t="shared" si="573"/>
        <v>0</v>
      </c>
      <c r="CI151" s="145">
        <f t="shared" si="573"/>
        <v>0</v>
      </c>
      <c r="CJ151" s="145">
        <f t="shared" si="573"/>
        <v>0</v>
      </c>
      <c r="CK151" s="145">
        <f t="shared" si="573"/>
        <v>0</v>
      </c>
      <c r="CL151" s="145">
        <f t="shared" si="573"/>
        <v>0</v>
      </c>
      <c r="CM151" s="145">
        <f t="shared" si="573"/>
        <v>0</v>
      </c>
      <c r="CN151" s="145">
        <f t="shared" si="573"/>
        <v>0</v>
      </c>
      <c r="CO151" s="145">
        <f t="shared" si="573"/>
        <v>0</v>
      </c>
      <c r="CP151" s="145">
        <f t="shared" si="573"/>
        <v>0</v>
      </c>
      <c r="CQ151" s="145">
        <f t="shared" si="573"/>
        <v>0</v>
      </c>
      <c r="CR151" s="146">
        <f t="shared" si="573"/>
        <v>0</v>
      </c>
      <c r="CS151" s="147">
        <f>SUM(CG151:CR151)</f>
        <v>0</v>
      </c>
      <c r="CT151" s="148">
        <f t="shared" ref="CT151:DE151" si="574">+CT149-CT150</f>
        <v>0</v>
      </c>
      <c r="CU151" s="145">
        <f t="shared" si="574"/>
        <v>0</v>
      </c>
      <c r="CV151" s="145">
        <f t="shared" si="574"/>
        <v>0</v>
      </c>
      <c r="CW151" s="145">
        <f t="shared" si="574"/>
        <v>0</v>
      </c>
      <c r="CX151" s="145">
        <f t="shared" si="574"/>
        <v>0</v>
      </c>
      <c r="CY151" s="145">
        <f t="shared" si="574"/>
        <v>0</v>
      </c>
      <c r="CZ151" s="145">
        <f t="shared" si="574"/>
        <v>0</v>
      </c>
      <c r="DA151" s="145">
        <f t="shared" si="574"/>
        <v>0</v>
      </c>
      <c r="DB151" s="145">
        <f t="shared" si="574"/>
        <v>0</v>
      </c>
      <c r="DC151" s="145">
        <f t="shared" si="574"/>
        <v>0</v>
      </c>
      <c r="DD151" s="145">
        <f t="shared" si="574"/>
        <v>0</v>
      </c>
      <c r="DE151" s="146">
        <f t="shared" si="574"/>
        <v>0</v>
      </c>
      <c r="DF151" s="147">
        <f>SUM(CT151:DE151)</f>
        <v>0</v>
      </c>
      <c r="DG151" s="146">
        <f>+DG149-DG150</f>
        <v>0</v>
      </c>
      <c r="DH151" s="98">
        <f t="shared" si="565"/>
        <v>-100.37266871873705</v>
      </c>
      <c r="DI151" s="99">
        <f t="shared" si="566"/>
        <v>0</v>
      </c>
      <c r="DJ151" s="100">
        <f t="shared" si="442"/>
        <v>100.37266871873705</v>
      </c>
    </row>
    <row r="152" spans="1:115" ht="15" hidden="1" customHeight="1" outlineLevel="1">
      <c r="A152" s="607"/>
      <c r="B152" s="557" t="s">
        <v>183</v>
      </c>
      <c r="C152" s="246" t="s">
        <v>62</v>
      </c>
      <c r="D152" s="183" t="s">
        <v>122</v>
      </c>
      <c r="E152" s="153">
        <v>350</v>
      </c>
      <c r="F152" s="153"/>
      <c r="G152" s="154"/>
      <c r="H152" s="155"/>
      <c r="I152" s="155"/>
      <c r="J152" s="155"/>
      <c r="K152" s="155"/>
      <c r="L152" s="155"/>
      <c r="M152" s="155"/>
      <c r="N152" s="155">
        <v>74.349188190954777</v>
      </c>
      <c r="O152" s="155">
        <v>147.34096390041495</v>
      </c>
      <c r="P152" s="155">
        <v>145.7085445219532</v>
      </c>
      <c r="Q152" s="155"/>
      <c r="R152" s="284"/>
      <c r="S152" s="157">
        <f t="shared" si="520"/>
        <v>367.39869661332295</v>
      </c>
      <c r="T152" s="378"/>
      <c r="U152" s="382"/>
      <c r="V152" s="382"/>
      <c r="W152" s="382"/>
      <c r="X152" s="382"/>
      <c r="Y152" s="382"/>
      <c r="Z152" s="382"/>
      <c r="AA152" s="382"/>
      <c r="AB152" s="155"/>
      <c r="AC152" s="155"/>
      <c r="AD152" s="155"/>
      <c r="AE152" s="156"/>
      <c r="AF152" s="157">
        <f t="shared" si="529"/>
        <v>0</v>
      </c>
      <c r="AG152" s="158"/>
      <c r="AH152" s="155"/>
      <c r="AI152" s="155"/>
      <c r="AJ152" s="155"/>
      <c r="AK152" s="155"/>
      <c r="AL152" s="155"/>
      <c r="AM152" s="155"/>
      <c r="AN152" s="155"/>
      <c r="AO152" s="155"/>
      <c r="AP152" s="155"/>
      <c r="AQ152" s="155"/>
      <c r="AR152" s="156"/>
      <c r="AS152" s="409">
        <f t="shared" si="534"/>
        <v>0</v>
      </c>
      <c r="AT152" s="158"/>
      <c r="AU152" s="155"/>
      <c r="AV152" s="155"/>
      <c r="AW152" s="155"/>
      <c r="AX152" s="155"/>
      <c r="AY152" s="155"/>
      <c r="AZ152" s="155"/>
      <c r="BA152" s="155"/>
      <c r="BB152" s="155"/>
      <c r="BC152" s="155"/>
      <c r="BD152" s="155"/>
      <c r="BE152" s="156"/>
      <c r="BF152" s="157">
        <f t="shared" si="536"/>
        <v>0</v>
      </c>
      <c r="BG152" s="158"/>
      <c r="BH152" s="155"/>
      <c r="BI152" s="155"/>
      <c r="BJ152" s="155"/>
      <c r="BK152" s="155"/>
      <c r="BL152" s="155"/>
      <c r="BM152" s="155"/>
      <c r="BN152" s="155"/>
      <c r="BO152" s="155"/>
      <c r="BP152" s="155"/>
      <c r="BQ152" s="155"/>
      <c r="BR152" s="156"/>
      <c r="BS152" s="157">
        <f t="shared" si="530"/>
        <v>0</v>
      </c>
      <c r="BT152" s="158"/>
      <c r="BU152" s="155"/>
      <c r="BV152" s="155"/>
      <c r="BW152" s="155"/>
      <c r="BX152" s="155"/>
      <c r="BY152" s="155"/>
      <c r="BZ152" s="155"/>
      <c r="CA152" s="155"/>
      <c r="CB152" s="155"/>
      <c r="CC152" s="155"/>
      <c r="CD152" s="155"/>
      <c r="CE152" s="156"/>
      <c r="CF152" s="157">
        <f t="shared" ref="CF152:CF180" si="575">SUM(BT152:CE152)</f>
        <v>0</v>
      </c>
      <c r="CG152" s="158"/>
      <c r="CH152" s="155"/>
      <c r="CI152" s="155"/>
      <c r="CJ152" s="155"/>
      <c r="CK152" s="155"/>
      <c r="CL152" s="155"/>
      <c r="CM152" s="155"/>
      <c r="CN152" s="155"/>
      <c r="CO152" s="155"/>
      <c r="CP152" s="155"/>
      <c r="CQ152" s="155"/>
      <c r="CR152" s="156"/>
      <c r="CS152" s="157">
        <f t="shared" ref="CS152:CS180" si="576">SUM(CG152:CR152)</f>
        <v>0</v>
      </c>
      <c r="CT152" s="158"/>
      <c r="CU152" s="155"/>
      <c r="CV152" s="155"/>
      <c r="CW152" s="155"/>
      <c r="CX152" s="155"/>
      <c r="CY152" s="155"/>
      <c r="CZ152" s="155"/>
      <c r="DA152" s="155"/>
      <c r="DB152" s="155"/>
      <c r="DC152" s="155"/>
      <c r="DD152" s="155"/>
      <c r="DE152" s="156"/>
      <c r="DF152" s="157">
        <f t="shared" ref="DF152:DF180" si="577">SUM(CT152:DE152)</f>
        <v>0</v>
      </c>
      <c r="DG152" s="280"/>
      <c r="DH152" s="159">
        <f t="shared" si="565"/>
        <v>367.39869661332295</v>
      </c>
      <c r="DI152" s="160">
        <f t="shared" si="566"/>
        <v>350</v>
      </c>
      <c r="DJ152" s="161">
        <f t="shared" si="442"/>
        <v>-17.398696613322954</v>
      </c>
    </row>
    <row r="153" spans="1:115" ht="15" hidden="1" customHeight="1" outlineLevel="1">
      <c r="A153" s="607"/>
      <c r="B153" s="560"/>
      <c r="C153" s="245" t="s">
        <v>63</v>
      </c>
      <c r="D153" s="184" t="s">
        <v>124</v>
      </c>
      <c r="E153" s="136">
        <v>303</v>
      </c>
      <c r="F153" s="136"/>
      <c r="G153" s="137"/>
      <c r="H153" s="138"/>
      <c r="I153" s="138"/>
      <c r="J153" s="138"/>
      <c r="K153" s="138"/>
      <c r="L153" s="138"/>
      <c r="M153" s="138">
        <v>3.4883422004681846</v>
      </c>
      <c r="N153" s="138">
        <v>59.991001675041872</v>
      </c>
      <c r="O153" s="138">
        <v>97.379951037344398</v>
      </c>
      <c r="P153" s="138">
        <v>141.81559322938037</v>
      </c>
      <c r="Q153" s="138"/>
      <c r="R153" s="139"/>
      <c r="S153" s="162">
        <f t="shared" si="520"/>
        <v>302.67488814223486</v>
      </c>
      <c r="T153" s="380"/>
      <c r="U153" s="381"/>
      <c r="V153" s="381"/>
      <c r="W153" s="381"/>
      <c r="X153" s="381"/>
      <c r="Y153" s="381"/>
      <c r="Z153" s="381"/>
      <c r="AA153" s="381"/>
      <c r="AB153" s="138"/>
      <c r="AC153" s="138"/>
      <c r="AD153" s="138"/>
      <c r="AE153" s="139"/>
      <c r="AF153" s="162">
        <f t="shared" si="529"/>
        <v>0</v>
      </c>
      <c r="AG153" s="141"/>
      <c r="AH153" s="138"/>
      <c r="AI153" s="138"/>
      <c r="AJ153" s="138"/>
      <c r="AK153" s="138"/>
      <c r="AL153" s="138"/>
      <c r="AM153" s="138"/>
      <c r="AN153" s="138"/>
      <c r="AO153" s="138"/>
      <c r="AP153" s="138"/>
      <c r="AQ153" s="138"/>
      <c r="AR153" s="139"/>
      <c r="AS153" s="410">
        <f t="shared" si="534"/>
        <v>0</v>
      </c>
      <c r="AT153" s="141"/>
      <c r="AU153" s="138"/>
      <c r="AV153" s="138"/>
      <c r="AW153" s="138"/>
      <c r="AX153" s="138"/>
      <c r="AY153" s="138"/>
      <c r="AZ153" s="138"/>
      <c r="BA153" s="138"/>
      <c r="BB153" s="138"/>
      <c r="BC153" s="138"/>
      <c r="BD153" s="138"/>
      <c r="BE153" s="139"/>
      <c r="BF153" s="162">
        <f t="shared" si="536"/>
        <v>0</v>
      </c>
      <c r="BG153" s="141"/>
      <c r="BH153" s="138"/>
      <c r="BI153" s="138"/>
      <c r="BJ153" s="138"/>
      <c r="BK153" s="138"/>
      <c r="BL153" s="138"/>
      <c r="BM153" s="138"/>
      <c r="BN153" s="138"/>
      <c r="BO153" s="138"/>
      <c r="BP153" s="138"/>
      <c r="BQ153" s="138"/>
      <c r="BR153" s="139"/>
      <c r="BS153" s="162">
        <f t="shared" si="530"/>
        <v>0</v>
      </c>
      <c r="BT153" s="141"/>
      <c r="BU153" s="138"/>
      <c r="BV153" s="138"/>
      <c r="BW153" s="138"/>
      <c r="BX153" s="138"/>
      <c r="BY153" s="138"/>
      <c r="BZ153" s="138"/>
      <c r="CA153" s="138"/>
      <c r="CB153" s="138"/>
      <c r="CC153" s="138"/>
      <c r="CD153" s="138"/>
      <c r="CE153" s="139"/>
      <c r="CF153" s="162">
        <f t="shared" si="575"/>
        <v>0</v>
      </c>
      <c r="CG153" s="141"/>
      <c r="CH153" s="138"/>
      <c r="CI153" s="138"/>
      <c r="CJ153" s="138"/>
      <c r="CK153" s="138"/>
      <c r="CL153" s="138"/>
      <c r="CM153" s="138"/>
      <c r="CN153" s="138"/>
      <c r="CO153" s="138"/>
      <c r="CP153" s="138"/>
      <c r="CQ153" s="138"/>
      <c r="CR153" s="139"/>
      <c r="CS153" s="162">
        <f t="shared" si="576"/>
        <v>0</v>
      </c>
      <c r="CT153" s="141"/>
      <c r="CU153" s="138"/>
      <c r="CV153" s="138"/>
      <c r="CW153" s="138"/>
      <c r="CX153" s="138"/>
      <c r="CY153" s="138"/>
      <c r="CZ153" s="138"/>
      <c r="DA153" s="138"/>
      <c r="DB153" s="138"/>
      <c r="DC153" s="138"/>
      <c r="DD153" s="138"/>
      <c r="DE153" s="139"/>
      <c r="DF153" s="162">
        <f t="shared" si="577"/>
        <v>0</v>
      </c>
      <c r="DG153" s="279"/>
      <c r="DH153" s="90">
        <f t="shared" si="565"/>
        <v>302.67488814223486</v>
      </c>
      <c r="DI153" s="91">
        <f t="shared" si="566"/>
        <v>303</v>
      </c>
      <c r="DJ153" s="92">
        <f t="shared" si="442"/>
        <v>0.32511185776513685</v>
      </c>
      <c r="DK153" s="64">
        <f>+DH153/DH152</f>
        <v>0.82383223166627584</v>
      </c>
    </row>
    <row r="154" spans="1:115" ht="15" hidden="1" customHeight="1" outlineLevel="1">
      <c r="A154" s="607"/>
      <c r="B154" s="561"/>
      <c r="C154" s="554" t="s">
        <v>11</v>
      </c>
      <c r="D154" s="555"/>
      <c r="E154" s="143">
        <v>47</v>
      </c>
      <c r="F154" s="144">
        <f t="shared" ref="F154:R154" si="578">+F152-F153</f>
        <v>0</v>
      </c>
      <c r="G154" s="145">
        <f t="shared" si="578"/>
        <v>0</v>
      </c>
      <c r="H154" s="145">
        <f t="shared" si="578"/>
        <v>0</v>
      </c>
      <c r="I154" s="145">
        <f t="shared" si="578"/>
        <v>0</v>
      </c>
      <c r="J154" s="145">
        <f t="shared" si="578"/>
        <v>0</v>
      </c>
      <c r="K154" s="145">
        <f t="shared" si="578"/>
        <v>0</v>
      </c>
      <c r="L154" s="145">
        <f t="shared" si="578"/>
        <v>0</v>
      </c>
      <c r="M154" s="145">
        <f t="shared" si="578"/>
        <v>-3.4883422004681846</v>
      </c>
      <c r="N154" s="145">
        <f t="shared" si="578"/>
        <v>14.358186515912905</v>
      </c>
      <c r="O154" s="145">
        <f t="shared" si="578"/>
        <v>49.96101286307055</v>
      </c>
      <c r="P154" s="145">
        <f t="shared" si="578"/>
        <v>3.8929512925728318</v>
      </c>
      <c r="Q154" s="145">
        <f t="shared" si="578"/>
        <v>0</v>
      </c>
      <c r="R154" s="146">
        <f t="shared" si="578"/>
        <v>0</v>
      </c>
      <c r="S154" s="147">
        <f t="shared" si="520"/>
        <v>64.723808471088105</v>
      </c>
      <c r="T154" s="148">
        <f t="shared" ref="T154:AE154" si="579">+T152-T153</f>
        <v>0</v>
      </c>
      <c r="U154" s="145">
        <f t="shared" si="579"/>
        <v>0</v>
      </c>
      <c r="V154" s="145">
        <f t="shared" si="579"/>
        <v>0</v>
      </c>
      <c r="W154" s="145">
        <f t="shared" si="579"/>
        <v>0</v>
      </c>
      <c r="X154" s="145">
        <f t="shared" si="579"/>
        <v>0</v>
      </c>
      <c r="Y154" s="145">
        <f t="shared" si="579"/>
        <v>0</v>
      </c>
      <c r="Z154" s="145">
        <f t="shared" si="579"/>
        <v>0</v>
      </c>
      <c r="AA154" s="145">
        <f t="shared" si="579"/>
        <v>0</v>
      </c>
      <c r="AB154" s="145">
        <f t="shared" si="579"/>
        <v>0</v>
      </c>
      <c r="AC154" s="145">
        <f t="shared" si="579"/>
        <v>0</v>
      </c>
      <c r="AD154" s="145">
        <f t="shared" si="579"/>
        <v>0</v>
      </c>
      <c r="AE154" s="146">
        <f t="shared" si="579"/>
        <v>0</v>
      </c>
      <c r="AF154" s="147">
        <f t="shared" si="529"/>
        <v>0</v>
      </c>
      <c r="AG154" s="148">
        <f t="shared" ref="AG154:AR154" si="580">+AG152-AG153</f>
        <v>0</v>
      </c>
      <c r="AH154" s="145">
        <f t="shared" si="580"/>
        <v>0</v>
      </c>
      <c r="AI154" s="145">
        <f t="shared" si="580"/>
        <v>0</v>
      </c>
      <c r="AJ154" s="145">
        <f t="shared" si="580"/>
        <v>0</v>
      </c>
      <c r="AK154" s="145">
        <f t="shared" si="580"/>
        <v>0</v>
      </c>
      <c r="AL154" s="145">
        <f t="shared" si="580"/>
        <v>0</v>
      </c>
      <c r="AM154" s="145">
        <f t="shared" si="580"/>
        <v>0</v>
      </c>
      <c r="AN154" s="145">
        <f t="shared" si="580"/>
        <v>0</v>
      </c>
      <c r="AO154" s="145">
        <f t="shared" si="580"/>
        <v>0</v>
      </c>
      <c r="AP154" s="145">
        <f t="shared" si="580"/>
        <v>0</v>
      </c>
      <c r="AQ154" s="145">
        <f t="shared" si="580"/>
        <v>0</v>
      </c>
      <c r="AR154" s="146">
        <f t="shared" si="580"/>
        <v>0</v>
      </c>
      <c r="AS154" s="408">
        <f t="shared" si="534"/>
        <v>0</v>
      </c>
      <c r="AT154" s="148">
        <f t="shared" ref="AT154:BE154" si="581">+AT152-AT153</f>
        <v>0</v>
      </c>
      <c r="AU154" s="145">
        <f t="shared" si="581"/>
        <v>0</v>
      </c>
      <c r="AV154" s="145">
        <f t="shared" si="581"/>
        <v>0</v>
      </c>
      <c r="AW154" s="145">
        <f t="shared" si="581"/>
        <v>0</v>
      </c>
      <c r="AX154" s="145">
        <f t="shared" si="581"/>
        <v>0</v>
      </c>
      <c r="AY154" s="145">
        <f t="shared" si="581"/>
        <v>0</v>
      </c>
      <c r="AZ154" s="145">
        <f t="shared" si="581"/>
        <v>0</v>
      </c>
      <c r="BA154" s="145">
        <f t="shared" si="581"/>
        <v>0</v>
      </c>
      <c r="BB154" s="145">
        <f t="shared" si="581"/>
        <v>0</v>
      </c>
      <c r="BC154" s="145">
        <f t="shared" si="581"/>
        <v>0</v>
      </c>
      <c r="BD154" s="145">
        <f t="shared" si="581"/>
        <v>0</v>
      </c>
      <c r="BE154" s="146">
        <f t="shared" si="581"/>
        <v>0</v>
      </c>
      <c r="BF154" s="147">
        <f t="shared" si="536"/>
        <v>0</v>
      </c>
      <c r="BG154" s="148">
        <f t="shared" ref="BG154:BR154" si="582">+BG152-BG153</f>
        <v>0</v>
      </c>
      <c r="BH154" s="145">
        <f t="shared" si="582"/>
        <v>0</v>
      </c>
      <c r="BI154" s="145">
        <f t="shared" si="582"/>
        <v>0</v>
      </c>
      <c r="BJ154" s="145">
        <f t="shared" si="582"/>
        <v>0</v>
      </c>
      <c r="BK154" s="145">
        <f t="shared" si="582"/>
        <v>0</v>
      </c>
      <c r="BL154" s="145">
        <f t="shared" si="582"/>
        <v>0</v>
      </c>
      <c r="BM154" s="145">
        <f t="shared" si="582"/>
        <v>0</v>
      </c>
      <c r="BN154" s="145">
        <f t="shared" si="582"/>
        <v>0</v>
      </c>
      <c r="BO154" s="145">
        <f t="shared" si="582"/>
        <v>0</v>
      </c>
      <c r="BP154" s="145">
        <f t="shared" si="582"/>
        <v>0</v>
      </c>
      <c r="BQ154" s="145">
        <f t="shared" si="582"/>
        <v>0</v>
      </c>
      <c r="BR154" s="146">
        <f t="shared" si="582"/>
        <v>0</v>
      </c>
      <c r="BS154" s="147">
        <f t="shared" si="530"/>
        <v>0</v>
      </c>
      <c r="BT154" s="148">
        <f t="shared" ref="BT154:CE154" si="583">+BT152-BT153</f>
        <v>0</v>
      </c>
      <c r="BU154" s="145">
        <f t="shared" si="583"/>
        <v>0</v>
      </c>
      <c r="BV154" s="145">
        <f t="shared" si="583"/>
        <v>0</v>
      </c>
      <c r="BW154" s="145">
        <f t="shared" si="583"/>
        <v>0</v>
      </c>
      <c r="BX154" s="145">
        <f t="shared" si="583"/>
        <v>0</v>
      </c>
      <c r="BY154" s="145">
        <f t="shared" si="583"/>
        <v>0</v>
      </c>
      <c r="BZ154" s="145">
        <f t="shared" si="583"/>
        <v>0</v>
      </c>
      <c r="CA154" s="145">
        <f t="shared" si="583"/>
        <v>0</v>
      </c>
      <c r="CB154" s="145">
        <f t="shared" si="583"/>
        <v>0</v>
      </c>
      <c r="CC154" s="145">
        <f t="shared" si="583"/>
        <v>0</v>
      </c>
      <c r="CD154" s="145">
        <f t="shared" si="583"/>
        <v>0</v>
      </c>
      <c r="CE154" s="146">
        <f t="shared" si="583"/>
        <v>0</v>
      </c>
      <c r="CF154" s="147">
        <f t="shared" si="575"/>
        <v>0</v>
      </c>
      <c r="CG154" s="148">
        <f t="shared" ref="CG154:CR154" si="584">+CG152-CG153</f>
        <v>0</v>
      </c>
      <c r="CH154" s="145">
        <f t="shared" si="584"/>
        <v>0</v>
      </c>
      <c r="CI154" s="145">
        <f t="shared" si="584"/>
        <v>0</v>
      </c>
      <c r="CJ154" s="145">
        <f t="shared" si="584"/>
        <v>0</v>
      </c>
      <c r="CK154" s="145">
        <f t="shared" si="584"/>
        <v>0</v>
      </c>
      <c r="CL154" s="145">
        <f t="shared" si="584"/>
        <v>0</v>
      </c>
      <c r="CM154" s="145">
        <f t="shared" si="584"/>
        <v>0</v>
      </c>
      <c r="CN154" s="145">
        <f t="shared" si="584"/>
        <v>0</v>
      </c>
      <c r="CO154" s="145">
        <f t="shared" si="584"/>
        <v>0</v>
      </c>
      <c r="CP154" s="145">
        <f t="shared" si="584"/>
        <v>0</v>
      </c>
      <c r="CQ154" s="145">
        <f t="shared" si="584"/>
        <v>0</v>
      </c>
      <c r="CR154" s="146">
        <f t="shared" si="584"/>
        <v>0</v>
      </c>
      <c r="CS154" s="147">
        <f t="shared" si="576"/>
        <v>0</v>
      </c>
      <c r="CT154" s="148">
        <f t="shared" ref="CT154:DE154" si="585">+CT152-CT153</f>
        <v>0</v>
      </c>
      <c r="CU154" s="145">
        <f t="shared" si="585"/>
        <v>0</v>
      </c>
      <c r="CV154" s="145">
        <f t="shared" si="585"/>
        <v>0</v>
      </c>
      <c r="CW154" s="145">
        <f t="shared" si="585"/>
        <v>0</v>
      </c>
      <c r="CX154" s="145">
        <f t="shared" si="585"/>
        <v>0</v>
      </c>
      <c r="CY154" s="145">
        <f t="shared" si="585"/>
        <v>0</v>
      </c>
      <c r="CZ154" s="145">
        <f t="shared" si="585"/>
        <v>0</v>
      </c>
      <c r="DA154" s="145">
        <f t="shared" si="585"/>
        <v>0</v>
      </c>
      <c r="DB154" s="145">
        <f t="shared" si="585"/>
        <v>0</v>
      </c>
      <c r="DC154" s="145">
        <f t="shared" si="585"/>
        <v>0</v>
      </c>
      <c r="DD154" s="145">
        <f t="shared" si="585"/>
        <v>0</v>
      </c>
      <c r="DE154" s="146">
        <f t="shared" si="585"/>
        <v>0</v>
      </c>
      <c r="DF154" s="147">
        <f t="shared" si="577"/>
        <v>0</v>
      </c>
      <c r="DG154" s="146">
        <f>+DG152-DG153</f>
        <v>0</v>
      </c>
      <c r="DH154" s="98">
        <f t="shared" si="565"/>
        <v>64.723808471088105</v>
      </c>
      <c r="DI154" s="99">
        <f t="shared" si="566"/>
        <v>47</v>
      </c>
      <c r="DJ154" s="100">
        <f t="shared" si="442"/>
        <v>-17.723808471088105</v>
      </c>
    </row>
    <row r="155" spans="1:115" ht="15" hidden="1" customHeight="1" outlineLevel="1">
      <c r="A155" s="607"/>
      <c r="B155" s="557" t="s">
        <v>191</v>
      </c>
      <c r="C155" s="246" t="s">
        <v>62</v>
      </c>
      <c r="D155" s="183" t="s">
        <v>122</v>
      </c>
      <c r="E155" s="153">
        <v>360.88</v>
      </c>
      <c r="F155" s="153"/>
      <c r="G155" s="154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284"/>
      <c r="S155" s="157">
        <f t="shared" ref="S155:S160" si="586">SUM(G155:R155)</f>
        <v>0</v>
      </c>
      <c r="T155" s="378">
        <v>119.41773191664947</v>
      </c>
      <c r="U155" s="382">
        <v>110.91966541291906</v>
      </c>
      <c r="V155" s="382">
        <v>158.47183273761169</v>
      </c>
      <c r="W155" s="382"/>
      <c r="X155" s="382"/>
      <c r="Y155" s="382"/>
      <c r="Z155" s="382"/>
      <c r="AA155" s="382"/>
      <c r="AB155" s="382"/>
      <c r="AC155" s="382"/>
      <c r="AD155" s="382"/>
      <c r="AE155" s="481"/>
      <c r="AF155" s="157">
        <f t="shared" si="529"/>
        <v>388.80923006718024</v>
      </c>
      <c r="AG155" s="158"/>
      <c r="AH155" s="155"/>
      <c r="AI155" s="155"/>
      <c r="AJ155" s="155"/>
      <c r="AK155" s="155"/>
      <c r="AL155" s="155"/>
      <c r="AM155" s="155"/>
      <c r="AN155" s="155"/>
      <c r="AO155" s="155"/>
      <c r="AP155" s="155"/>
      <c r="AQ155" s="155"/>
      <c r="AR155" s="156"/>
      <c r="AS155" s="409">
        <f t="shared" si="534"/>
        <v>0</v>
      </c>
      <c r="AT155" s="158"/>
      <c r="AU155" s="155"/>
      <c r="AV155" s="155"/>
      <c r="AW155" s="155"/>
      <c r="AX155" s="155"/>
      <c r="AY155" s="155"/>
      <c r="AZ155" s="155"/>
      <c r="BA155" s="155"/>
      <c r="BB155" s="155"/>
      <c r="BC155" s="155"/>
      <c r="BD155" s="155"/>
      <c r="BE155" s="156"/>
      <c r="BF155" s="157">
        <f t="shared" si="536"/>
        <v>0</v>
      </c>
      <c r="BG155" s="158"/>
      <c r="BH155" s="155"/>
      <c r="BI155" s="155"/>
      <c r="BJ155" s="155"/>
      <c r="BK155" s="155"/>
      <c r="BL155" s="155"/>
      <c r="BM155" s="155"/>
      <c r="BN155" s="155"/>
      <c r="BO155" s="155"/>
      <c r="BP155" s="155"/>
      <c r="BQ155" s="155"/>
      <c r="BR155" s="156"/>
      <c r="BS155" s="157">
        <f t="shared" si="530"/>
        <v>0</v>
      </c>
      <c r="BT155" s="158"/>
      <c r="BU155" s="155"/>
      <c r="BV155" s="155"/>
      <c r="BW155" s="155"/>
      <c r="BX155" s="155"/>
      <c r="BY155" s="155"/>
      <c r="BZ155" s="155"/>
      <c r="CA155" s="155"/>
      <c r="CB155" s="155"/>
      <c r="CC155" s="155"/>
      <c r="CD155" s="155"/>
      <c r="CE155" s="156"/>
      <c r="CF155" s="157">
        <f t="shared" si="575"/>
        <v>0</v>
      </c>
      <c r="CG155" s="158"/>
      <c r="CH155" s="155"/>
      <c r="CI155" s="155"/>
      <c r="CJ155" s="155"/>
      <c r="CK155" s="155"/>
      <c r="CL155" s="155"/>
      <c r="CM155" s="155"/>
      <c r="CN155" s="155"/>
      <c r="CO155" s="155"/>
      <c r="CP155" s="155"/>
      <c r="CQ155" s="155"/>
      <c r="CR155" s="156"/>
      <c r="CS155" s="157">
        <f t="shared" si="576"/>
        <v>0</v>
      </c>
      <c r="CT155" s="158"/>
      <c r="CU155" s="155"/>
      <c r="CV155" s="155"/>
      <c r="CW155" s="155"/>
      <c r="CX155" s="155"/>
      <c r="CY155" s="155"/>
      <c r="CZ155" s="155"/>
      <c r="DA155" s="155"/>
      <c r="DB155" s="155"/>
      <c r="DC155" s="155"/>
      <c r="DD155" s="155"/>
      <c r="DE155" s="156"/>
      <c r="DF155" s="157">
        <f t="shared" si="577"/>
        <v>0</v>
      </c>
      <c r="DG155" s="280"/>
      <c r="DH155" s="159">
        <f t="shared" ref="DH155:DH160" si="587">+F155+S155+AF155+AS155+BF155+BS155+DG155</f>
        <v>388.80923006718024</v>
      </c>
      <c r="DI155" s="160">
        <f t="shared" ref="DI155:DI160" si="588">+E155</f>
        <v>360.88</v>
      </c>
      <c r="DJ155" s="161">
        <f t="shared" ref="DJ155:DJ160" si="589">+DI155-DH155</f>
        <v>-27.929230067180242</v>
      </c>
    </row>
    <row r="156" spans="1:115" ht="15" hidden="1" customHeight="1" outlineLevel="1">
      <c r="A156" s="607"/>
      <c r="B156" s="560"/>
      <c r="C156" s="245" t="s">
        <v>63</v>
      </c>
      <c r="D156" s="184" t="s">
        <v>124</v>
      </c>
      <c r="E156" s="136">
        <v>313.80799999999999</v>
      </c>
      <c r="F156" s="136"/>
      <c r="G156" s="137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9">
        <v>4.0513859043659046</v>
      </c>
      <c r="S156" s="162">
        <f t="shared" si="586"/>
        <v>4.0513859043659046</v>
      </c>
      <c r="T156" s="380">
        <v>112.7281781720652</v>
      </c>
      <c r="U156" s="381">
        <v>77.359010016353238</v>
      </c>
      <c r="V156" s="381">
        <v>130.86830767668562</v>
      </c>
      <c r="W156" s="381">
        <v>2.4670633475166022</v>
      </c>
      <c r="X156" s="381"/>
      <c r="Y156" s="381"/>
      <c r="Z156" s="381">
        <v>13.509718629209006</v>
      </c>
      <c r="AA156" s="381">
        <v>1.5805161264377061</v>
      </c>
      <c r="AB156" s="381"/>
      <c r="AC156" s="381"/>
      <c r="AD156" s="381"/>
      <c r="AE156" s="392"/>
      <c r="AF156" s="162">
        <f t="shared" si="529"/>
        <v>338.51279396826743</v>
      </c>
      <c r="AG156" s="141"/>
      <c r="AH156" s="138"/>
      <c r="AI156" s="138"/>
      <c r="AJ156" s="138"/>
      <c r="AK156" s="138"/>
      <c r="AL156" s="138"/>
      <c r="AM156" s="138"/>
      <c r="AN156" s="138"/>
      <c r="AO156" s="138"/>
      <c r="AP156" s="138"/>
      <c r="AQ156" s="138"/>
      <c r="AR156" s="139"/>
      <c r="AS156" s="410">
        <f t="shared" si="534"/>
        <v>0</v>
      </c>
      <c r="AT156" s="141"/>
      <c r="AU156" s="138"/>
      <c r="AV156" s="138"/>
      <c r="AW156" s="138"/>
      <c r="AX156" s="138"/>
      <c r="AY156" s="138"/>
      <c r="AZ156" s="138"/>
      <c r="BA156" s="138"/>
      <c r="BB156" s="138"/>
      <c r="BC156" s="138"/>
      <c r="BD156" s="138"/>
      <c r="BE156" s="139"/>
      <c r="BF156" s="162">
        <f t="shared" si="536"/>
        <v>0</v>
      </c>
      <c r="BG156" s="141"/>
      <c r="BH156" s="138"/>
      <c r="BI156" s="138"/>
      <c r="BJ156" s="138"/>
      <c r="BK156" s="138"/>
      <c r="BL156" s="138"/>
      <c r="BM156" s="138"/>
      <c r="BN156" s="138"/>
      <c r="BO156" s="138"/>
      <c r="BP156" s="138"/>
      <c r="BQ156" s="138"/>
      <c r="BR156" s="139"/>
      <c r="BS156" s="162">
        <f t="shared" si="530"/>
        <v>0</v>
      </c>
      <c r="BT156" s="141"/>
      <c r="BU156" s="138"/>
      <c r="BV156" s="138"/>
      <c r="BW156" s="138"/>
      <c r="BX156" s="138"/>
      <c r="BY156" s="138"/>
      <c r="BZ156" s="138"/>
      <c r="CA156" s="138"/>
      <c r="CB156" s="138"/>
      <c r="CC156" s="138"/>
      <c r="CD156" s="138"/>
      <c r="CE156" s="139"/>
      <c r="CF156" s="162">
        <f t="shared" si="575"/>
        <v>0</v>
      </c>
      <c r="CG156" s="141"/>
      <c r="CH156" s="138"/>
      <c r="CI156" s="138"/>
      <c r="CJ156" s="138"/>
      <c r="CK156" s="138"/>
      <c r="CL156" s="138"/>
      <c r="CM156" s="138"/>
      <c r="CN156" s="138"/>
      <c r="CO156" s="138"/>
      <c r="CP156" s="138"/>
      <c r="CQ156" s="138"/>
      <c r="CR156" s="139"/>
      <c r="CS156" s="162">
        <f t="shared" si="576"/>
        <v>0</v>
      </c>
      <c r="CT156" s="141"/>
      <c r="CU156" s="138"/>
      <c r="CV156" s="138"/>
      <c r="CW156" s="138"/>
      <c r="CX156" s="138"/>
      <c r="CY156" s="138"/>
      <c r="CZ156" s="138"/>
      <c r="DA156" s="138"/>
      <c r="DB156" s="138"/>
      <c r="DC156" s="138"/>
      <c r="DD156" s="138"/>
      <c r="DE156" s="139"/>
      <c r="DF156" s="162">
        <f t="shared" si="577"/>
        <v>0</v>
      </c>
      <c r="DG156" s="279"/>
      <c r="DH156" s="90">
        <f t="shared" si="587"/>
        <v>342.56417987263336</v>
      </c>
      <c r="DI156" s="91">
        <f t="shared" si="588"/>
        <v>313.80799999999999</v>
      </c>
      <c r="DJ156" s="92">
        <f t="shared" si="589"/>
        <v>-28.756179872633368</v>
      </c>
      <c r="DK156" s="64">
        <f>+DH156/DH155</f>
        <v>0.88105979329102746</v>
      </c>
    </row>
    <row r="157" spans="1:115" ht="15" hidden="1" customHeight="1" outlineLevel="1">
      <c r="A157" s="607"/>
      <c r="B157" s="561"/>
      <c r="C157" s="554" t="s">
        <v>11</v>
      </c>
      <c r="D157" s="555"/>
      <c r="E157" s="143">
        <v>47.072000000000003</v>
      </c>
      <c r="F157" s="144">
        <f t="shared" ref="F157:R157" si="590">+F155-F156</f>
        <v>0</v>
      </c>
      <c r="G157" s="145">
        <f t="shared" si="590"/>
        <v>0</v>
      </c>
      <c r="H157" s="145">
        <f t="shared" si="590"/>
        <v>0</v>
      </c>
      <c r="I157" s="145">
        <f t="shared" si="590"/>
        <v>0</v>
      </c>
      <c r="J157" s="145">
        <f t="shared" si="590"/>
        <v>0</v>
      </c>
      <c r="K157" s="145">
        <f t="shared" si="590"/>
        <v>0</v>
      </c>
      <c r="L157" s="145">
        <f t="shared" si="590"/>
        <v>0</v>
      </c>
      <c r="M157" s="145">
        <f t="shared" si="590"/>
        <v>0</v>
      </c>
      <c r="N157" s="145">
        <f t="shared" si="590"/>
        <v>0</v>
      </c>
      <c r="O157" s="145">
        <f t="shared" si="590"/>
        <v>0</v>
      </c>
      <c r="P157" s="145">
        <f t="shared" si="590"/>
        <v>0</v>
      </c>
      <c r="Q157" s="145">
        <f t="shared" si="590"/>
        <v>0</v>
      </c>
      <c r="R157" s="146">
        <f t="shared" si="590"/>
        <v>-4.0513859043659046</v>
      </c>
      <c r="S157" s="147">
        <f t="shared" si="586"/>
        <v>-4.0513859043659046</v>
      </c>
      <c r="T157" s="148">
        <f t="shared" ref="T157:AE157" si="591">+T155-T156</f>
        <v>6.6895537445842734</v>
      </c>
      <c r="U157" s="145">
        <f t="shared" si="591"/>
        <v>33.560655396565821</v>
      </c>
      <c r="V157" s="145">
        <f t="shared" si="591"/>
        <v>27.603525060926074</v>
      </c>
      <c r="W157" s="145">
        <f t="shared" si="591"/>
        <v>-2.4670633475166022</v>
      </c>
      <c r="X157" s="145">
        <f t="shared" si="591"/>
        <v>0</v>
      </c>
      <c r="Y157" s="145">
        <f t="shared" si="591"/>
        <v>0</v>
      </c>
      <c r="Z157" s="145">
        <f t="shared" si="591"/>
        <v>-13.509718629209006</v>
      </c>
      <c r="AA157" s="145">
        <f t="shared" si="591"/>
        <v>-1.5805161264377061</v>
      </c>
      <c r="AB157" s="145">
        <f t="shared" si="591"/>
        <v>0</v>
      </c>
      <c r="AC157" s="145">
        <f t="shared" si="591"/>
        <v>0</v>
      </c>
      <c r="AD157" s="145">
        <f t="shared" si="591"/>
        <v>0</v>
      </c>
      <c r="AE157" s="146">
        <f t="shared" si="591"/>
        <v>0</v>
      </c>
      <c r="AF157" s="147">
        <f t="shared" si="529"/>
        <v>50.296436098912856</v>
      </c>
      <c r="AG157" s="148">
        <f t="shared" ref="AG157:AR157" si="592">+AG155-AG156</f>
        <v>0</v>
      </c>
      <c r="AH157" s="145">
        <f t="shared" si="592"/>
        <v>0</v>
      </c>
      <c r="AI157" s="145">
        <f t="shared" si="592"/>
        <v>0</v>
      </c>
      <c r="AJ157" s="145">
        <f t="shared" si="592"/>
        <v>0</v>
      </c>
      <c r="AK157" s="145">
        <f t="shared" si="592"/>
        <v>0</v>
      </c>
      <c r="AL157" s="145">
        <f t="shared" si="592"/>
        <v>0</v>
      </c>
      <c r="AM157" s="145">
        <f t="shared" si="592"/>
        <v>0</v>
      </c>
      <c r="AN157" s="145">
        <f t="shared" si="592"/>
        <v>0</v>
      </c>
      <c r="AO157" s="145">
        <f t="shared" si="592"/>
        <v>0</v>
      </c>
      <c r="AP157" s="145">
        <f t="shared" si="592"/>
        <v>0</v>
      </c>
      <c r="AQ157" s="145">
        <f t="shared" si="592"/>
        <v>0</v>
      </c>
      <c r="AR157" s="146">
        <f t="shared" si="592"/>
        <v>0</v>
      </c>
      <c r="AS157" s="408">
        <f t="shared" si="534"/>
        <v>0</v>
      </c>
      <c r="AT157" s="148">
        <f t="shared" ref="AT157:BE157" si="593">+AT155-AT156</f>
        <v>0</v>
      </c>
      <c r="AU157" s="145">
        <f t="shared" si="593"/>
        <v>0</v>
      </c>
      <c r="AV157" s="145">
        <f t="shared" si="593"/>
        <v>0</v>
      </c>
      <c r="AW157" s="145">
        <f t="shared" si="593"/>
        <v>0</v>
      </c>
      <c r="AX157" s="145">
        <f t="shared" si="593"/>
        <v>0</v>
      </c>
      <c r="AY157" s="145">
        <f t="shared" si="593"/>
        <v>0</v>
      </c>
      <c r="AZ157" s="145">
        <f t="shared" si="593"/>
        <v>0</v>
      </c>
      <c r="BA157" s="145">
        <f t="shared" si="593"/>
        <v>0</v>
      </c>
      <c r="BB157" s="145">
        <f t="shared" si="593"/>
        <v>0</v>
      </c>
      <c r="BC157" s="145">
        <f t="shared" si="593"/>
        <v>0</v>
      </c>
      <c r="BD157" s="145">
        <f t="shared" si="593"/>
        <v>0</v>
      </c>
      <c r="BE157" s="146">
        <f t="shared" si="593"/>
        <v>0</v>
      </c>
      <c r="BF157" s="147">
        <f t="shared" si="536"/>
        <v>0</v>
      </c>
      <c r="BG157" s="148">
        <f t="shared" ref="BG157:BR157" si="594">+BG155-BG156</f>
        <v>0</v>
      </c>
      <c r="BH157" s="145">
        <f t="shared" si="594"/>
        <v>0</v>
      </c>
      <c r="BI157" s="145">
        <f t="shared" si="594"/>
        <v>0</v>
      </c>
      <c r="BJ157" s="145">
        <f t="shared" si="594"/>
        <v>0</v>
      </c>
      <c r="BK157" s="145">
        <f t="shared" si="594"/>
        <v>0</v>
      </c>
      <c r="BL157" s="145">
        <f t="shared" si="594"/>
        <v>0</v>
      </c>
      <c r="BM157" s="145">
        <f t="shared" si="594"/>
        <v>0</v>
      </c>
      <c r="BN157" s="145">
        <f t="shared" si="594"/>
        <v>0</v>
      </c>
      <c r="BO157" s="145">
        <f t="shared" si="594"/>
        <v>0</v>
      </c>
      <c r="BP157" s="145">
        <f t="shared" si="594"/>
        <v>0</v>
      </c>
      <c r="BQ157" s="145">
        <f t="shared" si="594"/>
        <v>0</v>
      </c>
      <c r="BR157" s="146">
        <f t="shared" si="594"/>
        <v>0</v>
      </c>
      <c r="BS157" s="147">
        <f t="shared" si="530"/>
        <v>0</v>
      </c>
      <c r="BT157" s="148">
        <f t="shared" ref="BT157:CE157" si="595">+BT155-BT156</f>
        <v>0</v>
      </c>
      <c r="BU157" s="145">
        <f t="shared" si="595"/>
        <v>0</v>
      </c>
      <c r="BV157" s="145">
        <f t="shared" si="595"/>
        <v>0</v>
      </c>
      <c r="BW157" s="145">
        <f t="shared" si="595"/>
        <v>0</v>
      </c>
      <c r="BX157" s="145">
        <f t="shared" si="595"/>
        <v>0</v>
      </c>
      <c r="BY157" s="145">
        <f t="shared" si="595"/>
        <v>0</v>
      </c>
      <c r="BZ157" s="145">
        <f t="shared" si="595"/>
        <v>0</v>
      </c>
      <c r="CA157" s="145">
        <f t="shared" si="595"/>
        <v>0</v>
      </c>
      <c r="CB157" s="145">
        <f t="shared" si="595"/>
        <v>0</v>
      </c>
      <c r="CC157" s="145">
        <f t="shared" si="595"/>
        <v>0</v>
      </c>
      <c r="CD157" s="145">
        <f t="shared" si="595"/>
        <v>0</v>
      </c>
      <c r="CE157" s="146">
        <f t="shared" si="595"/>
        <v>0</v>
      </c>
      <c r="CF157" s="147">
        <f t="shared" si="575"/>
        <v>0</v>
      </c>
      <c r="CG157" s="148">
        <f t="shared" ref="CG157:CR157" si="596">+CG155-CG156</f>
        <v>0</v>
      </c>
      <c r="CH157" s="145">
        <f t="shared" si="596"/>
        <v>0</v>
      </c>
      <c r="CI157" s="145">
        <f t="shared" si="596"/>
        <v>0</v>
      </c>
      <c r="CJ157" s="145">
        <f t="shared" si="596"/>
        <v>0</v>
      </c>
      <c r="CK157" s="145">
        <f t="shared" si="596"/>
        <v>0</v>
      </c>
      <c r="CL157" s="145">
        <f t="shared" si="596"/>
        <v>0</v>
      </c>
      <c r="CM157" s="145">
        <f t="shared" si="596"/>
        <v>0</v>
      </c>
      <c r="CN157" s="145">
        <f t="shared" si="596"/>
        <v>0</v>
      </c>
      <c r="CO157" s="145">
        <f t="shared" si="596"/>
        <v>0</v>
      </c>
      <c r="CP157" s="145">
        <f t="shared" si="596"/>
        <v>0</v>
      </c>
      <c r="CQ157" s="145">
        <f t="shared" si="596"/>
        <v>0</v>
      </c>
      <c r="CR157" s="146">
        <f t="shared" si="596"/>
        <v>0</v>
      </c>
      <c r="CS157" s="147">
        <f t="shared" si="576"/>
        <v>0</v>
      </c>
      <c r="CT157" s="148">
        <f t="shared" ref="CT157:DE157" si="597">+CT155-CT156</f>
        <v>0</v>
      </c>
      <c r="CU157" s="145">
        <f t="shared" si="597"/>
        <v>0</v>
      </c>
      <c r="CV157" s="145">
        <f t="shared" si="597"/>
        <v>0</v>
      </c>
      <c r="CW157" s="145">
        <f t="shared" si="597"/>
        <v>0</v>
      </c>
      <c r="CX157" s="145">
        <f t="shared" si="597"/>
        <v>0</v>
      </c>
      <c r="CY157" s="145">
        <f t="shared" si="597"/>
        <v>0</v>
      </c>
      <c r="CZ157" s="145">
        <f t="shared" si="597"/>
        <v>0</v>
      </c>
      <c r="DA157" s="145">
        <f t="shared" si="597"/>
        <v>0</v>
      </c>
      <c r="DB157" s="145">
        <f t="shared" si="597"/>
        <v>0</v>
      </c>
      <c r="DC157" s="145">
        <f t="shared" si="597"/>
        <v>0</v>
      </c>
      <c r="DD157" s="145">
        <f t="shared" si="597"/>
        <v>0</v>
      </c>
      <c r="DE157" s="146">
        <f t="shared" si="597"/>
        <v>0</v>
      </c>
      <c r="DF157" s="147">
        <f t="shared" si="577"/>
        <v>0</v>
      </c>
      <c r="DG157" s="146">
        <f>+DG155-DG156</f>
        <v>0</v>
      </c>
      <c r="DH157" s="98">
        <f t="shared" si="587"/>
        <v>46.245050194546948</v>
      </c>
      <c r="DI157" s="99">
        <f t="shared" si="588"/>
        <v>47.072000000000003</v>
      </c>
      <c r="DJ157" s="100">
        <f t="shared" si="589"/>
        <v>0.82694980545305441</v>
      </c>
    </row>
    <row r="158" spans="1:115" ht="15" customHeight="1" outlineLevel="1">
      <c r="A158" s="607"/>
      <c r="B158" s="557" t="s">
        <v>338</v>
      </c>
      <c r="C158" s="246" t="s">
        <v>62</v>
      </c>
      <c r="D158" s="183" t="s">
        <v>122</v>
      </c>
      <c r="E158" s="153">
        <f>AF158+AS158+BF158+BS158+CF158+CS158+DF158+S158+DG158</f>
        <v>10001.507504461868</v>
      </c>
      <c r="F158" s="153"/>
      <c r="G158" s="154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284"/>
      <c r="S158" s="157">
        <f t="shared" si="586"/>
        <v>0</v>
      </c>
      <c r="T158" s="378"/>
      <c r="U158" s="382"/>
      <c r="V158" s="382"/>
      <c r="W158" s="382"/>
      <c r="X158" s="389"/>
      <c r="Y158" s="389"/>
      <c r="Z158" s="389"/>
      <c r="AA158" s="389"/>
      <c r="AB158" s="389"/>
      <c r="AC158" s="389"/>
      <c r="AD158" s="389"/>
      <c r="AE158" s="482"/>
      <c r="AF158" s="157">
        <f t="shared" si="529"/>
        <v>0</v>
      </c>
      <c r="AG158" s="500"/>
      <c r="AH158" s="513"/>
      <c r="AI158" s="513"/>
      <c r="AJ158" s="513"/>
      <c r="AK158" s="513"/>
      <c r="AL158" s="513"/>
      <c r="AM158" s="513"/>
      <c r="AN158" s="513"/>
      <c r="AO158" s="513"/>
      <c r="AP158" s="513"/>
      <c r="AQ158" s="513"/>
      <c r="AR158" s="512">
        <v>4089.0938169710807</v>
      </c>
      <c r="AS158" s="409">
        <f t="shared" si="534"/>
        <v>4089.0938169710807</v>
      </c>
      <c r="AT158" s="500">
        <v>3735.8479810333552</v>
      </c>
      <c r="AU158" s="513">
        <v>1103.022022192411</v>
      </c>
      <c r="AV158" s="513">
        <v>774.31040775999395</v>
      </c>
      <c r="AW158" s="513">
        <v>192.44497287454001</v>
      </c>
      <c r="AX158" s="513"/>
      <c r="AY158" s="513">
        <v>106.788303630488</v>
      </c>
      <c r="AZ158" s="155"/>
      <c r="BA158" s="155"/>
      <c r="BB158" s="155"/>
      <c r="BC158" s="155"/>
      <c r="BD158" s="155"/>
      <c r="BE158" s="156"/>
      <c r="BF158" s="157">
        <f t="shared" si="536"/>
        <v>5912.4136874907881</v>
      </c>
      <c r="BG158" s="158"/>
      <c r="BH158" s="155"/>
      <c r="BI158" s="155"/>
      <c r="BJ158" s="155"/>
      <c r="BK158" s="155"/>
      <c r="BL158" s="155"/>
      <c r="BM158" s="155"/>
      <c r="BN158" s="155"/>
      <c r="BO158" s="155"/>
      <c r="BP158" s="155"/>
      <c r="BQ158" s="155"/>
      <c r="BR158" s="156"/>
      <c r="BS158" s="157">
        <f t="shared" si="530"/>
        <v>0</v>
      </c>
      <c r="BT158" s="158"/>
      <c r="BU158" s="155"/>
      <c r="BV158" s="155"/>
      <c r="BW158" s="155"/>
      <c r="BX158" s="155"/>
      <c r="BY158" s="155"/>
      <c r="BZ158" s="155"/>
      <c r="CA158" s="155"/>
      <c r="CB158" s="155"/>
      <c r="CC158" s="155"/>
      <c r="CD158" s="155"/>
      <c r="CE158" s="156"/>
      <c r="CF158" s="157">
        <f t="shared" si="575"/>
        <v>0</v>
      </c>
      <c r="CG158" s="158"/>
      <c r="CH158" s="155"/>
      <c r="CI158" s="155"/>
      <c r="CJ158" s="155"/>
      <c r="CK158" s="155"/>
      <c r="CL158" s="155"/>
      <c r="CM158" s="155"/>
      <c r="CN158" s="155"/>
      <c r="CO158" s="155"/>
      <c r="CP158" s="155"/>
      <c r="CQ158" s="155"/>
      <c r="CR158" s="156"/>
      <c r="CS158" s="157">
        <f t="shared" si="576"/>
        <v>0</v>
      </c>
      <c r="CT158" s="158"/>
      <c r="CU158" s="155"/>
      <c r="CV158" s="155"/>
      <c r="CW158" s="155"/>
      <c r="CX158" s="155"/>
      <c r="CY158" s="155"/>
      <c r="CZ158" s="155"/>
      <c r="DA158" s="155"/>
      <c r="DB158" s="155"/>
      <c r="DC158" s="155"/>
      <c r="DD158" s="155"/>
      <c r="DE158" s="156"/>
      <c r="DF158" s="157">
        <f t="shared" si="577"/>
        <v>0</v>
      </c>
      <c r="DG158" s="280"/>
      <c r="DH158" s="159">
        <f t="shared" si="587"/>
        <v>10001.507504461868</v>
      </c>
      <c r="DI158" s="160">
        <f t="shared" si="588"/>
        <v>10001.507504461868</v>
      </c>
      <c r="DJ158" s="161">
        <f t="shared" si="589"/>
        <v>0</v>
      </c>
    </row>
    <row r="159" spans="1:115" ht="15" customHeight="1" outlineLevel="1">
      <c r="A159" s="607"/>
      <c r="B159" s="560"/>
      <c r="C159" s="245" t="s">
        <v>63</v>
      </c>
      <c r="D159" s="184" t="s">
        <v>124</v>
      </c>
      <c r="E159" s="136">
        <f>AF159+AS159+BF159+BS159+CF159+CS159+DF159+S159+DG159</f>
        <v>5337.8903901425238</v>
      </c>
      <c r="F159" s="136"/>
      <c r="G159" s="137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9"/>
      <c r="S159" s="162">
        <f t="shared" si="586"/>
        <v>0</v>
      </c>
      <c r="T159" s="380"/>
      <c r="U159" s="381"/>
      <c r="V159" s="381"/>
      <c r="W159" s="381"/>
      <c r="X159" s="388"/>
      <c r="Y159" s="388"/>
      <c r="Z159" s="388"/>
      <c r="AA159" s="388"/>
      <c r="AB159" s="388"/>
      <c r="AC159" s="388"/>
      <c r="AD159" s="388"/>
      <c r="AE159" s="483">
        <v>5.7418689798641909</v>
      </c>
      <c r="AF159" s="162">
        <f t="shared" si="529"/>
        <v>5.7418689798641909</v>
      </c>
      <c r="AG159" s="501">
        <v>14.455604254641065</v>
      </c>
      <c r="AH159" s="499">
        <v>42.521398628795303</v>
      </c>
      <c r="AI159" s="499">
        <v>11.991801430078537</v>
      </c>
      <c r="AJ159" s="499">
        <v>19.338995310037287</v>
      </c>
      <c r="AK159" s="499">
        <v>11.337690793772824</v>
      </c>
      <c r="AL159" s="499">
        <v>76.7019856239218</v>
      </c>
      <c r="AM159" s="499">
        <v>22.192781337100531</v>
      </c>
      <c r="AN159" s="499">
        <v>33.982519678775709</v>
      </c>
      <c r="AO159" s="499">
        <v>21.661536978831368</v>
      </c>
      <c r="AP159" s="499">
        <v>44.053631390884554</v>
      </c>
      <c r="AQ159" s="499">
        <v>26.871920888114275</v>
      </c>
      <c r="AR159" s="511">
        <v>2419.2817945205479</v>
      </c>
      <c r="AS159" s="410">
        <f t="shared" si="534"/>
        <v>2744.3916608355012</v>
      </c>
      <c r="AT159" s="501">
        <v>2158.3591473473625</v>
      </c>
      <c r="AU159" s="499">
        <v>197.17028988118054</v>
      </c>
      <c r="AV159" s="499">
        <v>140.85310092543426</v>
      </c>
      <c r="AW159" s="499">
        <v>25.927688341742858</v>
      </c>
      <c r="AX159" s="499">
        <v>35.633353200379865</v>
      </c>
      <c r="AY159" s="499">
        <v>29.813280631058735</v>
      </c>
      <c r="AZ159" s="138"/>
      <c r="BA159" s="138"/>
      <c r="BB159" s="138"/>
      <c r="BC159" s="138"/>
      <c r="BD159" s="138"/>
      <c r="BE159" s="139"/>
      <c r="BF159" s="162">
        <f t="shared" si="536"/>
        <v>2587.7568603271588</v>
      </c>
      <c r="BG159" s="141"/>
      <c r="BH159" s="138"/>
      <c r="BI159" s="138"/>
      <c r="BJ159" s="138"/>
      <c r="BK159" s="138"/>
      <c r="BL159" s="138"/>
      <c r="BM159" s="138"/>
      <c r="BN159" s="138"/>
      <c r="BO159" s="138"/>
      <c r="BP159" s="138"/>
      <c r="BQ159" s="138"/>
      <c r="BR159" s="139"/>
      <c r="BS159" s="162">
        <f t="shared" si="530"/>
        <v>0</v>
      </c>
      <c r="BT159" s="141"/>
      <c r="BU159" s="138"/>
      <c r="BV159" s="138"/>
      <c r="BW159" s="138"/>
      <c r="BX159" s="138"/>
      <c r="BY159" s="138"/>
      <c r="BZ159" s="138"/>
      <c r="CA159" s="138"/>
      <c r="CB159" s="138"/>
      <c r="CC159" s="138"/>
      <c r="CD159" s="138"/>
      <c r="CE159" s="139"/>
      <c r="CF159" s="162">
        <f t="shared" si="575"/>
        <v>0</v>
      </c>
      <c r="CG159" s="141"/>
      <c r="CH159" s="138"/>
      <c r="CI159" s="138"/>
      <c r="CJ159" s="138"/>
      <c r="CK159" s="138"/>
      <c r="CL159" s="138"/>
      <c r="CM159" s="138"/>
      <c r="CN159" s="138"/>
      <c r="CO159" s="138"/>
      <c r="CP159" s="138"/>
      <c r="CQ159" s="138"/>
      <c r="CR159" s="139"/>
      <c r="CS159" s="162">
        <f t="shared" si="576"/>
        <v>0</v>
      </c>
      <c r="CT159" s="141"/>
      <c r="CU159" s="138"/>
      <c r="CV159" s="138"/>
      <c r="CW159" s="138"/>
      <c r="CX159" s="138"/>
      <c r="CY159" s="138"/>
      <c r="CZ159" s="138"/>
      <c r="DA159" s="138"/>
      <c r="DB159" s="138"/>
      <c r="DC159" s="138"/>
      <c r="DD159" s="138"/>
      <c r="DE159" s="139"/>
      <c r="DF159" s="162">
        <f t="shared" si="577"/>
        <v>0</v>
      </c>
      <c r="DG159" s="279"/>
      <c r="DH159" s="90">
        <f t="shared" si="587"/>
        <v>5337.8903901425238</v>
      </c>
      <c r="DI159" s="91">
        <f t="shared" si="588"/>
        <v>5337.8903901425238</v>
      </c>
      <c r="DJ159" s="92">
        <f t="shared" si="589"/>
        <v>0</v>
      </c>
      <c r="DK159" s="64">
        <f>+DH159/DH158</f>
        <v>0.53370858220735085</v>
      </c>
    </row>
    <row r="160" spans="1:115" ht="15" customHeight="1" outlineLevel="1">
      <c r="A160" s="607"/>
      <c r="B160" s="561"/>
      <c r="C160" s="554" t="s">
        <v>11</v>
      </c>
      <c r="D160" s="555"/>
      <c r="E160" s="143"/>
      <c r="F160" s="144">
        <f t="shared" ref="F160:R160" si="598">+F158-F159</f>
        <v>0</v>
      </c>
      <c r="G160" s="145">
        <f t="shared" si="598"/>
        <v>0</v>
      </c>
      <c r="H160" s="145">
        <f t="shared" si="598"/>
        <v>0</v>
      </c>
      <c r="I160" s="145">
        <f t="shared" si="598"/>
        <v>0</v>
      </c>
      <c r="J160" s="145">
        <f t="shared" si="598"/>
        <v>0</v>
      </c>
      <c r="K160" s="145">
        <f t="shared" si="598"/>
        <v>0</v>
      </c>
      <c r="L160" s="145">
        <f t="shared" si="598"/>
        <v>0</v>
      </c>
      <c r="M160" s="145">
        <f t="shared" si="598"/>
        <v>0</v>
      </c>
      <c r="N160" s="145">
        <f t="shared" si="598"/>
        <v>0</v>
      </c>
      <c r="O160" s="145">
        <f t="shared" si="598"/>
        <v>0</v>
      </c>
      <c r="P160" s="145">
        <f t="shared" si="598"/>
        <v>0</v>
      </c>
      <c r="Q160" s="145">
        <f t="shared" si="598"/>
        <v>0</v>
      </c>
      <c r="R160" s="146">
        <f t="shared" si="598"/>
        <v>0</v>
      </c>
      <c r="S160" s="147">
        <f t="shared" si="586"/>
        <v>0</v>
      </c>
      <c r="T160" s="148">
        <f t="shared" ref="T160:AE160" si="599">+T158-T159</f>
        <v>0</v>
      </c>
      <c r="U160" s="145">
        <f t="shared" si="599"/>
        <v>0</v>
      </c>
      <c r="V160" s="145">
        <f t="shared" si="599"/>
        <v>0</v>
      </c>
      <c r="W160" s="145">
        <f t="shared" si="599"/>
        <v>0</v>
      </c>
      <c r="X160" s="145">
        <f t="shared" si="599"/>
        <v>0</v>
      </c>
      <c r="Y160" s="145">
        <f t="shared" si="599"/>
        <v>0</v>
      </c>
      <c r="Z160" s="145">
        <f t="shared" si="599"/>
        <v>0</v>
      </c>
      <c r="AA160" s="145">
        <f t="shared" si="599"/>
        <v>0</v>
      </c>
      <c r="AB160" s="145">
        <f t="shared" si="599"/>
        <v>0</v>
      </c>
      <c r="AC160" s="145">
        <f t="shared" si="599"/>
        <v>0</v>
      </c>
      <c r="AD160" s="145">
        <f t="shared" si="599"/>
        <v>0</v>
      </c>
      <c r="AE160" s="146">
        <f t="shared" si="599"/>
        <v>-5.7418689798641909</v>
      </c>
      <c r="AF160" s="147">
        <f t="shared" si="529"/>
        <v>-5.7418689798641909</v>
      </c>
      <c r="AG160" s="148">
        <f t="shared" ref="AG160:AR160" si="600">+AG158-AG159</f>
        <v>-14.455604254641065</v>
      </c>
      <c r="AH160" s="145">
        <f t="shared" si="600"/>
        <v>-42.521398628795303</v>
      </c>
      <c r="AI160" s="145">
        <f t="shared" si="600"/>
        <v>-11.991801430078537</v>
      </c>
      <c r="AJ160" s="145">
        <f t="shared" si="600"/>
        <v>-19.338995310037287</v>
      </c>
      <c r="AK160" s="145">
        <f t="shared" si="600"/>
        <v>-11.337690793772824</v>
      </c>
      <c r="AL160" s="145">
        <f t="shared" si="600"/>
        <v>-76.7019856239218</v>
      </c>
      <c r="AM160" s="145">
        <f t="shared" si="600"/>
        <v>-22.192781337100531</v>
      </c>
      <c r="AN160" s="145">
        <f t="shared" si="600"/>
        <v>-33.982519678775709</v>
      </c>
      <c r="AO160" s="145">
        <f t="shared" si="600"/>
        <v>-21.661536978831368</v>
      </c>
      <c r="AP160" s="145">
        <f t="shared" si="600"/>
        <v>-44.053631390884554</v>
      </c>
      <c r="AQ160" s="145">
        <f t="shared" si="600"/>
        <v>-26.871920888114275</v>
      </c>
      <c r="AR160" s="146">
        <f t="shared" si="600"/>
        <v>1669.8120224505328</v>
      </c>
      <c r="AS160" s="408">
        <f t="shared" si="534"/>
        <v>1344.7021561355796</v>
      </c>
      <c r="AT160" s="148">
        <f t="shared" ref="AT160:BE160" si="601">+AT158-AT159</f>
        <v>1577.4888336859926</v>
      </c>
      <c r="AU160" s="145">
        <f t="shared" si="601"/>
        <v>905.85173231123042</v>
      </c>
      <c r="AV160" s="145">
        <f t="shared" si="601"/>
        <v>633.45730683455963</v>
      </c>
      <c r="AW160" s="145">
        <f t="shared" si="601"/>
        <v>166.51728453279716</v>
      </c>
      <c r="AX160" s="145">
        <f t="shared" si="601"/>
        <v>-35.633353200379865</v>
      </c>
      <c r="AY160" s="145">
        <f t="shared" si="601"/>
        <v>76.975022999429271</v>
      </c>
      <c r="AZ160" s="145">
        <f t="shared" si="601"/>
        <v>0</v>
      </c>
      <c r="BA160" s="145">
        <f t="shared" si="601"/>
        <v>0</v>
      </c>
      <c r="BB160" s="145">
        <f t="shared" si="601"/>
        <v>0</v>
      </c>
      <c r="BC160" s="145">
        <f t="shared" si="601"/>
        <v>0</v>
      </c>
      <c r="BD160" s="145">
        <f t="shared" si="601"/>
        <v>0</v>
      </c>
      <c r="BE160" s="146">
        <f t="shared" si="601"/>
        <v>0</v>
      </c>
      <c r="BF160" s="147">
        <f t="shared" si="536"/>
        <v>3324.6568271636293</v>
      </c>
      <c r="BG160" s="148">
        <f t="shared" ref="BG160:BR160" si="602">+BG158-BG159</f>
        <v>0</v>
      </c>
      <c r="BH160" s="145">
        <f t="shared" si="602"/>
        <v>0</v>
      </c>
      <c r="BI160" s="145">
        <f t="shared" si="602"/>
        <v>0</v>
      </c>
      <c r="BJ160" s="145">
        <f t="shared" si="602"/>
        <v>0</v>
      </c>
      <c r="BK160" s="145">
        <f t="shared" si="602"/>
        <v>0</v>
      </c>
      <c r="BL160" s="145">
        <f t="shared" si="602"/>
        <v>0</v>
      </c>
      <c r="BM160" s="145">
        <f t="shared" si="602"/>
        <v>0</v>
      </c>
      <c r="BN160" s="145">
        <f t="shared" si="602"/>
        <v>0</v>
      </c>
      <c r="BO160" s="145">
        <f t="shared" si="602"/>
        <v>0</v>
      </c>
      <c r="BP160" s="145">
        <f t="shared" si="602"/>
        <v>0</v>
      </c>
      <c r="BQ160" s="145">
        <f t="shared" si="602"/>
        <v>0</v>
      </c>
      <c r="BR160" s="146">
        <f t="shared" si="602"/>
        <v>0</v>
      </c>
      <c r="BS160" s="147">
        <f t="shared" si="530"/>
        <v>0</v>
      </c>
      <c r="BT160" s="148">
        <f t="shared" ref="BT160:CE160" si="603">+BT158-BT159</f>
        <v>0</v>
      </c>
      <c r="BU160" s="145">
        <f t="shared" si="603"/>
        <v>0</v>
      </c>
      <c r="BV160" s="145">
        <f t="shared" si="603"/>
        <v>0</v>
      </c>
      <c r="BW160" s="145">
        <f t="shared" si="603"/>
        <v>0</v>
      </c>
      <c r="BX160" s="145">
        <f t="shared" si="603"/>
        <v>0</v>
      </c>
      <c r="BY160" s="145">
        <f t="shared" si="603"/>
        <v>0</v>
      </c>
      <c r="BZ160" s="145">
        <f t="shared" si="603"/>
        <v>0</v>
      </c>
      <c r="CA160" s="145">
        <f t="shared" si="603"/>
        <v>0</v>
      </c>
      <c r="CB160" s="145">
        <f t="shared" si="603"/>
        <v>0</v>
      </c>
      <c r="CC160" s="145">
        <f t="shared" si="603"/>
        <v>0</v>
      </c>
      <c r="CD160" s="145">
        <f t="shared" si="603"/>
        <v>0</v>
      </c>
      <c r="CE160" s="146">
        <f t="shared" si="603"/>
        <v>0</v>
      </c>
      <c r="CF160" s="147">
        <f t="shared" si="575"/>
        <v>0</v>
      </c>
      <c r="CG160" s="148">
        <f t="shared" ref="CG160:CR160" si="604">+CG158-CG159</f>
        <v>0</v>
      </c>
      <c r="CH160" s="145">
        <f t="shared" si="604"/>
        <v>0</v>
      </c>
      <c r="CI160" s="145">
        <f t="shared" si="604"/>
        <v>0</v>
      </c>
      <c r="CJ160" s="145">
        <f t="shared" si="604"/>
        <v>0</v>
      </c>
      <c r="CK160" s="145">
        <f t="shared" si="604"/>
        <v>0</v>
      </c>
      <c r="CL160" s="145">
        <f t="shared" si="604"/>
        <v>0</v>
      </c>
      <c r="CM160" s="145">
        <f t="shared" si="604"/>
        <v>0</v>
      </c>
      <c r="CN160" s="145">
        <f t="shared" si="604"/>
        <v>0</v>
      </c>
      <c r="CO160" s="145">
        <f t="shared" si="604"/>
        <v>0</v>
      </c>
      <c r="CP160" s="145">
        <f t="shared" si="604"/>
        <v>0</v>
      </c>
      <c r="CQ160" s="145">
        <f t="shared" si="604"/>
        <v>0</v>
      </c>
      <c r="CR160" s="146">
        <f t="shared" si="604"/>
        <v>0</v>
      </c>
      <c r="CS160" s="147">
        <f t="shared" si="576"/>
        <v>0</v>
      </c>
      <c r="CT160" s="148">
        <f t="shared" ref="CT160:DE160" si="605">+CT158-CT159</f>
        <v>0</v>
      </c>
      <c r="CU160" s="145">
        <f t="shared" si="605"/>
        <v>0</v>
      </c>
      <c r="CV160" s="145">
        <f t="shared" si="605"/>
        <v>0</v>
      </c>
      <c r="CW160" s="145">
        <f t="shared" si="605"/>
        <v>0</v>
      </c>
      <c r="CX160" s="145">
        <f t="shared" si="605"/>
        <v>0</v>
      </c>
      <c r="CY160" s="145">
        <f t="shared" si="605"/>
        <v>0</v>
      </c>
      <c r="CZ160" s="145">
        <f t="shared" si="605"/>
        <v>0</v>
      </c>
      <c r="DA160" s="145">
        <f t="shared" si="605"/>
        <v>0</v>
      </c>
      <c r="DB160" s="145">
        <f t="shared" si="605"/>
        <v>0</v>
      </c>
      <c r="DC160" s="145">
        <f t="shared" si="605"/>
        <v>0</v>
      </c>
      <c r="DD160" s="145">
        <f t="shared" si="605"/>
        <v>0</v>
      </c>
      <c r="DE160" s="146">
        <f t="shared" si="605"/>
        <v>0</v>
      </c>
      <c r="DF160" s="147">
        <f t="shared" si="577"/>
        <v>0</v>
      </c>
      <c r="DG160" s="146">
        <f>+DG158-DG159</f>
        <v>0</v>
      </c>
      <c r="DH160" s="98">
        <f t="shared" si="587"/>
        <v>4663.6171143193442</v>
      </c>
      <c r="DI160" s="99">
        <f t="shared" si="588"/>
        <v>0</v>
      </c>
      <c r="DJ160" s="100">
        <f t="shared" si="589"/>
        <v>-4663.6171143193442</v>
      </c>
    </row>
    <row r="161" spans="1:115" ht="15" customHeight="1" outlineLevel="1">
      <c r="A161" s="607"/>
      <c r="B161" s="557" t="s">
        <v>354</v>
      </c>
      <c r="C161" s="246" t="s">
        <v>62</v>
      </c>
      <c r="D161" s="183" t="s">
        <v>122</v>
      </c>
      <c r="E161" s="153">
        <f>AF161+AS161+BF161+BS161+CF161+CS161+DF161+S161+DG161</f>
        <v>10236.693378599999</v>
      </c>
      <c r="F161" s="153"/>
      <c r="G161" s="154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284"/>
      <c r="S161" s="157">
        <f t="shared" ref="S161:S166" si="606">SUM(G161:R161)</f>
        <v>0</v>
      </c>
      <c r="T161" s="378"/>
      <c r="U161" s="382"/>
      <c r="V161" s="382"/>
      <c r="W161" s="382"/>
      <c r="X161" s="389"/>
      <c r="Y161" s="389"/>
      <c r="Z161" s="389"/>
      <c r="AA161" s="389"/>
      <c r="AB161" s="389"/>
      <c r="AC161" s="389"/>
      <c r="AD161" s="389"/>
      <c r="AE161" s="482"/>
      <c r="AF161" s="157">
        <f t="shared" ref="AF161:AF166" si="607">SUM(T161:AE161)</f>
        <v>0</v>
      </c>
      <c r="AG161" s="500"/>
      <c r="AH161" s="513"/>
      <c r="AI161" s="513"/>
      <c r="AJ161" s="513"/>
      <c r="AK161" s="513"/>
      <c r="AL161" s="513"/>
      <c r="AM161" s="513"/>
      <c r="AN161" s="513"/>
      <c r="AO161" s="513"/>
      <c r="AP161" s="513"/>
      <c r="AQ161" s="513"/>
      <c r="AR161" s="512"/>
      <c r="AS161" s="409">
        <f t="shared" ref="AS161:AS166" si="608">SUM(AG161:AR161)</f>
        <v>0</v>
      </c>
      <c r="AT161" s="500"/>
      <c r="AU161" s="513"/>
      <c r="AV161" s="513"/>
      <c r="AW161" s="513"/>
      <c r="AX161" s="513"/>
      <c r="AY161" s="513"/>
      <c r="AZ161" s="155"/>
      <c r="BA161" s="155"/>
      <c r="BB161" s="155"/>
      <c r="BC161" s="155"/>
      <c r="BD161" s="155"/>
      <c r="BE161" s="155">
        <v>255.91733446500001</v>
      </c>
      <c r="BF161" s="157">
        <f t="shared" ref="BF161:BF166" si="609">SUM(AT161:BE161)</f>
        <v>255.91733446500001</v>
      </c>
      <c r="BG161" s="155">
        <v>255.91733446500001</v>
      </c>
      <c r="BH161" s="155">
        <v>255.91733446500001</v>
      </c>
      <c r="BI161" s="156">
        <v>255.91733446500001</v>
      </c>
      <c r="BJ161" s="158">
        <v>255.91733446500001</v>
      </c>
      <c r="BK161" s="155">
        <v>255.91733446500001</v>
      </c>
      <c r="BL161" s="155">
        <v>255.91733446500001</v>
      </c>
      <c r="BM161" s="155">
        <v>563.01813582299997</v>
      </c>
      <c r="BN161" s="155">
        <v>563.01813582299997</v>
      </c>
      <c r="BO161" s="155">
        <v>665.38506960899997</v>
      </c>
      <c r="BP161" s="155">
        <v>511.83466893000002</v>
      </c>
      <c r="BQ161" s="155">
        <v>511.83466893000002</v>
      </c>
      <c r="BR161" s="155">
        <v>511.83466893000002</v>
      </c>
      <c r="BS161" s="157">
        <f t="shared" ref="BS161:BS166" si="610">SUM(BG161:BR161)</f>
        <v>4862.4293548349997</v>
      </c>
      <c r="BT161" s="155">
        <v>1023.66933786</v>
      </c>
      <c r="BU161" s="155">
        <v>1023.66933786</v>
      </c>
      <c r="BV161" s="155">
        <v>1023.66933786</v>
      </c>
      <c r="BW161" s="155">
        <v>511.83466893000002</v>
      </c>
      <c r="BX161" s="155">
        <v>511.83466893000002</v>
      </c>
      <c r="BY161" s="155">
        <v>511.83466893000002</v>
      </c>
      <c r="BZ161" s="155">
        <v>511.83466893000002</v>
      </c>
      <c r="CA161" s="155"/>
      <c r="CB161" s="155"/>
      <c r="CC161" s="155"/>
      <c r="CD161" s="155"/>
      <c r="CE161" s="156"/>
      <c r="CF161" s="157">
        <f t="shared" ref="CF161:CF166" si="611">SUM(BT161:CE161)</f>
        <v>5118.3466892999995</v>
      </c>
      <c r="CG161" s="158"/>
      <c r="CH161" s="155"/>
      <c r="CI161" s="155"/>
      <c r="CJ161" s="155"/>
      <c r="CK161" s="155"/>
      <c r="CL161" s="155"/>
      <c r="CM161" s="155"/>
      <c r="CN161" s="155"/>
      <c r="CO161" s="155"/>
      <c r="CP161" s="155"/>
      <c r="CQ161" s="155"/>
      <c r="CR161" s="156"/>
      <c r="CS161" s="157">
        <f t="shared" ref="CS161:CS166" si="612">SUM(CG161:CR161)</f>
        <v>0</v>
      </c>
      <c r="CT161" s="158"/>
      <c r="CU161" s="155"/>
      <c r="CV161" s="155"/>
      <c r="CW161" s="155"/>
      <c r="CX161" s="155"/>
      <c r="CY161" s="155"/>
      <c r="CZ161" s="155"/>
      <c r="DA161" s="155"/>
      <c r="DB161" s="155"/>
      <c r="DC161" s="155"/>
      <c r="DD161" s="155"/>
      <c r="DE161" s="156"/>
      <c r="DF161" s="157">
        <f t="shared" ref="DF161:DF166" si="613">SUM(CT161:DE161)</f>
        <v>0</v>
      </c>
      <c r="DG161" s="280"/>
      <c r="DH161" s="159">
        <f t="shared" ref="DH161:DH166" si="614">+F161+S161+AF161+AS161+BF161+BS161+DG161</f>
        <v>5118.3466892999995</v>
      </c>
      <c r="DI161" s="160">
        <f t="shared" ref="DI161:DI166" si="615">+E161</f>
        <v>10236.693378599999</v>
      </c>
      <c r="DJ161" s="161">
        <f t="shared" ref="DJ161:DJ166" si="616">+DI161-DH161</f>
        <v>5118.3466892999995</v>
      </c>
    </row>
    <row r="162" spans="1:115" ht="15" customHeight="1" outlineLevel="1">
      <c r="A162" s="607"/>
      <c r="B162" s="560"/>
      <c r="C162" s="245" t="s">
        <v>63</v>
      </c>
      <c r="D162" s="184" t="s">
        <v>124</v>
      </c>
      <c r="E162" s="136">
        <f>AF162+AS162+BF162+BS162+CF162+CS162+DF162+S162+DG162</f>
        <v>8701.18937181</v>
      </c>
      <c r="F162" s="136"/>
      <c r="G162" s="137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9"/>
      <c r="S162" s="162">
        <f t="shared" si="606"/>
        <v>0</v>
      </c>
      <c r="T162" s="380"/>
      <c r="U162" s="381"/>
      <c r="V162" s="381"/>
      <c r="W162" s="381"/>
      <c r="X162" s="388"/>
      <c r="Y162" s="388"/>
      <c r="Z162" s="388"/>
      <c r="AA162" s="388"/>
      <c r="AB162" s="388"/>
      <c r="AC162" s="388"/>
      <c r="AD162" s="388"/>
      <c r="AE162" s="483"/>
      <c r="AF162" s="162">
        <f t="shared" si="607"/>
        <v>0</v>
      </c>
      <c r="AG162" s="501"/>
      <c r="AH162" s="499"/>
      <c r="AI162" s="499"/>
      <c r="AJ162" s="499"/>
      <c r="AK162" s="499"/>
      <c r="AL162" s="499"/>
      <c r="AM162" s="499"/>
      <c r="AN162" s="499"/>
      <c r="AO162" s="499"/>
      <c r="AP162" s="499"/>
      <c r="AQ162" s="499"/>
      <c r="AR162" s="511"/>
      <c r="AS162" s="410">
        <f t="shared" si="608"/>
        <v>0</v>
      </c>
      <c r="AT162" s="501"/>
      <c r="AU162" s="499"/>
      <c r="AV162" s="499">
        <v>0</v>
      </c>
      <c r="AW162" s="499">
        <v>0</v>
      </c>
      <c r="AX162" s="499">
        <v>0</v>
      </c>
      <c r="AY162" s="499"/>
      <c r="AZ162" s="138"/>
      <c r="BA162" s="138"/>
      <c r="BB162" s="138"/>
      <c r="BC162" s="138"/>
      <c r="BD162" s="138"/>
      <c r="BE162" s="138">
        <v>217.52973429524999</v>
      </c>
      <c r="BF162" s="162">
        <f t="shared" si="609"/>
        <v>217.52973429524999</v>
      </c>
      <c r="BG162" s="138">
        <v>217.52973429524999</v>
      </c>
      <c r="BH162" s="138">
        <v>217.52973429524999</v>
      </c>
      <c r="BI162" s="139">
        <v>217.52973429524999</v>
      </c>
      <c r="BJ162" s="141">
        <v>217.52973429524999</v>
      </c>
      <c r="BK162" s="138">
        <v>217.52973429524999</v>
      </c>
      <c r="BL162" s="138">
        <v>217.52973429524999</v>
      </c>
      <c r="BM162" s="138">
        <v>478.56541544954996</v>
      </c>
      <c r="BN162" s="138">
        <v>478.56541544954996</v>
      </c>
      <c r="BO162" s="138">
        <v>565.57730916765001</v>
      </c>
      <c r="BP162" s="138">
        <v>435.05946859049999</v>
      </c>
      <c r="BQ162" s="138">
        <v>435.05946859049999</v>
      </c>
      <c r="BR162" s="138">
        <v>435.05946859049999</v>
      </c>
      <c r="BS162" s="162">
        <f t="shared" si="610"/>
        <v>4133.0649516097501</v>
      </c>
      <c r="BT162" s="138">
        <v>870.11893718099998</v>
      </c>
      <c r="BU162" s="138">
        <v>870.11893718099998</v>
      </c>
      <c r="BV162" s="138">
        <v>870.11893718099998</v>
      </c>
      <c r="BW162" s="138">
        <v>435.05946859049999</v>
      </c>
      <c r="BX162" s="138">
        <v>435.05946859049999</v>
      </c>
      <c r="BY162" s="138">
        <v>435.05946859049999</v>
      </c>
      <c r="BZ162" s="138">
        <v>435.05946859049999</v>
      </c>
      <c r="CA162" s="138"/>
      <c r="CB162" s="138"/>
      <c r="CC162" s="138"/>
      <c r="CD162" s="138"/>
      <c r="CE162" s="139"/>
      <c r="CF162" s="162">
        <f t="shared" si="611"/>
        <v>4350.5946859049991</v>
      </c>
      <c r="CG162" s="141"/>
      <c r="CH162" s="138"/>
      <c r="CI162" s="138"/>
      <c r="CJ162" s="138"/>
      <c r="CK162" s="138"/>
      <c r="CL162" s="138"/>
      <c r="CM162" s="138"/>
      <c r="CN162" s="138"/>
      <c r="CO162" s="138"/>
      <c r="CP162" s="138"/>
      <c r="CQ162" s="138"/>
      <c r="CR162" s="139"/>
      <c r="CS162" s="162">
        <f t="shared" si="612"/>
        <v>0</v>
      </c>
      <c r="CT162" s="141"/>
      <c r="CU162" s="138"/>
      <c r="CV162" s="138"/>
      <c r="CW162" s="138"/>
      <c r="CX162" s="138"/>
      <c r="CY162" s="138"/>
      <c r="CZ162" s="138"/>
      <c r="DA162" s="138"/>
      <c r="DB162" s="138"/>
      <c r="DC162" s="138"/>
      <c r="DD162" s="138"/>
      <c r="DE162" s="139"/>
      <c r="DF162" s="162">
        <f t="shared" si="613"/>
        <v>0</v>
      </c>
      <c r="DG162" s="279"/>
      <c r="DH162" s="90">
        <f t="shared" si="614"/>
        <v>4350.594685905</v>
      </c>
      <c r="DI162" s="91">
        <f t="shared" si="615"/>
        <v>8701.18937181</v>
      </c>
      <c r="DJ162" s="92">
        <f t="shared" si="616"/>
        <v>4350.594685905</v>
      </c>
      <c r="DK162" s="64">
        <f>+DH162/DH161</f>
        <v>0.85000000000000009</v>
      </c>
    </row>
    <row r="163" spans="1:115" ht="15" customHeight="1" outlineLevel="1">
      <c r="A163" s="607"/>
      <c r="B163" s="561"/>
      <c r="C163" s="554" t="s">
        <v>11</v>
      </c>
      <c r="D163" s="555"/>
      <c r="E163" s="143"/>
      <c r="F163" s="144">
        <f t="shared" ref="F163:R163" si="617">+F161-F162</f>
        <v>0</v>
      </c>
      <c r="G163" s="145">
        <f t="shared" si="617"/>
        <v>0</v>
      </c>
      <c r="H163" s="145">
        <f t="shared" si="617"/>
        <v>0</v>
      </c>
      <c r="I163" s="145">
        <f t="shared" si="617"/>
        <v>0</v>
      </c>
      <c r="J163" s="145">
        <f t="shared" si="617"/>
        <v>0</v>
      </c>
      <c r="K163" s="145">
        <f t="shared" si="617"/>
        <v>0</v>
      </c>
      <c r="L163" s="145">
        <f t="shared" si="617"/>
        <v>0</v>
      </c>
      <c r="M163" s="145">
        <f t="shared" si="617"/>
        <v>0</v>
      </c>
      <c r="N163" s="145">
        <f t="shared" si="617"/>
        <v>0</v>
      </c>
      <c r="O163" s="145">
        <f t="shared" si="617"/>
        <v>0</v>
      </c>
      <c r="P163" s="145">
        <f t="shared" si="617"/>
        <v>0</v>
      </c>
      <c r="Q163" s="145">
        <f t="shared" si="617"/>
        <v>0</v>
      </c>
      <c r="R163" s="146">
        <f t="shared" si="617"/>
        <v>0</v>
      </c>
      <c r="S163" s="147">
        <f t="shared" si="606"/>
        <v>0</v>
      </c>
      <c r="T163" s="148">
        <f t="shared" ref="T163:AE163" si="618">+T161-T162</f>
        <v>0</v>
      </c>
      <c r="U163" s="145">
        <f t="shared" si="618"/>
        <v>0</v>
      </c>
      <c r="V163" s="145">
        <f t="shared" si="618"/>
        <v>0</v>
      </c>
      <c r="W163" s="145">
        <f t="shared" si="618"/>
        <v>0</v>
      </c>
      <c r="X163" s="145">
        <f t="shared" si="618"/>
        <v>0</v>
      </c>
      <c r="Y163" s="145">
        <f t="shared" si="618"/>
        <v>0</v>
      </c>
      <c r="Z163" s="145">
        <f t="shared" si="618"/>
        <v>0</v>
      </c>
      <c r="AA163" s="145">
        <f t="shared" si="618"/>
        <v>0</v>
      </c>
      <c r="AB163" s="145">
        <f t="shared" si="618"/>
        <v>0</v>
      </c>
      <c r="AC163" s="145">
        <f t="shared" si="618"/>
        <v>0</v>
      </c>
      <c r="AD163" s="145">
        <f t="shared" si="618"/>
        <v>0</v>
      </c>
      <c r="AE163" s="146">
        <f t="shared" si="618"/>
        <v>0</v>
      </c>
      <c r="AF163" s="147">
        <f t="shared" si="607"/>
        <v>0</v>
      </c>
      <c r="AG163" s="148">
        <f t="shared" ref="AG163:AR163" si="619">+AG161-AG162</f>
        <v>0</v>
      </c>
      <c r="AH163" s="145">
        <f t="shared" si="619"/>
        <v>0</v>
      </c>
      <c r="AI163" s="145">
        <f t="shared" si="619"/>
        <v>0</v>
      </c>
      <c r="AJ163" s="145">
        <f t="shared" si="619"/>
        <v>0</v>
      </c>
      <c r="AK163" s="145">
        <f t="shared" si="619"/>
        <v>0</v>
      </c>
      <c r="AL163" s="145">
        <f t="shared" si="619"/>
        <v>0</v>
      </c>
      <c r="AM163" s="145">
        <f t="shared" si="619"/>
        <v>0</v>
      </c>
      <c r="AN163" s="145">
        <f t="shared" si="619"/>
        <v>0</v>
      </c>
      <c r="AO163" s="145">
        <f t="shared" si="619"/>
        <v>0</v>
      </c>
      <c r="AP163" s="145">
        <f t="shared" si="619"/>
        <v>0</v>
      </c>
      <c r="AQ163" s="145">
        <f t="shared" si="619"/>
        <v>0</v>
      </c>
      <c r="AR163" s="146">
        <f t="shared" si="619"/>
        <v>0</v>
      </c>
      <c r="AS163" s="408">
        <f t="shared" si="608"/>
        <v>0</v>
      </c>
      <c r="AT163" s="148">
        <f t="shared" ref="AT163:BE163" si="620">+AT161-AT162</f>
        <v>0</v>
      </c>
      <c r="AU163" s="145">
        <f t="shared" si="620"/>
        <v>0</v>
      </c>
      <c r="AV163" s="145">
        <f t="shared" si="620"/>
        <v>0</v>
      </c>
      <c r="AW163" s="145">
        <f t="shared" si="620"/>
        <v>0</v>
      </c>
      <c r="AX163" s="145">
        <f t="shared" si="620"/>
        <v>0</v>
      </c>
      <c r="AY163" s="145">
        <f t="shared" si="620"/>
        <v>0</v>
      </c>
      <c r="AZ163" s="145">
        <f t="shared" si="620"/>
        <v>0</v>
      </c>
      <c r="BA163" s="145">
        <f t="shared" si="620"/>
        <v>0</v>
      </c>
      <c r="BB163" s="145">
        <f t="shared" si="620"/>
        <v>0</v>
      </c>
      <c r="BC163" s="145">
        <f t="shared" si="620"/>
        <v>0</v>
      </c>
      <c r="BD163" s="145">
        <f t="shared" si="620"/>
        <v>0</v>
      </c>
      <c r="BE163" s="146">
        <f t="shared" si="620"/>
        <v>38.387600169750016</v>
      </c>
      <c r="BF163" s="147">
        <f t="shared" si="609"/>
        <v>38.387600169750016</v>
      </c>
      <c r="BG163" s="148">
        <f t="shared" ref="BG163:BR163" si="621">+BG161-BG162</f>
        <v>38.387600169750016</v>
      </c>
      <c r="BH163" s="145">
        <f t="shared" si="621"/>
        <v>38.387600169750016</v>
      </c>
      <c r="BI163" s="145">
        <f t="shared" si="621"/>
        <v>38.387600169750016</v>
      </c>
      <c r="BJ163" s="145">
        <f t="shared" si="621"/>
        <v>38.387600169750016</v>
      </c>
      <c r="BK163" s="145">
        <f t="shared" si="621"/>
        <v>38.387600169750016</v>
      </c>
      <c r="BL163" s="145">
        <f t="shared" si="621"/>
        <v>38.387600169750016</v>
      </c>
      <c r="BM163" s="145">
        <f t="shared" si="621"/>
        <v>84.452720373450006</v>
      </c>
      <c r="BN163" s="145">
        <f t="shared" si="621"/>
        <v>84.452720373450006</v>
      </c>
      <c r="BO163" s="145">
        <f t="shared" si="621"/>
        <v>99.807760441349956</v>
      </c>
      <c r="BP163" s="145">
        <f t="shared" si="621"/>
        <v>76.775200339500032</v>
      </c>
      <c r="BQ163" s="145">
        <f t="shared" si="621"/>
        <v>76.775200339500032</v>
      </c>
      <c r="BR163" s="146">
        <f t="shared" si="621"/>
        <v>76.775200339500032</v>
      </c>
      <c r="BS163" s="147">
        <f t="shared" si="610"/>
        <v>729.36440322525027</v>
      </c>
      <c r="BT163" s="148">
        <f t="shared" ref="BT163:CE163" si="622">+BT161-BT162</f>
        <v>153.55040067900006</v>
      </c>
      <c r="BU163" s="145">
        <f t="shared" si="622"/>
        <v>153.55040067900006</v>
      </c>
      <c r="BV163" s="145">
        <f t="shared" si="622"/>
        <v>153.55040067900006</v>
      </c>
      <c r="BW163" s="145">
        <f t="shared" si="622"/>
        <v>76.775200339500032</v>
      </c>
      <c r="BX163" s="145">
        <f t="shared" si="622"/>
        <v>76.775200339500032</v>
      </c>
      <c r="BY163" s="145">
        <f t="shared" si="622"/>
        <v>76.775200339500032</v>
      </c>
      <c r="BZ163" s="145">
        <f t="shared" si="622"/>
        <v>76.775200339500032</v>
      </c>
      <c r="CA163" s="145">
        <f t="shared" si="622"/>
        <v>0</v>
      </c>
      <c r="CB163" s="145">
        <f t="shared" si="622"/>
        <v>0</v>
      </c>
      <c r="CC163" s="145">
        <f t="shared" si="622"/>
        <v>0</v>
      </c>
      <c r="CD163" s="145">
        <f t="shared" si="622"/>
        <v>0</v>
      </c>
      <c r="CE163" s="146">
        <f t="shared" si="622"/>
        <v>0</v>
      </c>
      <c r="CF163" s="147">
        <f t="shared" si="611"/>
        <v>767.75200339500043</v>
      </c>
      <c r="CG163" s="148">
        <f t="shared" ref="CG163:CR163" si="623">+CG161-CG162</f>
        <v>0</v>
      </c>
      <c r="CH163" s="145">
        <f t="shared" si="623"/>
        <v>0</v>
      </c>
      <c r="CI163" s="145">
        <f t="shared" si="623"/>
        <v>0</v>
      </c>
      <c r="CJ163" s="145">
        <f t="shared" si="623"/>
        <v>0</v>
      </c>
      <c r="CK163" s="145">
        <f t="shared" si="623"/>
        <v>0</v>
      </c>
      <c r="CL163" s="145">
        <f t="shared" si="623"/>
        <v>0</v>
      </c>
      <c r="CM163" s="145">
        <f t="shared" si="623"/>
        <v>0</v>
      </c>
      <c r="CN163" s="145">
        <f t="shared" si="623"/>
        <v>0</v>
      </c>
      <c r="CO163" s="145">
        <f t="shared" si="623"/>
        <v>0</v>
      </c>
      <c r="CP163" s="145">
        <f t="shared" si="623"/>
        <v>0</v>
      </c>
      <c r="CQ163" s="145">
        <f t="shared" si="623"/>
        <v>0</v>
      </c>
      <c r="CR163" s="146">
        <f t="shared" si="623"/>
        <v>0</v>
      </c>
      <c r="CS163" s="147">
        <f t="shared" si="612"/>
        <v>0</v>
      </c>
      <c r="CT163" s="148">
        <f t="shared" ref="CT163:DE163" si="624">+CT161-CT162</f>
        <v>0</v>
      </c>
      <c r="CU163" s="145">
        <f t="shared" si="624"/>
        <v>0</v>
      </c>
      <c r="CV163" s="145">
        <f t="shared" si="624"/>
        <v>0</v>
      </c>
      <c r="CW163" s="145">
        <f t="shared" si="624"/>
        <v>0</v>
      </c>
      <c r="CX163" s="145">
        <f t="shared" si="624"/>
        <v>0</v>
      </c>
      <c r="CY163" s="145">
        <f t="shared" si="624"/>
        <v>0</v>
      </c>
      <c r="CZ163" s="145">
        <f t="shared" si="624"/>
        <v>0</v>
      </c>
      <c r="DA163" s="145">
        <f t="shared" si="624"/>
        <v>0</v>
      </c>
      <c r="DB163" s="145">
        <f t="shared" si="624"/>
        <v>0</v>
      </c>
      <c r="DC163" s="145">
        <f t="shared" si="624"/>
        <v>0</v>
      </c>
      <c r="DD163" s="145">
        <f t="shared" si="624"/>
        <v>0</v>
      </c>
      <c r="DE163" s="146">
        <f t="shared" si="624"/>
        <v>0</v>
      </c>
      <c r="DF163" s="147">
        <f t="shared" si="613"/>
        <v>0</v>
      </c>
      <c r="DG163" s="146">
        <f>+DG161-DG162</f>
        <v>0</v>
      </c>
      <c r="DH163" s="98">
        <f t="shared" si="614"/>
        <v>767.75200339500032</v>
      </c>
      <c r="DI163" s="99">
        <f t="shared" si="615"/>
        <v>0</v>
      </c>
      <c r="DJ163" s="100">
        <f t="shared" si="616"/>
        <v>-767.75200339500032</v>
      </c>
    </row>
    <row r="164" spans="1:115" ht="15" customHeight="1" outlineLevel="1">
      <c r="A164" s="607"/>
      <c r="B164" s="557" t="s">
        <v>355</v>
      </c>
      <c r="C164" s="246" t="s">
        <v>62</v>
      </c>
      <c r="D164" s="183" t="s">
        <v>122</v>
      </c>
      <c r="E164" s="153">
        <f>AF164+AS164+BF164+BS164+CF164+CS164+DF164+S164+DG164</f>
        <v>27465.024328800006</v>
      </c>
      <c r="F164" s="153"/>
      <c r="G164" s="154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284"/>
      <c r="S164" s="157">
        <f t="shared" si="606"/>
        <v>0</v>
      </c>
      <c r="T164" s="378"/>
      <c r="U164" s="382"/>
      <c r="V164" s="382"/>
      <c r="W164" s="382"/>
      <c r="X164" s="389"/>
      <c r="Y164" s="389"/>
      <c r="Z164" s="389"/>
      <c r="AA164" s="389"/>
      <c r="AB164" s="389"/>
      <c r="AC164" s="389"/>
      <c r="AD164" s="389"/>
      <c r="AE164" s="482"/>
      <c r="AF164" s="157">
        <f t="shared" si="607"/>
        <v>0</v>
      </c>
      <c r="AG164" s="500"/>
      <c r="AH164" s="513"/>
      <c r="AI164" s="513"/>
      <c r="AJ164" s="513"/>
      <c r="AK164" s="513"/>
      <c r="AL164" s="513"/>
      <c r="AM164" s="513"/>
      <c r="AN164" s="513"/>
      <c r="AO164" s="513"/>
      <c r="AP164" s="513"/>
      <c r="AQ164" s="513"/>
      <c r="AR164" s="512"/>
      <c r="AS164" s="409">
        <f t="shared" si="608"/>
        <v>0</v>
      </c>
      <c r="AT164" s="500"/>
      <c r="AU164" s="513"/>
      <c r="AV164" s="513"/>
      <c r="AW164" s="513"/>
      <c r="AX164" s="513"/>
      <c r="AY164" s="513"/>
      <c r="AZ164" s="155"/>
      <c r="BA164" s="155"/>
      <c r="BB164" s="155"/>
      <c r="BC164" s="155">
        <v>1373.2520274000001</v>
      </c>
      <c r="BD164" s="155">
        <v>1373.2520274000001</v>
      </c>
      <c r="BE164" s="156">
        <v>1373.2520274000001</v>
      </c>
      <c r="BF164" s="157">
        <f t="shared" si="609"/>
        <v>4119.7560822000005</v>
      </c>
      <c r="BG164" s="158">
        <v>1373.2520274000001</v>
      </c>
      <c r="BH164" s="155">
        <v>1373.2520274000001</v>
      </c>
      <c r="BI164" s="155">
        <v>1373.2520274000001</v>
      </c>
      <c r="BJ164" s="155">
        <v>1373.2520274000001</v>
      </c>
      <c r="BK164" s="155">
        <v>1373.2520274000001</v>
      </c>
      <c r="BL164" s="155">
        <v>1373.2520274000001</v>
      </c>
      <c r="BM164" s="155">
        <v>686.62601370000004</v>
      </c>
      <c r="BN164" s="155">
        <v>686.62601370000004</v>
      </c>
      <c r="BO164" s="155">
        <v>686.62601370000004</v>
      </c>
      <c r="BP164" s="155">
        <v>686.62601370000004</v>
      </c>
      <c r="BQ164" s="155">
        <v>686.62601370000004</v>
      </c>
      <c r="BR164" s="156">
        <v>686.62601370000004</v>
      </c>
      <c r="BS164" s="157">
        <f t="shared" si="610"/>
        <v>12359.268246600006</v>
      </c>
      <c r="BT164" s="158">
        <f>10986/12</f>
        <v>915.5</v>
      </c>
      <c r="BU164" s="155">
        <f t="shared" ref="BU164:CE164" si="625">10986/12</f>
        <v>915.5</v>
      </c>
      <c r="BV164" s="155">
        <f t="shared" si="625"/>
        <v>915.5</v>
      </c>
      <c r="BW164" s="155">
        <f t="shared" si="625"/>
        <v>915.5</v>
      </c>
      <c r="BX164" s="155">
        <f t="shared" si="625"/>
        <v>915.5</v>
      </c>
      <c r="BY164" s="155">
        <f t="shared" si="625"/>
        <v>915.5</v>
      </c>
      <c r="BZ164" s="155">
        <f t="shared" si="625"/>
        <v>915.5</v>
      </c>
      <c r="CA164" s="155">
        <f t="shared" si="625"/>
        <v>915.5</v>
      </c>
      <c r="CB164" s="155">
        <f t="shared" si="625"/>
        <v>915.5</v>
      </c>
      <c r="CC164" s="155">
        <f t="shared" si="625"/>
        <v>915.5</v>
      </c>
      <c r="CD164" s="155">
        <f t="shared" si="625"/>
        <v>915.5</v>
      </c>
      <c r="CE164" s="156">
        <f t="shared" si="625"/>
        <v>915.5</v>
      </c>
      <c r="CF164" s="157">
        <f t="shared" si="611"/>
        <v>10986</v>
      </c>
      <c r="CG164" s="158"/>
      <c r="CH164" s="155"/>
      <c r="CI164" s="155"/>
      <c r="CJ164" s="155"/>
      <c r="CK164" s="155"/>
      <c r="CL164" s="155"/>
      <c r="CM164" s="155"/>
      <c r="CN164" s="155"/>
      <c r="CO164" s="155"/>
      <c r="CP164" s="155"/>
      <c r="CQ164" s="155"/>
      <c r="CR164" s="156"/>
      <c r="CS164" s="157">
        <f t="shared" si="612"/>
        <v>0</v>
      </c>
      <c r="CT164" s="158"/>
      <c r="CU164" s="155"/>
      <c r="CV164" s="155"/>
      <c r="CW164" s="155"/>
      <c r="CX164" s="155"/>
      <c r="CY164" s="155"/>
      <c r="CZ164" s="155"/>
      <c r="DA164" s="155"/>
      <c r="DB164" s="155"/>
      <c r="DC164" s="155"/>
      <c r="DD164" s="155"/>
      <c r="DE164" s="156"/>
      <c r="DF164" s="157">
        <f t="shared" si="613"/>
        <v>0</v>
      </c>
      <c r="DG164" s="280"/>
      <c r="DH164" s="159">
        <f t="shared" si="614"/>
        <v>16479.024328800006</v>
      </c>
      <c r="DI164" s="160">
        <f t="shared" si="615"/>
        <v>27465.024328800006</v>
      </c>
      <c r="DJ164" s="161">
        <f t="shared" si="616"/>
        <v>10986</v>
      </c>
    </row>
    <row r="165" spans="1:115" ht="15" customHeight="1" outlineLevel="1">
      <c r="A165" s="607"/>
      <c r="B165" s="560"/>
      <c r="C165" s="245" t="s">
        <v>63</v>
      </c>
      <c r="D165" s="184" t="s">
        <v>124</v>
      </c>
      <c r="E165" s="136">
        <f>AF165+AS165+BF165+BS165+CF165+CS165+DF165+S165+DG165</f>
        <v>23345.270679480003</v>
      </c>
      <c r="F165" s="136"/>
      <c r="G165" s="137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9"/>
      <c r="S165" s="162">
        <f t="shared" si="606"/>
        <v>0</v>
      </c>
      <c r="T165" s="380"/>
      <c r="U165" s="381"/>
      <c r="V165" s="381"/>
      <c r="W165" s="381"/>
      <c r="X165" s="388"/>
      <c r="Y165" s="388"/>
      <c r="Z165" s="388"/>
      <c r="AA165" s="388"/>
      <c r="AB165" s="388"/>
      <c r="AC165" s="388"/>
      <c r="AD165" s="388"/>
      <c r="AE165" s="483"/>
      <c r="AF165" s="162">
        <f t="shared" si="607"/>
        <v>0</v>
      </c>
      <c r="AG165" s="501"/>
      <c r="AH165" s="499"/>
      <c r="AI165" s="499"/>
      <c r="AJ165" s="499"/>
      <c r="AK165" s="499"/>
      <c r="AL165" s="499"/>
      <c r="AM165" s="499"/>
      <c r="AN165" s="499"/>
      <c r="AO165" s="499"/>
      <c r="AP165" s="499"/>
      <c r="AQ165" s="499"/>
      <c r="AR165" s="511"/>
      <c r="AS165" s="410">
        <f t="shared" si="608"/>
        <v>0</v>
      </c>
      <c r="AT165" s="501"/>
      <c r="AU165" s="499"/>
      <c r="AV165" s="499"/>
      <c r="AW165" s="499"/>
      <c r="AX165" s="499"/>
      <c r="AY165" s="499"/>
      <c r="AZ165" s="138"/>
      <c r="BA165" s="138"/>
      <c r="BB165" s="138"/>
      <c r="BC165" s="138">
        <f>BC164*0.85</f>
        <v>1167.26422329</v>
      </c>
      <c r="BD165" s="138">
        <f>BD164*0.85</f>
        <v>1167.26422329</v>
      </c>
      <c r="BE165" s="139">
        <f>BE164*0.85</f>
        <v>1167.26422329</v>
      </c>
      <c r="BF165" s="162">
        <f t="shared" si="609"/>
        <v>3501.7926698700003</v>
      </c>
      <c r="BG165" s="141">
        <f t="shared" ref="BG165:BR165" si="626">BG164*0.85</f>
        <v>1167.26422329</v>
      </c>
      <c r="BH165" s="138">
        <f t="shared" si="626"/>
        <v>1167.26422329</v>
      </c>
      <c r="BI165" s="138">
        <f t="shared" si="626"/>
        <v>1167.26422329</v>
      </c>
      <c r="BJ165" s="138">
        <f t="shared" si="626"/>
        <v>1167.26422329</v>
      </c>
      <c r="BK165" s="138">
        <f t="shared" si="626"/>
        <v>1167.26422329</v>
      </c>
      <c r="BL165" s="138">
        <f t="shared" si="626"/>
        <v>1167.26422329</v>
      </c>
      <c r="BM165" s="138">
        <f t="shared" si="626"/>
        <v>583.63211164500001</v>
      </c>
      <c r="BN165" s="138">
        <f t="shared" si="626"/>
        <v>583.63211164500001</v>
      </c>
      <c r="BO165" s="138">
        <f t="shared" si="626"/>
        <v>583.63211164500001</v>
      </c>
      <c r="BP165" s="138">
        <f t="shared" si="626"/>
        <v>583.63211164500001</v>
      </c>
      <c r="BQ165" s="138">
        <f t="shared" si="626"/>
        <v>583.63211164500001</v>
      </c>
      <c r="BR165" s="139">
        <f t="shared" si="626"/>
        <v>583.63211164500001</v>
      </c>
      <c r="BS165" s="162">
        <f t="shared" si="610"/>
        <v>10505.37800961</v>
      </c>
      <c r="BT165" s="141">
        <f t="shared" ref="BT165:CE165" si="627">BT164*0.85</f>
        <v>778.17499999999995</v>
      </c>
      <c r="BU165" s="138">
        <f t="shared" si="627"/>
        <v>778.17499999999995</v>
      </c>
      <c r="BV165" s="138">
        <f t="shared" si="627"/>
        <v>778.17499999999995</v>
      </c>
      <c r="BW165" s="138">
        <f t="shared" si="627"/>
        <v>778.17499999999995</v>
      </c>
      <c r="BX165" s="138">
        <f t="shared" si="627"/>
        <v>778.17499999999995</v>
      </c>
      <c r="BY165" s="138">
        <f t="shared" si="627"/>
        <v>778.17499999999995</v>
      </c>
      <c r="BZ165" s="138">
        <f t="shared" si="627"/>
        <v>778.17499999999995</v>
      </c>
      <c r="CA165" s="138">
        <f t="shared" si="627"/>
        <v>778.17499999999995</v>
      </c>
      <c r="CB165" s="138">
        <f t="shared" si="627"/>
        <v>778.17499999999995</v>
      </c>
      <c r="CC165" s="138">
        <f t="shared" si="627"/>
        <v>778.17499999999995</v>
      </c>
      <c r="CD165" s="138">
        <f t="shared" si="627"/>
        <v>778.17499999999995</v>
      </c>
      <c r="CE165" s="139">
        <f t="shared" si="627"/>
        <v>778.17499999999995</v>
      </c>
      <c r="CF165" s="162">
        <f t="shared" si="611"/>
        <v>9338.1</v>
      </c>
      <c r="CG165" s="141"/>
      <c r="CH165" s="138"/>
      <c r="CI165" s="138"/>
      <c r="CJ165" s="138"/>
      <c r="CK165" s="138"/>
      <c r="CL165" s="138"/>
      <c r="CM165" s="138"/>
      <c r="CN165" s="138"/>
      <c r="CO165" s="138"/>
      <c r="CP165" s="138"/>
      <c r="CQ165" s="138"/>
      <c r="CR165" s="139"/>
      <c r="CS165" s="162">
        <f t="shared" si="612"/>
        <v>0</v>
      </c>
      <c r="CT165" s="141"/>
      <c r="CU165" s="138"/>
      <c r="CV165" s="138"/>
      <c r="CW165" s="138"/>
      <c r="CX165" s="138"/>
      <c r="CY165" s="138"/>
      <c r="CZ165" s="138"/>
      <c r="DA165" s="138"/>
      <c r="DB165" s="138"/>
      <c r="DC165" s="138"/>
      <c r="DD165" s="138"/>
      <c r="DE165" s="139"/>
      <c r="DF165" s="162">
        <f t="shared" si="613"/>
        <v>0</v>
      </c>
      <c r="DG165" s="279"/>
      <c r="DH165" s="90">
        <f t="shared" si="614"/>
        <v>14007.170679480001</v>
      </c>
      <c r="DI165" s="91">
        <f t="shared" si="615"/>
        <v>23345.270679480003</v>
      </c>
      <c r="DJ165" s="92">
        <f t="shared" si="616"/>
        <v>9338.1000000000022</v>
      </c>
      <c r="DK165" s="64">
        <f>+DH165/DH164</f>
        <v>0.84999999999999976</v>
      </c>
    </row>
    <row r="166" spans="1:115" ht="15" customHeight="1" outlineLevel="1">
      <c r="A166" s="607"/>
      <c r="B166" s="561"/>
      <c r="C166" s="554" t="s">
        <v>11</v>
      </c>
      <c r="D166" s="555"/>
      <c r="E166" s="143"/>
      <c r="F166" s="144">
        <f t="shared" ref="F166:R166" si="628">+F164-F165</f>
        <v>0</v>
      </c>
      <c r="G166" s="145">
        <f t="shared" si="628"/>
        <v>0</v>
      </c>
      <c r="H166" s="145">
        <f t="shared" si="628"/>
        <v>0</v>
      </c>
      <c r="I166" s="145">
        <f t="shared" si="628"/>
        <v>0</v>
      </c>
      <c r="J166" s="145">
        <f t="shared" si="628"/>
        <v>0</v>
      </c>
      <c r="K166" s="145">
        <f t="shared" si="628"/>
        <v>0</v>
      </c>
      <c r="L166" s="145">
        <f t="shared" si="628"/>
        <v>0</v>
      </c>
      <c r="M166" s="145">
        <f t="shared" si="628"/>
        <v>0</v>
      </c>
      <c r="N166" s="145">
        <f t="shared" si="628"/>
        <v>0</v>
      </c>
      <c r="O166" s="145">
        <f t="shared" si="628"/>
        <v>0</v>
      </c>
      <c r="P166" s="145">
        <f t="shared" si="628"/>
        <v>0</v>
      </c>
      <c r="Q166" s="145">
        <f t="shared" si="628"/>
        <v>0</v>
      </c>
      <c r="R166" s="146">
        <f t="shared" si="628"/>
        <v>0</v>
      </c>
      <c r="S166" s="147">
        <f t="shared" si="606"/>
        <v>0</v>
      </c>
      <c r="T166" s="148">
        <f t="shared" ref="T166:AE166" si="629">+T164-T165</f>
        <v>0</v>
      </c>
      <c r="U166" s="145">
        <f t="shared" si="629"/>
        <v>0</v>
      </c>
      <c r="V166" s="145">
        <f t="shared" si="629"/>
        <v>0</v>
      </c>
      <c r="W166" s="145">
        <f t="shared" si="629"/>
        <v>0</v>
      </c>
      <c r="X166" s="145">
        <f t="shared" si="629"/>
        <v>0</v>
      </c>
      <c r="Y166" s="145">
        <f t="shared" si="629"/>
        <v>0</v>
      </c>
      <c r="Z166" s="145">
        <f t="shared" si="629"/>
        <v>0</v>
      </c>
      <c r="AA166" s="145">
        <f t="shared" si="629"/>
        <v>0</v>
      </c>
      <c r="AB166" s="145">
        <f t="shared" si="629"/>
        <v>0</v>
      </c>
      <c r="AC166" s="145">
        <f t="shared" si="629"/>
        <v>0</v>
      </c>
      <c r="AD166" s="145">
        <f t="shared" si="629"/>
        <v>0</v>
      </c>
      <c r="AE166" s="146">
        <f t="shared" si="629"/>
        <v>0</v>
      </c>
      <c r="AF166" s="147">
        <f t="shared" si="607"/>
        <v>0</v>
      </c>
      <c r="AG166" s="148">
        <f t="shared" ref="AG166:AR166" si="630">+AG164-AG165</f>
        <v>0</v>
      </c>
      <c r="AH166" s="145">
        <f t="shared" si="630"/>
        <v>0</v>
      </c>
      <c r="AI166" s="145">
        <f t="shared" si="630"/>
        <v>0</v>
      </c>
      <c r="AJ166" s="145">
        <f t="shared" si="630"/>
        <v>0</v>
      </c>
      <c r="AK166" s="145">
        <f t="shared" si="630"/>
        <v>0</v>
      </c>
      <c r="AL166" s="145">
        <f t="shared" si="630"/>
        <v>0</v>
      </c>
      <c r="AM166" s="145">
        <f t="shared" si="630"/>
        <v>0</v>
      </c>
      <c r="AN166" s="145">
        <f t="shared" si="630"/>
        <v>0</v>
      </c>
      <c r="AO166" s="145">
        <f t="shared" si="630"/>
        <v>0</v>
      </c>
      <c r="AP166" s="145">
        <f t="shared" si="630"/>
        <v>0</v>
      </c>
      <c r="AQ166" s="145">
        <f t="shared" si="630"/>
        <v>0</v>
      </c>
      <c r="AR166" s="146">
        <f t="shared" si="630"/>
        <v>0</v>
      </c>
      <c r="AS166" s="408">
        <f t="shared" si="608"/>
        <v>0</v>
      </c>
      <c r="AT166" s="148">
        <f t="shared" ref="AT166:BE166" si="631">+AT164-AT165</f>
        <v>0</v>
      </c>
      <c r="AU166" s="145">
        <f t="shared" si="631"/>
        <v>0</v>
      </c>
      <c r="AV166" s="145">
        <f t="shared" si="631"/>
        <v>0</v>
      </c>
      <c r="AW166" s="145">
        <f t="shared" si="631"/>
        <v>0</v>
      </c>
      <c r="AX166" s="145">
        <f t="shared" si="631"/>
        <v>0</v>
      </c>
      <c r="AY166" s="145">
        <f t="shared" si="631"/>
        <v>0</v>
      </c>
      <c r="AZ166" s="145">
        <f t="shared" si="631"/>
        <v>0</v>
      </c>
      <c r="BA166" s="145">
        <f t="shared" si="631"/>
        <v>0</v>
      </c>
      <c r="BB166" s="145">
        <f t="shared" si="631"/>
        <v>0</v>
      </c>
      <c r="BC166" s="145">
        <f>+BC164-BC165</f>
        <v>205.98780411000007</v>
      </c>
      <c r="BD166" s="145">
        <f t="shared" si="631"/>
        <v>205.98780411000007</v>
      </c>
      <c r="BE166" s="146">
        <f t="shared" si="631"/>
        <v>205.98780411000007</v>
      </c>
      <c r="BF166" s="147">
        <f t="shared" si="609"/>
        <v>617.96341233000021</v>
      </c>
      <c r="BG166" s="148">
        <f t="shared" ref="BG166:BR166" si="632">+BG164-BG165</f>
        <v>205.98780411000007</v>
      </c>
      <c r="BH166" s="145">
        <f t="shared" si="632"/>
        <v>205.98780411000007</v>
      </c>
      <c r="BI166" s="145">
        <f t="shared" si="632"/>
        <v>205.98780411000007</v>
      </c>
      <c r="BJ166" s="145">
        <f t="shared" si="632"/>
        <v>205.98780411000007</v>
      </c>
      <c r="BK166" s="145">
        <f t="shared" si="632"/>
        <v>205.98780411000007</v>
      </c>
      <c r="BL166" s="145">
        <f t="shared" si="632"/>
        <v>205.98780411000007</v>
      </c>
      <c r="BM166" s="145">
        <f t="shared" si="632"/>
        <v>102.99390205500004</v>
      </c>
      <c r="BN166" s="145">
        <f t="shared" si="632"/>
        <v>102.99390205500004</v>
      </c>
      <c r="BO166" s="145">
        <f t="shared" si="632"/>
        <v>102.99390205500004</v>
      </c>
      <c r="BP166" s="145">
        <f t="shared" si="632"/>
        <v>102.99390205500004</v>
      </c>
      <c r="BQ166" s="145">
        <f t="shared" si="632"/>
        <v>102.99390205500004</v>
      </c>
      <c r="BR166" s="146">
        <f t="shared" si="632"/>
        <v>102.99390205500004</v>
      </c>
      <c r="BS166" s="147">
        <f t="shared" si="610"/>
        <v>1853.8902369900006</v>
      </c>
      <c r="BT166" s="148">
        <f t="shared" ref="BT166:CE166" si="633">+BT164-BT165</f>
        <v>137.32500000000005</v>
      </c>
      <c r="BU166" s="145">
        <f t="shared" si="633"/>
        <v>137.32500000000005</v>
      </c>
      <c r="BV166" s="145">
        <f t="shared" si="633"/>
        <v>137.32500000000005</v>
      </c>
      <c r="BW166" s="145">
        <f t="shared" si="633"/>
        <v>137.32500000000005</v>
      </c>
      <c r="BX166" s="145">
        <f t="shared" si="633"/>
        <v>137.32500000000005</v>
      </c>
      <c r="BY166" s="145">
        <f t="shared" si="633"/>
        <v>137.32500000000005</v>
      </c>
      <c r="BZ166" s="145">
        <f t="shared" si="633"/>
        <v>137.32500000000005</v>
      </c>
      <c r="CA166" s="145">
        <f t="shared" si="633"/>
        <v>137.32500000000005</v>
      </c>
      <c r="CB166" s="145">
        <f t="shared" si="633"/>
        <v>137.32500000000005</v>
      </c>
      <c r="CC166" s="145">
        <f t="shared" si="633"/>
        <v>137.32500000000005</v>
      </c>
      <c r="CD166" s="145">
        <f t="shared" si="633"/>
        <v>137.32500000000005</v>
      </c>
      <c r="CE166" s="146">
        <f t="shared" si="633"/>
        <v>137.32500000000005</v>
      </c>
      <c r="CF166" s="147">
        <f t="shared" si="611"/>
        <v>1647.9000000000005</v>
      </c>
      <c r="CG166" s="148">
        <f t="shared" ref="CG166:CR166" si="634">+CG164-CG165</f>
        <v>0</v>
      </c>
      <c r="CH166" s="145">
        <f t="shared" si="634"/>
        <v>0</v>
      </c>
      <c r="CI166" s="145">
        <f t="shared" si="634"/>
        <v>0</v>
      </c>
      <c r="CJ166" s="145">
        <f t="shared" si="634"/>
        <v>0</v>
      </c>
      <c r="CK166" s="145">
        <f t="shared" si="634"/>
        <v>0</v>
      </c>
      <c r="CL166" s="145">
        <f t="shared" si="634"/>
        <v>0</v>
      </c>
      <c r="CM166" s="145">
        <f t="shared" si="634"/>
        <v>0</v>
      </c>
      <c r="CN166" s="145">
        <f t="shared" si="634"/>
        <v>0</v>
      </c>
      <c r="CO166" s="145">
        <f t="shared" si="634"/>
        <v>0</v>
      </c>
      <c r="CP166" s="145">
        <f t="shared" si="634"/>
        <v>0</v>
      </c>
      <c r="CQ166" s="145">
        <f t="shared" si="634"/>
        <v>0</v>
      </c>
      <c r="CR166" s="146">
        <f t="shared" si="634"/>
        <v>0</v>
      </c>
      <c r="CS166" s="147">
        <f t="shared" si="612"/>
        <v>0</v>
      </c>
      <c r="CT166" s="148">
        <f t="shared" ref="CT166:DE166" si="635">+CT164-CT165</f>
        <v>0</v>
      </c>
      <c r="CU166" s="145">
        <f t="shared" si="635"/>
        <v>0</v>
      </c>
      <c r="CV166" s="145">
        <f t="shared" si="635"/>
        <v>0</v>
      </c>
      <c r="CW166" s="145">
        <f t="shared" si="635"/>
        <v>0</v>
      </c>
      <c r="CX166" s="145">
        <f t="shared" si="635"/>
        <v>0</v>
      </c>
      <c r="CY166" s="145">
        <f t="shared" si="635"/>
        <v>0</v>
      </c>
      <c r="CZ166" s="145">
        <f t="shared" si="635"/>
        <v>0</v>
      </c>
      <c r="DA166" s="145">
        <f t="shared" si="635"/>
        <v>0</v>
      </c>
      <c r="DB166" s="145">
        <f t="shared" si="635"/>
        <v>0</v>
      </c>
      <c r="DC166" s="145">
        <f t="shared" si="635"/>
        <v>0</v>
      </c>
      <c r="DD166" s="145">
        <f t="shared" si="635"/>
        <v>0</v>
      </c>
      <c r="DE166" s="146">
        <f t="shared" si="635"/>
        <v>0</v>
      </c>
      <c r="DF166" s="147">
        <f t="shared" si="613"/>
        <v>0</v>
      </c>
      <c r="DG166" s="146">
        <f>+DG164-DG165</f>
        <v>0</v>
      </c>
      <c r="DH166" s="98">
        <f t="shared" si="614"/>
        <v>2471.8536493200008</v>
      </c>
      <c r="DI166" s="99">
        <f t="shared" si="615"/>
        <v>0</v>
      </c>
      <c r="DJ166" s="100">
        <f t="shared" si="616"/>
        <v>-2471.8536493200008</v>
      </c>
    </row>
    <row r="167" spans="1:115" ht="15" customHeight="1" outlineLevel="1">
      <c r="A167" s="607"/>
      <c r="B167" s="557" t="s">
        <v>196</v>
      </c>
      <c r="C167" s="246" t="s">
        <v>62</v>
      </c>
      <c r="D167" s="183" t="s">
        <v>122</v>
      </c>
      <c r="E167" s="153">
        <f>AF167+AS167+BF167+BS167+CF167+CS167+DF167+S167+DG167</f>
        <v>88.324705020350223</v>
      </c>
      <c r="F167" s="153"/>
      <c r="G167" s="154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284"/>
      <c r="S167" s="157">
        <f>SUM(G167:R167)</f>
        <v>0</v>
      </c>
      <c r="T167" s="378"/>
      <c r="U167" s="382"/>
      <c r="V167" s="382"/>
      <c r="W167" s="382"/>
      <c r="X167" s="389"/>
      <c r="Y167" s="389"/>
      <c r="Z167" s="389"/>
      <c r="AA167" s="389"/>
      <c r="AB167" s="389">
        <v>17.980844063528171</v>
      </c>
      <c r="AC167" s="389">
        <v>26.256696587449088</v>
      </c>
      <c r="AD167" s="389"/>
      <c r="AE167" s="482"/>
      <c r="AF167" s="157">
        <f t="shared" ref="AF167:AF178" si="636">SUM(T167:AE167)</f>
        <v>44.237540650977259</v>
      </c>
      <c r="AG167" s="500">
        <v>44.087164369372957</v>
      </c>
      <c r="AH167" s="513"/>
      <c r="AI167" s="513"/>
      <c r="AJ167" s="513"/>
      <c r="AK167" s="513"/>
      <c r="AL167" s="513"/>
      <c r="AM167" s="513"/>
      <c r="AN167" s="513"/>
      <c r="AO167" s="513"/>
      <c r="AP167" s="513"/>
      <c r="AQ167" s="513"/>
      <c r="AR167" s="512"/>
      <c r="AS167" s="409">
        <f t="shared" ref="AS167:AS178" si="637">SUM(AG167:AR167)</f>
        <v>44.087164369372957</v>
      </c>
      <c r="AT167" s="500"/>
      <c r="AU167" s="513"/>
      <c r="AV167" s="513"/>
      <c r="AW167" s="513"/>
      <c r="AX167" s="513"/>
      <c r="AY167" s="513"/>
      <c r="AZ167" s="155"/>
      <c r="BA167" s="155"/>
      <c r="BB167" s="155"/>
      <c r="BC167" s="155"/>
      <c r="BD167" s="155"/>
      <c r="BE167" s="156"/>
      <c r="BF167" s="157">
        <f t="shared" ref="BF167:BF178" si="638">SUM(AT167:BE167)</f>
        <v>0</v>
      </c>
      <c r="BG167" s="158"/>
      <c r="BH167" s="155"/>
      <c r="BI167" s="155"/>
      <c r="BJ167" s="155"/>
      <c r="BK167" s="155"/>
      <c r="BL167" s="155"/>
      <c r="BM167" s="155"/>
      <c r="BN167" s="155"/>
      <c r="BO167" s="155"/>
      <c r="BP167" s="155"/>
      <c r="BQ167" s="155"/>
      <c r="BR167" s="156"/>
      <c r="BS167" s="157">
        <f t="shared" ref="BS167:BS178" si="639">SUM(BG167:BR167)</f>
        <v>0</v>
      </c>
      <c r="BT167" s="158"/>
      <c r="BU167" s="155"/>
      <c r="BV167" s="155"/>
      <c r="BW167" s="155"/>
      <c r="BX167" s="155"/>
      <c r="BY167" s="155"/>
      <c r="BZ167" s="155"/>
      <c r="CA167" s="155"/>
      <c r="CB167" s="155"/>
      <c r="CC167" s="155"/>
      <c r="CD167" s="155"/>
      <c r="CE167" s="156"/>
      <c r="CF167" s="157">
        <f t="shared" si="575"/>
        <v>0</v>
      </c>
      <c r="CG167" s="158"/>
      <c r="CH167" s="155"/>
      <c r="CI167" s="155"/>
      <c r="CJ167" s="155"/>
      <c r="CK167" s="155"/>
      <c r="CL167" s="155"/>
      <c r="CM167" s="155"/>
      <c r="CN167" s="155"/>
      <c r="CO167" s="155"/>
      <c r="CP167" s="155"/>
      <c r="CQ167" s="155"/>
      <c r="CR167" s="156"/>
      <c r="CS167" s="157">
        <f t="shared" si="576"/>
        <v>0</v>
      </c>
      <c r="CT167" s="158"/>
      <c r="CU167" s="155"/>
      <c r="CV167" s="155"/>
      <c r="CW167" s="155"/>
      <c r="CX167" s="155"/>
      <c r="CY167" s="155"/>
      <c r="CZ167" s="155"/>
      <c r="DA167" s="155"/>
      <c r="DB167" s="155"/>
      <c r="DC167" s="155"/>
      <c r="DD167" s="155"/>
      <c r="DE167" s="156"/>
      <c r="DF167" s="157">
        <f t="shared" si="577"/>
        <v>0</v>
      </c>
      <c r="DG167" s="280"/>
      <c r="DH167" s="159">
        <f t="shared" ref="DH167:DH178" si="640">+F167+S167+AF167+AS167+BF167+BS167+DG167</f>
        <v>88.324705020350223</v>
      </c>
      <c r="DI167" s="160">
        <f t="shared" ref="DI167:DI178" si="641">+E167</f>
        <v>88.324705020350223</v>
      </c>
      <c r="DJ167" s="161">
        <f t="shared" ref="DJ167:DJ178" si="642">+DI167-DH167</f>
        <v>0</v>
      </c>
    </row>
    <row r="168" spans="1:115" ht="15" customHeight="1" outlineLevel="1">
      <c r="A168" s="607"/>
      <c r="B168" s="560"/>
      <c r="C168" s="245" t="s">
        <v>63</v>
      </c>
      <c r="D168" s="184" t="s">
        <v>124</v>
      </c>
      <c r="E168" s="136">
        <f>AF168+AS168+BF168+BS168+CF168+CS168+DF168+S168+DG168</f>
        <v>64.880511011411514</v>
      </c>
      <c r="F168" s="136"/>
      <c r="G168" s="137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9"/>
      <c r="S168" s="162">
        <f>SUM(G168:R168)</f>
        <v>0</v>
      </c>
      <c r="T168" s="380"/>
      <c r="U168" s="381"/>
      <c r="V168" s="381"/>
      <c r="W168" s="381"/>
      <c r="X168" s="388"/>
      <c r="Y168" s="388"/>
      <c r="Z168" s="388"/>
      <c r="AA168" s="388"/>
      <c r="AB168" s="388">
        <v>24.002225923067549</v>
      </c>
      <c r="AC168" s="388">
        <v>17.524738028391791</v>
      </c>
      <c r="AD168" s="388">
        <v>5.6982566448458076</v>
      </c>
      <c r="AE168" s="483"/>
      <c r="AF168" s="162">
        <f t="shared" si="636"/>
        <v>47.225220596305142</v>
      </c>
      <c r="AG168" s="501">
        <v>17.655290415106368</v>
      </c>
      <c r="AH168" s="499"/>
      <c r="AI168" s="499"/>
      <c r="AJ168" s="499"/>
      <c r="AK168" s="499"/>
      <c r="AL168" s="499"/>
      <c r="AM168" s="499"/>
      <c r="AN168" s="499"/>
      <c r="AO168" s="499"/>
      <c r="AP168" s="499"/>
      <c r="AQ168" s="499"/>
      <c r="AR168" s="511"/>
      <c r="AS168" s="410">
        <f t="shared" si="637"/>
        <v>17.655290415106368</v>
      </c>
      <c r="AT168" s="501"/>
      <c r="AU168" s="499"/>
      <c r="AV168" s="499"/>
      <c r="AW168" s="499"/>
      <c r="AX168" s="499"/>
      <c r="AY168" s="499"/>
      <c r="AZ168" s="138"/>
      <c r="BA168" s="138"/>
      <c r="BB168" s="138"/>
      <c r="BC168" s="138"/>
      <c r="BD168" s="138"/>
      <c r="BE168" s="139"/>
      <c r="BF168" s="162">
        <f t="shared" si="638"/>
        <v>0</v>
      </c>
      <c r="BG168" s="141"/>
      <c r="BH168" s="138"/>
      <c r="BI168" s="138"/>
      <c r="BJ168" s="138"/>
      <c r="BK168" s="138"/>
      <c r="BL168" s="138"/>
      <c r="BM168" s="138"/>
      <c r="BN168" s="138"/>
      <c r="BO168" s="138"/>
      <c r="BP168" s="138"/>
      <c r="BQ168" s="138"/>
      <c r="BR168" s="139"/>
      <c r="BS168" s="162">
        <f t="shared" si="639"/>
        <v>0</v>
      </c>
      <c r="BT168" s="141"/>
      <c r="BU168" s="138"/>
      <c r="BV168" s="138"/>
      <c r="BW168" s="138"/>
      <c r="BX168" s="138"/>
      <c r="BY168" s="138"/>
      <c r="BZ168" s="138"/>
      <c r="CA168" s="138"/>
      <c r="CB168" s="138"/>
      <c r="CC168" s="138"/>
      <c r="CD168" s="138"/>
      <c r="CE168" s="139"/>
      <c r="CF168" s="162">
        <f t="shared" si="575"/>
        <v>0</v>
      </c>
      <c r="CG168" s="141"/>
      <c r="CH168" s="138"/>
      <c r="CI168" s="138"/>
      <c r="CJ168" s="138"/>
      <c r="CK168" s="138"/>
      <c r="CL168" s="138"/>
      <c r="CM168" s="138"/>
      <c r="CN168" s="138"/>
      <c r="CO168" s="138"/>
      <c r="CP168" s="138"/>
      <c r="CQ168" s="138"/>
      <c r="CR168" s="139"/>
      <c r="CS168" s="162">
        <f t="shared" si="576"/>
        <v>0</v>
      </c>
      <c r="CT168" s="141"/>
      <c r="CU168" s="138"/>
      <c r="CV168" s="138"/>
      <c r="CW168" s="138"/>
      <c r="CX168" s="138"/>
      <c r="CY168" s="138"/>
      <c r="CZ168" s="138"/>
      <c r="DA168" s="138"/>
      <c r="DB168" s="138"/>
      <c r="DC168" s="138"/>
      <c r="DD168" s="138"/>
      <c r="DE168" s="139"/>
      <c r="DF168" s="162">
        <f t="shared" si="577"/>
        <v>0</v>
      </c>
      <c r="DG168" s="279"/>
      <c r="DH168" s="90">
        <f t="shared" si="640"/>
        <v>64.880511011411514</v>
      </c>
      <c r="DI168" s="91">
        <f t="shared" si="641"/>
        <v>64.880511011411514</v>
      </c>
      <c r="DJ168" s="92">
        <f t="shared" si="642"/>
        <v>0</v>
      </c>
      <c r="DK168" s="64">
        <f>+DH168/DH167</f>
        <v>0.73456810296125974</v>
      </c>
    </row>
    <row r="169" spans="1:115" ht="15" customHeight="1" outlineLevel="1">
      <c r="A169" s="607"/>
      <c r="B169" s="561"/>
      <c r="C169" s="554" t="s">
        <v>11</v>
      </c>
      <c r="D169" s="555"/>
      <c r="E169" s="143">
        <v>47.072000000000003</v>
      </c>
      <c r="F169" s="144">
        <f t="shared" ref="F169:R169" si="643">+F167-F168</f>
        <v>0</v>
      </c>
      <c r="G169" s="145">
        <f t="shared" si="643"/>
        <v>0</v>
      </c>
      <c r="H169" s="145">
        <f t="shared" si="643"/>
        <v>0</v>
      </c>
      <c r="I169" s="145">
        <f t="shared" si="643"/>
        <v>0</v>
      </c>
      <c r="J169" s="145">
        <f t="shared" si="643"/>
        <v>0</v>
      </c>
      <c r="K169" s="145">
        <f t="shared" si="643"/>
        <v>0</v>
      </c>
      <c r="L169" s="145">
        <f t="shared" si="643"/>
        <v>0</v>
      </c>
      <c r="M169" s="145">
        <f t="shared" si="643"/>
        <v>0</v>
      </c>
      <c r="N169" s="145">
        <f t="shared" si="643"/>
        <v>0</v>
      </c>
      <c r="O169" s="145">
        <f t="shared" si="643"/>
        <v>0</v>
      </c>
      <c r="P169" s="145">
        <f t="shared" si="643"/>
        <v>0</v>
      </c>
      <c r="Q169" s="145">
        <f t="shared" si="643"/>
        <v>0</v>
      </c>
      <c r="R169" s="146">
        <f t="shared" si="643"/>
        <v>0</v>
      </c>
      <c r="S169" s="147">
        <f>SUM(G169:R169)</f>
        <v>0</v>
      </c>
      <c r="T169" s="148">
        <f t="shared" ref="T169:AE169" si="644">+T167-T168</f>
        <v>0</v>
      </c>
      <c r="U169" s="145">
        <f t="shared" si="644"/>
        <v>0</v>
      </c>
      <c r="V169" s="145">
        <f t="shared" si="644"/>
        <v>0</v>
      </c>
      <c r="W169" s="145">
        <f t="shared" si="644"/>
        <v>0</v>
      </c>
      <c r="X169" s="145">
        <f t="shared" si="644"/>
        <v>0</v>
      </c>
      <c r="Y169" s="145">
        <f t="shared" si="644"/>
        <v>0</v>
      </c>
      <c r="Z169" s="145">
        <f t="shared" si="644"/>
        <v>0</v>
      </c>
      <c r="AA169" s="145">
        <f t="shared" si="644"/>
        <v>0</v>
      </c>
      <c r="AB169" s="145">
        <f t="shared" si="644"/>
        <v>-6.0213818595393782</v>
      </c>
      <c r="AC169" s="145">
        <f t="shared" si="644"/>
        <v>8.731958559057297</v>
      </c>
      <c r="AD169" s="145">
        <f t="shared" si="644"/>
        <v>-5.6982566448458076</v>
      </c>
      <c r="AE169" s="146">
        <f t="shared" si="644"/>
        <v>0</v>
      </c>
      <c r="AF169" s="147">
        <f t="shared" si="636"/>
        <v>-2.9876799453278888</v>
      </c>
      <c r="AG169" s="148">
        <f t="shared" ref="AG169:AR169" si="645">+AG167-AG168</f>
        <v>26.431873954266589</v>
      </c>
      <c r="AH169" s="145">
        <f t="shared" si="645"/>
        <v>0</v>
      </c>
      <c r="AI169" s="145">
        <f t="shared" si="645"/>
        <v>0</v>
      </c>
      <c r="AJ169" s="145">
        <f t="shared" si="645"/>
        <v>0</v>
      </c>
      <c r="AK169" s="145">
        <f t="shared" si="645"/>
        <v>0</v>
      </c>
      <c r="AL169" s="145">
        <f t="shared" si="645"/>
        <v>0</v>
      </c>
      <c r="AM169" s="145">
        <f t="shared" si="645"/>
        <v>0</v>
      </c>
      <c r="AN169" s="145">
        <f t="shared" si="645"/>
        <v>0</v>
      </c>
      <c r="AO169" s="145">
        <f t="shared" si="645"/>
        <v>0</v>
      </c>
      <c r="AP169" s="145">
        <f t="shared" si="645"/>
        <v>0</v>
      </c>
      <c r="AQ169" s="145">
        <f t="shared" si="645"/>
        <v>0</v>
      </c>
      <c r="AR169" s="146">
        <f t="shared" si="645"/>
        <v>0</v>
      </c>
      <c r="AS169" s="408">
        <f t="shared" si="637"/>
        <v>26.431873954266589</v>
      </c>
      <c r="AT169" s="148">
        <f t="shared" ref="AT169:BE169" si="646">+AT167-AT168</f>
        <v>0</v>
      </c>
      <c r="AU169" s="145">
        <f t="shared" si="646"/>
        <v>0</v>
      </c>
      <c r="AV169" s="145">
        <f t="shared" si="646"/>
        <v>0</v>
      </c>
      <c r="AW169" s="145">
        <f t="shared" si="646"/>
        <v>0</v>
      </c>
      <c r="AX169" s="145">
        <f t="shared" si="646"/>
        <v>0</v>
      </c>
      <c r="AY169" s="145">
        <f t="shared" si="646"/>
        <v>0</v>
      </c>
      <c r="AZ169" s="145">
        <f t="shared" si="646"/>
        <v>0</v>
      </c>
      <c r="BA169" s="145">
        <f t="shared" si="646"/>
        <v>0</v>
      </c>
      <c r="BB169" s="145">
        <f t="shared" si="646"/>
        <v>0</v>
      </c>
      <c r="BC169" s="145">
        <f t="shared" si="646"/>
        <v>0</v>
      </c>
      <c r="BD169" s="145">
        <f t="shared" si="646"/>
        <v>0</v>
      </c>
      <c r="BE169" s="146">
        <f t="shared" si="646"/>
        <v>0</v>
      </c>
      <c r="BF169" s="147">
        <f t="shared" si="638"/>
        <v>0</v>
      </c>
      <c r="BG169" s="148">
        <f t="shared" ref="BG169:BR169" si="647">+BG167-BG168</f>
        <v>0</v>
      </c>
      <c r="BH169" s="145">
        <f t="shared" si="647"/>
        <v>0</v>
      </c>
      <c r="BI169" s="145">
        <f t="shared" si="647"/>
        <v>0</v>
      </c>
      <c r="BJ169" s="145">
        <f t="shared" si="647"/>
        <v>0</v>
      </c>
      <c r="BK169" s="145">
        <f t="shared" si="647"/>
        <v>0</v>
      </c>
      <c r="BL169" s="145">
        <f t="shared" si="647"/>
        <v>0</v>
      </c>
      <c r="BM169" s="145">
        <f t="shared" si="647"/>
        <v>0</v>
      </c>
      <c r="BN169" s="145">
        <f t="shared" si="647"/>
        <v>0</v>
      </c>
      <c r="BO169" s="145">
        <f t="shared" si="647"/>
        <v>0</v>
      </c>
      <c r="BP169" s="145">
        <f t="shared" si="647"/>
        <v>0</v>
      </c>
      <c r="BQ169" s="145">
        <f t="shared" si="647"/>
        <v>0</v>
      </c>
      <c r="BR169" s="146">
        <f t="shared" si="647"/>
        <v>0</v>
      </c>
      <c r="BS169" s="147">
        <f t="shared" si="639"/>
        <v>0</v>
      </c>
      <c r="BT169" s="148">
        <f t="shared" ref="BT169:CE169" si="648">+BT167-BT168</f>
        <v>0</v>
      </c>
      <c r="BU169" s="145">
        <f t="shared" si="648"/>
        <v>0</v>
      </c>
      <c r="BV169" s="145">
        <f t="shared" si="648"/>
        <v>0</v>
      </c>
      <c r="BW169" s="145">
        <f t="shared" si="648"/>
        <v>0</v>
      </c>
      <c r="BX169" s="145">
        <f t="shared" si="648"/>
        <v>0</v>
      </c>
      <c r="BY169" s="145">
        <f t="shared" si="648"/>
        <v>0</v>
      </c>
      <c r="BZ169" s="145">
        <f t="shared" si="648"/>
        <v>0</v>
      </c>
      <c r="CA169" s="145">
        <f t="shared" si="648"/>
        <v>0</v>
      </c>
      <c r="CB169" s="145">
        <f t="shared" si="648"/>
        <v>0</v>
      </c>
      <c r="CC169" s="145">
        <f t="shared" si="648"/>
        <v>0</v>
      </c>
      <c r="CD169" s="145">
        <f t="shared" si="648"/>
        <v>0</v>
      </c>
      <c r="CE169" s="146">
        <f t="shared" si="648"/>
        <v>0</v>
      </c>
      <c r="CF169" s="147">
        <f t="shared" si="575"/>
        <v>0</v>
      </c>
      <c r="CG169" s="148">
        <f t="shared" ref="CG169:CR169" si="649">+CG167-CG168</f>
        <v>0</v>
      </c>
      <c r="CH169" s="145">
        <f t="shared" si="649"/>
        <v>0</v>
      </c>
      <c r="CI169" s="145">
        <f t="shared" si="649"/>
        <v>0</v>
      </c>
      <c r="CJ169" s="145">
        <f t="shared" si="649"/>
        <v>0</v>
      </c>
      <c r="CK169" s="145">
        <f t="shared" si="649"/>
        <v>0</v>
      </c>
      <c r="CL169" s="145">
        <f t="shared" si="649"/>
        <v>0</v>
      </c>
      <c r="CM169" s="145">
        <f t="shared" si="649"/>
        <v>0</v>
      </c>
      <c r="CN169" s="145">
        <f t="shared" si="649"/>
        <v>0</v>
      </c>
      <c r="CO169" s="145">
        <f t="shared" si="649"/>
        <v>0</v>
      </c>
      <c r="CP169" s="145">
        <f t="shared" si="649"/>
        <v>0</v>
      </c>
      <c r="CQ169" s="145">
        <f t="shared" si="649"/>
        <v>0</v>
      </c>
      <c r="CR169" s="146">
        <f t="shared" si="649"/>
        <v>0</v>
      </c>
      <c r="CS169" s="147">
        <f t="shared" si="576"/>
        <v>0</v>
      </c>
      <c r="CT169" s="148">
        <f t="shared" ref="CT169:DE169" si="650">+CT167-CT168</f>
        <v>0</v>
      </c>
      <c r="CU169" s="145">
        <f t="shared" si="650"/>
        <v>0</v>
      </c>
      <c r="CV169" s="145">
        <f t="shared" si="650"/>
        <v>0</v>
      </c>
      <c r="CW169" s="145">
        <f t="shared" si="650"/>
        <v>0</v>
      </c>
      <c r="CX169" s="145">
        <f t="shared" si="650"/>
        <v>0</v>
      </c>
      <c r="CY169" s="145">
        <f t="shared" si="650"/>
        <v>0</v>
      </c>
      <c r="CZ169" s="145">
        <f t="shared" si="650"/>
        <v>0</v>
      </c>
      <c r="DA169" s="145">
        <f t="shared" si="650"/>
        <v>0</v>
      </c>
      <c r="DB169" s="145">
        <f t="shared" si="650"/>
        <v>0</v>
      </c>
      <c r="DC169" s="145">
        <f t="shared" si="650"/>
        <v>0</v>
      </c>
      <c r="DD169" s="145">
        <f t="shared" si="650"/>
        <v>0</v>
      </c>
      <c r="DE169" s="146">
        <f t="shared" si="650"/>
        <v>0</v>
      </c>
      <c r="DF169" s="147">
        <f t="shared" si="577"/>
        <v>0</v>
      </c>
      <c r="DG169" s="146">
        <f>+DG167-DG168</f>
        <v>0</v>
      </c>
      <c r="DH169" s="98">
        <f t="shared" si="640"/>
        <v>23.444194008938702</v>
      </c>
      <c r="DI169" s="99">
        <f t="shared" si="641"/>
        <v>47.072000000000003</v>
      </c>
      <c r="DJ169" s="100">
        <f t="shared" si="642"/>
        <v>23.627805991061301</v>
      </c>
    </row>
    <row r="170" spans="1:115" ht="15" customHeight="1" outlineLevel="1">
      <c r="A170" s="607"/>
      <c r="B170" s="557" t="s">
        <v>339</v>
      </c>
      <c r="C170" s="246" t="s">
        <v>62</v>
      </c>
      <c r="D170" s="183" t="s">
        <v>122</v>
      </c>
      <c r="E170" s="153">
        <f>AF170+AS170+BF170+BS170+CF170+CS170+DF170+S170+DG170</f>
        <v>373.29150958900448</v>
      </c>
      <c r="F170" s="153"/>
      <c r="G170" s="154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284"/>
      <c r="S170" s="157"/>
      <c r="T170" s="378"/>
      <c r="U170" s="382"/>
      <c r="V170" s="382"/>
      <c r="W170" s="382"/>
      <c r="X170" s="382"/>
      <c r="Y170" s="382"/>
      <c r="Z170" s="382"/>
      <c r="AA170" s="382"/>
      <c r="AB170" s="382"/>
      <c r="AC170" s="382"/>
      <c r="AD170" s="382"/>
      <c r="AE170" s="481"/>
      <c r="AF170" s="157">
        <f t="shared" ref="AF170:AF175" si="651">SUM(T170:AE170)</f>
        <v>0</v>
      </c>
      <c r="AG170" s="500"/>
      <c r="AH170" s="513"/>
      <c r="AI170" s="513">
        <v>38.05509318954401</v>
      </c>
      <c r="AJ170" s="513">
        <v>62.401107138738318</v>
      </c>
      <c r="AK170" s="513"/>
      <c r="AL170" s="513"/>
      <c r="AM170" s="513"/>
      <c r="AN170" s="513"/>
      <c r="AO170" s="513"/>
      <c r="AP170" s="513"/>
      <c r="AQ170" s="513">
        <v>24.601068465123326</v>
      </c>
      <c r="AR170" s="512"/>
      <c r="AS170" s="409">
        <f t="shared" ref="AS170:AS175" si="652">SUM(AG170:AR170)</f>
        <v>125.05726879340565</v>
      </c>
      <c r="AT170" s="500">
        <v>248.23424079559879</v>
      </c>
      <c r="AU170" s="513"/>
      <c r="AV170" s="513"/>
      <c r="AW170" s="513"/>
      <c r="AX170" s="513"/>
      <c r="AY170" s="513"/>
      <c r="AZ170" s="155"/>
      <c r="BA170" s="155"/>
      <c r="BB170" s="155"/>
      <c r="BC170" s="155"/>
      <c r="BD170" s="155"/>
      <c r="BE170" s="285"/>
      <c r="BF170" s="157">
        <f t="shared" ref="BF170:BF175" si="653">SUM(AT170:BE170)</f>
        <v>248.23424079559879</v>
      </c>
      <c r="BG170" s="359"/>
      <c r="BH170" s="283"/>
      <c r="BI170" s="283"/>
      <c r="BJ170" s="283"/>
      <c r="BK170" s="283"/>
      <c r="BL170" s="283"/>
      <c r="BM170" s="283"/>
      <c r="BN170" s="283"/>
      <c r="BO170" s="283"/>
      <c r="BP170" s="283"/>
      <c r="BQ170" s="283"/>
      <c r="BR170" s="285"/>
      <c r="BS170" s="157">
        <f t="shared" ref="BS170:BS175" si="654">SUM(BG170:BR170)</f>
        <v>0</v>
      </c>
      <c r="BT170" s="359"/>
      <c r="BU170" s="283"/>
      <c r="BV170" s="283"/>
      <c r="BW170" s="283"/>
      <c r="BX170" s="283"/>
      <c r="BY170" s="283"/>
      <c r="BZ170" s="283"/>
      <c r="CA170" s="283"/>
      <c r="CB170" s="283"/>
      <c r="CC170" s="283"/>
      <c r="CD170" s="283"/>
      <c r="CE170" s="285"/>
      <c r="CF170" s="157">
        <f t="shared" ref="CF170:CF175" si="655">SUM(BT170:CE170)</f>
        <v>0</v>
      </c>
      <c r="CG170" s="359"/>
      <c r="CH170" s="283"/>
      <c r="CI170" s="283"/>
      <c r="CJ170" s="283"/>
      <c r="CK170" s="283"/>
      <c r="CL170" s="283"/>
      <c r="CM170" s="283"/>
      <c r="CN170" s="283"/>
      <c r="CO170" s="283"/>
      <c r="CP170" s="283"/>
      <c r="CQ170" s="283"/>
      <c r="CR170" s="285"/>
      <c r="CS170" s="157">
        <f t="shared" ref="CS170:CS175" si="656">SUM(CG170:CR170)</f>
        <v>0</v>
      </c>
      <c r="CT170" s="359"/>
      <c r="CU170" s="283"/>
      <c r="CV170" s="283"/>
      <c r="CW170" s="283"/>
      <c r="CX170" s="283"/>
      <c r="CY170" s="283"/>
      <c r="CZ170" s="283"/>
      <c r="DA170" s="283"/>
      <c r="DB170" s="283"/>
      <c r="DC170" s="283"/>
      <c r="DD170" s="283"/>
      <c r="DE170" s="285"/>
      <c r="DF170" s="157">
        <f t="shared" si="577"/>
        <v>0</v>
      </c>
      <c r="DG170" s="280"/>
      <c r="DH170" s="159">
        <f t="shared" ref="DH170:DH175" si="657">+F170+S170+AF170+AS170+BF170+BS170+DG170</f>
        <v>373.29150958900448</v>
      </c>
      <c r="DI170" s="160">
        <f t="shared" ref="DI170:DI175" si="658">+E170</f>
        <v>373.29150958900448</v>
      </c>
      <c r="DJ170" s="161">
        <f t="shared" ref="DJ170:DJ175" si="659">+DI170-DH170</f>
        <v>0</v>
      </c>
    </row>
    <row r="171" spans="1:115" ht="15" customHeight="1" outlineLevel="1">
      <c r="A171" s="607"/>
      <c r="B171" s="560"/>
      <c r="C171" s="245" t="s">
        <v>63</v>
      </c>
      <c r="D171" s="184" t="s">
        <v>124</v>
      </c>
      <c r="E171" s="136">
        <f>AF171+AS171+BF171+BS171+CF171+CS171+DF171+S171+DG171</f>
        <v>85.297062187461009</v>
      </c>
      <c r="F171" s="136"/>
      <c r="G171" s="137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9"/>
      <c r="S171" s="162"/>
      <c r="T171" s="380"/>
      <c r="U171" s="381"/>
      <c r="V171" s="381"/>
      <c r="W171" s="381"/>
      <c r="X171" s="381"/>
      <c r="Y171" s="381"/>
      <c r="Z171" s="381"/>
      <c r="AA171" s="381"/>
      <c r="AB171" s="381"/>
      <c r="AC171" s="381"/>
      <c r="AD171" s="381"/>
      <c r="AE171" s="392"/>
      <c r="AF171" s="162">
        <f t="shared" si="651"/>
        <v>0</v>
      </c>
      <c r="AG171" s="501"/>
      <c r="AH171" s="499"/>
      <c r="AI171" s="499">
        <v>34.501934122611651</v>
      </c>
      <c r="AJ171" s="499">
        <v>42.431092146234569</v>
      </c>
      <c r="AK171" s="499"/>
      <c r="AL171" s="499"/>
      <c r="AM171" s="499"/>
      <c r="AN171" s="499"/>
      <c r="AO171" s="499"/>
      <c r="AP171" s="499"/>
      <c r="AQ171" s="499">
        <v>8.3640359186147837</v>
      </c>
      <c r="AR171" s="511"/>
      <c r="AS171" s="410">
        <f t="shared" si="652"/>
        <v>85.297062187461009</v>
      </c>
      <c r="AT171" s="501"/>
      <c r="AU171" s="499"/>
      <c r="AV171" s="499"/>
      <c r="AW171" s="499"/>
      <c r="AX171" s="499"/>
      <c r="AY171" s="499"/>
      <c r="AZ171" s="138"/>
      <c r="BA171" s="138"/>
      <c r="BB171" s="138"/>
      <c r="BC171" s="138"/>
      <c r="BD171" s="138"/>
      <c r="BE171" s="338"/>
      <c r="BF171" s="162">
        <f t="shared" si="653"/>
        <v>0</v>
      </c>
      <c r="BG171" s="353"/>
      <c r="BH171" s="253"/>
      <c r="BI171" s="253"/>
      <c r="BJ171" s="253"/>
      <c r="BK171" s="253"/>
      <c r="BL171" s="253"/>
      <c r="BM171" s="253"/>
      <c r="BN171" s="253"/>
      <c r="BO171" s="253"/>
      <c r="BP171" s="253"/>
      <c r="BQ171" s="253"/>
      <c r="BR171" s="338"/>
      <c r="BS171" s="162">
        <f t="shared" si="654"/>
        <v>0</v>
      </c>
      <c r="BT171" s="353"/>
      <c r="BU171" s="253"/>
      <c r="BV171" s="253"/>
      <c r="BW171" s="253"/>
      <c r="BX171" s="253"/>
      <c r="BY171" s="253"/>
      <c r="BZ171" s="253"/>
      <c r="CA171" s="253"/>
      <c r="CB171" s="253"/>
      <c r="CC171" s="253"/>
      <c r="CD171" s="253"/>
      <c r="CE171" s="338"/>
      <c r="CF171" s="162">
        <f t="shared" si="655"/>
        <v>0</v>
      </c>
      <c r="CG171" s="353"/>
      <c r="CH171" s="353"/>
      <c r="CI171" s="353"/>
      <c r="CJ171" s="353"/>
      <c r="CK171" s="353"/>
      <c r="CL171" s="253"/>
      <c r="CM171" s="253"/>
      <c r="CN171" s="253"/>
      <c r="CO171" s="253"/>
      <c r="CP171" s="253"/>
      <c r="CQ171" s="253"/>
      <c r="CR171" s="338"/>
      <c r="CS171" s="162">
        <f t="shared" si="656"/>
        <v>0</v>
      </c>
      <c r="CT171" s="353"/>
      <c r="CU171" s="353"/>
      <c r="CV171" s="353"/>
      <c r="CW171" s="353"/>
      <c r="CX171" s="353"/>
      <c r="CY171" s="253"/>
      <c r="CZ171" s="253"/>
      <c r="DA171" s="253"/>
      <c r="DB171" s="253"/>
      <c r="DC171" s="253"/>
      <c r="DD171" s="253"/>
      <c r="DE171" s="338"/>
      <c r="DF171" s="162">
        <f t="shared" si="577"/>
        <v>0</v>
      </c>
      <c r="DG171" s="279"/>
      <c r="DH171" s="90">
        <f t="shared" si="657"/>
        <v>85.297062187461009</v>
      </c>
      <c r="DI171" s="91">
        <f t="shared" si="658"/>
        <v>85.297062187461009</v>
      </c>
      <c r="DJ171" s="92">
        <f t="shared" si="659"/>
        <v>0</v>
      </c>
      <c r="DK171" s="64">
        <f>+DH171/DH170</f>
        <v>0.22849987207416914</v>
      </c>
    </row>
    <row r="172" spans="1:115" ht="15" customHeight="1" outlineLevel="1">
      <c r="A172" s="607"/>
      <c r="B172" s="561"/>
      <c r="C172" s="357" t="s">
        <v>11</v>
      </c>
      <c r="D172" s="358"/>
      <c r="E172" s="143">
        <f t="shared" ref="E172:R172" si="660">+E170-E171</f>
        <v>287.99444740154348</v>
      </c>
      <c r="F172" s="144">
        <f t="shared" si="660"/>
        <v>0</v>
      </c>
      <c r="G172" s="145">
        <f t="shared" si="660"/>
        <v>0</v>
      </c>
      <c r="H172" s="145">
        <f t="shared" si="660"/>
        <v>0</v>
      </c>
      <c r="I172" s="145">
        <f t="shared" si="660"/>
        <v>0</v>
      </c>
      <c r="J172" s="145">
        <f t="shared" si="660"/>
        <v>0</v>
      </c>
      <c r="K172" s="145">
        <f t="shared" si="660"/>
        <v>0</v>
      </c>
      <c r="L172" s="145">
        <f t="shared" si="660"/>
        <v>0</v>
      </c>
      <c r="M172" s="145">
        <f t="shared" si="660"/>
        <v>0</v>
      </c>
      <c r="N172" s="145">
        <f t="shared" si="660"/>
        <v>0</v>
      </c>
      <c r="O172" s="145">
        <f t="shared" si="660"/>
        <v>0</v>
      </c>
      <c r="P172" s="145">
        <f t="shared" si="660"/>
        <v>0</v>
      </c>
      <c r="Q172" s="145">
        <f t="shared" si="660"/>
        <v>0</v>
      </c>
      <c r="R172" s="146">
        <f t="shared" si="660"/>
        <v>0</v>
      </c>
      <c r="S172" s="147"/>
      <c r="T172" s="148">
        <f t="shared" ref="T172:AE172" si="661">+T170-T171</f>
        <v>0</v>
      </c>
      <c r="U172" s="145">
        <f t="shared" si="661"/>
        <v>0</v>
      </c>
      <c r="V172" s="145">
        <f t="shared" si="661"/>
        <v>0</v>
      </c>
      <c r="W172" s="145">
        <f t="shared" si="661"/>
        <v>0</v>
      </c>
      <c r="X172" s="145">
        <f t="shared" si="661"/>
        <v>0</v>
      </c>
      <c r="Y172" s="145">
        <f t="shared" si="661"/>
        <v>0</v>
      </c>
      <c r="Z172" s="145">
        <f t="shared" si="661"/>
        <v>0</v>
      </c>
      <c r="AA172" s="145">
        <f t="shared" si="661"/>
        <v>0</v>
      </c>
      <c r="AB172" s="145">
        <f t="shared" si="661"/>
        <v>0</v>
      </c>
      <c r="AC172" s="145">
        <f t="shared" si="661"/>
        <v>0</v>
      </c>
      <c r="AD172" s="145">
        <f t="shared" si="661"/>
        <v>0</v>
      </c>
      <c r="AE172" s="146">
        <f t="shared" si="661"/>
        <v>0</v>
      </c>
      <c r="AF172" s="147">
        <f t="shared" si="651"/>
        <v>0</v>
      </c>
      <c r="AG172" s="148">
        <f t="shared" ref="AG172:AR172" si="662">+AG170-AG171</f>
        <v>0</v>
      </c>
      <c r="AH172" s="145">
        <f t="shared" si="662"/>
        <v>0</v>
      </c>
      <c r="AI172" s="145">
        <f t="shared" si="662"/>
        <v>3.5531590669323592</v>
      </c>
      <c r="AJ172" s="145">
        <f t="shared" si="662"/>
        <v>19.970014992503749</v>
      </c>
      <c r="AK172" s="145">
        <f t="shared" si="662"/>
        <v>0</v>
      </c>
      <c r="AL172" s="145">
        <f t="shared" si="662"/>
        <v>0</v>
      </c>
      <c r="AM172" s="145">
        <f t="shared" si="662"/>
        <v>0</v>
      </c>
      <c r="AN172" s="145">
        <f t="shared" si="662"/>
        <v>0</v>
      </c>
      <c r="AO172" s="145">
        <f t="shared" si="662"/>
        <v>0</v>
      </c>
      <c r="AP172" s="145">
        <f t="shared" si="662"/>
        <v>0</v>
      </c>
      <c r="AQ172" s="145">
        <f t="shared" si="662"/>
        <v>16.237032546508544</v>
      </c>
      <c r="AR172" s="146">
        <f t="shared" si="662"/>
        <v>0</v>
      </c>
      <c r="AS172" s="408">
        <f t="shared" si="652"/>
        <v>39.760206605944653</v>
      </c>
      <c r="AT172" s="148">
        <f t="shared" ref="AT172:BE172" si="663">+AT170-AT171</f>
        <v>248.23424079559879</v>
      </c>
      <c r="AU172" s="145">
        <f t="shared" si="663"/>
        <v>0</v>
      </c>
      <c r="AV172" s="145">
        <f t="shared" si="663"/>
        <v>0</v>
      </c>
      <c r="AW172" s="145">
        <f t="shared" si="663"/>
        <v>0</v>
      </c>
      <c r="AX172" s="145">
        <f t="shared" si="663"/>
        <v>0</v>
      </c>
      <c r="AY172" s="145">
        <f t="shared" si="663"/>
        <v>0</v>
      </c>
      <c r="AZ172" s="145">
        <f t="shared" si="663"/>
        <v>0</v>
      </c>
      <c r="BA172" s="145">
        <f t="shared" si="663"/>
        <v>0</v>
      </c>
      <c r="BB172" s="145">
        <f t="shared" si="663"/>
        <v>0</v>
      </c>
      <c r="BC172" s="145">
        <f t="shared" si="663"/>
        <v>0</v>
      </c>
      <c r="BD172" s="145">
        <f t="shared" si="663"/>
        <v>0</v>
      </c>
      <c r="BE172" s="146">
        <f t="shared" si="663"/>
        <v>0</v>
      </c>
      <c r="BF172" s="147">
        <f t="shared" si="653"/>
        <v>248.23424079559879</v>
      </c>
      <c r="BG172" s="148">
        <f t="shared" ref="BG172:BR172" si="664">+BG170-BG171</f>
        <v>0</v>
      </c>
      <c r="BH172" s="145">
        <f t="shared" si="664"/>
        <v>0</v>
      </c>
      <c r="BI172" s="145">
        <f t="shared" si="664"/>
        <v>0</v>
      </c>
      <c r="BJ172" s="145">
        <f t="shared" si="664"/>
        <v>0</v>
      </c>
      <c r="BK172" s="145">
        <f t="shared" si="664"/>
        <v>0</v>
      </c>
      <c r="BL172" s="145">
        <f t="shared" si="664"/>
        <v>0</v>
      </c>
      <c r="BM172" s="145">
        <f t="shared" si="664"/>
        <v>0</v>
      </c>
      <c r="BN172" s="145">
        <f t="shared" si="664"/>
        <v>0</v>
      </c>
      <c r="BO172" s="145">
        <f t="shared" si="664"/>
        <v>0</v>
      </c>
      <c r="BP172" s="145">
        <f t="shared" si="664"/>
        <v>0</v>
      </c>
      <c r="BQ172" s="145">
        <f t="shared" si="664"/>
        <v>0</v>
      </c>
      <c r="BR172" s="146">
        <f t="shared" si="664"/>
        <v>0</v>
      </c>
      <c r="BS172" s="147">
        <f t="shared" si="654"/>
        <v>0</v>
      </c>
      <c r="BT172" s="148">
        <f t="shared" ref="BT172:CE172" si="665">+BT170-BT171</f>
        <v>0</v>
      </c>
      <c r="BU172" s="145">
        <f t="shared" si="665"/>
        <v>0</v>
      </c>
      <c r="BV172" s="145">
        <f t="shared" si="665"/>
        <v>0</v>
      </c>
      <c r="BW172" s="145">
        <f t="shared" si="665"/>
        <v>0</v>
      </c>
      <c r="BX172" s="145">
        <f t="shared" si="665"/>
        <v>0</v>
      </c>
      <c r="BY172" s="145">
        <f t="shared" si="665"/>
        <v>0</v>
      </c>
      <c r="BZ172" s="145">
        <f t="shared" si="665"/>
        <v>0</v>
      </c>
      <c r="CA172" s="145">
        <f t="shared" si="665"/>
        <v>0</v>
      </c>
      <c r="CB172" s="145">
        <f t="shared" si="665"/>
        <v>0</v>
      </c>
      <c r="CC172" s="145">
        <f t="shared" si="665"/>
        <v>0</v>
      </c>
      <c r="CD172" s="145">
        <f t="shared" si="665"/>
        <v>0</v>
      </c>
      <c r="CE172" s="146">
        <f t="shared" si="665"/>
        <v>0</v>
      </c>
      <c r="CF172" s="147">
        <f t="shared" si="655"/>
        <v>0</v>
      </c>
      <c r="CG172" s="148">
        <f t="shared" ref="CG172:CR172" si="666">+CG170-CG171</f>
        <v>0</v>
      </c>
      <c r="CH172" s="145">
        <f t="shared" si="666"/>
        <v>0</v>
      </c>
      <c r="CI172" s="145">
        <f t="shared" si="666"/>
        <v>0</v>
      </c>
      <c r="CJ172" s="145">
        <f t="shared" si="666"/>
        <v>0</v>
      </c>
      <c r="CK172" s="145">
        <f t="shared" si="666"/>
        <v>0</v>
      </c>
      <c r="CL172" s="145">
        <f t="shared" si="666"/>
        <v>0</v>
      </c>
      <c r="CM172" s="145">
        <f t="shared" si="666"/>
        <v>0</v>
      </c>
      <c r="CN172" s="145">
        <f t="shared" si="666"/>
        <v>0</v>
      </c>
      <c r="CO172" s="145">
        <f t="shared" si="666"/>
        <v>0</v>
      </c>
      <c r="CP172" s="145">
        <f t="shared" si="666"/>
        <v>0</v>
      </c>
      <c r="CQ172" s="145">
        <f t="shared" si="666"/>
        <v>0</v>
      </c>
      <c r="CR172" s="146">
        <f t="shared" si="666"/>
        <v>0</v>
      </c>
      <c r="CS172" s="147">
        <f t="shared" si="656"/>
        <v>0</v>
      </c>
      <c r="CT172" s="148">
        <f t="shared" ref="CT172:DE172" si="667">+CT170-CT171</f>
        <v>0</v>
      </c>
      <c r="CU172" s="145">
        <f t="shared" si="667"/>
        <v>0</v>
      </c>
      <c r="CV172" s="145">
        <f t="shared" si="667"/>
        <v>0</v>
      </c>
      <c r="CW172" s="145">
        <f t="shared" si="667"/>
        <v>0</v>
      </c>
      <c r="CX172" s="145">
        <f t="shared" si="667"/>
        <v>0</v>
      </c>
      <c r="CY172" s="145">
        <f t="shared" si="667"/>
        <v>0</v>
      </c>
      <c r="CZ172" s="145">
        <f t="shared" si="667"/>
        <v>0</v>
      </c>
      <c r="DA172" s="145">
        <f t="shared" si="667"/>
        <v>0</v>
      </c>
      <c r="DB172" s="145">
        <f t="shared" si="667"/>
        <v>0</v>
      </c>
      <c r="DC172" s="145">
        <f t="shared" si="667"/>
        <v>0</v>
      </c>
      <c r="DD172" s="145">
        <f t="shared" si="667"/>
        <v>0</v>
      </c>
      <c r="DE172" s="146">
        <f t="shared" si="667"/>
        <v>0</v>
      </c>
      <c r="DF172" s="147">
        <f t="shared" si="577"/>
        <v>0</v>
      </c>
      <c r="DG172" s="146">
        <f>+DG170-DG171</f>
        <v>0</v>
      </c>
      <c r="DH172" s="98">
        <f t="shared" si="657"/>
        <v>287.99444740154343</v>
      </c>
      <c r="DI172" s="99">
        <f t="shared" si="658"/>
        <v>287.99444740154348</v>
      </c>
      <c r="DJ172" s="100">
        <f t="shared" si="659"/>
        <v>0</v>
      </c>
    </row>
    <row r="173" spans="1:115" ht="15" customHeight="1" outlineLevel="1">
      <c r="A173" s="607"/>
      <c r="B173" s="557" t="s">
        <v>340</v>
      </c>
      <c r="C173" s="246" t="s">
        <v>62</v>
      </c>
      <c r="D173" s="183" t="s">
        <v>122</v>
      </c>
      <c r="E173" s="153">
        <f>AF173+AS173+BF173+BS173+CF173+CS173+DF173+S173+DG173</f>
        <v>9.4357050756066112</v>
      </c>
      <c r="F173" s="153"/>
      <c r="G173" s="154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284"/>
      <c r="S173" s="157"/>
      <c r="T173" s="378"/>
      <c r="U173" s="382"/>
      <c r="V173" s="382"/>
      <c r="W173" s="382"/>
      <c r="X173" s="382"/>
      <c r="Y173" s="382"/>
      <c r="Z173" s="382"/>
      <c r="AA173" s="382"/>
      <c r="AB173" s="382"/>
      <c r="AC173" s="382"/>
      <c r="AD173" s="382"/>
      <c r="AE173" s="481"/>
      <c r="AF173" s="157">
        <f t="shared" si="651"/>
        <v>0</v>
      </c>
      <c r="AG173" s="500"/>
      <c r="AH173" s="513"/>
      <c r="AI173" s="513">
        <v>9.4357050756066112</v>
      </c>
      <c r="AJ173" s="513"/>
      <c r="AK173" s="513"/>
      <c r="AL173" s="513"/>
      <c r="AM173" s="513"/>
      <c r="AN173" s="513"/>
      <c r="AO173" s="513"/>
      <c r="AP173" s="513"/>
      <c r="AQ173" s="513"/>
      <c r="AR173" s="512"/>
      <c r="AS173" s="409">
        <f t="shared" si="652"/>
        <v>9.4357050756066112</v>
      </c>
      <c r="AT173" s="500"/>
      <c r="AU173" s="513"/>
      <c r="AV173" s="513"/>
      <c r="AW173" s="513"/>
      <c r="AX173" s="513"/>
      <c r="AY173" s="513"/>
      <c r="AZ173" s="155"/>
      <c r="BA173" s="155"/>
      <c r="BB173" s="155"/>
      <c r="BC173" s="155"/>
      <c r="BD173" s="155"/>
      <c r="BE173" s="285"/>
      <c r="BF173" s="157">
        <f t="shared" si="653"/>
        <v>0</v>
      </c>
      <c r="BG173" s="359"/>
      <c r="BH173" s="283"/>
      <c r="BI173" s="283"/>
      <c r="BJ173" s="283"/>
      <c r="BK173" s="283"/>
      <c r="BL173" s="283"/>
      <c r="BM173" s="283"/>
      <c r="BN173" s="283"/>
      <c r="BO173" s="283"/>
      <c r="BP173" s="283"/>
      <c r="BQ173" s="283"/>
      <c r="BR173" s="285"/>
      <c r="BS173" s="157">
        <f t="shared" si="654"/>
        <v>0</v>
      </c>
      <c r="BT173" s="359"/>
      <c r="BU173" s="283"/>
      <c r="BV173" s="283"/>
      <c r="BW173" s="283"/>
      <c r="BX173" s="283"/>
      <c r="BY173" s="283"/>
      <c r="BZ173" s="283"/>
      <c r="CA173" s="283"/>
      <c r="CB173" s="283"/>
      <c r="CC173" s="283"/>
      <c r="CD173" s="283"/>
      <c r="CE173" s="285"/>
      <c r="CF173" s="157">
        <f t="shared" si="655"/>
        <v>0</v>
      </c>
      <c r="CG173" s="359"/>
      <c r="CH173" s="283"/>
      <c r="CI173" s="283"/>
      <c r="CJ173" s="283"/>
      <c r="CK173" s="283"/>
      <c r="CL173" s="283"/>
      <c r="CM173" s="283"/>
      <c r="CN173" s="283"/>
      <c r="CO173" s="283"/>
      <c r="CP173" s="283"/>
      <c r="CQ173" s="283"/>
      <c r="CR173" s="285"/>
      <c r="CS173" s="157">
        <f t="shared" si="656"/>
        <v>0</v>
      </c>
      <c r="CT173" s="359"/>
      <c r="CU173" s="283"/>
      <c r="CV173" s="283"/>
      <c r="CW173" s="283"/>
      <c r="CX173" s="283"/>
      <c r="CY173" s="283"/>
      <c r="CZ173" s="283"/>
      <c r="DA173" s="283"/>
      <c r="DB173" s="283"/>
      <c r="DC173" s="283"/>
      <c r="DD173" s="283"/>
      <c r="DE173" s="285"/>
      <c r="DF173" s="157">
        <f t="shared" si="577"/>
        <v>0</v>
      </c>
      <c r="DG173" s="280"/>
      <c r="DH173" s="159">
        <f t="shared" si="657"/>
        <v>9.4357050756066112</v>
      </c>
      <c r="DI173" s="160">
        <f t="shared" si="658"/>
        <v>9.4357050756066112</v>
      </c>
      <c r="DJ173" s="161">
        <f t="shared" si="659"/>
        <v>0</v>
      </c>
    </row>
    <row r="174" spans="1:115" ht="15" customHeight="1" outlineLevel="1">
      <c r="A174" s="607"/>
      <c r="B174" s="560"/>
      <c r="C174" s="245" t="s">
        <v>63</v>
      </c>
      <c r="D174" s="184" t="s">
        <v>124</v>
      </c>
      <c r="E174" s="136">
        <f>AF174+AS174+BF174+BS174+CF174+CS174+DF174+S174+DG174</f>
        <v>7.3016507638807493</v>
      </c>
      <c r="F174" s="136"/>
      <c r="G174" s="137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9"/>
      <c r="S174" s="162"/>
      <c r="T174" s="380"/>
      <c r="U174" s="381"/>
      <c r="V174" s="381"/>
      <c r="W174" s="381"/>
      <c r="X174" s="381"/>
      <c r="Y174" s="381"/>
      <c r="Z174" s="381"/>
      <c r="AA174" s="381"/>
      <c r="AB174" s="381"/>
      <c r="AC174" s="381"/>
      <c r="AD174" s="381"/>
      <c r="AE174" s="392"/>
      <c r="AF174" s="162">
        <f t="shared" si="651"/>
        <v>0</v>
      </c>
      <c r="AG174" s="501"/>
      <c r="AH174" s="499"/>
      <c r="AI174" s="499">
        <v>7.3016507638807493</v>
      </c>
      <c r="AJ174" s="499"/>
      <c r="AK174" s="499"/>
      <c r="AL174" s="499"/>
      <c r="AM174" s="499"/>
      <c r="AN174" s="499"/>
      <c r="AO174" s="499"/>
      <c r="AP174" s="499"/>
      <c r="AQ174" s="499"/>
      <c r="AR174" s="511"/>
      <c r="AS174" s="410">
        <f t="shared" si="652"/>
        <v>7.3016507638807493</v>
      </c>
      <c r="AT174" s="501"/>
      <c r="AU174" s="499"/>
      <c r="AV174" s="499"/>
      <c r="AW174" s="499"/>
      <c r="AX174" s="499"/>
      <c r="AY174" s="499"/>
      <c r="AZ174" s="138"/>
      <c r="BA174" s="138"/>
      <c r="BB174" s="138"/>
      <c r="BC174" s="138"/>
      <c r="BD174" s="138"/>
      <c r="BE174" s="338"/>
      <c r="BF174" s="162">
        <f t="shared" si="653"/>
        <v>0</v>
      </c>
      <c r="BG174" s="353"/>
      <c r="BH174" s="253"/>
      <c r="BI174" s="253"/>
      <c r="BJ174" s="253"/>
      <c r="BK174" s="253"/>
      <c r="BL174" s="253"/>
      <c r="BM174" s="253"/>
      <c r="BN174" s="253"/>
      <c r="BO174" s="253"/>
      <c r="BP174" s="253"/>
      <c r="BQ174" s="253"/>
      <c r="BR174" s="338"/>
      <c r="BS174" s="162">
        <f t="shared" si="654"/>
        <v>0</v>
      </c>
      <c r="BT174" s="353"/>
      <c r="BU174" s="253"/>
      <c r="BV174" s="253"/>
      <c r="BW174" s="253"/>
      <c r="BX174" s="253"/>
      <c r="BY174" s="253"/>
      <c r="BZ174" s="253"/>
      <c r="CA174" s="253"/>
      <c r="CB174" s="253"/>
      <c r="CC174" s="253"/>
      <c r="CD174" s="253"/>
      <c r="CE174" s="338"/>
      <c r="CF174" s="162">
        <f t="shared" si="655"/>
        <v>0</v>
      </c>
      <c r="CG174" s="353"/>
      <c r="CH174" s="353"/>
      <c r="CI174" s="353"/>
      <c r="CJ174" s="353"/>
      <c r="CK174" s="353"/>
      <c r="CL174" s="253"/>
      <c r="CM174" s="253"/>
      <c r="CN174" s="253"/>
      <c r="CO174" s="253"/>
      <c r="CP174" s="253"/>
      <c r="CQ174" s="253"/>
      <c r="CR174" s="338"/>
      <c r="CS174" s="162">
        <f t="shared" si="656"/>
        <v>0</v>
      </c>
      <c r="CT174" s="353"/>
      <c r="CU174" s="353"/>
      <c r="CV174" s="353"/>
      <c r="CW174" s="353"/>
      <c r="CX174" s="353"/>
      <c r="CY174" s="253"/>
      <c r="CZ174" s="253"/>
      <c r="DA174" s="253"/>
      <c r="DB174" s="253"/>
      <c r="DC174" s="253"/>
      <c r="DD174" s="253"/>
      <c r="DE174" s="338"/>
      <c r="DF174" s="162">
        <f t="shared" si="577"/>
        <v>0</v>
      </c>
      <c r="DG174" s="279"/>
      <c r="DH174" s="90">
        <f t="shared" si="657"/>
        <v>7.3016507638807493</v>
      </c>
      <c r="DI174" s="91">
        <f t="shared" si="658"/>
        <v>7.3016507638807493</v>
      </c>
      <c r="DJ174" s="92">
        <f t="shared" si="659"/>
        <v>0</v>
      </c>
      <c r="DK174" s="64">
        <f>+DH174/DH173</f>
        <v>0.77383202477969926</v>
      </c>
    </row>
    <row r="175" spans="1:115" ht="15" customHeight="1" outlineLevel="1">
      <c r="A175" s="607"/>
      <c r="B175" s="561"/>
      <c r="C175" s="357" t="s">
        <v>11</v>
      </c>
      <c r="D175" s="358"/>
      <c r="E175" s="143">
        <f t="shared" ref="E175:R175" si="668">+E173-E174</f>
        <v>2.1340543117258619</v>
      </c>
      <c r="F175" s="144">
        <f t="shared" si="668"/>
        <v>0</v>
      </c>
      <c r="G175" s="145">
        <f t="shared" si="668"/>
        <v>0</v>
      </c>
      <c r="H175" s="145">
        <f t="shared" si="668"/>
        <v>0</v>
      </c>
      <c r="I175" s="145">
        <f t="shared" si="668"/>
        <v>0</v>
      </c>
      <c r="J175" s="145">
        <f t="shared" si="668"/>
        <v>0</v>
      </c>
      <c r="K175" s="145">
        <f t="shared" si="668"/>
        <v>0</v>
      </c>
      <c r="L175" s="145">
        <f t="shared" si="668"/>
        <v>0</v>
      </c>
      <c r="M175" s="145">
        <f t="shared" si="668"/>
        <v>0</v>
      </c>
      <c r="N175" s="145">
        <f t="shared" si="668"/>
        <v>0</v>
      </c>
      <c r="O175" s="145">
        <f t="shared" si="668"/>
        <v>0</v>
      </c>
      <c r="P175" s="145">
        <f t="shared" si="668"/>
        <v>0</v>
      </c>
      <c r="Q175" s="145">
        <f t="shared" si="668"/>
        <v>0</v>
      </c>
      <c r="R175" s="146">
        <f t="shared" si="668"/>
        <v>0</v>
      </c>
      <c r="S175" s="147"/>
      <c r="T175" s="148">
        <f t="shared" ref="T175:AE175" si="669">+T173-T174</f>
        <v>0</v>
      </c>
      <c r="U175" s="145">
        <f t="shared" si="669"/>
        <v>0</v>
      </c>
      <c r="V175" s="145">
        <f t="shared" si="669"/>
        <v>0</v>
      </c>
      <c r="W175" s="145">
        <f t="shared" si="669"/>
        <v>0</v>
      </c>
      <c r="X175" s="145">
        <f t="shared" si="669"/>
        <v>0</v>
      </c>
      <c r="Y175" s="145">
        <f t="shared" si="669"/>
        <v>0</v>
      </c>
      <c r="Z175" s="145">
        <f t="shared" si="669"/>
        <v>0</v>
      </c>
      <c r="AA175" s="145">
        <f t="shared" si="669"/>
        <v>0</v>
      </c>
      <c r="AB175" s="145">
        <f t="shared" si="669"/>
        <v>0</v>
      </c>
      <c r="AC175" s="145">
        <f t="shared" si="669"/>
        <v>0</v>
      </c>
      <c r="AD175" s="145">
        <f t="shared" si="669"/>
        <v>0</v>
      </c>
      <c r="AE175" s="146">
        <f t="shared" si="669"/>
        <v>0</v>
      </c>
      <c r="AF175" s="147">
        <f t="shared" si="651"/>
        <v>0</v>
      </c>
      <c r="AG175" s="148">
        <f t="shared" ref="AG175:AR175" si="670">+AG173-AG174</f>
        <v>0</v>
      </c>
      <c r="AH175" s="145">
        <f t="shared" si="670"/>
        <v>0</v>
      </c>
      <c r="AI175" s="145">
        <f t="shared" si="670"/>
        <v>2.1340543117258619</v>
      </c>
      <c r="AJ175" s="145">
        <f t="shared" si="670"/>
        <v>0</v>
      </c>
      <c r="AK175" s="145">
        <f t="shared" si="670"/>
        <v>0</v>
      </c>
      <c r="AL175" s="145">
        <f t="shared" si="670"/>
        <v>0</v>
      </c>
      <c r="AM175" s="145">
        <f t="shared" si="670"/>
        <v>0</v>
      </c>
      <c r="AN175" s="145">
        <f t="shared" si="670"/>
        <v>0</v>
      </c>
      <c r="AO175" s="145">
        <f t="shared" si="670"/>
        <v>0</v>
      </c>
      <c r="AP175" s="145">
        <f t="shared" si="670"/>
        <v>0</v>
      </c>
      <c r="AQ175" s="145">
        <f t="shared" si="670"/>
        <v>0</v>
      </c>
      <c r="AR175" s="146">
        <f t="shared" si="670"/>
        <v>0</v>
      </c>
      <c r="AS175" s="408">
        <f t="shared" si="652"/>
        <v>2.1340543117258619</v>
      </c>
      <c r="AT175" s="148">
        <f t="shared" ref="AT175:BE175" si="671">+AT173-AT174</f>
        <v>0</v>
      </c>
      <c r="AU175" s="145">
        <f t="shared" si="671"/>
        <v>0</v>
      </c>
      <c r="AV175" s="145">
        <f t="shared" si="671"/>
        <v>0</v>
      </c>
      <c r="AW175" s="145">
        <f t="shared" si="671"/>
        <v>0</v>
      </c>
      <c r="AX175" s="145">
        <f t="shared" si="671"/>
        <v>0</v>
      </c>
      <c r="AY175" s="145">
        <f t="shared" si="671"/>
        <v>0</v>
      </c>
      <c r="AZ175" s="145">
        <f t="shared" si="671"/>
        <v>0</v>
      </c>
      <c r="BA175" s="145">
        <f t="shared" si="671"/>
        <v>0</v>
      </c>
      <c r="BB175" s="145">
        <f t="shared" si="671"/>
        <v>0</v>
      </c>
      <c r="BC175" s="145">
        <f t="shared" si="671"/>
        <v>0</v>
      </c>
      <c r="BD175" s="145">
        <f t="shared" si="671"/>
        <v>0</v>
      </c>
      <c r="BE175" s="146">
        <f t="shared" si="671"/>
        <v>0</v>
      </c>
      <c r="BF175" s="147">
        <f t="shared" si="653"/>
        <v>0</v>
      </c>
      <c r="BG175" s="148">
        <f t="shared" ref="BG175:BR175" si="672">+BG173-BG174</f>
        <v>0</v>
      </c>
      <c r="BH175" s="145">
        <f t="shared" si="672"/>
        <v>0</v>
      </c>
      <c r="BI175" s="145">
        <f t="shared" si="672"/>
        <v>0</v>
      </c>
      <c r="BJ175" s="145">
        <f t="shared" si="672"/>
        <v>0</v>
      </c>
      <c r="BK175" s="145">
        <f t="shared" si="672"/>
        <v>0</v>
      </c>
      <c r="BL175" s="145">
        <f t="shared" si="672"/>
        <v>0</v>
      </c>
      <c r="BM175" s="145">
        <f t="shared" si="672"/>
        <v>0</v>
      </c>
      <c r="BN175" s="145">
        <f t="shared" si="672"/>
        <v>0</v>
      </c>
      <c r="BO175" s="145">
        <f t="shared" si="672"/>
        <v>0</v>
      </c>
      <c r="BP175" s="145">
        <f t="shared" si="672"/>
        <v>0</v>
      </c>
      <c r="BQ175" s="145">
        <f t="shared" si="672"/>
        <v>0</v>
      </c>
      <c r="BR175" s="146">
        <f t="shared" si="672"/>
        <v>0</v>
      </c>
      <c r="BS175" s="147">
        <f t="shared" si="654"/>
        <v>0</v>
      </c>
      <c r="BT175" s="148">
        <f t="shared" ref="BT175:CE175" si="673">+BT173-BT174</f>
        <v>0</v>
      </c>
      <c r="BU175" s="145">
        <f t="shared" si="673"/>
        <v>0</v>
      </c>
      <c r="BV175" s="145">
        <f t="shared" si="673"/>
        <v>0</v>
      </c>
      <c r="BW175" s="145">
        <f t="shared" si="673"/>
        <v>0</v>
      </c>
      <c r="BX175" s="145">
        <f t="shared" si="673"/>
        <v>0</v>
      </c>
      <c r="BY175" s="145">
        <f t="shared" si="673"/>
        <v>0</v>
      </c>
      <c r="BZ175" s="145">
        <f t="shared" si="673"/>
        <v>0</v>
      </c>
      <c r="CA175" s="145">
        <f t="shared" si="673"/>
        <v>0</v>
      </c>
      <c r="CB175" s="145">
        <f t="shared" si="673"/>
        <v>0</v>
      </c>
      <c r="CC175" s="145">
        <f t="shared" si="673"/>
        <v>0</v>
      </c>
      <c r="CD175" s="145">
        <f t="shared" si="673"/>
        <v>0</v>
      </c>
      <c r="CE175" s="146">
        <f t="shared" si="673"/>
        <v>0</v>
      </c>
      <c r="CF175" s="147">
        <f t="shared" si="655"/>
        <v>0</v>
      </c>
      <c r="CG175" s="148">
        <f t="shared" ref="CG175:CR175" si="674">+CG173-CG174</f>
        <v>0</v>
      </c>
      <c r="CH175" s="145">
        <f t="shared" si="674"/>
        <v>0</v>
      </c>
      <c r="CI175" s="145">
        <f t="shared" si="674"/>
        <v>0</v>
      </c>
      <c r="CJ175" s="145">
        <f t="shared" si="674"/>
        <v>0</v>
      </c>
      <c r="CK175" s="145">
        <f t="shared" si="674"/>
        <v>0</v>
      </c>
      <c r="CL175" s="145">
        <f t="shared" si="674"/>
        <v>0</v>
      </c>
      <c r="CM175" s="145">
        <f t="shared" si="674"/>
        <v>0</v>
      </c>
      <c r="CN175" s="145">
        <f t="shared" si="674"/>
        <v>0</v>
      </c>
      <c r="CO175" s="145">
        <f t="shared" si="674"/>
        <v>0</v>
      </c>
      <c r="CP175" s="145">
        <f t="shared" si="674"/>
        <v>0</v>
      </c>
      <c r="CQ175" s="145">
        <f t="shared" si="674"/>
        <v>0</v>
      </c>
      <c r="CR175" s="146">
        <f t="shared" si="674"/>
        <v>0</v>
      </c>
      <c r="CS175" s="147">
        <f t="shared" si="656"/>
        <v>0</v>
      </c>
      <c r="CT175" s="148">
        <f t="shared" ref="CT175:DE175" si="675">+CT173-CT174</f>
        <v>0</v>
      </c>
      <c r="CU175" s="145">
        <f t="shared" si="675"/>
        <v>0</v>
      </c>
      <c r="CV175" s="145">
        <f t="shared" si="675"/>
        <v>0</v>
      </c>
      <c r="CW175" s="145">
        <f t="shared" si="675"/>
        <v>0</v>
      </c>
      <c r="CX175" s="145">
        <f t="shared" si="675"/>
        <v>0</v>
      </c>
      <c r="CY175" s="145">
        <f t="shared" si="675"/>
        <v>0</v>
      </c>
      <c r="CZ175" s="145">
        <f t="shared" si="675"/>
        <v>0</v>
      </c>
      <c r="DA175" s="145">
        <f t="shared" si="675"/>
        <v>0</v>
      </c>
      <c r="DB175" s="145">
        <f t="shared" si="675"/>
        <v>0</v>
      </c>
      <c r="DC175" s="145">
        <f t="shared" si="675"/>
        <v>0</v>
      </c>
      <c r="DD175" s="145">
        <f t="shared" si="675"/>
        <v>0</v>
      </c>
      <c r="DE175" s="146">
        <f t="shared" si="675"/>
        <v>0</v>
      </c>
      <c r="DF175" s="147">
        <f t="shared" si="577"/>
        <v>0</v>
      </c>
      <c r="DG175" s="146">
        <f>+DG173-DG174</f>
        <v>0</v>
      </c>
      <c r="DH175" s="98">
        <f t="shared" si="657"/>
        <v>2.1340543117258619</v>
      </c>
      <c r="DI175" s="99">
        <f t="shared" si="658"/>
        <v>2.1340543117258619</v>
      </c>
      <c r="DJ175" s="100">
        <f t="shared" si="659"/>
        <v>0</v>
      </c>
    </row>
    <row r="176" spans="1:115" ht="15" customHeight="1" outlineLevel="1">
      <c r="A176" s="607"/>
      <c r="B176" s="557" t="s">
        <v>341</v>
      </c>
      <c r="C176" s="246" t="s">
        <v>62</v>
      </c>
      <c r="D176" s="183" t="s">
        <v>122</v>
      </c>
      <c r="E176" s="153">
        <f>AF176+AS176+BF176+BS176+CF176+CS176+DF176+S176+DG176</f>
        <v>594.62393789375005</v>
      </c>
      <c r="F176" s="153"/>
      <c r="G176" s="154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284"/>
      <c r="S176" s="157"/>
      <c r="T176" s="378"/>
      <c r="U176" s="382"/>
      <c r="V176" s="382"/>
      <c r="W176" s="382"/>
      <c r="X176" s="382"/>
      <c r="Y176" s="382"/>
      <c r="Z176" s="382"/>
      <c r="AA176" s="382"/>
      <c r="AB176" s="382"/>
      <c r="AC176" s="382"/>
      <c r="AD176" s="382"/>
      <c r="AE176" s="481"/>
      <c r="AF176" s="157">
        <f t="shared" si="636"/>
        <v>0</v>
      </c>
      <c r="AG176" s="500"/>
      <c r="AH176" s="513"/>
      <c r="AI176" s="513">
        <v>61.609006212636267</v>
      </c>
      <c r="AJ176" s="513">
        <v>62.120825664091001</v>
      </c>
      <c r="AK176" s="513">
        <v>23.375557332308283</v>
      </c>
      <c r="AL176" s="513">
        <v>81.425505692927004</v>
      </c>
      <c r="AM176" s="513"/>
      <c r="AN176" s="513"/>
      <c r="AO176" s="513"/>
      <c r="AP176" s="513">
        <v>77.413328581746299</v>
      </c>
      <c r="AQ176" s="513">
        <v>117.37834785738643</v>
      </c>
      <c r="AR176" s="512"/>
      <c r="AS176" s="409">
        <f t="shared" si="637"/>
        <v>423.32257134109528</v>
      </c>
      <c r="AT176" s="500"/>
      <c r="AU176" s="513"/>
      <c r="AV176" s="513">
        <v>60.074434081771976</v>
      </c>
      <c r="AW176" s="513">
        <v>93.226932470882801</v>
      </c>
      <c r="AX176" s="513"/>
      <c r="AY176" s="513"/>
      <c r="AZ176" s="155">
        <v>18</v>
      </c>
      <c r="BA176" s="155"/>
      <c r="BB176" s="155"/>
      <c r="BC176" s="155"/>
      <c r="BD176" s="155"/>
      <c r="BE176" s="285"/>
      <c r="BF176" s="157">
        <f t="shared" si="638"/>
        <v>171.30136655265477</v>
      </c>
      <c r="BG176" s="359"/>
      <c r="BH176" s="283"/>
      <c r="BI176" s="283"/>
      <c r="BJ176" s="283"/>
      <c r="BK176" s="283"/>
      <c r="BL176" s="283"/>
      <c r="BM176" s="283"/>
      <c r="BN176" s="283"/>
      <c r="BO176" s="283"/>
      <c r="BP176" s="283"/>
      <c r="BQ176" s="283"/>
      <c r="BR176" s="285"/>
      <c r="BS176" s="157">
        <f t="shared" si="639"/>
        <v>0</v>
      </c>
      <c r="BT176" s="359"/>
      <c r="BU176" s="283"/>
      <c r="BV176" s="283"/>
      <c r="BW176" s="283"/>
      <c r="BX176" s="283"/>
      <c r="BY176" s="283"/>
      <c r="BZ176" s="283"/>
      <c r="CA176" s="283"/>
      <c r="CB176" s="283"/>
      <c r="CC176" s="283"/>
      <c r="CD176" s="283"/>
      <c r="CE176" s="285"/>
      <c r="CF176" s="157">
        <f t="shared" si="575"/>
        <v>0</v>
      </c>
      <c r="CG176" s="359"/>
      <c r="CH176" s="283"/>
      <c r="CI176" s="283"/>
      <c r="CJ176" s="283"/>
      <c r="CK176" s="283"/>
      <c r="CL176" s="283"/>
      <c r="CM176" s="283"/>
      <c r="CN176" s="283"/>
      <c r="CO176" s="283"/>
      <c r="CP176" s="283"/>
      <c r="CQ176" s="283"/>
      <c r="CR176" s="285"/>
      <c r="CS176" s="157">
        <f t="shared" si="576"/>
        <v>0</v>
      </c>
      <c r="CT176" s="359"/>
      <c r="CU176" s="283"/>
      <c r="CV176" s="283"/>
      <c r="CW176" s="283"/>
      <c r="CX176" s="283"/>
      <c r="CY176" s="283"/>
      <c r="CZ176" s="283"/>
      <c r="DA176" s="283"/>
      <c r="DB176" s="283"/>
      <c r="DC176" s="283"/>
      <c r="DD176" s="283"/>
      <c r="DE176" s="285"/>
      <c r="DF176" s="157">
        <f t="shared" si="577"/>
        <v>0</v>
      </c>
      <c r="DG176" s="280"/>
      <c r="DH176" s="159">
        <f t="shared" si="640"/>
        <v>594.62393789375005</v>
      </c>
      <c r="DI176" s="160">
        <f t="shared" si="641"/>
        <v>594.62393789375005</v>
      </c>
      <c r="DJ176" s="161">
        <f t="shared" si="642"/>
        <v>0</v>
      </c>
    </row>
    <row r="177" spans="1:115" ht="15" customHeight="1" outlineLevel="1">
      <c r="A177" s="607"/>
      <c r="B177" s="560"/>
      <c r="C177" s="245" t="s">
        <v>63</v>
      </c>
      <c r="D177" s="184" t="s">
        <v>124</v>
      </c>
      <c r="E177" s="136">
        <f>AF177+AS177+BF177+BS177+CF177+CS177+DF177+S177+DG177</f>
        <v>619.1586147279595</v>
      </c>
      <c r="F177" s="136"/>
      <c r="G177" s="137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9"/>
      <c r="S177" s="162"/>
      <c r="T177" s="380"/>
      <c r="U177" s="381"/>
      <c r="V177" s="381"/>
      <c r="W177" s="381"/>
      <c r="X177" s="381"/>
      <c r="Y177" s="381"/>
      <c r="Z177" s="381"/>
      <c r="AA177" s="381"/>
      <c r="AB177" s="381"/>
      <c r="AC177" s="381"/>
      <c r="AD177" s="381"/>
      <c r="AE177" s="392"/>
      <c r="AF177" s="162">
        <f t="shared" si="636"/>
        <v>0</v>
      </c>
      <c r="AG177" s="501"/>
      <c r="AH177" s="499"/>
      <c r="AI177" s="499">
        <v>18.599630680264134</v>
      </c>
      <c r="AJ177" s="499">
        <v>38.3687926805828</v>
      </c>
      <c r="AK177" s="499">
        <v>18.978009532961753</v>
      </c>
      <c r="AL177" s="499">
        <v>62.260875599003256</v>
      </c>
      <c r="AM177" s="499">
        <v>7.5172400442900233</v>
      </c>
      <c r="AN177" s="499">
        <v>7.421694496003636</v>
      </c>
      <c r="AO177" s="499">
        <v>7.1154665050933463</v>
      </c>
      <c r="AP177" s="499">
        <v>37.918251377960239</v>
      </c>
      <c r="AQ177" s="499">
        <v>89.210936005759095</v>
      </c>
      <c r="AR177" s="511">
        <v>85.620626065449017</v>
      </c>
      <c r="AS177" s="410">
        <f t="shared" si="637"/>
        <v>373.0115229873673</v>
      </c>
      <c r="AT177" s="501">
        <v>112.4205108298388</v>
      </c>
      <c r="AU177" s="499">
        <v>9.7564914143349935</v>
      </c>
      <c r="AV177" s="499">
        <v>41.862822650383073</v>
      </c>
      <c r="AW177" s="499">
        <v>65.332638377783681</v>
      </c>
      <c r="AX177" s="499">
        <v>1.3604571320037986</v>
      </c>
      <c r="AY177" s="499">
        <v>5.4141713362478621</v>
      </c>
      <c r="AZ177" s="138">
        <v>10</v>
      </c>
      <c r="BA177" s="138"/>
      <c r="BB177" s="138"/>
      <c r="BC177" s="138"/>
      <c r="BD177" s="138"/>
      <c r="BE177" s="338"/>
      <c r="BF177" s="162">
        <f t="shared" si="638"/>
        <v>246.14709174059223</v>
      </c>
      <c r="BG177" s="353"/>
      <c r="BH177" s="253"/>
      <c r="BI177" s="253"/>
      <c r="BJ177" s="253"/>
      <c r="BK177" s="253"/>
      <c r="BL177" s="253"/>
      <c r="BM177" s="253"/>
      <c r="BN177" s="253"/>
      <c r="BO177" s="253"/>
      <c r="BP177" s="253"/>
      <c r="BQ177" s="253"/>
      <c r="BR177" s="338"/>
      <c r="BS177" s="162">
        <f t="shared" si="639"/>
        <v>0</v>
      </c>
      <c r="BT177" s="353"/>
      <c r="BU177" s="253"/>
      <c r="BV177" s="253"/>
      <c r="BW177" s="253"/>
      <c r="BX177" s="253"/>
      <c r="BY177" s="253"/>
      <c r="BZ177" s="253"/>
      <c r="CA177" s="253"/>
      <c r="CB177" s="253"/>
      <c r="CC177" s="253"/>
      <c r="CD177" s="253"/>
      <c r="CE177" s="338"/>
      <c r="CF177" s="162">
        <f t="shared" si="575"/>
        <v>0</v>
      </c>
      <c r="CG177" s="353"/>
      <c r="CH177" s="353"/>
      <c r="CI177" s="353"/>
      <c r="CJ177" s="353"/>
      <c r="CK177" s="353"/>
      <c r="CL177" s="253"/>
      <c r="CM177" s="253"/>
      <c r="CN177" s="253"/>
      <c r="CO177" s="253"/>
      <c r="CP177" s="253"/>
      <c r="CQ177" s="253"/>
      <c r="CR177" s="338"/>
      <c r="CS177" s="162">
        <f t="shared" si="576"/>
        <v>0</v>
      </c>
      <c r="CT177" s="353"/>
      <c r="CU177" s="353"/>
      <c r="CV177" s="353"/>
      <c r="CW177" s="353"/>
      <c r="CX177" s="353"/>
      <c r="CY177" s="253"/>
      <c r="CZ177" s="253"/>
      <c r="DA177" s="253"/>
      <c r="DB177" s="253"/>
      <c r="DC177" s="253"/>
      <c r="DD177" s="253"/>
      <c r="DE177" s="338"/>
      <c r="DF177" s="162">
        <f t="shared" si="577"/>
        <v>0</v>
      </c>
      <c r="DG177" s="279"/>
      <c r="DH177" s="90">
        <f t="shared" si="640"/>
        <v>619.1586147279595</v>
      </c>
      <c r="DI177" s="91">
        <f t="shared" si="641"/>
        <v>619.1586147279595</v>
      </c>
      <c r="DJ177" s="92">
        <f t="shared" si="642"/>
        <v>0</v>
      </c>
      <c r="DK177" s="64">
        <f>+DH177/DH176</f>
        <v>1.041260829358998</v>
      </c>
    </row>
    <row r="178" spans="1:115" ht="15" customHeight="1" outlineLevel="1">
      <c r="A178" s="607"/>
      <c r="B178" s="561"/>
      <c r="C178" s="357" t="s">
        <v>11</v>
      </c>
      <c r="D178" s="358"/>
      <c r="E178" s="143">
        <f t="shared" ref="E178:R178" si="676">+E176-E177</f>
        <v>-24.534676834209449</v>
      </c>
      <c r="F178" s="144">
        <f t="shared" si="676"/>
        <v>0</v>
      </c>
      <c r="G178" s="145">
        <f t="shared" si="676"/>
        <v>0</v>
      </c>
      <c r="H178" s="145">
        <f t="shared" si="676"/>
        <v>0</v>
      </c>
      <c r="I178" s="145">
        <f t="shared" si="676"/>
        <v>0</v>
      </c>
      <c r="J178" s="145">
        <f t="shared" si="676"/>
        <v>0</v>
      </c>
      <c r="K178" s="145">
        <f t="shared" si="676"/>
        <v>0</v>
      </c>
      <c r="L178" s="145">
        <f t="shared" si="676"/>
        <v>0</v>
      </c>
      <c r="M178" s="145">
        <f t="shared" si="676"/>
        <v>0</v>
      </c>
      <c r="N178" s="145">
        <f t="shared" si="676"/>
        <v>0</v>
      </c>
      <c r="O178" s="145">
        <f t="shared" si="676"/>
        <v>0</v>
      </c>
      <c r="P178" s="145">
        <f t="shared" si="676"/>
        <v>0</v>
      </c>
      <c r="Q178" s="145">
        <f t="shared" si="676"/>
        <v>0</v>
      </c>
      <c r="R178" s="146">
        <f t="shared" si="676"/>
        <v>0</v>
      </c>
      <c r="S178" s="147"/>
      <c r="T178" s="148">
        <f t="shared" ref="T178:AE178" si="677">+T176-T177</f>
        <v>0</v>
      </c>
      <c r="U178" s="145">
        <f t="shared" si="677"/>
        <v>0</v>
      </c>
      <c r="V178" s="145">
        <f t="shared" si="677"/>
        <v>0</v>
      </c>
      <c r="W178" s="145">
        <f t="shared" si="677"/>
        <v>0</v>
      </c>
      <c r="X178" s="145">
        <f t="shared" si="677"/>
        <v>0</v>
      </c>
      <c r="Y178" s="145">
        <f t="shared" si="677"/>
        <v>0</v>
      </c>
      <c r="Z178" s="145">
        <f t="shared" si="677"/>
        <v>0</v>
      </c>
      <c r="AA178" s="145">
        <f t="shared" si="677"/>
        <v>0</v>
      </c>
      <c r="AB178" s="145">
        <f t="shared" si="677"/>
        <v>0</v>
      </c>
      <c r="AC178" s="145">
        <f t="shared" si="677"/>
        <v>0</v>
      </c>
      <c r="AD178" s="145">
        <f t="shared" si="677"/>
        <v>0</v>
      </c>
      <c r="AE178" s="146">
        <f t="shared" si="677"/>
        <v>0</v>
      </c>
      <c r="AF178" s="147">
        <f t="shared" si="636"/>
        <v>0</v>
      </c>
      <c r="AG178" s="148">
        <f t="shared" ref="AG178:AR178" si="678">+AG176-AG177</f>
        <v>0</v>
      </c>
      <c r="AH178" s="145">
        <f t="shared" si="678"/>
        <v>0</v>
      </c>
      <c r="AI178" s="145">
        <f t="shared" si="678"/>
        <v>43.009375532372133</v>
      </c>
      <c r="AJ178" s="145">
        <f t="shared" si="678"/>
        <v>23.752032983508201</v>
      </c>
      <c r="AK178" s="145">
        <f t="shared" si="678"/>
        <v>4.3975477993465297</v>
      </c>
      <c r="AL178" s="145">
        <f t="shared" si="678"/>
        <v>19.164630093923748</v>
      </c>
      <c r="AM178" s="145">
        <f t="shared" si="678"/>
        <v>-7.5172400442900233</v>
      </c>
      <c r="AN178" s="145">
        <f t="shared" si="678"/>
        <v>-7.421694496003636</v>
      </c>
      <c r="AO178" s="145">
        <f t="shared" si="678"/>
        <v>-7.1154665050933463</v>
      </c>
      <c r="AP178" s="145">
        <f t="shared" si="678"/>
        <v>39.49507720378606</v>
      </c>
      <c r="AQ178" s="145">
        <f t="shared" si="678"/>
        <v>28.167411851627335</v>
      </c>
      <c r="AR178" s="146">
        <f t="shared" si="678"/>
        <v>-85.620626065449017</v>
      </c>
      <c r="AS178" s="408">
        <f t="shared" si="637"/>
        <v>50.311048353727983</v>
      </c>
      <c r="AT178" s="148">
        <f t="shared" ref="AT178:BE178" si="679">+AT176-AT177</f>
        <v>-112.4205108298388</v>
      </c>
      <c r="AU178" s="145">
        <f t="shared" si="679"/>
        <v>-9.7564914143349935</v>
      </c>
      <c r="AV178" s="145">
        <f t="shared" si="679"/>
        <v>18.211611431388903</v>
      </c>
      <c r="AW178" s="145">
        <f t="shared" si="679"/>
        <v>27.89429409309912</v>
      </c>
      <c r="AX178" s="145">
        <f t="shared" si="679"/>
        <v>-1.3604571320037986</v>
      </c>
      <c r="AY178" s="145">
        <f t="shared" si="679"/>
        <v>-5.4141713362478621</v>
      </c>
      <c r="AZ178" s="145">
        <f t="shared" si="679"/>
        <v>8</v>
      </c>
      <c r="BA178" s="145">
        <f t="shared" si="679"/>
        <v>0</v>
      </c>
      <c r="BB178" s="145">
        <f t="shared" si="679"/>
        <v>0</v>
      </c>
      <c r="BC178" s="145">
        <f t="shared" si="679"/>
        <v>0</v>
      </c>
      <c r="BD178" s="145">
        <f t="shared" si="679"/>
        <v>0</v>
      </c>
      <c r="BE178" s="146">
        <f t="shared" si="679"/>
        <v>0</v>
      </c>
      <c r="BF178" s="147">
        <f t="shared" si="638"/>
        <v>-74.845725187937433</v>
      </c>
      <c r="BG178" s="148">
        <f t="shared" ref="BG178:BR178" si="680">+BG176-BG177</f>
        <v>0</v>
      </c>
      <c r="BH178" s="145">
        <f t="shared" si="680"/>
        <v>0</v>
      </c>
      <c r="BI178" s="145">
        <f t="shared" si="680"/>
        <v>0</v>
      </c>
      <c r="BJ178" s="145">
        <f t="shared" si="680"/>
        <v>0</v>
      </c>
      <c r="BK178" s="145">
        <f t="shared" si="680"/>
        <v>0</v>
      </c>
      <c r="BL178" s="145">
        <f t="shared" si="680"/>
        <v>0</v>
      </c>
      <c r="BM178" s="145">
        <f t="shared" si="680"/>
        <v>0</v>
      </c>
      <c r="BN178" s="145">
        <f t="shared" si="680"/>
        <v>0</v>
      </c>
      <c r="BO178" s="145">
        <f t="shared" si="680"/>
        <v>0</v>
      </c>
      <c r="BP178" s="145">
        <f t="shared" si="680"/>
        <v>0</v>
      </c>
      <c r="BQ178" s="145">
        <f t="shared" si="680"/>
        <v>0</v>
      </c>
      <c r="BR178" s="146">
        <f t="shared" si="680"/>
        <v>0</v>
      </c>
      <c r="BS178" s="147">
        <f t="shared" si="639"/>
        <v>0</v>
      </c>
      <c r="BT178" s="148">
        <f t="shared" ref="BT178:CE178" si="681">+BT176-BT177</f>
        <v>0</v>
      </c>
      <c r="BU178" s="145">
        <f t="shared" si="681"/>
        <v>0</v>
      </c>
      <c r="BV178" s="145">
        <f t="shared" si="681"/>
        <v>0</v>
      </c>
      <c r="BW178" s="145">
        <f t="shared" si="681"/>
        <v>0</v>
      </c>
      <c r="BX178" s="145">
        <f t="shared" si="681"/>
        <v>0</v>
      </c>
      <c r="BY178" s="145">
        <f t="shared" si="681"/>
        <v>0</v>
      </c>
      <c r="BZ178" s="145">
        <f t="shared" si="681"/>
        <v>0</v>
      </c>
      <c r="CA178" s="145">
        <f t="shared" si="681"/>
        <v>0</v>
      </c>
      <c r="CB178" s="145">
        <f t="shared" si="681"/>
        <v>0</v>
      </c>
      <c r="CC178" s="145">
        <f t="shared" si="681"/>
        <v>0</v>
      </c>
      <c r="CD178" s="145">
        <f t="shared" si="681"/>
        <v>0</v>
      </c>
      <c r="CE178" s="146">
        <f t="shared" si="681"/>
        <v>0</v>
      </c>
      <c r="CF178" s="147">
        <f t="shared" si="575"/>
        <v>0</v>
      </c>
      <c r="CG178" s="148">
        <f t="shared" ref="CG178:CR178" si="682">+CG176-CG177</f>
        <v>0</v>
      </c>
      <c r="CH178" s="145">
        <f t="shared" si="682"/>
        <v>0</v>
      </c>
      <c r="CI178" s="145">
        <f t="shared" si="682"/>
        <v>0</v>
      </c>
      <c r="CJ178" s="145">
        <f t="shared" si="682"/>
        <v>0</v>
      </c>
      <c r="CK178" s="145">
        <f t="shared" si="682"/>
        <v>0</v>
      </c>
      <c r="CL178" s="145">
        <f t="shared" si="682"/>
        <v>0</v>
      </c>
      <c r="CM178" s="145">
        <f t="shared" si="682"/>
        <v>0</v>
      </c>
      <c r="CN178" s="145">
        <f t="shared" si="682"/>
        <v>0</v>
      </c>
      <c r="CO178" s="145">
        <f t="shared" si="682"/>
        <v>0</v>
      </c>
      <c r="CP178" s="145">
        <f t="shared" si="682"/>
        <v>0</v>
      </c>
      <c r="CQ178" s="145">
        <f t="shared" si="682"/>
        <v>0</v>
      </c>
      <c r="CR178" s="146">
        <f t="shared" si="682"/>
        <v>0</v>
      </c>
      <c r="CS178" s="147">
        <f t="shared" si="576"/>
        <v>0</v>
      </c>
      <c r="CT178" s="148">
        <f t="shared" ref="CT178:DE178" si="683">+CT176-CT177</f>
        <v>0</v>
      </c>
      <c r="CU178" s="145">
        <f t="shared" si="683"/>
        <v>0</v>
      </c>
      <c r="CV178" s="145">
        <f t="shared" si="683"/>
        <v>0</v>
      </c>
      <c r="CW178" s="145">
        <f t="shared" si="683"/>
        <v>0</v>
      </c>
      <c r="CX178" s="145">
        <f t="shared" si="683"/>
        <v>0</v>
      </c>
      <c r="CY178" s="145">
        <f t="shared" si="683"/>
        <v>0</v>
      </c>
      <c r="CZ178" s="145">
        <f t="shared" si="683"/>
        <v>0</v>
      </c>
      <c r="DA178" s="145">
        <f t="shared" si="683"/>
        <v>0</v>
      </c>
      <c r="DB178" s="145">
        <f t="shared" si="683"/>
        <v>0</v>
      </c>
      <c r="DC178" s="145">
        <f t="shared" si="683"/>
        <v>0</v>
      </c>
      <c r="DD178" s="145">
        <f t="shared" si="683"/>
        <v>0</v>
      </c>
      <c r="DE178" s="146">
        <f t="shared" si="683"/>
        <v>0</v>
      </c>
      <c r="DF178" s="147">
        <f t="shared" si="577"/>
        <v>0</v>
      </c>
      <c r="DG178" s="146">
        <f>+DG176-DG177</f>
        <v>0</v>
      </c>
      <c r="DH178" s="98">
        <f t="shared" si="640"/>
        <v>-24.534676834209449</v>
      </c>
      <c r="DI178" s="99">
        <f t="shared" si="641"/>
        <v>-24.534676834209449</v>
      </c>
      <c r="DJ178" s="100">
        <f t="shared" si="642"/>
        <v>0</v>
      </c>
    </row>
    <row r="179" spans="1:115" ht="15" customHeight="1" outlineLevel="1">
      <c r="A179" s="607"/>
      <c r="B179" s="584" t="s">
        <v>65</v>
      </c>
      <c r="C179" s="247" t="s">
        <v>62</v>
      </c>
      <c r="D179" s="270" t="s">
        <v>121</v>
      </c>
      <c r="E179" s="128">
        <f>+E107+E110+E113+E116+E119+E137+E140+E143+E146+E149+E152+E155+E167+E122+E125+E128+E131+E134+E170+E173+E176+E158+E161+E164</f>
        <v>73242.706650360691</v>
      </c>
      <c r="F179" s="128">
        <f t="shared" ref="F179:R179" si="684">+F107+F110+F113+F116+F119+F137+F140+F143+F146+F149+F152+F155+F167+F122+F125+F128+F131+F134+F170+F173+F176+F158</f>
        <v>4518.8</v>
      </c>
      <c r="G179" s="154">
        <f t="shared" si="684"/>
        <v>1446.9860853396385</v>
      </c>
      <c r="H179" s="133">
        <f t="shared" si="684"/>
        <v>1600.5721697625108</v>
      </c>
      <c r="I179" s="130">
        <f t="shared" si="684"/>
        <v>197.49988019759451</v>
      </c>
      <c r="J179" s="130">
        <f t="shared" si="684"/>
        <v>203.76240601633</v>
      </c>
      <c r="K179" s="130">
        <f t="shared" si="684"/>
        <v>203.52472583690988</v>
      </c>
      <c r="L179" s="130">
        <f t="shared" si="684"/>
        <v>1761.1070524043598</v>
      </c>
      <c r="M179" s="130">
        <f t="shared" si="684"/>
        <v>202.53425388380506</v>
      </c>
      <c r="N179" s="130">
        <f t="shared" si="684"/>
        <v>252.31313609715244</v>
      </c>
      <c r="O179" s="130">
        <f t="shared" si="684"/>
        <v>325.86367331950208</v>
      </c>
      <c r="P179" s="130">
        <f t="shared" si="684"/>
        <v>320.2341748461223</v>
      </c>
      <c r="Q179" s="130">
        <f t="shared" si="684"/>
        <v>174.9569280847528</v>
      </c>
      <c r="R179" s="130">
        <f t="shared" si="684"/>
        <v>1926.7326529313932</v>
      </c>
      <c r="S179" s="163">
        <f>SUM(G179:R179)</f>
        <v>8616.0871387200714</v>
      </c>
      <c r="T179" s="383">
        <f t="shared" ref="T179:AE179" si="685">+T107+T110+T113+T116+T119+T137+T140+T143+T146+T149+T152+T155+T167+T122+T125+T128+T131+T134+T170+T173+T176+T158</f>
        <v>293.58488553744587</v>
      </c>
      <c r="U179" s="385">
        <f t="shared" si="685"/>
        <v>292.12821459525804</v>
      </c>
      <c r="V179" s="379">
        <f t="shared" si="685"/>
        <v>316.20420848903331</v>
      </c>
      <c r="W179" s="379">
        <f t="shared" si="685"/>
        <v>165.98700604445858</v>
      </c>
      <c r="X179" s="379">
        <f t="shared" si="685"/>
        <v>257.02267432828722</v>
      </c>
      <c r="Y179" s="382">
        <f t="shared" si="685"/>
        <v>312.62496350017835</v>
      </c>
      <c r="Z179" s="378">
        <f t="shared" si="685"/>
        <v>381.25734166168559</v>
      </c>
      <c r="AA179" s="385">
        <f t="shared" si="685"/>
        <v>397.61622295503901</v>
      </c>
      <c r="AB179" s="379">
        <f t="shared" si="685"/>
        <v>297.7605984808481</v>
      </c>
      <c r="AC179" s="379">
        <f t="shared" si="685"/>
        <v>201.58822136106608</v>
      </c>
      <c r="AD179" s="379">
        <f t="shared" si="685"/>
        <v>1123.6811590030761</v>
      </c>
      <c r="AE179" s="379">
        <f t="shared" si="685"/>
        <v>803.87516163598548</v>
      </c>
      <c r="AF179" s="163">
        <f>SUM(T179:AE179)</f>
        <v>4843.3306575923616</v>
      </c>
      <c r="AG179" s="510">
        <f t="shared" ref="AG179:AR179" si="686">+AG107+AG110+AG113+AG116+AG119+AG137+AG140+AG143+AG146+AG149+AG152+AG155+AG167+AG122+AG125+AG128+AG131+AG134+AG170+AG173+AG176+AG158+AG161+AG164</f>
        <v>225.45159628714794</v>
      </c>
      <c r="AH179" s="510">
        <f t="shared" si="686"/>
        <v>170.53877422135162</v>
      </c>
      <c r="AI179" s="510">
        <f t="shared" si="686"/>
        <v>277.89255542531157</v>
      </c>
      <c r="AJ179" s="510">
        <f t="shared" si="686"/>
        <v>292.29663775804403</v>
      </c>
      <c r="AK179" s="510">
        <f t="shared" si="686"/>
        <v>192.99309102440901</v>
      </c>
      <c r="AL179" s="510">
        <f t="shared" si="686"/>
        <v>652.88475840521301</v>
      </c>
      <c r="AM179" s="510">
        <f t="shared" si="686"/>
        <v>101.19415871864381</v>
      </c>
      <c r="AN179" s="510">
        <f t="shared" si="686"/>
        <v>233.27865199439373</v>
      </c>
      <c r="AO179" s="510">
        <f t="shared" si="686"/>
        <v>780.35716128299316</v>
      </c>
      <c r="AP179" s="510">
        <f t="shared" si="686"/>
        <v>249.2924158588973</v>
      </c>
      <c r="AQ179" s="510">
        <f t="shared" si="686"/>
        <v>319.28322430189826</v>
      </c>
      <c r="AR179" s="510">
        <f t="shared" si="686"/>
        <v>4666.111637899543</v>
      </c>
      <c r="AS179" s="414">
        <f>SUM(AG179:AR179)</f>
        <v>8161.5746631778466</v>
      </c>
      <c r="AT179" s="500">
        <f t="shared" ref="AT179:BE179" si="687">+AT107+AT110+AT113+AT116+AT119+AT137+AT140+AT143+AT146+AT149+AT152+AT155+AT167+AT122+AT125+AT128+AT131+AT134+AT170+AT173+AT176+AT158+AT161+AT164</f>
        <v>5258.0498534990184</v>
      </c>
      <c r="AU179" s="516">
        <f t="shared" si="687"/>
        <v>1271.7899111153699</v>
      </c>
      <c r="AV179" s="510">
        <f t="shared" si="687"/>
        <v>1078.2924728058865</v>
      </c>
      <c r="AW179" s="510">
        <f t="shared" si="687"/>
        <v>1127.5739454455788</v>
      </c>
      <c r="AX179" s="510">
        <f t="shared" si="687"/>
        <v>65.990112820512806</v>
      </c>
      <c r="AY179" s="510">
        <f t="shared" si="687"/>
        <v>106.788303630488</v>
      </c>
      <c r="AZ179" s="130">
        <f t="shared" si="687"/>
        <v>80</v>
      </c>
      <c r="BA179" s="130">
        <f t="shared" si="687"/>
        <v>0</v>
      </c>
      <c r="BB179" s="130">
        <f t="shared" si="687"/>
        <v>216</v>
      </c>
      <c r="BC179" s="130">
        <f t="shared" si="687"/>
        <v>1783.2520274000001</v>
      </c>
      <c r="BD179" s="130">
        <f t="shared" si="687"/>
        <v>1373.2520274000001</v>
      </c>
      <c r="BE179" s="131">
        <f t="shared" si="687"/>
        <v>1629.1693618650002</v>
      </c>
      <c r="BF179" s="163">
        <f>SUM(AT179:BE179)</f>
        <v>13990.158015981857</v>
      </c>
      <c r="BG179" s="154">
        <f t="shared" ref="BG179:BR179" si="688">+BG107+BG110+BG113+BG116+BG119+BG137+BG140+BG143+BG146+BG149+BG152+BG155+BG167+BG122+BG125+BG128+BG131+BG134+BG170+BG173+BG176+BG158+BG161+BG164</f>
        <v>2079.1693618650002</v>
      </c>
      <c r="BH179" s="133">
        <f t="shared" si="688"/>
        <v>1996.3693618650002</v>
      </c>
      <c r="BI179" s="130">
        <f t="shared" si="688"/>
        <v>2873.9693618649999</v>
      </c>
      <c r="BJ179" s="130">
        <f t="shared" si="688"/>
        <v>1629.1693618650002</v>
      </c>
      <c r="BK179" s="130">
        <f t="shared" si="688"/>
        <v>1629.1693618650002</v>
      </c>
      <c r="BL179" s="130">
        <f t="shared" si="688"/>
        <v>1629.1693618650002</v>
      </c>
      <c r="BM179" s="130">
        <f t="shared" si="688"/>
        <v>1249.6441495230001</v>
      </c>
      <c r="BN179" s="130">
        <f t="shared" si="688"/>
        <v>1249.6441495230001</v>
      </c>
      <c r="BO179" s="130">
        <f t="shared" si="688"/>
        <v>1702.011083309</v>
      </c>
      <c r="BP179" s="130">
        <f t="shared" si="688"/>
        <v>1198.4606826300001</v>
      </c>
      <c r="BQ179" s="130">
        <f t="shared" si="688"/>
        <v>1198.4606826300001</v>
      </c>
      <c r="BR179" s="131">
        <f t="shared" si="688"/>
        <v>1833.4606826300001</v>
      </c>
      <c r="BS179" s="163">
        <f>SUM(BG179:BR179)</f>
        <v>20268.697601435004</v>
      </c>
      <c r="BT179" s="154">
        <f t="shared" ref="BT179:CE179" si="689">+BT107+BT110+BT113+BT116+BT119+BT137+BT140+BT143+BT146+BT149+BT152+BT155+BT167+BT122+BT125+BT128+BT131+BT134+BT170+BT173+BT176+BT158+BT161+BT164</f>
        <v>1939.16933786</v>
      </c>
      <c r="BU179" s="133">
        <f t="shared" si="689"/>
        <v>1939.16933786</v>
      </c>
      <c r="BV179" s="130">
        <f t="shared" si="689"/>
        <v>1939.16933786</v>
      </c>
      <c r="BW179" s="130">
        <f t="shared" si="689"/>
        <v>1427.3346689300001</v>
      </c>
      <c r="BX179" s="130">
        <f t="shared" si="689"/>
        <v>1427.3346689300001</v>
      </c>
      <c r="BY179" s="130">
        <f t="shared" si="689"/>
        <v>1427.3346689300001</v>
      </c>
      <c r="BZ179" s="130">
        <f t="shared" si="689"/>
        <v>1427.3346689300001</v>
      </c>
      <c r="CA179" s="130">
        <f t="shared" si="689"/>
        <v>915.5</v>
      </c>
      <c r="CB179" s="130">
        <f t="shared" si="689"/>
        <v>915.5</v>
      </c>
      <c r="CC179" s="130">
        <f t="shared" si="689"/>
        <v>915.5</v>
      </c>
      <c r="CD179" s="130">
        <f t="shared" si="689"/>
        <v>915.5</v>
      </c>
      <c r="CE179" s="131">
        <f t="shared" si="689"/>
        <v>1340.5</v>
      </c>
      <c r="CF179" s="163">
        <f t="shared" si="575"/>
        <v>16529.3466893</v>
      </c>
      <c r="CG179" s="154">
        <f t="shared" ref="CG179:CR179" si="690">+CG107+CG110+CG113+CG116+CG119+CG137+CG140+CG143+CG146+CG149+CG152+CG155+CG167+CG122+CG125+CG128+CG131+CG134+CG170+CG173+CG176+CG158+CG161+CG164</f>
        <v>0</v>
      </c>
      <c r="CH179" s="133">
        <f t="shared" si="690"/>
        <v>0</v>
      </c>
      <c r="CI179" s="130">
        <f t="shared" si="690"/>
        <v>0</v>
      </c>
      <c r="CJ179" s="130">
        <f t="shared" si="690"/>
        <v>0</v>
      </c>
      <c r="CK179" s="130">
        <f t="shared" si="690"/>
        <v>0</v>
      </c>
      <c r="CL179" s="130">
        <f t="shared" si="690"/>
        <v>0</v>
      </c>
      <c r="CM179" s="130">
        <f t="shared" si="690"/>
        <v>216</v>
      </c>
      <c r="CN179" s="130">
        <f t="shared" si="690"/>
        <v>0</v>
      </c>
      <c r="CO179" s="130">
        <f t="shared" si="690"/>
        <v>0</v>
      </c>
      <c r="CP179" s="130">
        <f t="shared" si="690"/>
        <v>0</v>
      </c>
      <c r="CQ179" s="130">
        <f t="shared" si="690"/>
        <v>0</v>
      </c>
      <c r="CR179" s="131">
        <f t="shared" si="690"/>
        <v>432</v>
      </c>
      <c r="CS179" s="163">
        <f t="shared" si="576"/>
        <v>648</v>
      </c>
      <c r="CT179" s="154">
        <f t="shared" ref="CT179:DE179" si="691">+CT107+CT110+CT113+CT116+CT119+CT137+CT140+CT143+CT146+CT149+CT152+CT155+CT167+CT122+CT125+CT128+CT131+CT134+CT170+CT173+CT176+CT158+CT161+CT164</f>
        <v>0</v>
      </c>
      <c r="CU179" s="133">
        <f t="shared" si="691"/>
        <v>0</v>
      </c>
      <c r="CV179" s="130">
        <f t="shared" si="691"/>
        <v>0</v>
      </c>
      <c r="CW179" s="130">
        <f t="shared" si="691"/>
        <v>0</v>
      </c>
      <c r="CX179" s="130">
        <f t="shared" si="691"/>
        <v>0</v>
      </c>
      <c r="CY179" s="130">
        <f t="shared" si="691"/>
        <v>0</v>
      </c>
      <c r="CZ179" s="130">
        <f t="shared" si="691"/>
        <v>0</v>
      </c>
      <c r="DA179" s="130">
        <f t="shared" si="691"/>
        <v>0</v>
      </c>
      <c r="DB179" s="130">
        <f t="shared" si="691"/>
        <v>0</v>
      </c>
      <c r="DC179" s="130">
        <f t="shared" si="691"/>
        <v>0</v>
      </c>
      <c r="DD179" s="130">
        <f t="shared" si="691"/>
        <v>0</v>
      </c>
      <c r="DE179" s="131">
        <f t="shared" si="691"/>
        <v>0</v>
      </c>
      <c r="DF179" s="163">
        <f t="shared" si="577"/>
        <v>0</v>
      </c>
      <c r="DG179" s="278">
        <f>+DG107+DG110+DG113+DG116+DG119+DG137+DG140+DG143+DG146+DG149+DG152+DG155+DG167+DG122+DG125+DG128+DG131+DG134+DG170+DG173+DG176+DG158</f>
        <v>0</v>
      </c>
      <c r="DH179" s="159">
        <f t="shared" si="440"/>
        <v>60398.648076907135</v>
      </c>
      <c r="DI179" s="165">
        <f t="shared" si="441"/>
        <v>73242.706650360691</v>
      </c>
      <c r="DJ179" s="166">
        <f>+DI179-DH179</f>
        <v>12844.058573453556</v>
      </c>
    </row>
    <row r="180" spans="1:115" ht="15" customHeight="1" outlineLevel="1">
      <c r="A180" s="607"/>
      <c r="B180" s="585"/>
      <c r="C180" s="248" t="s">
        <v>63</v>
      </c>
      <c r="D180" s="268" t="s">
        <v>123</v>
      </c>
      <c r="E180" s="136">
        <f>+E108+E111+E114+E117+E120+E138+E141+E144+E147+E150+E153+E156+E168+E123+E126+E129+E132+E135+E171+E174+E177+E159+E162+E165</f>
        <v>52804.087425824589</v>
      </c>
      <c r="F180" s="136">
        <f t="shared" ref="F180:R180" si="692">+F108+F111+F114+F117+F120+F138+F141+F144+F147+F150+F153+F156+F168+F123+F126+F129+F132+F135+F171+F174+F177+F159</f>
        <v>764.56299999999999</v>
      </c>
      <c r="G180" s="137">
        <f t="shared" si="692"/>
        <v>344.84293361994833</v>
      </c>
      <c r="H180" s="141">
        <f t="shared" si="692"/>
        <v>572.91472136038317</v>
      </c>
      <c r="I180" s="138">
        <f t="shared" si="692"/>
        <v>342.86583402061854</v>
      </c>
      <c r="J180" s="138">
        <f t="shared" si="692"/>
        <v>307.70382587021913</v>
      </c>
      <c r="K180" s="138">
        <f t="shared" si="692"/>
        <v>378.06021459227463</v>
      </c>
      <c r="L180" s="138">
        <f t="shared" si="692"/>
        <v>331.52618512502676</v>
      </c>
      <c r="M180" s="138">
        <f t="shared" si="692"/>
        <v>547.588254054054</v>
      </c>
      <c r="N180" s="138">
        <f t="shared" si="692"/>
        <v>446.69652198492463</v>
      </c>
      <c r="O180" s="138">
        <f t="shared" si="692"/>
        <v>389.7156837759336</v>
      </c>
      <c r="P180" s="138">
        <f t="shared" si="692"/>
        <v>445.62703315551903</v>
      </c>
      <c r="Q180" s="138">
        <f t="shared" si="692"/>
        <v>336.55121661819692</v>
      </c>
      <c r="R180" s="138">
        <f t="shared" si="692"/>
        <v>330.0292080665281</v>
      </c>
      <c r="S180" s="162">
        <f>SUM(G180:R180)</f>
        <v>4774.1216322436267</v>
      </c>
      <c r="T180" s="384">
        <f t="shared" ref="T180:AE180" si="693">+T108+T111+T114+T117+T120+T138+T141+T144+T147+T150+T153+T156+T168+T123+T126+T129+T132+T135+T171+T174+T177+T159</f>
        <v>578.56152106457591</v>
      </c>
      <c r="U180" s="380">
        <f t="shared" si="693"/>
        <v>308.07637612428454</v>
      </c>
      <c r="V180" s="381">
        <f t="shared" si="693"/>
        <v>342.53473785540211</v>
      </c>
      <c r="W180" s="381">
        <f t="shared" si="693"/>
        <v>254.23005766095361</v>
      </c>
      <c r="X180" s="381">
        <f t="shared" si="693"/>
        <v>364.16260973290008</v>
      </c>
      <c r="Y180" s="381">
        <f t="shared" si="693"/>
        <v>323.99966424919751</v>
      </c>
      <c r="Z180" s="380">
        <f t="shared" si="693"/>
        <v>340.2244832835226</v>
      </c>
      <c r="AA180" s="380">
        <f t="shared" si="693"/>
        <v>289.4499950534867</v>
      </c>
      <c r="AB180" s="381">
        <f t="shared" si="693"/>
        <v>420.36241918843166</v>
      </c>
      <c r="AC180" s="381">
        <f t="shared" si="693"/>
        <v>339.00504329945829</v>
      </c>
      <c r="AD180" s="381">
        <f t="shared" si="693"/>
        <v>274.49949901411782</v>
      </c>
      <c r="AE180" s="381">
        <f t="shared" si="693"/>
        <v>211.97657137810572</v>
      </c>
      <c r="AF180" s="162">
        <f>SUM(T180:AE180)</f>
        <v>4047.0829779044375</v>
      </c>
      <c r="AG180" s="499">
        <f t="shared" ref="AG180:AR180" si="694">+AG108+AG111+AG114+AG117+AG120+AG138+AG141+AG144+AG147+AG150+AG153+AG156+AG168+AG123+AG126+AG129+AG132+AG135+AG171+AG174+AG177+AG159+AG162+AG165</f>
        <v>302.7955640188037</v>
      </c>
      <c r="AH180" s="499">
        <f t="shared" si="694"/>
        <v>205.55864301665034</v>
      </c>
      <c r="AI180" s="499">
        <f t="shared" si="694"/>
        <v>246.13406200914315</v>
      </c>
      <c r="AJ180" s="499">
        <f t="shared" si="694"/>
        <v>263.73287083381388</v>
      </c>
      <c r="AK180" s="499">
        <f t="shared" si="694"/>
        <v>185.67154883720929</v>
      </c>
      <c r="AL180" s="499">
        <f t="shared" si="694"/>
        <v>370.64357320299024</v>
      </c>
      <c r="AM180" s="499">
        <f t="shared" si="694"/>
        <v>190.16632293535952</v>
      </c>
      <c r="AN180" s="499">
        <f t="shared" si="694"/>
        <v>244.01203246335089</v>
      </c>
      <c r="AO180" s="499">
        <f t="shared" si="694"/>
        <v>228.41093244215551</v>
      </c>
      <c r="AP180" s="499">
        <f t="shared" si="694"/>
        <v>277.03597464553167</v>
      </c>
      <c r="AQ180" s="499">
        <f t="shared" si="694"/>
        <v>398.38691728867497</v>
      </c>
      <c r="AR180" s="499">
        <f t="shared" si="694"/>
        <v>2885.2588395357684</v>
      </c>
      <c r="AS180" s="410">
        <f>SUM(AG180:AR180)</f>
        <v>5797.8072812294513</v>
      </c>
      <c r="AT180" s="501">
        <f t="shared" ref="AT180:BE180" si="695">+AT108+AT111+AT114+AT117+AT120+AT138+AT141+AT144+AT147+AT150+AT153+AT156+AT168+AT123+AT126+AT129+AT132+AT135+AT171+AT174+AT177+AT159+AT162+AT165</f>
        <v>2509.9388374177661</v>
      </c>
      <c r="AU180" s="501">
        <f t="shared" si="695"/>
        <v>550.08497474128001</v>
      </c>
      <c r="AV180" s="499">
        <f t="shared" si="695"/>
        <v>522.1515235909884</v>
      </c>
      <c r="AW180" s="499">
        <f t="shared" si="695"/>
        <v>482.37872104404568</v>
      </c>
      <c r="AX180" s="499">
        <f t="shared" si="695"/>
        <v>82.691599772079769</v>
      </c>
      <c r="AY180" s="499">
        <f t="shared" si="695"/>
        <v>63.687089678768302</v>
      </c>
      <c r="AZ180" s="138">
        <f t="shared" si="695"/>
        <v>118</v>
      </c>
      <c r="BA180" s="138">
        <f t="shared" si="695"/>
        <v>102</v>
      </c>
      <c r="BB180" s="138">
        <f t="shared" si="695"/>
        <v>62</v>
      </c>
      <c r="BC180" s="138">
        <f>+BC108+BC111+BC114+BC117+BC120+BC138+BC141+BC144+BC147+BC150+BC153+BC156+BC168+BC123+BC126+BC129+BC132+BC135+BC171+BC174+BC177+BC159+BC162+BC165</f>
        <v>1229.26422329</v>
      </c>
      <c r="BD180" s="138">
        <f t="shared" si="695"/>
        <v>1229.26422329</v>
      </c>
      <c r="BE180" s="139">
        <f t="shared" si="695"/>
        <v>1446.7939575852502</v>
      </c>
      <c r="BF180" s="162">
        <f>SUM(AT180:BE180)</f>
        <v>8398.2551504101775</v>
      </c>
      <c r="BG180" s="137">
        <f t="shared" ref="BG180:BR180" si="696">+BG108+BG111+BG114+BG117+BG120+BG138+BG141+BG144+BG147+BG150+BG153+BG156+BG168+BG123+BG126+BG129+BG132+BG135+BG171+BG174+BG177+BG159+BG162+BG165</f>
        <v>1454.9419575852501</v>
      </c>
      <c r="BH180" s="141">
        <f t="shared" si="696"/>
        <v>1767.0619575852502</v>
      </c>
      <c r="BI180" s="138">
        <f t="shared" si="696"/>
        <v>1454.9419575852501</v>
      </c>
      <c r="BJ180" s="138">
        <f t="shared" si="696"/>
        <v>1454.9419575852501</v>
      </c>
      <c r="BK180" s="138">
        <f t="shared" si="696"/>
        <v>1454.9419575852501</v>
      </c>
      <c r="BL180" s="138">
        <f t="shared" si="696"/>
        <v>1454.9419575852501</v>
      </c>
      <c r="BM180" s="138">
        <f t="shared" si="696"/>
        <v>1132.3455270945501</v>
      </c>
      <c r="BN180" s="138">
        <f t="shared" si="696"/>
        <v>1102.3455270945501</v>
      </c>
      <c r="BO180" s="138">
        <f t="shared" si="696"/>
        <v>1189.3574208126502</v>
      </c>
      <c r="BP180" s="138">
        <f t="shared" si="696"/>
        <v>1058.8395802354999</v>
      </c>
      <c r="BQ180" s="138">
        <f t="shared" si="696"/>
        <v>1058.8395802354999</v>
      </c>
      <c r="BR180" s="139">
        <f t="shared" si="696"/>
        <v>1058.8395802354999</v>
      </c>
      <c r="BS180" s="162">
        <f>SUM(BG180:BR180)</f>
        <v>15642.338961219753</v>
      </c>
      <c r="BT180" s="137">
        <f t="shared" ref="BT180:CE180" si="697">+BT108+BT111+BT114+BT117+BT120+BT138+BT141+BT144+BT147+BT150+BT153+BT156+BT168+BT123+BT126+BT129+BT132+BT135+BT171+BT174+BT177+BT159+BT162+BT165</f>
        <v>1674.2939371809998</v>
      </c>
      <c r="BU180" s="141">
        <f t="shared" si="697"/>
        <v>1674.2939371809998</v>
      </c>
      <c r="BV180" s="138">
        <f t="shared" si="697"/>
        <v>1674.2939371809998</v>
      </c>
      <c r="BW180" s="138">
        <f t="shared" si="697"/>
        <v>1239.2344685905</v>
      </c>
      <c r="BX180" s="138">
        <f t="shared" si="697"/>
        <v>1239.2344685905</v>
      </c>
      <c r="BY180" s="138">
        <f t="shared" si="697"/>
        <v>1239.2344685905</v>
      </c>
      <c r="BZ180" s="138">
        <f t="shared" si="697"/>
        <v>1239.2344685905</v>
      </c>
      <c r="CA180" s="138">
        <f t="shared" si="697"/>
        <v>804.17499999999995</v>
      </c>
      <c r="CB180" s="138">
        <f t="shared" si="697"/>
        <v>804.17499999999995</v>
      </c>
      <c r="CC180" s="138">
        <f t="shared" si="697"/>
        <v>784.17499999999995</v>
      </c>
      <c r="CD180" s="138">
        <f t="shared" si="697"/>
        <v>784.17499999999995</v>
      </c>
      <c r="CE180" s="139">
        <f t="shared" si="697"/>
        <v>784.17499999999995</v>
      </c>
      <c r="CF180" s="162">
        <f t="shared" si="575"/>
        <v>13940.694685904997</v>
      </c>
      <c r="CG180" s="137">
        <f t="shared" ref="CG180:CR180" si="698">+CG108+CG111+CG114+CG117+CG120+CG138+CG141+CG144+CG147+CG150+CG153+CG156+CG168+CG123+CG126+CG129+CG132+CG135+CG171+CG174+CG177+CG159+CG162+CG165</f>
        <v>6</v>
      </c>
      <c r="CH180" s="141">
        <f t="shared" si="698"/>
        <v>6</v>
      </c>
      <c r="CI180" s="138">
        <f t="shared" si="698"/>
        <v>6</v>
      </c>
      <c r="CJ180" s="138">
        <f t="shared" si="698"/>
        <v>6</v>
      </c>
      <c r="CK180" s="138">
        <f t="shared" si="698"/>
        <v>6</v>
      </c>
      <c r="CL180" s="138">
        <f t="shared" si="698"/>
        <v>6</v>
      </c>
      <c r="CM180" s="138">
        <f t="shared" si="698"/>
        <v>6</v>
      </c>
      <c r="CN180" s="138">
        <f t="shared" si="698"/>
        <v>6</v>
      </c>
      <c r="CO180" s="138">
        <f t="shared" si="698"/>
        <v>6</v>
      </c>
      <c r="CP180" s="138">
        <f t="shared" si="698"/>
        <v>6</v>
      </c>
      <c r="CQ180" s="138">
        <f t="shared" si="698"/>
        <v>6</v>
      </c>
      <c r="CR180" s="139">
        <f t="shared" si="698"/>
        <v>6</v>
      </c>
      <c r="CS180" s="162">
        <f t="shared" si="576"/>
        <v>72</v>
      </c>
      <c r="CT180" s="137">
        <f t="shared" ref="CT180:DE180" si="699">+CT108+CT111+CT114+CT117+CT120+CT138+CT141+CT144+CT147+CT150+CT153+CT156+CT168+CT123+CT126+CT129+CT132+CT135+CT171+CT174+CT177+CT159+CT162+CT165</f>
        <v>0</v>
      </c>
      <c r="CU180" s="141">
        <f t="shared" si="699"/>
        <v>0</v>
      </c>
      <c r="CV180" s="138">
        <f t="shared" si="699"/>
        <v>0</v>
      </c>
      <c r="CW180" s="138">
        <f t="shared" si="699"/>
        <v>0</v>
      </c>
      <c r="CX180" s="138">
        <f t="shared" si="699"/>
        <v>0</v>
      </c>
      <c r="CY180" s="138">
        <f t="shared" si="699"/>
        <v>0</v>
      </c>
      <c r="CZ180" s="138">
        <f t="shared" si="699"/>
        <v>0</v>
      </c>
      <c r="DA180" s="138">
        <f t="shared" si="699"/>
        <v>0</v>
      </c>
      <c r="DB180" s="138">
        <f t="shared" si="699"/>
        <v>0</v>
      </c>
      <c r="DC180" s="138">
        <f t="shared" si="699"/>
        <v>0</v>
      </c>
      <c r="DD180" s="138">
        <f t="shared" si="699"/>
        <v>0</v>
      </c>
      <c r="DE180" s="139">
        <f t="shared" si="699"/>
        <v>0</v>
      </c>
      <c r="DF180" s="162">
        <f t="shared" si="577"/>
        <v>0</v>
      </c>
      <c r="DG180" s="279">
        <f>+DG108+DG111+DG114+DG117+DG120+DG138+DG141+DG144+DG147+DG150+DG153+DG156+DG168+DG123+DG126+DG129+DG132+DG135+DG171+DG174+DG177+DG159</f>
        <v>0</v>
      </c>
      <c r="DH180" s="90">
        <f t="shared" si="440"/>
        <v>39424.169003007453</v>
      </c>
      <c r="DI180" s="91">
        <f t="shared" si="441"/>
        <v>52804.087425824589</v>
      </c>
      <c r="DJ180" s="92">
        <f>+DI180-DH180</f>
        <v>13379.918422817136</v>
      </c>
      <c r="DK180" s="64">
        <f>+DH180/DH179</f>
        <v>0.6527326398565686</v>
      </c>
    </row>
    <row r="181" spans="1:115" ht="15" customHeight="1" outlineLevel="1">
      <c r="A181" s="608"/>
      <c r="B181" s="610"/>
      <c r="C181" s="617" t="s">
        <v>11</v>
      </c>
      <c r="D181" s="618"/>
      <c r="E181" s="169">
        <f t="shared" ref="E181:R181" si="700">+E179-E180</f>
        <v>20438.619224536102</v>
      </c>
      <c r="F181" s="170">
        <f t="shared" si="700"/>
        <v>3754.2370000000001</v>
      </c>
      <c r="G181" s="171">
        <f t="shared" si="700"/>
        <v>1102.1431517196902</v>
      </c>
      <c r="H181" s="171">
        <f t="shared" si="700"/>
        <v>1027.6574484021276</v>
      </c>
      <c r="I181" s="171">
        <f t="shared" si="700"/>
        <v>-145.36595382302403</v>
      </c>
      <c r="J181" s="171">
        <f t="shared" si="700"/>
        <v>-103.94141985388913</v>
      </c>
      <c r="K181" s="171">
        <f t="shared" si="700"/>
        <v>-174.53548875536475</v>
      </c>
      <c r="L181" s="171">
        <f t="shared" si="700"/>
        <v>1429.580867279333</v>
      </c>
      <c r="M181" s="171">
        <f t="shared" si="700"/>
        <v>-345.05400017024897</v>
      </c>
      <c r="N181" s="171">
        <f t="shared" si="700"/>
        <v>-194.38338588777219</v>
      </c>
      <c r="O181" s="171">
        <f t="shared" si="700"/>
        <v>-63.852010456431515</v>
      </c>
      <c r="P181" s="171">
        <f t="shared" si="700"/>
        <v>-125.39285830939673</v>
      </c>
      <c r="Q181" s="171">
        <f t="shared" si="700"/>
        <v>-161.59428853344411</v>
      </c>
      <c r="R181" s="172">
        <f t="shared" si="700"/>
        <v>1596.7034448648651</v>
      </c>
      <c r="S181" s="173">
        <f>SUM(G181:R181)</f>
        <v>3841.9655064764452</v>
      </c>
      <c r="T181" s="174">
        <f t="shared" ref="T181:AE181" si="701">+T179-T180</f>
        <v>-284.97663552713004</v>
      </c>
      <c r="U181" s="171">
        <f t="shared" si="701"/>
        <v>-15.948161529026493</v>
      </c>
      <c r="V181" s="171">
        <f t="shared" si="701"/>
        <v>-26.330529366368808</v>
      </c>
      <c r="W181" s="171">
        <f t="shared" si="701"/>
        <v>-88.243051616495023</v>
      </c>
      <c r="X181" s="171">
        <f t="shared" si="701"/>
        <v>-107.13993540461286</v>
      </c>
      <c r="Y181" s="171">
        <f t="shared" si="701"/>
        <v>-11.374700749019155</v>
      </c>
      <c r="Z181" s="171">
        <f t="shared" si="701"/>
        <v>41.032858378162985</v>
      </c>
      <c r="AA181" s="171">
        <f t="shared" si="701"/>
        <v>108.1662279015523</v>
      </c>
      <c r="AB181" s="171">
        <f t="shared" si="701"/>
        <v>-122.60182070758356</v>
      </c>
      <c r="AC181" s="171">
        <f t="shared" si="701"/>
        <v>-137.41682193839222</v>
      </c>
      <c r="AD181" s="171">
        <f t="shared" si="701"/>
        <v>849.18165998895824</v>
      </c>
      <c r="AE181" s="172">
        <f t="shared" si="701"/>
        <v>591.89859025787973</v>
      </c>
      <c r="AF181" s="173">
        <f>SUM(T181:AE181)</f>
        <v>796.24767968792503</v>
      </c>
      <c r="AG181" s="174">
        <f t="shared" ref="AG181:AR181" si="702">+AG179-AG180</f>
        <v>-77.343967731655766</v>
      </c>
      <c r="AH181" s="171">
        <f t="shared" si="702"/>
        <v>-35.01986879529872</v>
      </c>
      <c r="AI181" s="171">
        <f t="shared" si="702"/>
        <v>31.75849341616842</v>
      </c>
      <c r="AJ181" s="171">
        <f t="shared" si="702"/>
        <v>28.563766924230151</v>
      </c>
      <c r="AK181" s="171">
        <f t="shared" si="702"/>
        <v>7.321542187199725</v>
      </c>
      <c r="AL181" s="171">
        <f t="shared" si="702"/>
        <v>282.24118520222277</v>
      </c>
      <c r="AM181" s="171">
        <f t="shared" si="702"/>
        <v>-88.972164216715711</v>
      </c>
      <c r="AN181" s="171">
        <f t="shared" si="702"/>
        <v>-10.733380468957165</v>
      </c>
      <c r="AO181" s="171">
        <f t="shared" si="702"/>
        <v>551.94622884083765</v>
      </c>
      <c r="AP181" s="171">
        <f t="shared" si="702"/>
        <v>-27.743558786634367</v>
      </c>
      <c r="AQ181" s="171">
        <f t="shared" si="702"/>
        <v>-79.103692986776707</v>
      </c>
      <c r="AR181" s="172">
        <f t="shared" si="702"/>
        <v>1780.8527983637746</v>
      </c>
      <c r="AS181" s="411">
        <f>SUM(AG181:AR181)</f>
        <v>2363.7673819483948</v>
      </c>
      <c r="AT181" s="174">
        <f t="shared" ref="AT181:BE181" si="703">+AT179-AT180</f>
        <v>2748.1110160812523</v>
      </c>
      <c r="AU181" s="171">
        <f t="shared" si="703"/>
        <v>721.70493637408993</v>
      </c>
      <c r="AV181" s="171">
        <f t="shared" si="703"/>
        <v>556.14094921489811</v>
      </c>
      <c r="AW181" s="171">
        <f t="shared" si="703"/>
        <v>645.1952244015331</v>
      </c>
      <c r="AX181" s="171">
        <f t="shared" si="703"/>
        <v>-16.701486951566963</v>
      </c>
      <c r="AY181" s="171">
        <f t="shared" si="703"/>
        <v>43.1012139517197</v>
      </c>
      <c r="AZ181" s="171">
        <f t="shared" si="703"/>
        <v>-38</v>
      </c>
      <c r="BA181" s="171">
        <f t="shared" si="703"/>
        <v>-102</v>
      </c>
      <c r="BB181" s="171">
        <f t="shared" si="703"/>
        <v>154</v>
      </c>
      <c r="BC181" s="171">
        <f t="shared" si="703"/>
        <v>553.98780411000007</v>
      </c>
      <c r="BD181" s="171">
        <f t="shared" si="703"/>
        <v>143.98780411000007</v>
      </c>
      <c r="BE181" s="172">
        <f t="shared" si="703"/>
        <v>182.37540427975</v>
      </c>
      <c r="BF181" s="173">
        <f>SUM(AT181:BE181)</f>
        <v>5591.9028655716766</v>
      </c>
      <c r="BG181" s="174">
        <f t="shared" ref="BG181:BR181" si="704">+BG179-BG180</f>
        <v>624.22740427975009</v>
      </c>
      <c r="BH181" s="171">
        <f t="shared" si="704"/>
        <v>229.30740427975002</v>
      </c>
      <c r="BI181" s="171">
        <f t="shared" si="704"/>
        <v>1419.0274042797498</v>
      </c>
      <c r="BJ181" s="171">
        <f t="shared" si="704"/>
        <v>174.22740427975009</v>
      </c>
      <c r="BK181" s="171">
        <f t="shared" si="704"/>
        <v>174.22740427975009</v>
      </c>
      <c r="BL181" s="171">
        <f t="shared" si="704"/>
        <v>174.22740427975009</v>
      </c>
      <c r="BM181" s="171">
        <f t="shared" si="704"/>
        <v>117.29862242845002</v>
      </c>
      <c r="BN181" s="171">
        <f t="shared" si="704"/>
        <v>147.29862242845002</v>
      </c>
      <c r="BO181" s="171">
        <f t="shared" si="704"/>
        <v>512.65366249634985</v>
      </c>
      <c r="BP181" s="171">
        <f t="shared" si="704"/>
        <v>139.62110239450021</v>
      </c>
      <c r="BQ181" s="171">
        <f t="shared" si="704"/>
        <v>139.62110239450021</v>
      </c>
      <c r="BR181" s="172">
        <f t="shared" si="704"/>
        <v>774.62110239450021</v>
      </c>
      <c r="BS181" s="173">
        <f>SUM(BG181:BR181)</f>
        <v>4626.3586402152505</v>
      </c>
      <c r="BT181" s="174">
        <f t="shared" ref="BT181:CE181" si="705">+BT179-BT180</f>
        <v>264.87540067900022</v>
      </c>
      <c r="BU181" s="171">
        <f t="shared" si="705"/>
        <v>264.87540067900022</v>
      </c>
      <c r="BV181" s="171">
        <f t="shared" si="705"/>
        <v>264.87540067900022</v>
      </c>
      <c r="BW181" s="171">
        <f t="shared" si="705"/>
        <v>188.10020033950013</v>
      </c>
      <c r="BX181" s="171">
        <f t="shared" si="705"/>
        <v>188.10020033950013</v>
      </c>
      <c r="BY181" s="171">
        <f t="shared" si="705"/>
        <v>188.10020033950013</v>
      </c>
      <c r="BZ181" s="171">
        <f t="shared" si="705"/>
        <v>188.10020033950013</v>
      </c>
      <c r="CA181" s="171">
        <f t="shared" si="705"/>
        <v>111.32500000000005</v>
      </c>
      <c r="CB181" s="171">
        <f t="shared" si="705"/>
        <v>111.32500000000005</v>
      </c>
      <c r="CC181" s="171">
        <f t="shared" si="705"/>
        <v>131.32500000000005</v>
      </c>
      <c r="CD181" s="171">
        <f t="shared" si="705"/>
        <v>131.32500000000005</v>
      </c>
      <c r="CE181" s="172">
        <f t="shared" si="705"/>
        <v>556.32500000000005</v>
      </c>
      <c r="CF181" s="173">
        <f>SUM(BT181:CE181)</f>
        <v>2588.6520033950014</v>
      </c>
      <c r="CG181" s="174">
        <f t="shared" ref="CG181:CR181" si="706">+CG179-CG180</f>
        <v>-6</v>
      </c>
      <c r="CH181" s="171">
        <f t="shared" si="706"/>
        <v>-6</v>
      </c>
      <c r="CI181" s="171">
        <f t="shared" si="706"/>
        <v>-6</v>
      </c>
      <c r="CJ181" s="171">
        <f t="shared" si="706"/>
        <v>-6</v>
      </c>
      <c r="CK181" s="171">
        <f t="shared" si="706"/>
        <v>-6</v>
      </c>
      <c r="CL181" s="171">
        <f t="shared" si="706"/>
        <v>-6</v>
      </c>
      <c r="CM181" s="171">
        <f t="shared" si="706"/>
        <v>210</v>
      </c>
      <c r="CN181" s="171">
        <f t="shared" si="706"/>
        <v>-6</v>
      </c>
      <c r="CO181" s="171">
        <f t="shared" si="706"/>
        <v>-6</v>
      </c>
      <c r="CP181" s="171">
        <f t="shared" si="706"/>
        <v>-6</v>
      </c>
      <c r="CQ181" s="171">
        <f t="shared" si="706"/>
        <v>-6</v>
      </c>
      <c r="CR181" s="172">
        <f t="shared" si="706"/>
        <v>426</v>
      </c>
      <c r="CS181" s="173">
        <f>SUM(CG181:CR181)</f>
        <v>576</v>
      </c>
      <c r="CT181" s="174">
        <f t="shared" ref="CT181:DE181" si="707">+CT179-CT180</f>
        <v>0</v>
      </c>
      <c r="CU181" s="171">
        <f t="shared" si="707"/>
        <v>0</v>
      </c>
      <c r="CV181" s="171">
        <f t="shared" si="707"/>
        <v>0</v>
      </c>
      <c r="CW181" s="171">
        <f t="shared" si="707"/>
        <v>0</v>
      </c>
      <c r="CX181" s="171">
        <f t="shared" si="707"/>
        <v>0</v>
      </c>
      <c r="CY181" s="171">
        <f t="shared" si="707"/>
        <v>0</v>
      </c>
      <c r="CZ181" s="171">
        <f t="shared" si="707"/>
        <v>0</v>
      </c>
      <c r="DA181" s="171">
        <f t="shared" si="707"/>
        <v>0</v>
      </c>
      <c r="DB181" s="171">
        <f t="shared" si="707"/>
        <v>0</v>
      </c>
      <c r="DC181" s="171">
        <f t="shared" si="707"/>
        <v>0</v>
      </c>
      <c r="DD181" s="171">
        <f t="shared" si="707"/>
        <v>0</v>
      </c>
      <c r="DE181" s="172">
        <f t="shared" si="707"/>
        <v>0</v>
      </c>
      <c r="DF181" s="173">
        <f>SUM(CT181:DE181)</f>
        <v>0</v>
      </c>
      <c r="DG181" s="172">
        <f>+DG179-DG180</f>
        <v>0</v>
      </c>
      <c r="DH181" s="98">
        <f t="shared" si="440"/>
        <v>20974.479073899693</v>
      </c>
      <c r="DI181" s="150">
        <f t="shared" si="441"/>
        <v>20438.619224536102</v>
      </c>
      <c r="DJ181" s="151">
        <f>+DI181-DH181</f>
        <v>-535.85984936359091</v>
      </c>
    </row>
    <row r="182" spans="1:115" ht="6" customHeight="1">
      <c r="A182" s="175"/>
      <c r="B182" s="182"/>
      <c r="C182" s="175"/>
      <c r="D182" s="176"/>
      <c r="E182" s="177"/>
      <c r="F182" s="177"/>
      <c r="G182" s="178"/>
      <c r="H182" s="178"/>
      <c r="I182" s="178"/>
      <c r="J182" s="178"/>
      <c r="K182" s="178"/>
      <c r="L182" s="178"/>
      <c r="M182" s="178"/>
      <c r="N182" s="178"/>
      <c r="O182" s="178"/>
      <c r="P182" s="178"/>
      <c r="Q182" s="178"/>
      <c r="R182" s="178"/>
      <c r="S182" s="177"/>
      <c r="T182" s="178"/>
      <c r="U182" s="178"/>
      <c r="V182" s="178"/>
      <c r="W182" s="178"/>
      <c r="X182" s="178"/>
      <c r="Y182" s="178"/>
      <c r="Z182" s="178"/>
      <c r="AA182" s="178"/>
      <c r="AB182" s="178"/>
      <c r="AC182" s="178"/>
      <c r="AD182" s="178"/>
      <c r="AE182" s="178"/>
      <c r="AF182" s="177"/>
      <c r="AG182" s="178"/>
      <c r="AH182" s="178"/>
      <c r="AI182" s="178"/>
      <c r="AJ182" s="178"/>
      <c r="AK182" s="178"/>
      <c r="AL182" s="178"/>
      <c r="AM182" s="178"/>
      <c r="AN182" s="178"/>
      <c r="AO182" s="178"/>
      <c r="AP182" s="178"/>
      <c r="AQ182" s="178"/>
      <c r="AR182" s="178"/>
      <c r="AS182" s="412"/>
      <c r="AT182" s="178"/>
      <c r="AU182" s="178"/>
      <c r="AV182" s="178"/>
      <c r="AW182" s="178"/>
      <c r="AX182" s="178"/>
      <c r="AY182" s="178"/>
      <c r="AZ182" s="178"/>
      <c r="BA182" s="178"/>
      <c r="BB182" s="178"/>
      <c r="BC182" s="178"/>
      <c r="BD182" s="178"/>
      <c r="BE182" s="178"/>
      <c r="BF182" s="177"/>
      <c r="BG182" s="178"/>
      <c r="BH182" s="178"/>
      <c r="BI182" s="178"/>
      <c r="BJ182" s="178"/>
      <c r="BK182" s="178"/>
      <c r="BL182" s="178"/>
      <c r="BM182" s="178"/>
      <c r="BN182" s="178"/>
      <c r="BO182" s="178"/>
      <c r="BP182" s="178"/>
      <c r="BQ182" s="178"/>
      <c r="BR182" s="178"/>
      <c r="BS182" s="177"/>
      <c r="BT182" s="178"/>
      <c r="BU182" s="178"/>
      <c r="BV182" s="178"/>
      <c r="BW182" s="178"/>
      <c r="BX182" s="178"/>
      <c r="BY182" s="178"/>
      <c r="BZ182" s="178"/>
      <c r="CA182" s="178"/>
      <c r="CB182" s="178"/>
      <c r="CC182" s="178"/>
      <c r="CD182" s="178"/>
      <c r="CE182" s="178"/>
      <c r="CF182" s="177"/>
      <c r="CG182" s="178"/>
      <c r="CH182" s="178"/>
      <c r="CI182" s="178"/>
      <c r="CJ182" s="178"/>
      <c r="CK182" s="178"/>
      <c r="CL182" s="178"/>
      <c r="CM182" s="178"/>
      <c r="CN182" s="178"/>
      <c r="CO182" s="178"/>
      <c r="CP182" s="178"/>
      <c r="CQ182" s="178"/>
      <c r="CR182" s="178"/>
      <c r="CS182" s="177"/>
      <c r="CT182" s="178"/>
      <c r="CU182" s="178"/>
      <c r="CV182" s="178"/>
      <c r="CW182" s="178"/>
      <c r="CX182" s="178"/>
      <c r="CY182" s="178"/>
      <c r="CZ182" s="178"/>
      <c r="DA182" s="178"/>
      <c r="DB182" s="178"/>
      <c r="DC182" s="178"/>
      <c r="DD182" s="178"/>
      <c r="DE182" s="178"/>
      <c r="DF182" s="177"/>
      <c r="DG182" s="178"/>
      <c r="DH182" s="179"/>
      <c r="DI182" s="179"/>
      <c r="DJ182" s="179"/>
    </row>
    <row r="183" spans="1:115" ht="15" customHeight="1">
      <c r="A183" s="601" t="s">
        <v>80</v>
      </c>
      <c r="B183" s="546" t="s">
        <v>195</v>
      </c>
      <c r="C183" s="550" t="s">
        <v>62</v>
      </c>
      <c r="D183" s="551"/>
      <c r="E183" s="153">
        <f t="shared" ref="E183:E197" si="708">AF183+AS183+BF183+BS183+CF183+CS183+DF183+S183+DG183</f>
        <v>0</v>
      </c>
      <c r="F183" s="153"/>
      <c r="G183" s="154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6"/>
      <c r="S183" s="180">
        <f t="shared" ref="S183:S210" si="709">SUM(G183:R183)</f>
        <v>0</v>
      </c>
      <c r="T183" s="383"/>
      <c r="U183" s="382"/>
      <c r="V183" s="382"/>
      <c r="W183" s="382"/>
      <c r="X183" s="382"/>
      <c r="Y183" s="382"/>
      <c r="Z183" s="382"/>
      <c r="AA183" s="382"/>
      <c r="AB183" s="382"/>
      <c r="AC183" s="382"/>
      <c r="AD183" s="382"/>
      <c r="AE183" s="481"/>
      <c r="AF183" s="180">
        <f t="shared" ref="AF183:AF210" si="710">SUM(T183:AE183)</f>
        <v>0</v>
      </c>
      <c r="AG183" s="498"/>
      <c r="AH183" s="513"/>
      <c r="AI183" s="513"/>
      <c r="AJ183" s="513"/>
      <c r="AK183" s="513"/>
      <c r="AL183" s="513"/>
      <c r="AM183" s="513"/>
      <c r="AN183" s="513"/>
      <c r="AO183" s="513"/>
      <c r="AP183" s="513"/>
      <c r="AQ183" s="513"/>
      <c r="AR183" s="512"/>
      <c r="AS183" s="413">
        <f>SUM(AG183:AR183)</f>
        <v>0</v>
      </c>
      <c r="AT183" s="500"/>
      <c r="AU183" s="513"/>
      <c r="AV183" s="513"/>
      <c r="AW183" s="513"/>
      <c r="AX183" s="513"/>
      <c r="AY183" s="513"/>
      <c r="AZ183" s="155"/>
      <c r="BA183" s="155"/>
      <c r="BB183" s="155"/>
      <c r="BC183" s="155"/>
      <c r="BD183" s="155"/>
      <c r="BE183" s="156"/>
      <c r="BF183" s="180">
        <f t="shared" ref="BF183:BF210" si="711">SUM(AT183:BE183)</f>
        <v>0</v>
      </c>
      <c r="BG183" s="158"/>
      <c r="BH183" s="155"/>
      <c r="BI183" s="155"/>
      <c r="BJ183" s="155"/>
      <c r="BK183" s="155"/>
      <c r="BL183" s="155"/>
      <c r="BM183" s="155"/>
      <c r="BN183" s="155"/>
      <c r="BO183" s="155"/>
      <c r="BP183" s="155"/>
      <c r="BQ183" s="155"/>
      <c r="BR183" s="156"/>
      <c r="BS183" s="180">
        <f t="shared" ref="BS183:BS207" si="712">SUM(BG183:BR183)</f>
        <v>0</v>
      </c>
      <c r="BT183" s="158"/>
      <c r="BU183" s="155"/>
      <c r="BV183" s="155"/>
      <c r="BW183" s="155"/>
      <c r="BX183" s="155"/>
      <c r="BY183" s="155"/>
      <c r="BZ183" s="155"/>
      <c r="CA183" s="155"/>
      <c r="CB183" s="155"/>
      <c r="CC183" s="155"/>
      <c r="CD183" s="155"/>
      <c r="CE183" s="156"/>
      <c r="CF183" s="180">
        <f t="shared" ref="CF183:CF207" si="713">SUM(BT183:CE183)</f>
        <v>0</v>
      </c>
      <c r="CG183" s="158"/>
      <c r="CH183" s="155"/>
      <c r="CI183" s="155"/>
      <c r="CJ183" s="155"/>
      <c r="CK183" s="155"/>
      <c r="CL183" s="155"/>
      <c r="CM183" s="155"/>
      <c r="CN183" s="155"/>
      <c r="CO183" s="155"/>
      <c r="CP183" s="155"/>
      <c r="CQ183" s="155"/>
      <c r="CR183" s="156"/>
      <c r="CS183" s="180">
        <f t="shared" ref="CS183:CS207" si="714">SUM(CG183:CR183)</f>
        <v>0</v>
      </c>
      <c r="CT183" s="158"/>
      <c r="CU183" s="155"/>
      <c r="CV183" s="155"/>
      <c r="CW183" s="155"/>
      <c r="CX183" s="155"/>
      <c r="CY183" s="155"/>
      <c r="CZ183" s="155"/>
      <c r="DA183" s="155"/>
      <c r="DB183" s="155"/>
      <c r="DC183" s="155"/>
      <c r="DD183" s="155"/>
      <c r="DE183" s="156"/>
      <c r="DF183" s="180">
        <f t="shared" ref="DF183:DF207" si="715">SUM(CT183:DE183)</f>
        <v>0</v>
      </c>
      <c r="DG183" s="280"/>
      <c r="DH183" s="164">
        <f>+F183+S183+AF183+AS183+BF183+BS183+DG183</f>
        <v>0</v>
      </c>
      <c r="DI183" s="165">
        <f t="shared" ref="DI183:DI190" si="716">+E183</f>
        <v>0</v>
      </c>
      <c r="DJ183" s="166">
        <f t="shared" ref="DJ183:DJ190" si="717">+DI183-DH183</f>
        <v>0</v>
      </c>
    </row>
    <row r="184" spans="1:115" ht="15" customHeight="1">
      <c r="A184" s="602"/>
      <c r="B184" s="547"/>
      <c r="C184" s="552" t="s">
        <v>63</v>
      </c>
      <c r="D184" s="184" t="s">
        <v>107</v>
      </c>
      <c r="E184" s="128">
        <f t="shared" si="708"/>
        <v>0</v>
      </c>
      <c r="F184" s="128"/>
      <c r="G184" s="129"/>
      <c r="H184" s="130"/>
      <c r="I184" s="130"/>
      <c r="J184" s="130"/>
      <c r="K184" s="130"/>
      <c r="L184" s="130"/>
      <c r="M184" s="130"/>
      <c r="N184" s="282"/>
      <c r="O184" s="282"/>
      <c r="P184" s="282"/>
      <c r="Q184" s="282"/>
      <c r="R184" s="282"/>
      <c r="S184" s="140">
        <f t="shared" si="709"/>
        <v>0</v>
      </c>
      <c r="T184" s="384"/>
      <c r="U184" s="381"/>
      <c r="V184" s="381"/>
      <c r="W184" s="381"/>
      <c r="X184" s="381"/>
      <c r="Y184" s="381"/>
      <c r="Z184" s="381"/>
      <c r="AA184" s="381"/>
      <c r="AB184" s="381"/>
      <c r="AC184" s="381"/>
      <c r="AD184" s="381"/>
      <c r="AE184" s="392"/>
      <c r="AF184" s="140">
        <f t="shared" si="710"/>
        <v>0</v>
      </c>
      <c r="AG184" s="497"/>
      <c r="AH184" s="499"/>
      <c r="AI184" s="499"/>
      <c r="AJ184" s="499"/>
      <c r="AK184" s="499"/>
      <c r="AL184" s="499"/>
      <c r="AM184" s="499"/>
      <c r="AN184" s="499"/>
      <c r="AO184" s="499"/>
      <c r="AP184" s="499"/>
      <c r="AQ184" s="499"/>
      <c r="AR184" s="511"/>
      <c r="AS184" s="407">
        <f>SUM(AG184:AR184)</f>
        <v>0</v>
      </c>
      <c r="AT184" s="516"/>
      <c r="AU184" s="516"/>
      <c r="AV184" s="499"/>
      <c r="AW184" s="516"/>
      <c r="AX184" s="499"/>
      <c r="AY184" s="499"/>
      <c r="AZ184" s="130"/>
      <c r="BA184" s="130"/>
      <c r="BB184" s="130"/>
      <c r="BC184" s="130"/>
      <c r="BD184" s="130"/>
      <c r="BE184" s="131"/>
      <c r="BF184" s="140">
        <f t="shared" si="711"/>
        <v>0</v>
      </c>
      <c r="BG184" s="133"/>
      <c r="BH184" s="130"/>
      <c r="BI184" s="130"/>
      <c r="BJ184" s="130"/>
      <c r="BK184" s="130"/>
      <c r="BL184" s="138"/>
      <c r="BM184" s="130"/>
      <c r="BN184" s="130"/>
      <c r="BO184" s="130"/>
      <c r="BP184" s="130"/>
      <c r="BQ184" s="130"/>
      <c r="BR184" s="131"/>
      <c r="BS184" s="140">
        <f t="shared" si="712"/>
        <v>0</v>
      </c>
      <c r="BT184" s="133"/>
      <c r="BU184" s="130"/>
      <c r="BV184" s="130"/>
      <c r="BW184" s="130"/>
      <c r="BX184" s="130"/>
      <c r="BY184" s="138"/>
      <c r="BZ184" s="130"/>
      <c r="CA184" s="130"/>
      <c r="CB184" s="130"/>
      <c r="CC184" s="130"/>
      <c r="CD184" s="130"/>
      <c r="CE184" s="131"/>
      <c r="CF184" s="140">
        <f t="shared" si="713"/>
        <v>0</v>
      </c>
      <c r="CG184" s="133"/>
      <c r="CH184" s="130"/>
      <c r="CI184" s="130"/>
      <c r="CJ184" s="130"/>
      <c r="CK184" s="130"/>
      <c r="CL184" s="138"/>
      <c r="CM184" s="130"/>
      <c r="CN184" s="130"/>
      <c r="CO184" s="130"/>
      <c r="CP184" s="130"/>
      <c r="CQ184" s="130"/>
      <c r="CR184" s="131"/>
      <c r="CS184" s="140">
        <f t="shared" si="714"/>
        <v>0</v>
      </c>
      <c r="CT184" s="133"/>
      <c r="CU184" s="130"/>
      <c r="CV184" s="130"/>
      <c r="CW184" s="130"/>
      <c r="CX184" s="130"/>
      <c r="CY184" s="138"/>
      <c r="CZ184" s="130"/>
      <c r="DA184" s="130"/>
      <c r="DB184" s="130"/>
      <c r="DC184" s="130"/>
      <c r="DD184" s="130"/>
      <c r="DE184" s="131"/>
      <c r="DF184" s="140">
        <f t="shared" si="715"/>
        <v>0</v>
      </c>
      <c r="DG184" s="278"/>
      <c r="DH184" s="90">
        <f t="shared" ref="DH184:DH190" si="718">+F184+S184+AF184+AS184+BF184+BS184+DG184</f>
        <v>0</v>
      </c>
      <c r="DI184" s="91">
        <f>+E184</f>
        <v>0</v>
      </c>
      <c r="DJ184" s="92">
        <f>+DI184-DH184</f>
        <v>0</v>
      </c>
    </row>
    <row r="185" spans="1:115" ht="15" customHeight="1">
      <c r="A185" s="602"/>
      <c r="B185" s="548"/>
      <c r="C185" s="553"/>
      <c r="D185" s="184" t="s">
        <v>108</v>
      </c>
      <c r="E185" s="136">
        <f t="shared" si="708"/>
        <v>330.4595208512518</v>
      </c>
      <c r="F185" s="136"/>
      <c r="G185" s="137"/>
      <c r="H185" s="138"/>
      <c r="I185" s="138"/>
      <c r="J185" s="138"/>
      <c r="K185" s="130"/>
      <c r="L185" s="130"/>
      <c r="M185" s="130"/>
      <c r="N185" s="130"/>
      <c r="O185" s="130"/>
      <c r="P185" s="130"/>
      <c r="Q185" s="253"/>
      <c r="R185" s="338"/>
      <c r="S185" s="140">
        <f t="shared" si="709"/>
        <v>0</v>
      </c>
      <c r="T185" s="384"/>
      <c r="U185" s="381">
        <f>3.148</f>
        <v>3.1480000000000001</v>
      </c>
      <c r="V185" s="381"/>
      <c r="W185" s="381"/>
      <c r="X185" s="381">
        <f>4.366</f>
        <v>4.3659999999999997</v>
      </c>
      <c r="Y185" s="381">
        <f>6.972</f>
        <v>6.9720000000000004</v>
      </c>
      <c r="Z185" s="381">
        <f>4.39+3.013</f>
        <v>7.4029999999999996</v>
      </c>
      <c r="AA185" s="381">
        <v>38.940004423711102</v>
      </c>
      <c r="AB185" s="381"/>
      <c r="AC185" s="381"/>
      <c r="AD185" s="381"/>
      <c r="AE185" s="381"/>
      <c r="AF185" s="140">
        <f t="shared" si="710"/>
        <v>60.829004423711098</v>
      </c>
      <c r="AG185" s="499">
        <v>58.258070870846943</v>
      </c>
      <c r="AH185" s="499">
        <v>15.385985230166503</v>
      </c>
      <c r="AI185" s="499"/>
      <c r="AJ185" s="499">
        <v>80.510501480029205</v>
      </c>
      <c r="AK185" s="499"/>
      <c r="AL185" s="499"/>
      <c r="AM185" s="499"/>
      <c r="AN185" s="499"/>
      <c r="AO185" s="499">
        <v>104.18113625175144</v>
      </c>
      <c r="AP185" s="499">
        <v>11.294822594746645</v>
      </c>
      <c r="AQ185" s="499"/>
      <c r="AR185" s="499"/>
      <c r="AS185" s="407">
        <f>SUM(AG185:AR185)</f>
        <v>269.63051642754067</v>
      </c>
      <c r="AT185" s="499"/>
      <c r="AU185" s="499"/>
      <c r="AV185" s="499"/>
      <c r="AW185" s="499"/>
      <c r="AX185" s="499"/>
      <c r="AY185" s="499"/>
      <c r="AZ185" s="138"/>
      <c r="BA185" s="138"/>
      <c r="BB185" s="138"/>
      <c r="BC185" s="138"/>
      <c r="BD185" s="138"/>
      <c r="BE185" s="139"/>
      <c r="BF185" s="140">
        <f t="shared" si="711"/>
        <v>0</v>
      </c>
      <c r="BG185" s="141"/>
      <c r="BH185" s="138"/>
      <c r="BI185" s="138"/>
      <c r="BJ185" s="138"/>
      <c r="BK185" s="138"/>
      <c r="BL185" s="138"/>
      <c r="BM185" s="138"/>
      <c r="BN185" s="138"/>
      <c r="BO185" s="138"/>
      <c r="BP185" s="138"/>
      <c r="BQ185" s="138"/>
      <c r="BR185" s="139"/>
      <c r="BS185" s="140">
        <f t="shared" si="712"/>
        <v>0</v>
      </c>
      <c r="BT185" s="141"/>
      <c r="BU185" s="138"/>
      <c r="BV185" s="138"/>
      <c r="BW185" s="138"/>
      <c r="BX185" s="138"/>
      <c r="BY185" s="138"/>
      <c r="BZ185" s="138"/>
      <c r="CA185" s="138"/>
      <c r="CB185" s="138"/>
      <c r="CC185" s="138"/>
      <c r="CD185" s="138"/>
      <c r="CE185" s="139"/>
      <c r="CF185" s="140">
        <f t="shared" si="713"/>
        <v>0</v>
      </c>
      <c r="CG185" s="141"/>
      <c r="CH185" s="138"/>
      <c r="CI185" s="138"/>
      <c r="CJ185" s="138"/>
      <c r="CK185" s="138"/>
      <c r="CL185" s="138"/>
      <c r="CM185" s="138"/>
      <c r="CN185" s="138"/>
      <c r="CO185" s="138"/>
      <c r="CP185" s="138"/>
      <c r="CQ185" s="138"/>
      <c r="CR185" s="139"/>
      <c r="CS185" s="140">
        <f t="shared" si="714"/>
        <v>0</v>
      </c>
      <c r="CT185" s="141"/>
      <c r="CU185" s="138"/>
      <c r="CV185" s="138"/>
      <c r="CW185" s="138"/>
      <c r="CX185" s="138"/>
      <c r="CY185" s="138"/>
      <c r="CZ185" s="138"/>
      <c r="DA185" s="138"/>
      <c r="DB185" s="138"/>
      <c r="DC185" s="138"/>
      <c r="DD185" s="138"/>
      <c r="DE185" s="139"/>
      <c r="DF185" s="140">
        <f t="shared" si="715"/>
        <v>0</v>
      </c>
      <c r="DG185" s="279"/>
      <c r="DH185" s="90">
        <f t="shared" si="718"/>
        <v>330.4595208512518</v>
      </c>
      <c r="DI185" s="91">
        <f t="shared" si="716"/>
        <v>330.4595208512518</v>
      </c>
      <c r="DJ185" s="92">
        <f t="shared" si="717"/>
        <v>0</v>
      </c>
      <c r="DK185" s="64" t="e">
        <f>+DH185/DH183</f>
        <v>#DIV/0!</v>
      </c>
    </row>
    <row r="186" spans="1:115" ht="15" customHeight="1">
      <c r="A186" s="602"/>
      <c r="B186" s="556"/>
      <c r="C186" s="554" t="s">
        <v>11</v>
      </c>
      <c r="D186" s="555"/>
      <c r="E186" s="143">
        <f>+E183-E184-E185</f>
        <v>-330.4595208512518</v>
      </c>
      <c r="F186" s="144">
        <f>+F183-F184-F185</f>
        <v>0</v>
      </c>
      <c r="G186" s="145">
        <f>+G183-G184-G185</f>
        <v>0</v>
      </c>
      <c r="H186" s="145">
        <f t="shared" ref="H186:R186" si="719">+H183-H184-H185</f>
        <v>0</v>
      </c>
      <c r="I186" s="145">
        <f t="shared" si="719"/>
        <v>0</v>
      </c>
      <c r="J186" s="145">
        <f t="shared" si="719"/>
        <v>0</v>
      </c>
      <c r="K186" s="145">
        <f t="shared" si="719"/>
        <v>0</v>
      </c>
      <c r="L186" s="145">
        <f t="shared" si="719"/>
        <v>0</v>
      </c>
      <c r="M186" s="145">
        <f t="shared" si="719"/>
        <v>0</v>
      </c>
      <c r="N186" s="145">
        <f t="shared" si="719"/>
        <v>0</v>
      </c>
      <c r="O186" s="145">
        <f t="shared" si="719"/>
        <v>0</v>
      </c>
      <c r="P186" s="145">
        <f t="shared" si="719"/>
        <v>0</v>
      </c>
      <c r="Q186" s="145">
        <f t="shared" si="719"/>
        <v>0</v>
      </c>
      <c r="R186" s="145">
        <f t="shared" si="719"/>
        <v>0</v>
      </c>
      <c r="S186" s="147">
        <f t="shared" si="709"/>
        <v>0</v>
      </c>
      <c r="T186" s="393">
        <f t="shared" ref="T186:AE186" si="720">+T183-T184-T185</f>
        <v>0</v>
      </c>
      <c r="U186" s="145">
        <f t="shared" si="720"/>
        <v>-3.1480000000000001</v>
      </c>
      <c r="V186" s="145">
        <f t="shared" si="720"/>
        <v>0</v>
      </c>
      <c r="W186" s="145">
        <f t="shared" si="720"/>
        <v>0</v>
      </c>
      <c r="X186" s="145">
        <f t="shared" si="720"/>
        <v>-4.3659999999999997</v>
      </c>
      <c r="Y186" s="145">
        <f t="shared" si="720"/>
        <v>-6.9720000000000004</v>
      </c>
      <c r="Z186" s="145">
        <f t="shared" si="720"/>
        <v>-7.4029999999999996</v>
      </c>
      <c r="AA186" s="145">
        <f t="shared" si="720"/>
        <v>-38.940004423711102</v>
      </c>
      <c r="AB186" s="145">
        <f t="shared" si="720"/>
        <v>0</v>
      </c>
      <c r="AC186" s="145">
        <f t="shared" si="720"/>
        <v>0</v>
      </c>
      <c r="AD186" s="145">
        <f t="shared" si="720"/>
        <v>0</v>
      </c>
      <c r="AE186" s="146">
        <f t="shared" si="720"/>
        <v>0</v>
      </c>
      <c r="AF186" s="147">
        <f t="shared" si="710"/>
        <v>-60.829004423711098</v>
      </c>
      <c r="AG186" s="148">
        <f t="shared" ref="AG186:BE186" si="721">+AG183-AG184-AG185</f>
        <v>-58.258070870846943</v>
      </c>
      <c r="AH186" s="145">
        <f t="shared" si="721"/>
        <v>-15.385985230166503</v>
      </c>
      <c r="AI186" s="145">
        <f t="shared" si="721"/>
        <v>0</v>
      </c>
      <c r="AJ186" s="145">
        <f t="shared" si="721"/>
        <v>-80.510501480029205</v>
      </c>
      <c r="AK186" s="145">
        <f t="shared" si="721"/>
        <v>0</v>
      </c>
      <c r="AL186" s="145">
        <f t="shared" si="721"/>
        <v>0</v>
      </c>
      <c r="AM186" s="145">
        <f t="shared" si="721"/>
        <v>0</v>
      </c>
      <c r="AN186" s="145">
        <f t="shared" si="721"/>
        <v>0</v>
      </c>
      <c r="AO186" s="145">
        <f t="shared" si="721"/>
        <v>-104.18113625175144</v>
      </c>
      <c r="AP186" s="145">
        <f t="shared" si="721"/>
        <v>-11.294822594746645</v>
      </c>
      <c r="AQ186" s="145">
        <f t="shared" si="721"/>
        <v>0</v>
      </c>
      <c r="AR186" s="146">
        <f t="shared" si="721"/>
        <v>0</v>
      </c>
      <c r="AS186" s="408">
        <f t="shared" si="721"/>
        <v>-269.63051642754067</v>
      </c>
      <c r="AT186" s="148">
        <f t="shared" si="721"/>
        <v>0</v>
      </c>
      <c r="AU186" s="145">
        <f t="shared" si="721"/>
        <v>0</v>
      </c>
      <c r="AV186" s="145">
        <f t="shared" si="721"/>
        <v>0</v>
      </c>
      <c r="AW186" s="145">
        <f t="shared" si="721"/>
        <v>0</v>
      </c>
      <c r="AX186" s="145">
        <f t="shared" si="721"/>
        <v>0</v>
      </c>
      <c r="AY186" s="145">
        <f t="shared" si="721"/>
        <v>0</v>
      </c>
      <c r="AZ186" s="145">
        <f t="shared" si="721"/>
        <v>0</v>
      </c>
      <c r="BA186" s="145">
        <f t="shared" si="721"/>
        <v>0</v>
      </c>
      <c r="BB186" s="145">
        <f t="shared" si="721"/>
        <v>0</v>
      </c>
      <c r="BC186" s="145">
        <f t="shared" si="721"/>
        <v>0</v>
      </c>
      <c r="BD186" s="145">
        <f t="shared" si="721"/>
        <v>0</v>
      </c>
      <c r="BE186" s="146">
        <f t="shared" si="721"/>
        <v>0</v>
      </c>
      <c r="BF186" s="147">
        <f t="shared" si="711"/>
        <v>0</v>
      </c>
      <c r="BG186" s="148">
        <f t="shared" ref="BG186:BR186" si="722">+BG183-BG184-BG185</f>
        <v>0</v>
      </c>
      <c r="BH186" s="145">
        <f t="shared" si="722"/>
        <v>0</v>
      </c>
      <c r="BI186" s="145">
        <f t="shared" si="722"/>
        <v>0</v>
      </c>
      <c r="BJ186" s="145">
        <f t="shared" si="722"/>
        <v>0</v>
      </c>
      <c r="BK186" s="145">
        <f t="shared" si="722"/>
        <v>0</v>
      </c>
      <c r="BL186" s="145">
        <f t="shared" si="722"/>
        <v>0</v>
      </c>
      <c r="BM186" s="145">
        <f t="shared" si="722"/>
        <v>0</v>
      </c>
      <c r="BN186" s="145">
        <f t="shared" si="722"/>
        <v>0</v>
      </c>
      <c r="BO186" s="145">
        <f t="shared" si="722"/>
        <v>0</v>
      </c>
      <c r="BP186" s="145">
        <f t="shared" si="722"/>
        <v>0</v>
      </c>
      <c r="BQ186" s="145">
        <f t="shared" si="722"/>
        <v>0</v>
      </c>
      <c r="BR186" s="146">
        <f t="shared" si="722"/>
        <v>0</v>
      </c>
      <c r="BS186" s="147">
        <f t="shared" si="712"/>
        <v>0</v>
      </c>
      <c r="BT186" s="148">
        <f>+BT183-BT184-BT185</f>
        <v>0</v>
      </c>
      <c r="BU186" s="145">
        <f t="shared" ref="BU186:CC186" si="723">+BU183-BU184-BU185</f>
        <v>0</v>
      </c>
      <c r="BV186" s="145">
        <f t="shared" si="723"/>
        <v>0</v>
      </c>
      <c r="BW186" s="145">
        <f t="shared" si="723"/>
        <v>0</v>
      </c>
      <c r="BX186" s="145">
        <f t="shared" si="723"/>
        <v>0</v>
      </c>
      <c r="BY186" s="145">
        <f t="shared" si="723"/>
        <v>0</v>
      </c>
      <c r="BZ186" s="145">
        <f t="shared" si="723"/>
        <v>0</v>
      </c>
      <c r="CA186" s="145">
        <f t="shared" si="723"/>
        <v>0</v>
      </c>
      <c r="CB186" s="145">
        <f t="shared" si="723"/>
        <v>0</v>
      </c>
      <c r="CC186" s="145">
        <f t="shared" si="723"/>
        <v>0</v>
      </c>
      <c r="CD186" s="145">
        <f>+CD183-CD184-CD185</f>
        <v>0</v>
      </c>
      <c r="CE186" s="146">
        <f>+CE183-CE184-CE185</f>
        <v>0</v>
      </c>
      <c r="CF186" s="147">
        <f t="shared" si="713"/>
        <v>0</v>
      </c>
      <c r="CG186" s="148">
        <f>+CG183-CG184-CG185</f>
        <v>0</v>
      </c>
      <c r="CH186" s="145">
        <f t="shared" ref="CH186:CP186" si="724">+CH183-CH184-CH185</f>
        <v>0</v>
      </c>
      <c r="CI186" s="145">
        <f t="shared" si="724"/>
        <v>0</v>
      </c>
      <c r="CJ186" s="145">
        <f t="shared" si="724"/>
        <v>0</v>
      </c>
      <c r="CK186" s="145">
        <f t="shared" si="724"/>
        <v>0</v>
      </c>
      <c r="CL186" s="145">
        <f t="shared" si="724"/>
        <v>0</v>
      </c>
      <c r="CM186" s="145">
        <f t="shared" si="724"/>
        <v>0</v>
      </c>
      <c r="CN186" s="145">
        <f t="shared" si="724"/>
        <v>0</v>
      </c>
      <c r="CO186" s="145">
        <f t="shared" si="724"/>
        <v>0</v>
      </c>
      <c r="CP186" s="145">
        <f t="shared" si="724"/>
        <v>0</v>
      </c>
      <c r="CQ186" s="145">
        <f>+CQ183-CQ184-CQ185</f>
        <v>0</v>
      </c>
      <c r="CR186" s="146">
        <f>+CR183-CR184-CR185</f>
        <v>0</v>
      </c>
      <c r="CS186" s="147">
        <f t="shared" si="714"/>
        <v>0</v>
      </c>
      <c r="CT186" s="148">
        <f>+CT183-CT184-CT185</f>
        <v>0</v>
      </c>
      <c r="CU186" s="145">
        <f t="shared" ref="CU186:DC186" si="725">+CU183-CU184-CU185</f>
        <v>0</v>
      </c>
      <c r="CV186" s="145">
        <f t="shared" si="725"/>
        <v>0</v>
      </c>
      <c r="CW186" s="145">
        <f t="shared" si="725"/>
        <v>0</v>
      </c>
      <c r="CX186" s="145">
        <f t="shared" si="725"/>
        <v>0</v>
      </c>
      <c r="CY186" s="145">
        <f t="shared" si="725"/>
        <v>0</v>
      </c>
      <c r="CZ186" s="145">
        <f t="shared" si="725"/>
        <v>0</v>
      </c>
      <c r="DA186" s="145">
        <f t="shared" si="725"/>
        <v>0</v>
      </c>
      <c r="DB186" s="145">
        <f t="shared" si="725"/>
        <v>0</v>
      </c>
      <c r="DC186" s="145">
        <f t="shared" si="725"/>
        <v>0</v>
      </c>
      <c r="DD186" s="145">
        <f>+DD183-DD184-DD185</f>
        <v>0</v>
      </c>
      <c r="DE186" s="146">
        <f>+DE183-DE184-DE185</f>
        <v>0</v>
      </c>
      <c r="DF186" s="147">
        <f t="shared" si="715"/>
        <v>0</v>
      </c>
      <c r="DG186" s="146">
        <f>+DG183-DG184-DG185</f>
        <v>0</v>
      </c>
      <c r="DH186" s="149">
        <f t="shared" si="718"/>
        <v>-330.4595208512518</v>
      </c>
      <c r="DI186" s="150">
        <f t="shared" si="716"/>
        <v>-330.4595208512518</v>
      </c>
      <c r="DJ186" s="151">
        <f t="shared" si="717"/>
        <v>0</v>
      </c>
    </row>
    <row r="187" spans="1:115" ht="15" customHeight="1">
      <c r="A187" s="602"/>
      <c r="B187" s="593" t="s">
        <v>212</v>
      </c>
      <c r="C187" s="550" t="s">
        <v>62</v>
      </c>
      <c r="D187" s="551"/>
      <c r="E187" s="153">
        <f t="shared" si="708"/>
        <v>182631.04794520547</v>
      </c>
      <c r="F187" s="128"/>
      <c r="G187" s="129"/>
      <c r="H187" s="130"/>
      <c r="I187" s="130"/>
      <c r="J187" s="130"/>
      <c r="K187" s="130"/>
      <c r="L187" s="130"/>
      <c r="M187" s="130"/>
      <c r="N187" s="282"/>
      <c r="O187" s="282"/>
      <c r="P187" s="282"/>
      <c r="Q187" s="282"/>
      <c r="R187" s="131"/>
      <c r="S187" s="140">
        <f t="shared" si="709"/>
        <v>0</v>
      </c>
      <c r="T187" s="391"/>
      <c r="U187" s="379"/>
      <c r="V187" s="379"/>
      <c r="W187" s="379"/>
      <c r="X187" s="379"/>
      <c r="Y187" s="379"/>
      <c r="Z187" s="379"/>
      <c r="AA187" s="379"/>
      <c r="AB187" s="379"/>
      <c r="AC187" s="379"/>
      <c r="AD187" s="379"/>
      <c r="AE187" s="480"/>
      <c r="AF187" s="132">
        <f t="shared" si="710"/>
        <v>0</v>
      </c>
      <c r="AG187" s="496"/>
      <c r="AH187" s="510"/>
      <c r="AI187" s="510"/>
      <c r="AJ187" s="510"/>
      <c r="AK187" s="510"/>
      <c r="AL187" s="510"/>
      <c r="AM187" s="510"/>
      <c r="AN187" s="510"/>
      <c r="AO187" s="510"/>
      <c r="AP187" s="510"/>
      <c r="AQ187" s="510"/>
      <c r="AR187" s="510">
        <v>3473.0479452054801</v>
      </c>
      <c r="AS187" s="406">
        <f>SUM(AG187:AR187)</f>
        <v>3473.0479452054801</v>
      </c>
      <c r="AT187" s="516"/>
      <c r="AU187" s="510"/>
      <c r="AV187" s="510"/>
      <c r="AW187" s="510"/>
      <c r="AX187" s="510"/>
      <c r="AY187" s="510"/>
      <c r="AZ187" s="130"/>
      <c r="BA187" s="130"/>
      <c r="BB187" s="130"/>
      <c r="BC187" s="130"/>
      <c r="BD187" s="130"/>
      <c r="BE187" s="131"/>
      <c r="BF187" s="132">
        <f t="shared" si="711"/>
        <v>0</v>
      </c>
      <c r="BG187" s="133"/>
      <c r="BH187" s="130"/>
      <c r="BI187" s="130"/>
      <c r="BJ187" s="130"/>
      <c r="BK187" s="282"/>
      <c r="BL187" s="282"/>
      <c r="BM187" s="282"/>
      <c r="BN187" s="282"/>
      <c r="BO187" s="282"/>
      <c r="BP187" s="282"/>
      <c r="BQ187" s="282"/>
      <c r="BR187" s="284"/>
      <c r="BS187" s="132">
        <f t="shared" si="712"/>
        <v>0</v>
      </c>
      <c r="BT187" s="133"/>
      <c r="BU187" s="130"/>
      <c r="BV187" s="130"/>
      <c r="BW187" s="130"/>
      <c r="BX187" s="282"/>
      <c r="BY187" s="282"/>
      <c r="BZ187" s="535">
        <f>BB188+AZ188</f>
        <v>27958</v>
      </c>
      <c r="CA187" s="282"/>
      <c r="CB187" s="282"/>
      <c r="CC187" s="282"/>
      <c r="CD187" s="282"/>
      <c r="CE187" s="284"/>
      <c r="CF187" s="132">
        <f t="shared" si="713"/>
        <v>27958</v>
      </c>
      <c r="CG187" s="133"/>
      <c r="CH187" s="130"/>
      <c r="CI187" s="130"/>
      <c r="CJ187" s="130"/>
      <c r="CK187" s="282"/>
      <c r="CL187" s="282"/>
      <c r="CM187" s="282"/>
      <c r="CN187" s="282"/>
      <c r="CO187" s="282"/>
      <c r="CP187" s="282"/>
      <c r="CQ187" s="282"/>
      <c r="CR187" s="284"/>
      <c r="CS187" s="132">
        <f t="shared" si="714"/>
        <v>0</v>
      </c>
      <c r="CT187" s="133"/>
      <c r="CU187" s="130"/>
      <c r="CV187" s="130"/>
      <c r="CW187" s="130">
        <v>64200</v>
      </c>
      <c r="CX187" s="282"/>
      <c r="CY187" s="282"/>
      <c r="CZ187" s="282"/>
      <c r="DA187" s="282"/>
      <c r="DB187" s="282"/>
      <c r="DC187" s="282"/>
      <c r="DD187" s="282"/>
      <c r="DE187" s="284"/>
      <c r="DF187" s="132">
        <f t="shared" si="715"/>
        <v>64200</v>
      </c>
      <c r="DG187" s="278">
        <v>87000</v>
      </c>
      <c r="DH187" s="159">
        <f>+F187+S187+AF187+AS187+BF187+BS187+DG187</f>
        <v>90473.047945205486</v>
      </c>
      <c r="DI187" s="160">
        <f t="shared" si="716"/>
        <v>182631.04794520547</v>
      </c>
      <c r="DJ187" s="161">
        <f t="shared" si="717"/>
        <v>92157.999999999985</v>
      </c>
    </row>
    <row r="188" spans="1:115" ht="15" customHeight="1">
      <c r="A188" s="602"/>
      <c r="B188" s="547"/>
      <c r="C188" s="552" t="s">
        <v>63</v>
      </c>
      <c r="D188" s="184" t="s">
        <v>362</v>
      </c>
      <c r="E188" s="128">
        <f t="shared" si="708"/>
        <v>89335.505665837496</v>
      </c>
      <c r="F188" s="136"/>
      <c r="G188" s="137"/>
      <c r="H188" s="138"/>
      <c r="I188" s="138"/>
      <c r="J188" s="138"/>
      <c r="K188" s="130"/>
      <c r="L188" s="130"/>
      <c r="M188" s="130"/>
      <c r="N188" s="253"/>
      <c r="O188" s="253"/>
      <c r="P188" s="253"/>
      <c r="Q188" s="253">
        <v>498.54590776900704</v>
      </c>
      <c r="R188" s="131"/>
      <c r="S188" s="140">
        <f t="shared" si="709"/>
        <v>498.54590776900704</v>
      </c>
      <c r="T188" s="391"/>
      <c r="U188" s="381"/>
      <c r="V188" s="381"/>
      <c r="W188" s="381"/>
      <c r="X188" s="381"/>
      <c r="Y188" s="381">
        <v>3617.1561051004637</v>
      </c>
      <c r="Z188" s="381"/>
      <c r="AA188" s="381"/>
      <c r="AB188" s="381"/>
      <c r="AC188" s="381"/>
      <c r="AD188" s="381"/>
      <c r="AE188" s="381"/>
      <c r="AF188" s="140">
        <f t="shared" si="710"/>
        <v>3617.1561051004637</v>
      </c>
      <c r="AG188" s="496"/>
      <c r="AH188" s="515"/>
      <c r="AI188" s="499"/>
      <c r="AJ188" s="499"/>
      <c r="AK188" s="499"/>
      <c r="AL188" s="518"/>
      <c r="AM188" s="510"/>
      <c r="AN188" s="510"/>
      <c r="AO188" s="510"/>
      <c r="AP188" s="518"/>
      <c r="AQ188" s="518"/>
      <c r="AR188" s="510">
        <v>57261.803652968032</v>
      </c>
      <c r="AS188" s="407">
        <f t="shared" ref="AS188:AS210" si="726">SUM(AG188:AR188)</f>
        <v>57261.803652968032</v>
      </c>
      <c r="AT188" s="516"/>
      <c r="AU188" s="510"/>
      <c r="AV188" s="510"/>
      <c r="AW188" s="510"/>
      <c r="AX188" s="510"/>
      <c r="AY188" s="510"/>
      <c r="AZ188" s="535">
        <v>19083</v>
      </c>
      <c r="BA188" s="282"/>
      <c r="BB188" s="535">
        <v>8875</v>
      </c>
      <c r="BC188" s="130"/>
      <c r="BD188" s="130"/>
      <c r="BE188" s="131"/>
      <c r="BF188" s="140">
        <f t="shared" si="711"/>
        <v>27958</v>
      </c>
      <c r="BG188" s="133"/>
      <c r="BH188" s="130"/>
      <c r="BI188" s="130"/>
      <c r="BJ188" s="130"/>
      <c r="BK188" s="282"/>
      <c r="BL188" s="282"/>
      <c r="BM188" s="282"/>
      <c r="BN188" s="282"/>
      <c r="BO188" s="282"/>
      <c r="BP188" s="282"/>
      <c r="BQ188" s="282"/>
      <c r="BR188" s="284"/>
      <c r="BS188" s="140">
        <f t="shared" si="712"/>
        <v>0</v>
      </c>
      <c r="BT188" s="133"/>
      <c r="BU188" s="138"/>
      <c r="BV188" s="130"/>
      <c r="BW188" s="130"/>
      <c r="BX188" s="282"/>
      <c r="BY188" s="282"/>
      <c r="BZ188" s="282"/>
      <c r="CA188" s="282"/>
      <c r="CB188" s="282"/>
      <c r="CC188" s="282"/>
      <c r="CD188" s="282"/>
      <c r="CE188" s="284"/>
      <c r="CF188" s="140">
        <f t="shared" si="713"/>
        <v>0</v>
      </c>
      <c r="CG188" s="133"/>
      <c r="CH188" s="130"/>
      <c r="CI188" s="130"/>
      <c r="CJ188" s="130"/>
      <c r="CK188" s="282"/>
      <c r="CL188" s="282"/>
      <c r="CM188" s="282"/>
      <c r="CN188" s="282"/>
      <c r="CO188" s="282"/>
      <c r="CP188" s="282"/>
      <c r="CQ188" s="282"/>
      <c r="CR188" s="284"/>
      <c r="CS188" s="140">
        <f t="shared" si="714"/>
        <v>0</v>
      </c>
      <c r="CT188" s="133"/>
      <c r="CU188" s="130"/>
      <c r="CV188" s="130"/>
      <c r="CW188" s="130"/>
      <c r="CX188" s="282"/>
      <c r="CY188" s="282"/>
      <c r="CZ188" s="282"/>
      <c r="DA188" s="282"/>
      <c r="DB188" s="282"/>
      <c r="DC188" s="282"/>
      <c r="DD188" s="282"/>
      <c r="DE188" s="284"/>
      <c r="DF188" s="140">
        <f t="shared" si="715"/>
        <v>0</v>
      </c>
      <c r="DG188" s="278"/>
      <c r="DH188" s="90">
        <f t="shared" si="718"/>
        <v>89335.505665837496</v>
      </c>
      <c r="DI188" s="91">
        <f>+E188</f>
        <v>89335.505665837496</v>
      </c>
      <c r="DJ188" s="92">
        <f>+DI188-DH188</f>
        <v>0</v>
      </c>
    </row>
    <row r="189" spans="1:115" ht="15" customHeight="1">
      <c r="A189" s="602"/>
      <c r="B189" s="548"/>
      <c r="C189" s="553"/>
      <c r="D189" s="184" t="s">
        <v>108</v>
      </c>
      <c r="E189" s="136">
        <f t="shared" si="708"/>
        <v>0</v>
      </c>
      <c r="F189" s="136"/>
      <c r="G189" s="137"/>
      <c r="H189" s="138"/>
      <c r="I189" s="138"/>
      <c r="J189" s="138"/>
      <c r="K189" s="138"/>
      <c r="L189" s="138"/>
      <c r="M189" s="138"/>
      <c r="N189" s="138"/>
      <c r="O189" s="138"/>
      <c r="P189" s="138"/>
      <c r="Q189" s="363"/>
      <c r="R189" s="356"/>
      <c r="S189" s="140">
        <f t="shared" si="709"/>
        <v>0</v>
      </c>
      <c r="T189" s="384"/>
      <c r="U189" s="381"/>
      <c r="V189" s="381"/>
      <c r="W189" s="381"/>
      <c r="X189" s="381"/>
      <c r="Y189" s="381"/>
      <c r="Z189" s="381"/>
      <c r="AA189" s="381"/>
      <c r="AB189" s="381"/>
      <c r="AC189" s="381"/>
      <c r="AD189" s="381"/>
      <c r="AE189" s="392"/>
      <c r="AF189" s="140">
        <f t="shared" si="710"/>
        <v>0</v>
      </c>
      <c r="AG189" s="497"/>
      <c r="AH189" s="499"/>
      <c r="AI189" s="499"/>
      <c r="AJ189" s="499"/>
      <c r="AK189" s="499"/>
      <c r="AL189" s="499"/>
      <c r="AM189" s="499"/>
      <c r="AN189" s="499"/>
      <c r="AO189" s="499"/>
      <c r="AP189" s="499"/>
      <c r="AQ189" s="499"/>
      <c r="AR189" s="511"/>
      <c r="AS189" s="407">
        <f t="shared" si="726"/>
        <v>0</v>
      </c>
      <c r="AT189" s="501"/>
      <c r="AU189" s="499"/>
      <c r="AV189" s="499"/>
      <c r="AW189" s="499"/>
      <c r="AX189" s="499"/>
      <c r="AY189" s="499"/>
      <c r="AZ189" s="138"/>
      <c r="BA189" s="138"/>
      <c r="BB189" s="138"/>
      <c r="BC189" s="138"/>
      <c r="BD189" s="138"/>
      <c r="BE189" s="139"/>
      <c r="BF189" s="140">
        <f t="shared" si="711"/>
        <v>0</v>
      </c>
      <c r="BG189" s="141"/>
      <c r="BH189" s="138"/>
      <c r="BI189" s="138"/>
      <c r="BJ189" s="138"/>
      <c r="BK189" s="253"/>
      <c r="BL189" s="253"/>
      <c r="BM189" s="253"/>
      <c r="BN189" s="253"/>
      <c r="BO189" s="253"/>
      <c r="BP189" s="253"/>
      <c r="BQ189" s="253"/>
      <c r="BR189" s="338"/>
      <c r="BS189" s="140">
        <f t="shared" si="712"/>
        <v>0</v>
      </c>
      <c r="BT189" s="141"/>
      <c r="BV189" s="138"/>
      <c r="BW189" s="138"/>
      <c r="BX189" s="253"/>
      <c r="BY189" s="253"/>
      <c r="BZ189" s="253"/>
      <c r="CA189" s="253"/>
      <c r="CB189" s="253"/>
      <c r="CC189" s="253"/>
      <c r="CD189" s="253"/>
      <c r="CE189" s="338"/>
      <c r="CF189" s="140">
        <f t="shared" si="713"/>
        <v>0</v>
      </c>
      <c r="CG189" s="141"/>
      <c r="CH189" s="138"/>
      <c r="CI189" s="138"/>
      <c r="CJ189" s="138"/>
      <c r="CK189" s="253"/>
      <c r="CL189" s="253"/>
      <c r="CM189" s="253"/>
      <c r="CN189" s="253"/>
      <c r="CO189" s="253"/>
      <c r="CP189" s="253"/>
      <c r="CQ189" s="253"/>
      <c r="CR189" s="338"/>
      <c r="CS189" s="140">
        <f t="shared" si="714"/>
        <v>0</v>
      </c>
      <c r="CT189" s="141"/>
      <c r="CU189" s="138"/>
      <c r="CV189" s="138"/>
      <c r="CW189" s="138"/>
      <c r="CX189" s="253"/>
      <c r="CY189" s="253"/>
      <c r="CZ189" s="253"/>
      <c r="DA189" s="253"/>
      <c r="DB189" s="253"/>
      <c r="DC189" s="253"/>
      <c r="DD189" s="253"/>
      <c r="DE189" s="338"/>
      <c r="DF189" s="140">
        <f t="shared" si="715"/>
        <v>0</v>
      </c>
      <c r="DG189" s="279"/>
      <c r="DH189" s="90">
        <f t="shared" si="718"/>
        <v>0</v>
      </c>
      <c r="DI189" s="91">
        <f t="shared" si="716"/>
        <v>0</v>
      </c>
      <c r="DJ189" s="92">
        <f t="shared" si="717"/>
        <v>0</v>
      </c>
      <c r="DK189" s="64">
        <f>+DH189/DH187</f>
        <v>0</v>
      </c>
    </row>
    <row r="190" spans="1:115" ht="15" customHeight="1">
      <c r="A190" s="602"/>
      <c r="B190" s="556"/>
      <c r="C190" s="554" t="s">
        <v>11</v>
      </c>
      <c r="D190" s="555"/>
      <c r="E190" s="143">
        <f t="shared" ref="E190:R190" si="727">+E187-E188-E189</f>
        <v>93295.542279367975</v>
      </c>
      <c r="F190" s="144">
        <f t="shared" si="727"/>
        <v>0</v>
      </c>
      <c r="G190" s="145">
        <f t="shared" si="727"/>
        <v>0</v>
      </c>
      <c r="H190" s="145">
        <f t="shared" si="727"/>
        <v>0</v>
      </c>
      <c r="I190" s="145">
        <f t="shared" si="727"/>
        <v>0</v>
      </c>
      <c r="J190" s="145">
        <f t="shared" si="727"/>
        <v>0</v>
      </c>
      <c r="K190" s="145">
        <f t="shared" si="727"/>
        <v>0</v>
      </c>
      <c r="L190" s="145">
        <f t="shared" si="727"/>
        <v>0</v>
      </c>
      <c r="M190" s="145">
        <f t="shared" si="727"/>
        <v>0</v>
      </c>
      <c r="N190" s="145">
        <f t="shared" si="727"/>
        <v>0</v>
      </c>
      <c r="O190" s="145">
        <f t="shared" si="727"/>
        <v>0</v>
      </c>
      <c r="P190" s="145">
        <f t="shared" si="727"/>
        <v>0</v>
      </c>
      <c r="Q190" s="145">
        <f t="shared" si="727"/>
        <v>-498.54590776900704</v>
      </c>
      <c r="R190" s="146">
        <f t="shared" si="727"/>
        <v>0</v>
      </c>
      <c r="S190" s="147">
        <f t="shared" si="709"/>
        <v>-498.54590776900704</v>
      </c>
      <c r="T190" s="393">
        <f>+T187-T188-T189</f>
        <v>0</v>
      </c>
      <c r="U190" s="145">
        <f t="shared" ref="U190:AE190" si="728">+U187-U188-U189</f>
        <v>0</v>
      </c>
      <c r="V190" s="145">
        <f t="shared" si="728"/>
        <v>0</v>
      </c>
      <c r="W190" s="145">
        <f>+W187-W188-W189</f>
        <v>0</v>
      </c>
      <c r="X190" s="145">
        <f t="shared" si="728"/>
        <v>0</v>
      </c>
      <c r="Y190" s="145">
        <f t="shared" si="728"/>
        <v>-3617.1561051004637</v>
      </c>
      <c r="Z190" s="145">
        <f t="shared" si="728"/>
        <v>0</v>
      </c>
      <c r="AA190" s="145">
        <f>+AA187-AA188-AA189</f>
        <v>0</v>
      </c>
      <c r="AB190" s="145">
        <f t="shared" si="728"/>
        <v>0</v>
      </c>
      <c r="AC190" s="145">
        <f t="shared" si="728"/>
        <v>0</v>
      </c>
      <c r="AD190" s="145">
        <f t="shared" si="728"/>
        <v>0</v>
      </c>
      <c r="AE190" s="146">
        <f t="shared" si="728"/>
        <v>0</v>
      </c>
      <c r="AF190" s="147">
        <f t="shared" si="710"/>
        <v>-3617.1561051004637</v>
      </c>
      <c r="AG190" s="145">
        <f>+AG187-AG188-AG189</f>
        <v>0</v>
      </c>
      <c r="AH190" s="145">
        <f t="shared" ref="AH190:AP190" si="729">+AH187-AH188-AH189</f>
        <v>0</v>
      </c>
      <c r="AI190" s="145">
        <f t="shared" si="729"/>
        <v>0</v>
      </c>
      <c r="AJ190" s="145">
        <f t="shared" si="729"/>
        <v>0</v>
      </c>
      <c r="AK190" s="145">
        <f t="shared" si="729"/>
        <v>0</v>
      </c>
      <c r="AL190" s="145">
        <f t="shared" si="729"/>
        <v>0</v>
      </c>
      <c r="AM190" s="145">
        <f t="shared" si="729"/>
        <v>0</v>
      </c>
      <c r="AN190" s="145">
        <f t="shared" si="729"/>
        <v>0</v>
      </c>
      <c r="AO190" s="145">
        <f t="shared" si="729"/>
        <v>0</v>
      </c>
      <c r="AP190" s="145">
        <f t="shared" si="729"/>
        <v>0</v>
      </c>
      <c r="AQ190" s="145">
        <f>+AQ187-AQ188-AQ189</f>
        <v>0</v>
      </c>
      <c r="AR190" s="146">
        <f>+AR187-AR188-AR189</f>
        <v>-53788.755707762553</v>
      </c>
      <c r="AS190" s="408">
        <f t="shared" si="726"/>
        <v>-53788.755707762553</v>
      </c>
      <c r="AT190" s="148">
        <f>+AT187-AT188-AT189</f>
        <v>0</v>
      </c>
      <c r="AU190" s="145">
        <f t="shared" ref="AU190:BE190" si="730">+AU187-AU188-AU189</f>
        <v>0</v>
      </c>
      <c r="AV190" s="145">
        <f t="shared" si="730"/>
        <v>0</v>
      </c>
      <c r="AW190" s="145">
        <f t="shared" si="730"/>
        <v>0</v>
      </c>
      <c r="AX190" s="145">
        <f t="shared" si="730"/>
        <v>0</v>
      </c>
      <c r="AY190" s="145">
        <f t="shared" si="730"/>
        <v>0</v>
      </c>
      <c r="AZ190" s="145">
        <f t="shared" si="730"/>
        <v>-19083</v>
      </c>
      <c r="BA190" s="145">
        <f t="shared" si="730"/>
        <v>0</v>
      </c>
      <c r="BB190" s="145">
        <f t="shared" si="730"/>
        <v>-8875</v>
      </c>
      <c r="BC190" s="145">
        <f t="shared" si="730"/>
        <v>0</v>
      </c>
      <c r="BD190" s="145">
        <f t="shared" si="730"/>
        <v>0</v>
      </c>
      <c r="BE190" s="146">
        <f t="shared" si="730"/>
        <v>0</v>
      </c>
      <c r="BF190" s="147">
        <f t="shared" si="711"/>
        <v>-27958</v>
      </c>
      <c r="BG190" s="145">
        <f>+BG187-BG188-BG189</f>
        <v>0</v>
      </c>
      <c r="BH190" s="145">
        <f t="shared" ref="BH190:BR190" si="731">+BH187-BH188-BH189</f>
        <v>0</v>
      </c>
      <c r="BI190" s="145">
        <f t="shared" si="731"/>
        <v>0</v>
      </c>
      <c r="BJ190" s="145">
        <f t="shared" si="731"/>
        <v>0</v>
      </c>
      <c r="BK190" s="145">
        <f t="shared" si="731"/>
        <v>0</v>
      </c>
      <c r="BL190" s="145">
        <f t="shared" si="731"/>
        <v>0</v>
      </c>
      <c r="BM190" s="145">
        <f t="shared" si="731"/>
        <v>0</v>
      </c>
      <c r="BN190" s="145">
        <f t="shared" si="731"/>
        <v>0</v>
      </c>
      <c r="BO190" s="145">
        <f t="shared" si="731"/>
        <v>0</v>
      </c>
      <c r="BP190" s="145">
        <f t="shared" si="731"/>
        <v>0</v>
      </c>
      <c r="BQ190" s="145">
        <f t="shared" si="731"/>
        <v>0</v>
      </c>
      <c r="BR190" s="146">
        <f t="shared" si="731"/>
        <v>0</v>
      </c>
      <c r="BS190" s="147">
        <f t="shared" si="712"/>
        <v>0</v>
      </c>
      <c r="BT190" s="145">
        <f>+BT187-BT188-BT189</f>
        <v>0</v>
      </c>
      <c r="BU190" s="145">
        <f>+BU187-BU188-BU189</f>
        <v>0</v>
      </c>
      <c r="BV190" s="145">
        <f t="shared" ref="BV190:CE190" si="732">+BV187-BV188-BV189</f>
        <v>0</v>
      </c>
      <c r="BW190" s="145">
        <f t="shared" si="732"/>
        <v>0</v>
      </c>
      <c r="BX190" s="145">
        <f t="shared" si="732"/>
        <v>0</v>
      </c>
      <c r="BY190" s="145">
        <f t="shared" si="732"/>
        <v>0</v>
      </c>
      <c r="BZ190" s="145">
        <f t="shared" si="732"/>
        <v>27958</v>
      </c>
      <c r="CA190" s="145">
        <f t="shared" si="732"/>
        <v>0</v>
      </c>
      <c r="CB190" s="145">
        <f t="shared" si="732"/>
        <v>0</v>
      </c>
      <c r="CC190" s="145">
        <f t="shared" si="732"/>
        <v>0</v>
      </c>
      <c r="CD190" s="145">
        <f t="shared" si="732"/>
        <v>0</v>
      </c>
      <c r="CE190" s="146">
        <f t="shared" si="732"/>
        <v>0</v>
      </c>
      <c r="CF190" s="147">
        <f t="shared" si="713"/>
        <v>27958</v>
      </c>
      <c r="CG190" s="145">
        <f>+CG187-CG188-CG189</f>
        <v>0</v>
      </c>
      <c r="CH190" s="145">
        <f t="shared" ref="CH190:CR190" si="733">+CH187-CH188-CH189</f>
        <v>0</v>
      </c>
      <c r="CI190" s="145">
        <f t="shared" si="733"/>
        <v>0</v>
      </c>
      <c r="CJ190" s="145">
        <f t="shared" si="733"/>
        <v>0</v>
      </c>
      <c r="CK190" s="145">
        <f t="shared" si="733"/>
        <v>0</v>
      </c>
      <c r="CL190" s="145">
        <f t="shared" si="733"/>
        <v>0</v>
      </c>
      <c r="CM190" s="145">
        <f t="shared" si="733"/>
        <v>0</v>
      </c>
      <c r="CN190" s="145">
        <f t="shared" si="733"/>
        <v>0</v>
      </c>
      <c r="CO190" s="145">
        <f t="shared" si="733"/>
        <v>0</v>
      </c>
      <c r="CP190" s="145">
        <f t="shared" si="733"/>
        <v>0</v>
      </c>
      <c r="CQ190" s="145">
        <f t="shared" si="733"/>
        <v>0</v>
      </c>
      <c r="CR190" s="146">
        <f t="shared" si="733"/>
        <v>0</v>
      </c>
      <c r="CS190" s="147">
        <f t="shared" si="714"/>
        <v>0</v>
      </c>
      <c r="CT190" s="145">
        <f>+CT187-CT188-CT189</f>
        <v>0</v>
      </c>
      <c r="CU190" s="145">
        <f t="shared" ref="CU190:DE190" si="734">+CU187-CU188-CU189</f>
        <v>0</v>
      </c>
      <c r="CV190" s="145">
        <f t="shared" si="734"/>
        <v>0</v>
      </c>
      <c r="CW190" s="145">
        <f t="shared" si="734"/>
        <v>64200</v>
      </c>
      <c r="CX190" s="145">
        <f t="shared" si="734"/>
        <v>0</v>
      </c>
      <c r="CY190" s="145">
        <f t="shared" si="734"/>
        <v>0</v>
      </c>
      <c r="CZ190" s="145">
        <f t="shared" si="734"/>
        <v>0</v>
      </c>
      <c r="DA190" s="145">
        <f t="shared" si="734"/>
        <v>0</v>
      </c>
      <c r="DB190" s="145">
        <f t="shared" si="734"/>
        <v>0</v>
      </c>
      <c r="DC190" s="145">
        <f t="shared" si="734"/>
        <v>0</v>
      </c>
      <c r="DD190" s="145">
        <f t="shared" si="734"/>
        <v>0</v>
      </c>
      <c r="DE190" s="146">
        <f t="shared" si="734"/>
        <v>0</v>
      </c>
      <c r="DF190" s="147">
        <f t="shared" si="715"/>
        <v>64200</v>
      </c>
      <c r="DG190" s="146">
        <f>+DG187-DG189</f>
        <v>87000</v>
      </c>
      <c r="DH190" s="98">
        <f t="shared" si="718"/>
        <v>1137.5422793679754</v>
      </c>
      <c r="DI190" s="99">
        <f t="shared" si="716"/>
        <v>93295.542279367975</v>
      </c>
      <c r="DJ190" s="100">
        <f t="shared" si="717"/>
        <v>92158</v>
      </c>
    </row>
    <row r="191" spans="1:115" ht="15" customHeight="1">
      <c r="A191" s="602"/>
      <c r="B191" s="546" t="s">
        <v>30</v>
      </c>
      <c r="C191" s="550" t="s">
        <v>62</v>
      </c>
      <c r="D191" s="551"/>
      <c r="E191" s="153">
        <f t="shared" si="708"/>
        <v>0</v>
      </c>
      <c r="F191" s="128"/>
      <c r="G191" s="129"/>
      <c r="H191" s="130"/>
      <c r="I191" s="130"/>
      <c r="J191" s="130"/>
      <c r="K191" s="130"/>
      <c r="L191" s="130"/>
      <c r="M191" s="130"/>
      <c r="N191" s="130"/>
      <c r="O191" s="130"/>
      <c r="P191" s="282"/>
      <c r="Q191" s="282"/>
      <c r="R191" s="284"/>
      <c r="S191" s="132">
        <f t="shared" si="709"/>
        <v>0</v>
      </c>
      <c r="T191" s="391"/>
      <c r="U191" s="379"/>
      <c r="V191" s="379"/>
      <c r="W191" s="379"/>
      <c r="X191" s="379"/>
      <c r="Y191" s="379"/>
      <c r="Z191" s="379"/>
      <c r="AA191" s="379"/>
      <c r="AB191" s="379"/>
      <c r="AC191" s="379"/>
      <c r="AD191" s="379"/>
      <c r="AE191" s="480"/>
      <c r="AF191" s="132">
        <f t="shared" si="710"/>
        <v>0</v>
      </c>
      <c r="AG191" s="496"/>
      <c r="AH191" s="510"/>
      <c r="AI191" s="510"/>
      <c r="AJ191" s="510"/>
      <c r="AK191" s="510"/>
      <c r="AL191" s="510"/>
      <c r="AM191" s="510"/>
      <c r="AN191" s="510"/>
      <c r="AO191" s="510"/>
      <c r="AP191" s="510"/>
      <c r="AQ191" s="510"/>
      <c r="AR191" s="515"/>
      <c r="AS191" s="406">
        <f t="shared" si="726"/>
        <v>0</v>
      </c>
      <c r="AT191" s="516"/>
      <c r="AU191" s="510"/>
      <c r="AV191" s="510"/>
      <c r="AW191" s="510"/>
      <c r="AX191" s="510"/>
      <c r="AY191" s="510"/>
      <c r="AZ191" s="282"/>
      <c r="BA191" s="282"/>
      <c r="BB191" s="282"/>
      <c r="BC191" s="282"/>
      <c r="BD191" s="282"/>
      <c r="BE191" s="284"/>
      <c r="BF191" s="132">
        <f t="shared" si="711"/>
        <v>0</v>
      </c>
      <c r="BG191" s="133"/>
      <c r="BH191" s="130"/>
      <c r="BI191" s="130"/>
      <c r="BJ191" s="130"/>
      <c r="BK191" s="130"/>
      <c r="BL191" s="130"/>
      <c r="BM191" s="130"/>
      <c r="BN191" s="130"/>
      <c r="BO191" s="130"/>
      <c r="BP191" s="130"/>
      <c r="BQ191" s="130"/>
      <c r="BR191" s="131"/>
      <c r="BS191" s="132">
        <f t="shared" si="712"/>
        <v>0</v>
      </c>
      <c r="BT191" s="133"/>
      <c r="BU191" s="130"/>
      <c r="BV191" s="130"/>
      <c r="BW191" s="130"/>
      <c r="BX191" s="130"/>
      <c r="BY191" s="130"/>
      <c r="BZ191" s="130"/>
      <c r="CA191" s="130"/>
      <c r="CB191" s="130"/>
      <c r="CC191" s="130"/>
      <c r="CD191" s="130"/>
      <c r="CE191" s="131"/>
      <c r="CF191" s="132">
        <f t="shared" si="713"/>
        <v>0</v>
      </c>
      <c r="CG191" s="133"/>
      <c r="CH191" s="130"/>
      <c r="CI191" s="130"/>
      <c r="CJ191" s="130"/>
      <c r="CK191" s="130"/>
      <c r="CL191" s="130"/>
      <c r="CM191" s="130"/>
      <c r="CN191" s="130"/>
      <c r="CO191" s="130"/>
      <c r="CP191" s="130"/>
      <c r="CQ191" s="130"/>
      <c r="CR191" s="131"/>
      <c r="CS191" s="132">
        <f t="shared" si="714"/>
        <v>0</v>
      </c>
      <c r="CT191" s="133"/>
      <c r="CU191" s="130"/>
      <c r="CV191" s="130"/>
      <c r="CW191" s="130"/>
      <c r="CX191" s="130"/>
      <c r="CY191" s="130"/>
      <c r="CZ191" s="130"/>
      <c r="DA191" s="130"/>
      <c r="DB191" s="130"/>
      <c r="DC191" s="130"/>
      <c r="DD191" s="130"/>
      <c r="DE191" s="131"/>
      <c r="DF191" s="132">
        <f t="shared" si="715"/>
        <v>0</v>
      </c>
      <c r="DG191" s="278"/>
      <c r="DH191" s="164">
        <f t="shared" ref="DH191:DH208" si="735">+F191+S191+AF191+AS191+BF191+BS191+DG191</f>
        <v>0</v>
      </c>
      <c r="DI191" s="91">
        <f t="shared" ref="DI191:DI210" si="736">+E191</f>
        <v>0</v>
      </c>
      <c r="DJ191" s="92">
        <f t="shared" ref="DJ191:DJ210" si="737">+DI191-DH191</f>
        <v>0</v>
      </c>
    </row>
    <row r="192" spans="1:115" ht="15" customHeight="1">
      <c r="A192" s="602"/>
      <c r="B192" s="547"/>
      <c r="C192" s="552" t="s">
        <v>63</v>
      </c>
      <c r="D192" s="184" t="s">
        <v>192</v>
      </c>
      <c r="E192" s="128">
        <f t="shared" si="708"/>
        <v>30600</v>
      </c>
      <c r="F192" s="128"/>
      <c r="G192" s="129"/>
      <c r="H192" s="130"/>
      <c r="I192" s="130"/>
      <c r="J192" s="130"/>
      <c r="K192" s="130"/>
      <c r="L192" s="130"/>
      <c r="M192" s="130"/>
      <c r="N192" s="130"/>
      <c r="O192" s="130"/>
      <c r="P192" s="282"/>
      <c r="Q192" s="282"/>
      <c r="R192" s="284"/>
      <c r="S192" s="140">
        <f t="shared" si="709"/>
        <v>0</v>
      </c>
      <c r="T192" s="391"/>
      <c r="U192" s="379"/>
      <c r="V192" s="379"/>
      <c r="W192" s="379"/>
      <c r="X192" s="379"/>
      <c r="Y192" s="379"/>
      <c r="Z192" s="379"/>
      <c r="AA192" s="379"/>
      <c r="AB192" s="379"/>
      <c r="AC192" s="379"/>
      <c r="AD192" s="379"/>
      <c r="AE192" s="381"/>
      <c r="AF192" s="140">
        <f t="shared" si="710"/>
        <v>0</v>
      </c>
      <c r="AG192" s="496"/>
      <c r="AH192" s="510"/>
      <c r="AI192" s="510"/>
      <c r="AJ192" s="499"/>
      <c r="AK192" s="510"/>
      <c r="AL192" s="510"/>
      <c r="AM192" s="510"/>
      <c r="AN192" s="510"/>
      <c r="AO192" s="499"/>
      <c r="AP192" s="499"/>
      <c r="AQ192" s="510"/>
      <c r="AR192" s="510"/>
      <c r="AS192" s="407">
        <f t="shared" si="726"/>
        <v>0</v>
      </c>
      <c r="AT192" s="516"/>
      <c r="AU192" s="499"/>
      <c r="AV192" s="499"/>
      <c r="AW192" s="499"/>
      <c r="AX192" s="499"/>
      <c r="AY192" s="511"/>
      <c r="AZ192" s="282"/>
      <c r="BA192" s="282"/>
      <c r="BB192" s="282"/>
      <c r="BC192" s="540">
        <f>1000*51%</f>
        <v>510</v>
      </c>
      <c r="BD192" s="338"/>
      <c r="BE192" s="338"/>
      <c r="BF192" s="140">
        <f t="shared" si="711"/>
        <v>510</v>
      </c>
      <c r="BG192" s="133"/>
      <c r="BH192" s="130"/>
      <c r="BI192" s="130"/>
      <c r="BJ192" s="130"/>
      <c r="BK192" s="130"/>
      <c r="BL192" s="130"/>
      <c r="BM192" s="540">
        <f>60000*51%-BC192</f>
        <v>30090</v>
      </c>
      <c r="BN192" s="338"/>
      <c r="BO192" s="130"/>
      <c r="BP192" s="130"/>
      <c r="BQ192" s="130"/>
      <c r="BR192" s="131"/>
      <c r="BS192" s="140">
        <f t="shared" si="712"/>
        <v>30090</v>
      </c>
      <c r="BT192" s="133"/>
      <c r="BU192" s="130"/>
      <c r="BV192" s="130"/>
      <c r="BW192" s="130"/>
      <c r="BX192" s="130"/>
      <c r="BY192" s="130"/>
      <c r="BZ192" s="130"/>
      <c r="CA192" s="130"/>
      <c r="CB192" s="130"/>
      <c r="CC192" s="130"/>
      <c r="CD192" s="130"/>
      <c r="CE192" s="131"/>
      <c r="CF192" s="140">
        <f t="shared" si="713"/>
        <v>0</v>
      </c>
      <c r="CG192" s="133"/>
      <c r="CH192" s="130"/>
      <c r="CI192" s="130"/>
      <c r="CJ192" s="130"/>
      <c r="CK192" s="130"/>
      <c r="CL192" s="130"/>
      <c r="CM192" s="130"/>
      <c r="CN192" s="130"/>
      <c r="CO192" s="130"/>
      <c r="CP192" s="130"/>
      <c r="CQ192" s="130"/>
      <c r="CR192" s="131"/>
      <c r="CS192" s="140">
        <f t="shared" si="714"/>
        <v>0</v>
      </c>
      <c r="CT192" s="133"/>
      <c r="CU192" s="130"/>
      <c r="CV192" s="130"/>
      <c r="CW192" s="130"/>
      <c r="CX192" s="130"/>
      <c r="CY192" s="130"/>
      <c r="CZ192" s="130"/>
      <c r="DA192" s="130"/>
      <c r="DB192" s="130"/>
      <c r="DC192" s="130"/>
      <c r="DD192" s="130"/>
      <c r="DE192" s="131"/>
      <c r="DF192" s="140">
        <f t="shared" si="715"/>
        <v>0</v>
      </c>
      <c r="DG192" s="278"/>
      <c r="DH192" s="90">
        <f t="shared" si="735"/>
        <v>30600</v>
      </c>
      <c r="DI192" s="91">
        <f t="shared" si="736"/>
        <v>30600</v>
      </c>
      <c r="DJ192" s="92">
        <f t="shared" si="737"/>
        <v>0</v>
      </c>
    </row>
    <row r="193" spans="1:115" ht="15" customHeight="1">
      <c r="A193" s="602"/>
      <c r="B193" s="548"/>
      <c r="C193" s="553"/>
      <c r="D193" s="184" t="s">
        <v>108</v>
      </c>
      <c r="E193" s="136">
        <f t="shared" si="708"/>
        <v>0</v>
      </c>
      <c r="F193" s="136"/>
      <c r="G193" s="137"/>
      <c r="H193" s="138"/>
      <c r="I193" s="138"/>
      <c r="J193" s="138"/>
      <c r="K193" s="138"/>
      <c r="L193" s="138"/>
      <c r="M193" s="138"/>
      <c r="N193" s="130"/>
      <c r="O193" s="130"/>
      <c r="P193" s="130"/>
      <c r="Q193" s="130"/>
      <c r="R193" s="130"/>
      <c r="S193" s="140">
        <f t="shared" si="709"/>
        <v>0</v>
      </c>
      <c r="T193" s="384"/>
      <c r="U193" s="381"/>
      <c r="V193" s="381"/>
      <c r="W193" s="381"/>
      <c r="X193" s="381"/>
      <c r="Y193" s="381"/>
      <c r="Z193" s="381"/>
      <c r="AA193" s="381"/>
      <c r="AB193" s="381"/>
      <c r="AC193" s="381"/>
      <c r="AD193" s="379"/>
      <c r="AE193" s="392"/>
      <c r="AF193" s="140">
        <f t="shared" si="710"/>
        <v>0</v>
      </c>
      <c r="AG193" s="510"/>
      <c r="AH193" s="499"/>
      <c r="AI193" s="499"/>
      <c r="AJ193" s="499"/>
      <c r="AK193" s="499"/>
      <c r="AL193" s="499"/>
      <c r="AM193" s="499"/>
      <c r="AN193" s="499"/>
      <c r="AO193" s="499"/>
      <c r="AP193" s="499"/>
      <c r="AQ193" s="499"/>
      <c r="AR193" s="511"/>
      <c r="AS193" s="407">
        <f t="shared" si="726"/>
        <v>0</v>
      </c>
      <c r="AT193" s="501"/>
      <c r="AU193" s="499"/>
      <c r="AV193" s="499"/>
      <c r="AW193" s="499"/>
      <c r="AX193" s="499"/>
      <c r="AY193" s="499"/>
      <c r="AZ193" s="253"/>
      <c r="BA193" s="253"/>
      <c r="BB193" s="253"/>
      <c r="BC193" s="253"/>
      <c r="BD193" s="253"/>
      <c r="BE193" s="338"/>
      <c r="BF193" s="140">
        <f t="shared" si="711"/>
        <v>0</v>
      </c>
      <c r="BG193" s="141"/>
      <c r="BH193" s="138"/>
      <c r="BI193" s="138"/>
      <c r="BJ193" s="138"/>
      <c r="BK193" s="138"/>
      <c r="BL193" s="138"/>
      <c r="BM193" s="138"/>
      <c r="BN193" s="138"/>
      <c r="BO193" s="138"/>
      <c r="BP193" s="138"/>
      <c r="BQ193" s="138"/>
      <c r="BR193" s="139"/>
      <c r="BS193" s="140">
        <f t="shared" si="712"/>
        <v>0</v>
      </c>
      <c r="BT193" s="141"/>
      <c r="BU193" s="138"/>
      <c r="BV193" s="138"/>
      <c r="BW193" s="138"/>
      <c r="BX193" s="138"/>
      <c r="BY193" s="138"/>
      <c r="BZ193" s="138"/>
      <c r="CA193" s="138"/>
      <c r="CB193" s="138"/>
      <c r="CC193" s="138"/>
      <c r="CD193" s="138"/>
      <c r="CE193" s="139"/>
      <c r="CF193" s="140">
        <f t="shared" si="713"/>
        <v>0</v>
      </c>
      <c r="CG193" s="141"/>
      <c r="CH193" s="138"/>
      <c r="CI193" s="138"/>
      <c r="CJ193" s="138"/>
      <c r="CK193" s="138"/>
      <c r="CL193" s="138"/>
      <c r="CM193" s="138"/>
      <c r="CN193" s="138"/>
      <c r="CO193" s="138"/>
      <c r="CP193" s="138"/>
      <c r="CQ193" s="138"/>
      <c r="CR193" s="139"/>
      <c r="CS193" s="140">
        <f t="shared" si="714"/>
        <v>0</v>
      </c>
      <c r="CT193" s="141"/>
      <c r="CU193" s="138"/>
      <c r="CV193" s="138"/>
      <c r="CW193" s="138"/>
      <c r="CX193" s="138"/>
      <c r="CY193" s="138"/>
      <c r="CZ193" s="138"/>
      <c r="DA193" s="138"/>
      <c r="DB193" s="138"/>
      <c r="DC193" s="138"/>
      <c r="DD193" s="138"/>
      <c r="DE193" s="139"/>
      <c r="DF193" s="140">
        <f t="shared" si="715"/>
        <v>0</v>
      </c>
      <c r="DG193" s="279"/>
      <c r="DH193" s="90">
        <f t="shared" si="735"/>
        <v>0</v>
      </c>
      <c r="DI193" s="91">
        <f t="shared" si="736"/>
        <v>0</v>
      </c>
      <c r="DJ193" s="92">
        <f t="shared" si="737"/>
        <v>0</v>
      </c>
      <c r="DK193" s="64" t="e">
        <f>+DH193/DH191</f>
        <v>#DIV/0!</v>
      </c>
    </row>
    <row r="194" spans="1:115" ht="15" customHeight="1">
      <c r="A194" s="602"/>
      <c r="B194" s="556"/>
      <c r="C194" s="554" t="s">
        <v>11</v>
      </c>
      <c r="D194" s="555"/>
      <c r="E194" s="143">
        <f>+E191-E192-E193</f>
        <v>-30600</v>
      </c>
      <c r="F194" s="144">
        <f>+F191-F192-F193</f>
        <v>0</v>
      </c>
      <c r="G194" s="145">
        <f t="shared" ref="G194:R194" si="738">+G191-G192-G193</f>
        <v>0</v>
      </c>
      <c r="H194" s="145">
        <f t="shared" si="738"/>
        <v>0</v>
      </c>
      <c r="I194" s="145">
        <f t="shared" si="738"/>
        <v>0</v>
      </c>
      <c r="J194" s="145">
        <f t="shared" si="738"/>
        <v>0</v>
      </c>
      <c r="K194" s="145">
        <f t="shared" si="738"/>
        <v>0</v>
      </c>
      <c r="L194" s="145">
        <f t="shared" si="738"/>
        <v>0</v>
      </c>
      <c r="M194" s="145">
        <f t="shared" si="738"/>
        <v>0</v>
      </c>
      <c r="N194" s="145">
        <f t="shared" si="738"/>
        <v>0</v>
      </c>
      <c r="O194" s="145">
        <f t="shared" si="738"/>
        <v>0</v>
      </c>
      <c r="P194" s="145">
        <f t="shared" si="738"/>
        <v>0</v>
      </c>
      <c r="Q194" s="145">
        <f t="shared" si="738"/>
        <v>0</v>
      </c>
      <c r="R194" s="145">
        <f t="shared" si="738"/>
        <v>0</v>
      </c>
      <c r="S194" s="147">
        <f t="shared" si="709"/>
        <v>0</v>
      </c>
      <c r="T194" s="393">
        <f>+T191-T192-T193</f>
        <v>0</v>
      </c>
      <c r="U194" s="145">
        <f t="shared" ref="U194:AE194" si="739">+U191-U192-U193</f>
        <v>0</v>
      </c>
      <c r="V194" s="145">
        <f t="shared" si="739"/>
        <v>0</v>
      </c>
      <c r="W194" s="145">
        <f t="shared" si="739"/>
        <v>0</v>
      </c>
      <c r="X194" s="145">
        <f t="shared" si="739"/>
        <v>0</v>
      </c>
      <c r="Y194" s="145">
        <f t="shared" si="739"/>
        <v>0</v>
      </c>
      <c r="Z194" s="145">
        <f t="shared" si="739"/>
        <v>0</v>
      </c>
      <c r="AA194" s="145">
        <f t="shared" si="739"/>
        <v>0</v>
      </c>
      <c r="AB194" s="145">
        <f t="shared" si="739"/>
        <v>0</v>
      </c>
      <c r="AC194" s="145">
        <f t="shared" si="739"/>
        <v>0</v>
      </c>
      <c r="AD194" s="145">
        <f t="shared" si="739"/>
        <v>0</v>
      </c>
      <c r="AE194" s="146">
        <f t="shared" si="739"/>
        <v>0</v>
      </c>
      <c r="AF194" s="147">
        <f t="shared" si="710"/>
        <v>0</v>
      </c>
      <c r="AG194" s="148">
        <f t="shared" ref="AG194:AR194" si="740">+AG191-AG192-AG193</f>
        <v>0</v>
      </c>
      <c r="AH194" s="145">
        <f t="shared" si="740"/>
        <v>0</v>
      </c>
      <c r="AI194" s="145">
        <f t="shared" si="740"/>
        <v>0</v>
      </c>
      <c r="AJ194" s="145">
        <f t="shared" si="740"/>
        <v>0</v>
      </c>
      <c r="AK194" s="145">
        <f t="shared" si="740"/>
        <v>0</v>
      </c>
      <c r="AL194" s="145">
        <f t="shared" si="740"/>
        <v>0</v>
      </c>
      <c r="AM194" s="145">
        <f t="shared" si="740"/>
        <v>0</v>
      </c>
      <c r="AN194" s="145">
        <f t="shared" si="740"/>
        <v>0</v>
      </c>
      <c r="AO194" s="145">
        <f t="shared" si="740"/>
        <v>0</v>
      </c>
      <c r="AP194" s="145">
        <f t="shared" si="740"/>
        <v>0</v>
      </c>
      <c r="AQ194" s="145">
        <f t="shared" si="740"/>
        <v>0</v>
      </c>
      <c r="AR194" s="146">
        <f t="shared" si="740"/>
        <v>0</v>
      </c>
      <c r="AS194" s="408">
        <f t="shared" si="726"/>
        <v>0</v>
      </c>
      <c r="AT194" s="148">
        <f t="shared" ref="AT194:BE194" si="741">+AT191-AT192-AT193</f>
        <v>0</v>
      </c>
      <c r="AU194" s="145">
        <f t="shared" si="741"/>
        <v>0</v>
      </c>
      <c r="AV194" s="145">
        <f t="shared" si="741"/>
        <v>0</v>
      </c>
      <c r="AW194" s="145">
        <f t="shared" si="741"/>
        <v>0</v>
      </c>
      <c r="AX194" s="145">
        <f t="shared" si="741"/>
        <v>0</v>
      </c>
      <c r="AY194" s="145">
        <f t="shared" si="741"/>
        <v>0</v>
      </c>
      <c r="AZ194" s="145">
        <f t="shared" si="741"/>
        <v>0</v>
      </c>
      <c r="BA194" s="145">
        <f t="shared" si="741"/>
        <v>0</v>
      </c>
      <c r="BB194" s="145">
        <f t="shared" si="741"/>
        <v>0</v>
      </c>
      <c r="BC194" s="145">
        <f t="shared" si="741"/>
        <v>-510</v>
      </c>
      <c r="BD194" s="145">
        <f t="shared" si="741"/>
        <v>0</v>
      </c>
      <c r="BE194" s="146">
        <f t="shared" si="741"/>
        <v>0</v>
      </c>
      <c r="BF194" s="147">
        <f t="shared" si="711"/>
        <v>-510</v>
      </c>
      <c r="BG194" s="148">
        <f t="shared" ref="BG194:BR194" si="742">+BG191-BG192-BG193</f>
        <v>0</v>
      </c>
      <c r="BH194" s="145">
        <f t="shared" si="742"/>
        <v>0</v>
      </c>
      <c r="BI194" s="145">
        <f t="shared" si="742"/>
        <v>0</v>
      </c>
      <c r="BJ194" s="145">
        <f t="shared" si="742"/>
        <v>0</v>
      </c>
      <c r="BK194" s="145">
        <f t="shared" si="742"/>
        <v>0</v>
      </c>
      <c r="BL194" s="145">
        <f t="shared" si="742"/>
        <v>0</v>
      </c>
      <c r="BM194" s="145">
        <f t="shared" si="742"/>
        <v>-30090</v>
      </c>
      <c r="BN194" s="145">
        <f t="shared" si="742"/>
        <v>0</v>
      </c>
      <c r="BO194" s="145">
        <f t="shared" si="742"/>
        <v>0</v>
      </c>
      <c r="BP194" s="145">
        <f t="shared" si="742"/>
        <v>0</v>
      </c>
      <c r="BQ194" s="145">
        <f t="shared" si="742"/>
        <v>0</v>
      </c>
      <c r="BR194" s="146">
        <f t="shared" si="742"/>
        <v>0</v>
      </c>
      <c r="BS194" s="147">
        <f t="shared" si="712"/>
        <v>-30090</v>
      </c>
      <c r="BT194" s="148">
        <f t="shared" ref="BT194:CE194" si="743">+BT191-BT192-BT193</f>
        <v>0</v>
      </c>
      <c r="BU194" s="145">
        <f t="shared" si="743"/>
        <v>0</v>
      </c>
      <c r="BV194" s="145">
        <f t="shared" si="743"/>
        <v>0</v>
      </c>
      <c r="BW194" s="145">
        <f t="shared" si="743"/>
        <v>0</v>
      </c>
      <c r="BX194" s="145">
        <f t="shared" si="743"/>
        <v>0</v>
      </c>
      <c r="BY194" s="145">
        <f t="shared" si="743"/>
        <v>0</v>
      </c>
      <c r="BZ194" s="145">
        <f t="shared" si="743"/>
        <v>0</v>
      </c>
      <c r="CA194" s="145">
        <f t="shared" si="743"/>
        <v>0</v>
      </c>
      <c r="CB194" s="145">
        <f t="shared" si="743"/>
        <v>0</v>
      </c>
      <c r="CC194" s="145">
        <f t="shared" si="743"/>
        <v>0</v>
      </c>
      <c r="CD194" s="145">
        <f t="shared" si="743"/>
        <v>0</v>
      </c>
      <c r="CE194" s="146">
        <f t="shared" si="743"/>
        <v>0</v>
      </c>
      <c r="CF194" s="147">
        <f t="shared" si="713"/>
        <v>0</v>
      </c>
      <c r="CG194" s="148">
        <f t="shared" ref="CG194:CR194" si="744">+CG191-CG192-CG193</f>
        <v>0</v>
      </c>
      <c r="CH194" s="145">
        <f t="shared" si="744"/>
        <v>0</v>
      </c>
      <c r="CI194" s="145">
        <f t="shared" si="744"/>
        <v>0</v>
      </c>
      <c r="CJ194" s="145">
        <f t="shared" si="744"/>
        <v>0</v>
      </c>
      <c r="CK194" s="145">
        <f t="shared" si="744"/>
        <v>0</v>
      </c>
      <c r="CL194" s="145">
        <f t="shared" si="744"/>
        <v>0</v>
      </c>
      <c r="CM194" s="145">
        <f t="shared" si="744"/>
        <v>0</v>
      </c>
      <c r="CN194" s="145">
        <f t="shared" si="744"/>
        <v>0</v>
      </c>
      <c r="CO194" s="145">
        <f t="shared" si="744"/>
        <v>0</v>
      </c>
      <c r="CP194" s="145">
        <f t="shared" si="744"/>
        <v>0</v>
      </c>
      <c r="CQ194" s="145">
        <f t="shared" si="744"/>
        <v>0</v>
      </c>
      <c r="CR194" s="146">
        <f t="shared" si="744"/>
        <v>0</v>
      </c>
      <c r="CS194" s="147">
        <f t="shared" si="714"/>
        <v>0</v>
      </c>
      <c r="CT194" s="148">
        <f t="shared" ref="CT194:DE194" si="745">+CT191-CT192-CT193</f>
        <v>0</v>
      </c>
      <c r="CU194" s="145">
        <f t="shared" si="745"/>
        <v>0</v>
      </c>
      <c r="CV194" s="145">
        <f t="shared" si="745"/>
        <v>0</v>
      </c>
      <c r="CW194" s="145">
        <f t="shared" si="745"/>
        <v>0</v>
      </c>
      <c r="CX194" s="145">
        <f t="shared" si="745"/>
        <v>0</v>
      </c>
      <c r="CY194" s="145">
        <f t="shared" si="745"/>
        <v>0</v>
      </c>
      <c r="CZ194" s="145">
        <f t="shared" si="745"/>
        <v>0</v>
      </c>
      <c r="DA194" s="145">
        <f t="shared" si="745"/>
        <v>0</v>
      </c>
      <c r="DB194" s="145">
        <f t="shared" si="745"/>
        <v>0</v>
      </c>
      <c r="DC194" s="145">
        <f t="shared" si="745"/>
        <v>0</v>
      </c>
      <c r="DD194" s="145">
        <f t="shared" si="745"/>
        <v>0</v>
      </c>
      <c r="DE194" s="146">
        <f t="shared" si="745"/>
        <v>0</v>
      </c>
      <c r="DF194" s="147">
        <f t="shared" si="715"/>
        <v>0</v>
      </c>
      <c r="DG194" s="146">
        <f>+DG191-DG192-DG193</f>
        <v>0</v>
      </c>
      <c r="DH194" s="149">
        <f t="shared" si="735"/>
        <v>-30600</v>
      </c>
      <c r="DI194" s="150">
        <f t="shared" si="736"/>
        <v>-30600</v>
      </c>
      <c r="DJ194" s="151">
        <f t="shared" si="737"/>
        <v>0</v>
      </c>
    </row>
    <row r="195" spans="1:115" ht="15" customHeight="1">
      <c r="A195" s="602"/>
      <c r="B195" s="546" t="s">
        <v>78</v>
      </c>
      <c r="C195" s="550" t="s">
        <v>62</v>
      </c>
      <c r="D195" s="551"/>
      <c r="E195" s="153">
        <f t="shared" si="708"/>
        <v>41034.650409563896</v>
      </c>
      <c r="F195" s="128"/>
      <c r="G195" s="129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1"/>
      <c r="S195" s="132">
        <f t="shared" si="709"/>
        <v>0</v>
      </c>
      <c r="T195" s="391"/>
      <c r="U195" s="379"/>
      <c r="V195" s="379"/>
      <c r="W195" s="379"/>
      <c r="X195" s="379"/>
      <c r="Y195" s="379"/>
      <c r="Z195" s="379"/>
      <c r="AA195" s="379"/>
      <c r="AB195" s="379"/>
      <c r="AC195" s="379"/>
      <c r="AD195" s="379"/>
      <c r="AE195" s="480"/>
      <c r="AF195" s="132">
        <f t="shared" si="710"/>
        <v>0</v>
      </c>
      <c r="AG195" s="496"/>
      <c r="AH195" s="510"/>
      <c r="AI195" s="510"/>
      <c r="AJ195" s="510"/>
      <c r="AK195" s="510"/>
      <c r="AL195" s="510"/>
      <c r="AM195" s="510">
        <v>530.84411274865397</v>
      </c>
      <c r="AN195" s="510"/>
      <c r="AO195" s="510">
        <v>7.806296815238384</v>
      </c>
      <c r="AP195" s="510"/>
      <c r="AQ195" s="510"/>
      <c r="AR195" s="515"/>
      <c r="AS195" s="406">
        <f t="shared" si="726"/>
        <v>538.65040956389237</v>
      </c>
      <c r="AT195" s="516"/>
      <c r="AU195" s="510"/>
      <c r="AV195" s="510"/>
      <c r="AW195" s="510"/>
      <c r="AX195" s="510"/>
      <c r="AY195" s="510"/>
      <c r="AZ195" s="130"/>
      <c r="BA195" s="130"/>
      <c r="BB195" s="130"/>
      <c r="BC195" s="130"/>
      <c r="BD195" s="130"/>
      <c r="BE195" s="131"/>
      <c r="BF195" s="132">
        <f t="shared" si="711"/>
        <v>0</v>
      </c>
      <c r="BG195" s="133"/>
      <c r="BH195" s="130"/>
      <c r="BI195" s="130"/>
      <c r="BJ195" s="130"/>
      <c r="BK195" s="130"/>
      <c r="BL195" s="130"/>
      <c r="BM195" s="130"/>
      <c r="BN195" s="130"/>
      <c r="BO195" s="130"/>
      <c r="BP195" s="130"/>
      <c r="BQ195" s="130"/>
      <c r="BR195" s="131"/>
      <c r="BS195" s="132">
        <f t="shared" si="712"/>
        <v>0</v>
      </c>
      <c r="BT195" s="133"/>
      <c r="BU195" s="130"/>
      <c r="BV195" s="130"/>
      <c r="BW195" s="130"/>
      <c r="BX195" s="130"/>
      <c r="BY195" s="130"/>
      <c r="BZ195" s="130"/>
      <c r="CA195" s="130"/>
      <c r="CB195" s="130"/>
      <c r="CC195" s="130"/>
      <c r="CD195" s="130"/>
      <c r="CE195" s="131"/>
      <c r="CF195" s="132">
        <f t="shared" si="713"/>
        <v>0</v>
      </c>
      <c r="CG195" s="133"/>
      <c r="CH195" s="130"/>
      <c r="CI195" s="130"/>
      <c r="CJ195" s="130"/>
      <c r="CK195" s="130"/>
      <c r="CL195" s="130"/>
      <c r="CM195" s="130"/>
      <c r="CN195" s="130"/>
      <c r="CO195" s="130"/>
      <c r="CP195" s="130"/>
      <c r="CQ195" s="130"/>
      <c r="CR195" s="131"/>
      <c r="CS195" s="132">
        <f t="shared" si="714"/>
        <v>0</v>
      </c>
      <c r="CT195" s="133"/>
      <c r="CU195" s="130"/>
      <c r="CV195" s="130"/>
      <c r="CW195" s="130"/>
      <c r="CX195" s="130"/>
      <c r="CY195" s="130"/>
      <c r="CZ195" s="130"/>
      <c r="DA195" s="130"/>
      <c r="DB195" s="130"/>
      <c r="DC195" s="130"/>
      <c r="DD195" s="130"/>
      <c r="DE195" s="131"/>
      <c r="DF195" s="132">
        <f t="shared" si="715"/>
        <v>0</v>
      </c>
      <c r="DG195" s="278">
        <v>40496</v>
      </c>
      <c r="DH195" s="159">
        <f t="shared" si="735"/>
        <v>41034.650409563896</v>
      </c>
      <c r="DI195" s="160">
        <f t="shared" si="736"/>
        <v>41034.650409563896</v>
      </c>
      <c r="DJ195" s="161">
        <f t="shared" si="737"/>
        <v>0</v>
      </c>
    </row>
    <row r="196" spans="1:115" ht="15" customHeight="1">
      <c r="A196" s="602"/>
      <c r="B196" s="547"/>
      <c r="C196" s="552" t="s">
        <v>63</v>
      </c>
      <c r="D196" s="184" t="s">
        <v>107</v>
      </c>
      <c r="E196" s="128">
        <f t="shared" si="708"/>
        <v>20038.410239033146</v>
      </c>
      <c r="F196" s="128"/>
      <c r="G196" s="129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1"/>
      <c r="S196" s="140">
        <f t="shared" si="709"/>
        <v>0</v>
      </c>
      <c r="T196" s="391"/>
      <c r="U196" s="379"/>
      <c r="V196" s="379"/>
      <c r="W196" s="379"/>
      <c r="X196" s="379"/>
      <c r="Y196" s="379"/>
      <c r="Z196" s="379"/>
      <c r="AA196" s="379"/>
      <c r="AB196" s="379"/>
      <c r="AC196" s="392"/>
      <c r="AD196" s="392"/>
      <c r="AE196" s="392"/>
      <c r="AF196" s="132">
        <f t="shared" si="710"/>
        <v>0</v>
      </c>
      <c r="AG196" s="511"/>
      <c r="AH196" s="510"/>
      <c r="AI196" s="511"/>
      <c r="AJ196" s="510"/>
      <c r="AK196" s="511">
        <v>4021.1840861041705</v>
      </c>
      <c r="AL196" s="511">
        <v>10025.982748706154</v>
      </c>
      <c r="AM196" s="510">
        <v>5991.2434042228197</v>
      </c>
      <c r="AN196" s="510"/>
      <c r="AO196" s="510"/>
      <c r="AP196" s="510"/>
      <c r="AQ196" s="510"/>
      <c r="AR196" s="511"/>
      <c r="AS196" s="407">
        <f t="shared" si="726"/>
        <v>20038.410239033146</v>
      </c>
      <c r="AT196" s="516"/>
      <c r="AU196" s="510"/>
      <c r="AV196" s="510"/>
      <c r="AW196" s="510"/>
      <c r="AX196" s="510"/>
      <c r="AY196" s="510"/>
      <c r="AZ196" s="130"/>
      <c r="BA196" s="130"/>
      <c r="BB196" s="130"/>
      <c r="BC196" s="130"/>
      <c r="BD196" s="130"/>
      <c r="BE196" s="131"/>
      <c r="BF196" s="140">
        <f t="shared" si="711"/>
        <v>0</v>
      </c>
      <c r="BG196" s="133"/>
      <c r="BH196" s="130"/>
      <c r="BI196" s="130"/>
      <c r="BJ196" s="130"/>
      <c r="BK196" s="130"/>
      <c r="BL196" s="130"/>
      <c r="BM196" s="130"/>
      <c r="BN196" s="130"/>
      <c r="BO196" s="130"/>
      <c r="BP196" s="130"/>
      <c r="BQ196" s="130"/>
      <c r="BR196" s="131"/>
      <c r="BS196" s="140">
        <f t="shared" si="712"/>
        <v>0</v>
      </c>
      <c r="BT196" s="133"/>
      <c r="BU196" s="130"/>
      <c r="BV196" s="130"/>
      <c r="BW196" s="130"/>
      <c r="BX196" s="130"/>
      <c r="BY196" s="130"/>
      <c r="BZ196" s="130"/>
      <c r="CA196" s="130"/>
      <c r="CB196" s="130"/>
      <c r="CC196" s="130"/>
      <c r="CD196" s="130"/>
      <c r="CE196" s="131"/>
      <c r="CF196" s="140">
        <f t="shared" si="713"/>
        <v>0</v>
      </c>
      <c r="CG196" s="133"/>
      <c r="CH196" s="130"/>
      <c r="CI196" s="130"/>
      <c r="CJ196" s="130"/>
      <c r="CK196" s="130"/>
      <c r="CL196" s="130"/>
      <c r="CM196" s="130"/>
      <c r="CN196" s="130"/>
      <c r="CO196" s="130"/>
      <c r="CP196" s="130"/>
      <c r="CQ196" s="130"/>
      <c r="CR196" s="131"/>
      <c r="CS196" s="140">
        <f t="shared" si="714"/>
        <v>0</v>
      </c>
      <c r="CT196" s="133"/>
      <c r="CU196" s="130"/>
      <c r="CV196" s="130"/>
      <c r="CW196" s="130"/>
      <c r="CX196" s="130"/>
      <c r="CY196" s="130"/>
      <c r="CZ196" s="130"/>
      <c r="DA196" s="130"/>
      <c r="DB196" s="130"/>
      <c r="DC196" s="130"/>
      <c r="DD196" s="130"/>
      <c r="DE196" s="131"/>
      <c r="DF196" s="140">
        <f t="shared" si="715"/>
        <v>0</v>
      </c>
      <c r="DG196" s="278"/>
      <c r="DH196" s="90">
        <f t="shared" si="735"/>
        <v>20038.410239033146</v>
      </c>
      <c r="DI196" s="91">
        <f t="shared" si="736"/>
        <v>20038.410239033146</v>
      </c>
      <c r="DJ196" s="92">
        <f t="shared" si="737"/>
        <v>0</v>
      </c>
    </row>
    <row r="197" spans="1:115" ht="15" customHeight="1">
      <c r="A197" s="602"/>
      <c r="B197" s="548"/>
      <c r="C197" s="553"/>
      <c r="D197" s="184" t="s">
        <v>108</v>
      </c>
      <c r="E197" s="136">
        <f t="shared" si="708"/>
        <v>568.34267787744659</v>
      </c>
      <c r="F197" s="136"/>
      <c r="G197" s="137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1"/>
      <c r="S197" s="140">
        <f t="shared" si="709"/>
        <v>0</v>
      </c>
      <c r="T197" s="391"/>
      <c r="U197" s="381"/>
      <c r="V197" s="381"/>
      <c r="W197" s="381">
        <f>16.062+5.468</f>
        <v>21.53</v>
      </c>
      <c r="X197" s="381">
        <f>1.027+3.895</f>
        <v>4.9219999999999997</v>
      </c>
      <c r="Y197" s="381">
        <f>4.109+6.888</f>
        <v>10.997</v>
      </c>
      <c r="Z197" s="392">
        <f>0.638</f>
        <v>0.63800000000000001</v>
      </c>
      <c r="AA197" s="392">
        <v>73.918668060805899</v>
      </c>
      <c r="AB197" s="392">
        <v>8.1238068158739178</v>
      </c>
      <c r="AC197" s="395"/>
      <c r="AD197" s="395"/>
      <c r="AE197" s="392"/>
      <c r="AF197" s="132">
        <f t="shared" si="710"/>
        <v>120.12947487667982</v>
      </c>
      <c r="AG197" s="497">
        <v>77.894345470480445</v>
      </c>
      <c r="AH197" s="499">
        <v>19.692176023506367</v>
      </c>
      <c r="AI197" s="499">
        <v>24.701050326261086</v>
      </c>
      <c r="AJ197" s="499">
        <v>199.96308922461844</v>
      </c>
      <c r="AK197" s="499">
        <v>34.834084566596196</v>
      </c>
      <c r="AL197" s="499">
        <v>91.128457389304202</v>
      </c>
      <c r="AM197" s="499"/>
      <c r="AN197" s="499"/>
      <c r="AO197" s="499"/>
      <c r="AP197" s="499"/>
      <c r="AQ197" s="499"/>
      <c r="AR197" s="511"/>
      <c r="AS197" s="407">
        <f t="shared" si="726"/>
        <v>448.21320300076673</v>
      </c>
      <c r="AT197" s="501"/>
      <c r="AU197" s="499"/>
      <c r="AV197" s="499"/>
      <c r="AW197" s="499"/>
      <c r="AX197" s="499"/>
      <c r="AY197" s="499"/>
      <c r="AZ197" s="138"/>
      <c r="BA197" s="138"/>
      <c r="BB197" s="138"/>
      <c r="BC197" s="138"/>
      <c r="BD197" s="138"/>
      <c r="BE197" s="139"/>
      <c r="BF197" s="140">
        <f t="shared" si="711"/>
        <v>0</v>
      </c>
      <c r="BG197" s="141"/>
      <c r="BH197" s="138"/>
      <c r="BI197" s="138"/>
      <c r="BJ197" s="138"/>
      <c r="BK197" s="138"/>
      <c r="BL197" s="138"/>
      <c r="BM197" s="138"/>
      <c r="BN197" s="138"/>
      <c r="BO197" s="138"/>
      <c r="BP197" s="138"/>
      <c r="BQ197" s="138"/>
      <c r="BR197" s="139"/>
      <c r="BS197" s="140">
        <f t="shared" si="712"/>
        <v>0</v>
      </c>
      <c r="BT197" s="141"/>
      <c r="BU197" s="138"/>
      <c r="BV197" s="138"/>
      <c r="BW197" s="138"/>
      <c r="BX197" s="138"/>
      <c r="BY197" s="138"/>
      <c r="BZ197" s="138"/>
      <c r="CA197" s="138"/>
      <c r="CB197" s="138"/>
      <c r="CC197" s="138"/>
      <c r="CD197" s="138"/>
      <c r="CE197" s="139"/>
      <c r="CF197" s="140">
        <f t="shared" si="713"/>
        <v>0</v>
      </c>
      <c r="CG197" s="141"/>
      <c r="CH197" s="138"/>
      <c r="CI197" s="138"/>
      <c r="CJ197" s="138"/>
      <c r="CK197" s="138"/>
      <c r="CL197" s="138"/>
      <c r="CM197" s="138"/>
      <c r="CN197" s="138"/>
      <c r="CO197" s="138"/>
      <c r="CP197" s="138"/>
      <c r="CQ197" s="138"/>
      <c r="CR197" s="139"/>
      <c r="CS197" s="140">
        <f t="shared" si="714"/>
        <v>0</v>
      </c>
      <c r="CT197" s="141"/>
      <c r="CU197" s="138"/>
      <c r="CV197" s="138"/>
      <c r="CW197" s="138"/>
      <c r="CX197" s="138"/>
      <c r="CY197" s="138"/>
      <c r="CZ197" s="138"/>
      <c r="DA197" s="138"/>
      <c r="DB197" s="138"/>
      <c r="DC197" s="138"/>
      <c r="DD197" s="138"/>
      <c r="DE197" s="139"/>
      <c r="DF197" s="140">
        <f t="shared" si="715"/>
        <v>0</v>
      </c>
      <c r="DG197" s="279"/>
      <c r="DH197" s="90">
        <f t="shared" si="735"/>
        <v>568.34267787744659</v>
      </c>
      <c r="DI197" s="91">
        <f t="shared" si="736"/>
        <v>568.34267787744659</v>
      </c>
      <c r="DJ197" s="92">
        <f t="shared" si="737"/>
        <v>0</v>
      </c>
      <c r="DK197" s="64">
        <f>+DH197/DH195</f>
        <v>1.3850311193219856E-2</v>
      </c>
    </row>
    <row r="198" spans="1:115" ht="15" customHeight="1">
      <c r="A198" s="602"/>
      <c r="B198" s="549"/>
      <c r="C198" s="554" t="s">
        <v>11</v>
      </c>
      <c r="D198" s="555"/>
      <c r="E198" s="143">
        <f t="shared" ref="E198:R198" si="746">+E195-E196-E197</f>
        <v>20427.897492653301</v>
      </c>
      <c r="F198" s="144">
        <f t="shared" si="746"/>
        <v>0</v>
      </c>
      <c r="G198" s="145">
        <f t="shared" si="746"/>
        <v>0</v>
      </c>
      <c r="H198" s="145">
        <f t="shared" si="746"/>
        <v>0</v>
      </c>
      <c r="I198" s="145">
        <f t="shared" si="746"/>
        <v>0</v>
      </c>
      <c r="J198" s="145">
        <f t="shared" si="746"/>
        <v>0</v>
      </c>
      <c r="K198" s="145">
        <f t="shared" si="746"/>
        <v>0</v>
      </c>
      <c r="L198" s="145">
        <f t="shared" si="746"/>
        <v>0</v>
      </c>
      <c r="M198" s="145">
        <f t="shared" si="746"/>
        <v>0</v>
      </c>
      <c r="N198" s="145">
        <f t="shared" si="746"/>
        <v>0</v>
      </c>
      <c r="O198" s="145">
        <f t="shared" si="746"/>
        <v>0</v>
      </c>
      <c r="P198" s="145">
        <f t="shared" si="746"/>
        <v>0</v>
      </c>
      <c r="Q198" s="145">
        <f t="shared" si="746"/>
        <v>0</v>
      </c>
      <c r="R198" s="146">
        <f t="shared" si="746"/>
        <v>0</v>
      </c>
      <c r="S198" s="147">
        <f t="shared" si="709"/>
        <v>0</v>
      </c>
      <c r="T198" s="393">
        <f>+T195-T196-T197</f>
        <v>0</v>
      </c>
      <c r="U198" s="145">
        <f t="shared" ref="U198:AE198" si="747">+U195-U196-U197</f>
        <v>0</v>
      </c>
      <c r="V198" s="145">
        <f t="shared" si="747"/>
        <v>0</v>
      </c>
      <c r="W198" s="145">
        <f t="shared" si="747"/>
        <v>-21.53</v>
      </c>
      <c r="X198" s="145">
        <f t="shared" si="747"/>
        <v>-4.9219999999999997</v>
      </c>
      <c r="Y198" s="145">
        <f t="shared" si="747"/>
        <v>-10.997</v>
      </c>
      <c r="Z198" s="145">
        <f t="shared" si="747"/>
        <v>-0.63800000000000001</v>
      </c>
      <c r="AA198" s="145">
        <f t="shared" si="747"/>
        <v>-73.918668060805899</v>
      </c>
      <c r="AB198" s="145">
        <f t="shared" si="747"/>
        <v>-8.1238068158739178</v>
      </c>
      <c r="AC198" s="145">
        <f t="shared" si="747"/>
        <v>0</v>
      </c>
      <c r="AD198" s="145">
        <f t="shared" si="747"/>
        <v>0</v>
      </c>
      <c r="AE198" s="146">
        <f t="shared" si="747"/>
        <v>0</v>
      </c>
      <c r="AF198" s="147">
        <f t="shared" si="710"/>
        <v>-120.12947487667982</v>
      </c>
      <c r="AG198" s="145">
        <f>+AG195-AG196-AG197</f>
        <v>-77.894345470480445</v>
      </c>
      <c r="AH198" s="145">
        <f t="shared" ref="AH198:AR198" si="748">+AH195-AH196-AH197</f>
        <v>-19.692176023506367</v>
      </c>
      <c r="AI198" s="145">
        <f t="shared" si="748"/>
        <v>-24.701050326261086</v>
      </c>
      <c r="AJ198" s="145">
        <f t="shared" si="748"/>
        <v>-199.96308922461844</v>
      </c>
      <c r="AK198" s="145">
        <f t="shared" si="748"/>
        <v>-4056.0181706707667</v>
      </c>
      <c r="AL198" s="145">
        <f t="shared" si="748"/>
        <v>-10117.111206095458</v>
      </c>
      <c r="AM198" s="145">
        <f t="shared" si="748"/>
        <v>-5460.3992914741657</v>
      </c>
      <c r="AN198" s="145">
        <f t="shared" si="748"/>
        <v>0</v>
      </c>
      <c r="AO198" s="145">
        <f t="shared" si="748"/>
        <v>7.806296815238384</v>
      </c>
      <c r="AP198" s="145">
        <f t="shared" si="748"/>
        <v>0</v>
      </c>
      <c r="AQ198" s="145">
        <f t="shared" si="748"/>
        <v>0</v>
      </c>
      <c r="AR198" s="146">
        <f t="shared" si="748"/>
        <v>0</v>
      </c>
      <c r="AS198" s="408">
        <f t="shared" si="726"/>
        <v>-19947.973032470021</v>
      </c>
      <c r="AT198" s="148">
        <f>+AT195-AT196-AT197</f>
        <v>0</v>
      </c>
      <c r="AU198" s="145">
        <f t="shared" ref="AU198:BE198" si="749">+AU195-AU196-AU197</f>
        <v>0</v>
      </c>
      <c r="AV198" s="145">
        <f t="shared" si="749"/>
        <v>0</v>
      </c>
      <c r="AW198" s="145">
        <f t="shared" si="749"/>
        <v>0</v>
      </c>
      <c r="AX198" s="145">
        <f t="shared" si="749"/>
        <v>0</v>
      </c>
      <c r="AY198" s="145">
        <f t="shared" si="749"/>
        <v>0</v>
      </c>
      <c r="AZ198" s="145">
        <f t="shared" si="749"/>
        <v>0</v>
      </c>
      <c r="BA198" s="145">
        <f t="shared" si="749"/>
        <v>0</v>
      </c>
      <c r="BB198" s="145">
        <f t="shared" si="749"/>
        <v>0</v>
      </c>
      <c r="BC198" s="145">
        <f t="shared" si="749"/>
        <v>0</v>
      </c>
      <c r="BD198" s="145">
        <f t="shared" si="749"/>
        <v>0</v>
      </c>
      <c r="BE198" s="146">
        <f t="shared" si="749"/>
        <v>0</v>
      </c>
      <c r="BF198" s="147">
        <f t="shared" si="711"/>
        <v>0</v>
      </c>
      <c r="BG198" s="145">
        <f>+BG195-BG196-BG197</f>
        <v>0</v>
      </c>
      <c r="BH198" s="145">
        <f t="shared" ref="BH198:BR198" si="750">+BH195-BH196-BH197</f>
        <v>0</v>
      </c>
      <c r="BI198" s="145">
        <f t="shared" si="750"/>
        <v>0</v>
      </c>
      <c r="BJ198" s="145">
        <f t="shared" si="750"/>
        <v>0</v>
      </c>
      <c r="BK198" s="145">
        <f t="shared" si="750"/>
        <v>0</v>
      </c>
      <c r="BL198" s="145">
        <f t="shared" si="750"/>
        <v>0</v>
      </c>
      <c r="BM198" s="145">
        <f t="shared" si="750"/>
        <v>0</v>
      </c>
      <c r="BN198" s="145">
        <f t="shared" si="750"/>
        <v>0</v>
      </c>
      <c r="BO198" s="145">
        <f t="shared" si="750"/>
        <v>0</v>
      </c>
      <c r="BP198" s="145">
        <f t="shared" si="750"/>
        <v>0</v>
      </c>
      <c r="BQ198" s="145">
        <f t="shared" si="750"/>
        <v>0</v>
      </c>
      <c r="BR198" s="146">
        <f t="shared" si="750"/>
        <v>0</v>
      </c>
      <c r="BS198" s="147">
        <f t="shared" si="712"/>
        <v>0</v>
      </c>
      <c r="BT198" s="145">
        <f>+BT195-BT196-BT197</f>
        <v>0</v>
      </c>
      <c r="BU198" s="145">
        <f t="shared" ref="BU198:CE198" si="751">+BU195-BU196-BU197</f>
        <v>0</v>
      </c>
      <c r="BV198" s="145">
        <f t="shared" si="751"/>
        <v>0</v>
      </c>
      <c r="BW198" s="145">
        <f t="shared" si="751"/>
        <v>0</v>
      </c>
      <c r="BX198" s="145">
        <f t="shared" si="751"/>
        <v>0</v>
      </c>
      <c r="BY198" s="145">
        <f t="shared" si="751"/>
        <v>0</v>
      </c>
      <c r="BZ198" s="145">
        <f t="shared" si="751"/>
        <v>0</v>
      </c>
      <c r="CA198" s="145">
        <f t="shared" si="751"/>
        <v>0</v>
      </c>
      <c r="CB198" s="145">
        <f t="shared" si="751"/>
        <v>0</v>
      </c>
      <c r="CC198" s="145">
        <f t="shared" si="751"/>
        <v>0</v>
      </c>
      <c r="CD198" s="145">
        <f t="shared" si="751"/>
        <v>0</v>
      </c>
      <c r="CE198" s="146">
        <f t="shared" si="751"/>
        <v>0</v>
      </c>
      <c r="CF198" s="147">
        <f t="shared" si="713"/>
        <v>0</v>
      </c>
      <c r="CG198" s="145">
        <f>+CG195-CG196-CG197</f>
        <v>0</v>
      </c>
      <c r="CH198" s="145">
        <f t="shared" ref="CH198:CR198" si="752">+CH195-CH196-CH197</f>
        <v>0</v>
      </c>
      <c r="CI198" s="145">
        <f t="shared" si="752"/>
        <v>0</v>
      </c>
      <c r="CJ198" s="145">
        <f t="shared" si="752"/>
        <v>0</v>
      </c>
      <c r="CK198" s="145">
        <f t="shared" si="752"/>
        <v>0</v>
      </c>
      <c r="CL198" s="145">
        <f t="shared" si="752"/>
        <v>0</v>
      </c>
      <c r="CM198" s="145">
        <f t="shared" si="752"/>
        <v>0</v>
      </c>
      <c r="CN198" s="145">
        <f t="shared" si="752"/>
        <v>0</v>
      </c>
      <c r="CO198" s="145">
        <f t="shared" si="752"/>
        <v>0</v>
      </c>
      <c r="CP198" s="145">
        <f t="shared" si="752"/>
        <v>0</v>
      </c>
      <c r="CQ198" s="145">
        <f t="shared" si="752"/>
        <v>0</v>
      </c>
      <c r="CR198" s="146">
        <f t="shared" si="752"/>
        <v>0</v>
      </c>
      <c r="CS198" s="147">
        <f t="shared" si="714"/>
        <v>0</v>
      </c>
      <c r="CT198" s="145">
        <f>+CT195-CT196-CT197</f>
        <v>0</v>
      </c>
      <c r="CU198" s="145">
        <f t="shared" ref="CU198:DE198" si="753">+CU195-CU196-CU197</f>
        <v>0</v>
      </c>
      <c r="CV198" s="145">
        <f t="shared" si="753"/>
        <v>0</v>
      </c>
      <c r="CW198" s="145">
        <f t="shared" si="753"/>
        <v>0</v>
      </c>
      <c r="CX198" s="145">
        <f t="shared" si="753"/>
        <v>0</v>
      </c>
      <c r="CY198" s="145">
        <f t="shared" si="753"/>
        <v>0</v>
      </c>
      <c r="CZ198" s="145">
        <f t="shared" si="753"/>
        <v>0</v>
      </c>
      <c r="DA198" s="145">
        <f t="shared" si="753"/>
        <v>0</v>
      </c>
      <c r="DB198" s="145">
        <f t="shared" si="753"/>
        <v>0</v>
      </c>
      <c r="DC198" s="145">
        <f t="shared" si="753"/>
        <v>0</v>
      </c>
      <c r="DD198" s="145">
        <f t="shared" si="753"/>
        <v>0</v>
      </c>
      <c r="DE198" s="146">
        <f t="shared" si="753"/>
        <v>0</v>
      </c>
      <c r="DF198" s="147">
        <f t="shared" si="715"/>
        <v>0</v>
      </c>
      <c r="DG198" s="146">
        <f>+DG195-DG197</f>
        <v>40496</v>
      </c>
      <c r="DH198" s="98">
        <f t="shared" si="735"/>
        <v>20427.897492653297</v>
      </c>
      <c r="DI198" s="99">
        <f t="shared" si="736"/>
        <v>20427.897492653301</v>
      </c>
      <c r="DJ198" s="100">
        <f t="shared" si="737"/>
        <v>0</v>
      </c>
    </row>
    <row r="199" spans="1:115" ht="15" customHeight="1">
      <c r="A199" s="602"/>
      <c r="B199" s="546" t="s">
        <v>358</v>
      </c>
      <c r="C199" s="550" t="s">
        <v>62</v>
      </c>
      <c r="D199" s="551"/>
      <c r="E199" s="153">
        <f t="shared" ref="E199:E201" si="754">AF199+AS199+BF199+BS199+CF199+CS199+DF199+S199+DG199</f>
        <v>0</v>
      </c>
      <c r="F199" s="128"/>
      <c r="G199" s="129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1"/>
      <c r="S199" s="132">
        <f t="shared" ref="S199:S202" si="755">SUM(G199:R199)</f>
        <v>0</v>
      </c>
      <c r="T199" s="391"/>
      <c r="U199" s="379"/>
      <c r="V199" s="379"/>
      <c r="W199" s="379"/>
      <c r="X199" s="379"/>
      <c r="Y199" s="379"/>
      <c r="Z199" s="379"/>
      <c r="AA199" s="379"/>
      <c r="AB199" s="379"/>
      <c r="AC199" s="379"/>
      <c r="AD199" s="379"/>
      <c r="AE199" s="480"/>
      <c r="AF199" s="132">
        <v>0</v>
      </c>
      <c r="AG199" s="496"/>
      <c r="AH199" s="510"/>
      <c r="AI199" s="510"/>
      <c r="AJ199" s="510"/>
      <c r="AK199" s="510"/>
      <c r="AL199" s="510"/>
      <c r="AM199" s="510">
        <v>530.84411274865397</v>
      </c>
      <c r="AN199" s="510"/>
      <c r="AO199" s="510">
        <v>7.806296815238384</v>
      </c>
      <c r="AP199" s="510"/>
      <c r="AQ199" s="510"/>
      <c r="AR199" s="515"/>
      <c r="AS199" s="406">
        <v>0</v>
      </c>
      <c r="AT199" s="516"/>
      <c r="AU199" s="510"/>
      <c r="AV199" s="510"/>
      <c r="AW199" s="510"/>
      <c r="AX199" s="510"/>
      <c r="AY199" s="510"/>
      <c r="AZ199" s="130"/>
      <c r="BA199" s="130"/>
      <c r="BB199" s="130"/>
      <c r="BC199" s="130"/>
      <c r="BD199" s="130"/>
      <c r="BE199" s="131"/>
      <c r="BF199" s="132">
        <f t="shared" ref="BF199:BF202" si="756">SUM(AT199:BE199)</f>
        <v>0</v>
      </c>
      <c r="BG199" s="133"/>
      <c r="BH199" s="130"/>
      <c r="BI199" s="130"/>
      <c r="BJ199" s="130"/>
      <c r="BK199" s="130"/>
      <c r="BL199" s="130"/>
      <c r="BM199" s="130"/>
      <c r="BN199" s="130"/>
      <c r="BO199" s="130"/>
      <c r="BP199" s="130"/>
      <c r="BQ199" s="130"/>
      <c r="BR199" s="131"/>
      <c r="BS199" s="132">
        <f t="shared" ref="BS199:BS202" si="757">SUM(BG199:BR199)</f>
        <v>0</v>
      </c>
      <c r="BT199" s="133"/>
      <c r="BU199" s="130"/>
      <c r="BV199" s="130"/>
      <c r="BW199" s="130"/>
      <c r="BX199" s="130"/>
      <c r="BY199" s="130"/>
      <c r="BZ199" s="130"/>
      <c r="CA199" s="130"/>
      <c r="CB199" s="130"/>
      <c r="CC199" s="130"/>
      <c r="CD199" s="130"/>
      <c r="CE199" s="131"/>
      <c r="CF199" s="132">
        <f t="shared" ref="CF199:CF202" si="758">SUM(BT199:CE199)</f>
        <v>0</v>
      </c>
      <c r="CG199" s="133"/>
      <c r="CH199" s="130"/>
      <c r="CI199" s="130"/>
      <c r="CJ199" s="130"/>
      <c r="CK199" s="130"/>
      <c r="CL199" s="130"/>
      <c r="CM199" s="130"/>
      <c r="CN199" s="130"/>
      <c r="CO199" s="130"/>
      <c r="CP199" s="130"/>
      <c r="CQ199" s="130"/>
      <c r="CR199" s="131"/>
      <c r="CS199" s="132">
        <f t="shared" ref="CS199:CS202" si="759">SUM(CG199:CR199)</f>
        <v>0</v>
      </c>
      <c r="CT199" s="133"/>
      <c r="CU199" s="130"/>
      <c r="CV199" s="130"/>
      <c r="CW199" s="130"/>
      <c r="CX199" s="130"/>
      <c r="CY199" s="130"/>
      <c r="CZ199" s="130"/>
      <c r="DA199" s="130"/>
      <c r="DB199" s="130"/>
      <c r="DC199" s="130"/>
      <c r="DD199" s="130"/>
      <c r="DE199" s="131"/>
      <c r="DF199" s="132">
        <f t="shared" ref="DF199:DF202" si="760">SUM(CT199:DE199)</f>
        <v>0</v>
      </c>
      <c r="DG199" s="278"/>
      <c r="DH199" s="159">
        <f t="shared" ref="DH199:DH202" si="761">+F199+S199+AF199+AS199+BF199+BS199+DG199</f>
        <v>0</v>
      </c>
      <c r="DI199" s="160">
        <f t="shared" ref="DI199:DI202" si="762">+E199</f>
        <v>0</v>
      </c>
      <c r="DJ199" s="161">
        <f t="shared" ref="DJ199:DJ202" si="763">+DI199-DH199</f>
        <v>0</v>
      </c>
    </row>
    <row r="200" spans="1:115" ht="15" customHeight="1">
      <c r="A200" s="602"/>
      <c r="B200" s="547"/>
      <c r="C200" s="552" t="s">
        <v>63</v>
      </c>
      <c r="D200" s="184" t="s">
        <v>107</v>
      </c>
      <c r="E200" s="128">
        <f t="shared" si="754"/>
        <v>40500</v>
      </c>
      <c r="F200" s="128"/>
      <c r="G200" s="129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1"/>
      <c r="S200" s="140">
        <f t="shared" si="755"/>
        <v>0</v>
      </c>
      <c r="T200" s="391"/>
      <c r="U200" s="379"/>
      <c r="V200" s="379"/>
      <c r="W200" s="379"/>
      <c r="X200" s="379"/>
      <c r="Y200" s="379"/>
      <c r="Z200" s="379"/>
      <c r="AA200" s="379"/>
      <c r="AB200" s="379"/>
      <c r="AC200" s="392"/>
      <c r="AD200" s="392"/>
      <c r="AE200" s="392"/>
      <c r="AF200" s="132">
        <v>0</v>
      </c>
      <c r="AG200" s="511"/>
      <c r="AH200" s="510"/>
      <c r="AI200" s="511"/>
      <c r="AJ200" s="510"/>
      <c r="AK200" s="511">
        <v>4021.1840861041705</v>
      </c>
      <c r="AL200" s="511">
        <v>10025.982748706154</v>
      </c>
      <c r="AM200" s="510">
        <v>5991.2434042228197</v>
      </c>
      <c r="AN200" s="510"/>
      <c r="AO200" s="510"/>
      <c r="AP200" s="510"/>
      <c r="AQ200" s="510"/>
      <c r="AR200" s="511"/>
      <c r="AS200" s="407">
        <v>0</v>
      </c>
      <c r="AT200" s="516"/>
      <c r="AU200" s="510"/>
      <c r="AV200" s="510"/>
      <c r="AW200" s="510"/>
      <c r="AX200" s="510"/>
      <c r="AY200" s="510"/>
      <c r="AZ200" s="130"/>
      <c r="BA200" s="130"/>
      <c r="BB200" s="130"/>
      <c r="BC200" s="282"/>
      <c r="BD200" s="130"/>
      <c r="BE200" s="131"/>
      <c r="BF200" s="140">
        <f t="shared" si="756"/>
        <v>0</v>
      </c>
      <c r="BG200" s="133"/>
      <c r="BH200" s="535">
        <f>113000*30%*8%</f>
        <v>2712</v>
      </c>
      <c r="BI200" s="130"/>
      <c r="BJ200" s="130"/>
      <c r="BK200" s="130"/>
      <c r="BL200" s="130"/>
      <c r="BM200" s="130"/>
      <c r="BN200" s="282"/>
      <c r="BO200" s="535">
        <f>113000*30%*22%</f>
        <v>7458</v>
      </c>
      <c r="BP200" s="130"/>
      <c r="BQ200" s="130"/>
      <c r="BR200" s="131"/>
      <c r="BS200" s="140">
        <f t="shared" si="757"/>
        <v>10170</v>
      </c>
      <c r="BT200" s="133"/>
      <c r="BU200" s="130"/>
      <c r="BV200" s="130"/>
      <c r="BW200" s="130"/>
      <c r="BX200" s="130"/>
      <c r="BY200" s="535">
        <f>113000*30%*20%</f>
        <v>6780</v>
      </c>
      <c r="BZ200" s="282"/>
      <c r="CA200" s="130"/>
      <c r="CB200" s="130"/>
      <c r="CC200" s="130"/>
      <c r="CD200" s="130"/>
      <c r="CE200" s="131"/>
      <c r="CF200" s="140">
        <f t="shared" si="758"/>
        <v>6780</v>
      </c>
      <c r="CG200" s="133"/>
      <c r="CH200" s="535">
        <f>113000*30%*20%</f>
        <v>6780</v>
      </c>
      <c r="CI200" s="130"/>
      <c r="CJ200" s="130"/>
      <c r="CK200" s="130"/>
      <c r="CL200" s="535">
        <f>113000*30%*30%</f>
        <v>10170</v>
      </c>
      <c r="CM200" s="130"/>
      <c r="CN200" s="130"/>
      <c r="CO200" s="130"/>
      <c r="CP200" s="535">
        <v>6600</v>
      </c>
      <c r="CQ200" s="130"/>
      <c r="CR200" s="131"/>
      <c r="CS200" s="140">
        <f t="shared" si="759"/>
        <v>23550</v>
      </c>
      <c r="CT200" s="133"/>
      <c r="CU200" s="130"/>
      <c r="CV200" s="130"/>
      <c r="CW200" s="130"/>
      <c r="CX200" s="130"/>
      <c r="CY200" s="130"/>
      <c r="CZ200" s="130"/>
      <c r="DA200" s="130"/>
      <c r="DB200" s="130"/>
      <c r="DC200" s="130"/>
      <c r="DD200" s="130"/>
      <c r="DE200" s="131"/>
      <c r="DF200" s="140">
        <f t="shared" si="760"/>
        <v>0</v>
      </c>
      <c r="DG200" s="278"/>
      <c r="DH200" s="90">
        <f t="shared" si="761"/>
        <v>10170</v>
      </c>
      <c r="DI200" s="91">
        <f t="shared" si="762"/>
        <v>40500</v>
      </c>
      <c r="DJ200" s="92">
        <f t="shared" si="763"/>
        <v>30330</v>
      </c>
    </row>
    <row r="201" spans="1:115" ht="15" customHeight="1">
      <c r="A201" s="602"/>
      <c r="B201" s="548"/>
      <c r="C201" s="553"/>
      <c r="D201" s="184" t="s">
        <v>108</v>
      </c>
      <c r="E201" s="136">
        <f t="shared" si="754"/>
        <v>0</v>
      </c>
      <c r="F201" s="136"/>
      <c r="G201" s="137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1"/>
      <c r="S201" s="140">
        <f t="shared" si="755"/>
        <v>0</v>
      </c>
      <c r="T201" s="391"/>
      <c r="U201" s="381"/>
      <c r="V201" s="381"/>
      <c r="W201" s="381">
        <f>16.062+5.468</f>
        <v>21.53</v>
      </c>
      <c r="X201" s="381">
        <f>1.027+3.895</f>
        <v>4.9219999999999997</v>
      </c>
      <c r="Y201" s="381">
        <f>4.109+6.888</f>
        <v>10.997</v>
      </c>
      <c r="Z201" s="392">
        <f>0.638</f>
        <v>0.63800000000000001</v>
      </c>
      <c r="AA201" s="392">
        <v>73.918668060805899</v>
      </c>
      <c r="AB201" s="392">
        <v>8.1238068158739178</v>
      </c>
      <c r="AC201" s="395"/>
      <c r="AD201" s="395"/>
      <c r="AE201" s="392"/>
      <c r="AF201" s="132">
        <v>0</v>
      </c>
      <c r="AG201" s="497">
        <v>77.894345470480445</v>
      </c>
      <c r="AH201" s="499">
        <v>19.692176023506367</v>
      </c>
      <c r="AI201" s="499">
        <v>24.701050326261086</v>
      </c>
      <c r="AJ201" s="499">
        <v>199.96308922461844</v>
      </c>
      <c r="AK201" s="499">
        <v>34.834084566596196</v>
      </c>
      <c r="AL201" s="499">
        <v>91.128457389304202</v>
      </c>
      <c r="AM201" s="499"/>
      <c r="AN201" s="499"/>
      <c r="AO201" s="499"/>
      <c r="AP201" s="499"/>
      <c r="AQ201" s="499"/>
      <c r="AR201" s="511"/>
      <c r="AS201" s="407">
        <v>0</v>
      </c>
      <c r="AT201" s="501"/>
      <c r="AU201" s="499"/>
      <c r="AV201" s="499"/>
      <c r="AW201" s="499"/>
      <c r="AX201" s="499"/>
      <c r="AY201" s="499"/>
      <c r="AZ201" s="138"/>
      <c r="BA201" s="138"/>
      <c r="BB201" s="138"/>
      <c r="BC201" s="138"/>
      <c r="BD201" s="138"/>
      <c r="BE201" s="139"/>
      <c r="BF201" s="140">
        <f t="shared" si="756"/>
        <v>0</v>
      </c>
      <c r="BG201" s="141"/>
      <c r="BH201" s="138"/>
      <c r="BI201" s="138"/>
      <c r="BJ201" s="138"/>
      <c r="BK201" s="138"/>
      <c r="BL201" s="138"/>
      <c r="BM201" s="138"/>
      <c r="BN201" s="138"/>
      <c r="BO201" s="138"/>
      <c r="BP201" s="138"/>
      <c r="BQ201" s="138"/>
      <c r="BR201" s="139"/>
      <c r="BS201" s="140">
        <f t="shared" si="757"/>
        <v>0</v>
      </c>
      <c r="BT201" s="141"/>
      <c r="BU201" s="138"/>
      <c r="BV201" s="138"/>
      <c r="BW201" s="138"/>
      <c r="BX201" s="138"/>
      <c r="BY201" s="138"/>
      <c r="BZ201" s="138"/>
      <c r="CA201" s="138"/>
      <c r="CB201" s="138"/>
      <c r="CC201" s="138"/>
      <c r="CD201" s="138"/>
      <c r="CE201" s="139"/>
      <c r="CF201" s="140">
        <f t="shared" si="758"/>
        <v>0</v>
      </c>
      <c r="CG201" s="141"/>
      <c r="CH201" s="138"/>
      <c r="CI201" s="138"/>
      <c r="CJ201" s="138"/>
      <c r="CK201" s="138"/>
      <c r="CL201" s="138"/>
      <c r="CM201" s="138"/>
      <c r="CN201" s="138"/>
      <c r="CO201" s="138"/>
      <c r="CP201" s="138"/>
      <c r="CQ201" s="138"/>
      <c r="CR201" s="139"/>
      <c r="CS201" s="140">
        <f t="shared" si="759"/>
        <v>0</v>
      </c>
      <c r="CT201" s="141"/>
      <c r="CU201" s="138"/>
      <c r="CV201" s="138"/>
      <c r="CW201" s="138"/>
      <c r="CX201" s="138"/>
      <c r="CY201" s="138"/>
      <c r="CZ201" s="138"/>
      <c r="DA201" s="138"/>
      <c r="DB201" s="138"/>
      <c r="DC201" s="138"/>
      <c r="DD201" s="138"/>
      <c r="DE201" s="139"/>
      <c r="DF201" s="140">
        <f t="shared" si="760"/>
        <v>0</v>
      </c>
      <c r="DG201" s="279"/>
      <c r="DH201" s="90">
        <f t="shared" si="761"/>
        <v>0</v>
      </c>
      <c r="DI201" s="91">
        <f t="shared" si="762"/>
        <v>0</v>
      </c>
      <c r="DJ201" s="92">
        <f t="shared" si="763"/>
        <v>0</v>
      </c>
      <c r="DK201" s="64" t="e">
        <f>+DH201/DH199</f>
        <v>#DIV/0!</v>
      </c>
    </row>
    <row r="202" spans="1:115" ht="15" customHeight="1">
      <c r="A202" s="602"/>
      <c r="B202" s="549"/>
      <c r="C202" s="554" t="s">
        <v>11</v>
      </c>
      <c r="D202" s="555"/>
      <c r="E202" s="143">
        <f t="shared" ref="E202:R202" si="764">+E199-E200-E201</f>
        <v>-40500</v>
      </c>
      <c r="F202" s="144">
        <f t="shared" si="764"/>
        <v>0</v>
      </c>
      <c r="G202" s="145">
        <f t="shared" si="764"/>
        <v>0</v>
      </c>
      <c r="H202" s="145">
        <f t="shared" si="764"/>
        <v>0</v>
      </c>
      <c r="I202" s="145">
        <f t="shared" si="764"/>
        <v>0</v>
      </c>
      <c r="J202" s="145">
        <f t="shared" si="764"/>
        <v>0</v>
      </c>
      <c r="K202" s="145">
        <f t="shared" si="764"/>
        <v>0</v>
      </c>
      <c r="L202" s="145">
        <f t="shared" si="764"/>
        <v>0</v>
      </c>
      <c r="M202" s="145">
        <f t="shared" si="764"/>
        <v>0</v>
      </c>
      <c r="N202" s="145">
        <f t="shared" si="764"/>
        <v>0</v>
      </c>
      <c r="O202" s="145">
        <f t="shared" si="764"/>
        <v>0</v>
      </c>
      <c r="P202" s="145">
        <f t="shared" si="764"/>
        <v>0</v>
      </c>
      <c r="Q202" s="145">
        <f t="shared" si="764"/>
        <v>0</v>
      </c>
      <c r="R202" s="146">
        <f t="shared" si="764"/>
        <v>0</v>
      </c>
      <c r="S202" s="147">
        <f t="shared" si="755"/>
        <v>0</v>
      </c>
      <c r="T202" s="393">
        <f>+T199-T200-T201</f>
        <v>0</v>
      </c>
      <c r="U202" s="145">
        <f t="shared" ref="U202:AE202" si="765">+U199-U200-U201</f>
        <v>0</v>
      </c>
      <c r="V202" s="145">
        <f t="shared" si="765"/>
        <v>0</v>
      </c>
      <c r="W202" s="145">
        <f t="shared" si="765"/>
        <v>-21.53</v>
      </c>
      <c r="X202" s="145">
        <f t="shared" si="765"/>
        <v>-4.9219999999999997</v>
      </c>
      <c r="Y202" s="145">
        <f t="shared" si="765"/>
        <v>-10.997</v>
      </c>
      <c r="Z202" s="145">
        <f t="shared" si="765"/>
        <v>-0.63800000000000001</v>
      </c>
      <c r="AA202" s="145">
        <f t="shared" si="765"/>
        <v>-73.918668060805899</v>
      </c>
      <c r="AB202" s="145">
        <f t="shared" si="765"/>
        <v>-8.1238068158739178</v>
      </c>
      <c r="AC202" s="145">
        <f t="shared" si="765"/>
        <v>0</v>
      </c>
      <c r="AD202" s="145">
        <f t="shared" si="765"/>
        <v>0</v>
      </c>
      <c r="AE202" s="146">
        <f t="shared" si="765"/>
        <v>0</v>
      </c>
      <c r="AF202" s="147">
        <v>0</v>
      </c>
      <c r="AG202" s="145">
        <f>+AG199-AG200-AG201</f>
        <v>-77.894345470480445</v>
      </c>
      <c r="AH202" s="145">
        <f t="shared" ref="AH202:AR202" si="766">+AH199-AH200-AH201</f>
        <v>-19.692176023506367</v>
      </c>
      <c r="AI202" s="145">
        <f t="shared" si="766"/>
        <v>-24.701050326261086</v>
      </c>
      <c r="AJ202" s="145">
        <f t="shared" si="766"/>
        <v>-199.96308922461844</v>
      </c>
      <c r="AK202" s="145">
        <f t="shared" si="766"/>
        <v>-4056.0181706707667</v>
      </c>
      <c r="AL202" s="145">
        <f t="shared" si="766"/>
        <v>-10117.111206095458</v>
      </c>
      <c r="AM202" s="145">
        <f t="shared" si="766"/>
        <v>-5460.3992914741657</v>
      </c>
      <c r="AN202" s="145">
        <f t="shared" si="766"/>
        <v>0</v>
      </c>
      <c r="AO202" s="145">
        <f t="shared" si="766"/>
        <v>7.806296815238384</v>
      </c>
      <c r="AP202" s="145">
        <f t="shared" si="766"/>
        <v>0</v>
      </c>
      <c r="AQ202" s="145">
        <f t="shared" si="766"/>
        <v>0</v>
      </c>
      <c r="AR202" s="146">
        <f t="shared" si="766"/>
        <v>0</v>
      </c>
      <c r="AS202" s="408">
        <v>0</v>
      </c>
      <c r="AT202" s="148">
        <f>+AT199-AT200-AT201</f>
        <v>0</v>
      </c>
      <c r="AU202" s="145">
        <f t="shared" ref="AU202:BE202" si="767">+AU199-AU200-AU201</f>
        <v>0</v>
      </c>
      <c r="AV202" s="145">
        <f t="shared" si="767"/>
        <v>0</v>
      </c>
      <c r="AW202" s="145">
        <f t="shared" si="767"/>
        <v>0</v>
      </c>
      <c r="AX202" s="145">
        <f t="shared" si="767"/>
        <v>0</v>
      </c>
      <c r="AY202" s="145">
        <f t="shared" si="767"/>
        <v>0</v>
      </c>
      <c r="AZ202" s="145">
        <f t="shared" si="767"/>
        <v>0</v>
      </c>
      <c r="BA202" s="145">
        <f t="shared" si="767"/>
        <v>0</v>
      </c>
      <c r="BB202" s="145">
        <f t="shared" si="767"/>
        <v>0</v>
      </c>
      <c r="BC202" s="145">
        <f t="shared" si="767"/>
        <v>0</v>
      </c>
      <c r="BD202" s="145">
        <f t="shared" si="767"/>
        <v>0</v>
      </c>
      <c r="BE202" s="146">
        <f t="shared" si="767"/>
        <v>0</v>
      </c>
      <c r="BF202" s="147">
        <f t="shared" si="756"/>
        <v>0</v>
      </c>
      <c r="BG202" s="145">
        <f>+BG199-BG200-BG201</f>
        <v>0</v>
      </c>
      <c r="BH202" s="145">
        <f t="shared" ref="BH202:BR202" si="768">+BH199-BH200-BH201</f>
        <v>-2712</v>
      </c>
      <c r="BI202" s="145">
        <f t="shared" si="768"/>
        <v>0</v>
      </c>
      <c r="BJ202" s="145">
        <f t="shared" si="768"/>
        <v>0</v>
      </c>
      <c r="BK202" s="145">
        <f t="shared" si="768"/>
        <v>0</v>
      </c>
      <c r="BL202" s="145">
        <f t="shared" si="768"/>
        <v>0</v>
      </c>
      <c r="BM202" s="145">
        <f t="shared" si="768"/>
        <v>0</v>
      </c>
      <c r="BN202" s="145">
        <f t="shared" si="768"/>
        <v>0</v>
      </c>
      <c r="BO202" s="145">
        <f t="shared" si="768"/>
        <v>-7458</v>
      </c>
      <c r="BP202" s="145">
        <f t="shared" si="768"/>
        <v>0</v>
      </c>
      <c r="BQ202" s="145">
        <f t="shared" si="768"/>
        <v>0</v>
      </c>
      <c r="BR202" s="146">
        <f t="shared" si="768"/>
        <v>0</v>
      </c>
      <c r="BS202" s="147">
        <f t="shared" si="757"/>
        <v>-10170</v>
      </c>
      <c r="BT202" s="145">
        <f>+BT199-BT200-BT201</f>
        <v>0</v>
      </c>
      <c r="BU202" s="145">
        <f t="shared" ref="BU202:CE202" si="769">+BU199-BU200-BU201</f>
        <v>0</v>
      </c>
      <c r="BV202" s="145">
        <f t="shared" si="769"/>
        <v>0</v>
      </c>
      <c r="BW202" s="145">
        <f t="shared" si="769"/>
        <v>0</v>
      </c>
      <c r="BX202" s="145">
        <f t="shared" si="769"/>
        <v>0</v>
      </c>
      <c r="BY202" s="145">
        <f t="shared" si="769"/>
        <v>-6780</v>
      </c>
      <c r="BZ202" s="145">
        <f t="shared" si="769"/>
        <v>0</v>
      </c>
      <c r="CA202" s="145">
        <f t="shared" si="769"/>
        <v>0</v>
      </c>
      <c r="CB202" s="145">
        <f t="shared" si="769"/>
        <v>0</v>
      </c>
      <c r="CC202" s="145">
        <f t="shared" si="769"/>
        <v>0</v>
      </c>
      <c r="CD202" s="145">
        <f t="shared" si="769"/>
        <v>0</v>
      </c>
      <c r="CE202" s="146">
        <f t="shared" si="769"/>
        <v>0</v>
      </c>
      <c r="CF202" s="147">
        <f t="shared" si="758"/>
        <v>-6780</v>
      </c>
      <c r="CG202" s="145">
        <f>+CG199-CG200-CG201</f>
        <v>0</v>
      </c>
      <c r="CH202" s="145">
        <f t="shared" ref="CH202:CR202" si="770">+CH199-CH200-CH201</f>
        <v>-6780</v>
      </c>
      <c r="CI202" s="145">
        <f t="shared" si="770"/>
        <v>0</v>
      </c>
      <c r="CJ202" s="145">
        <f t="shared" si="770"/>
        <v>0</v>
      </c>
      <c r="CK202" s="145">
        <f t="shared" si="770"/>
        <v>0</v>
      </c>
      <c r="CL202" s="145">
        <f t="shared" si="770"/>
        <v>-10170</v>
      </c>
      <c r="CM202" s="145">
        <f t="shared" si="770"/>
        <v>0</v>
      </c>
      <c r="CN202" s="145">
        <f t="shared" si="770"/>
        <v>0</v>
      </c>
      <c r="CO202" s="145">
        <f t="shared" si="770"/>
        <v>0</v>
      </c>
      <c r="CP202" s="145">
        <f t="shared" si="770"/>
        <v>-6600</v>
      </c>
      <c r="CQ202" s="145">
        <f t="shared" si="770"/>
        <v>0</v>
      </c>
      <c r="CR202" s="146">
        <f t="shared" si="770"/>
        <v>0</v>
      </c>
      <c r="CS202" s="147">
        <f t="shared" si="759"/>
        <v>-23550</v>
      </c>
      <c r="CT202" s="145">
        <f>+CT199-CT200-CT201</f>
        <v>0</v>
      </c>
      <c r="CU202" s="145">
        <f t="shared" ref="CU202:DE202" si="771">+CU199-CU200-CU201</f>
        <v>0</v>
      </c>
      <c r="CV202" s="145">
        <f t="shared" si="771"/>
        <v>0</v>
      </c>
      <c r="CW202" s="145">
        <f t="shared" si="771"/>
        <v>0</v>
      </c>
      <c r="CX202" s="145">
        <f t="shared" si="771"/>
        <v>0</v>
      </c>
      <c r="CY202" s="145">
        <f t="shared" si="771"/>
        <v>0</v>
      </c>
      <c r="CZ202" s="145">
        <f t="shared" si="771"/>
        <v>0</v>
      </c>
      <c r="DA202" s="145">
        <f t="shared" si="771"/>
        <v>0</v>
      </c>
      <c r="DB202" s="145">
        <f t="shared" si="771"/>
        <v>0</v>
      </c>
      <c r="DC202" s="145">
        <f t="shared" si="771"/>
        <v>0</v>
      </c>
      <c r="DD202" s="145">
        <f t="shared" si="771"/>
        <v>0</v>
      </c>
      <c r="DE202" s="146">
        <f t="shared" si="771"/>
        <v>0</v>
      </c>
      <c r="DF202" s="147">
        <f t="shared" si="760"/>
        <v>0</v>
      </c>
      <c r="DG202" s="146">
        <f>+DG199-DG201</f>
        <v>0</v>
      </c>
      <c r="DH202" s="98">
        <f t="shared" si="761"/>
        <v>-10170</v>
      </c>
      <c r="DI202" s="99">
        <f t="shared" si="762"/>
        <v>-40500</v>
      </c>
      <c r="DJ202" s="100">
        <f t="shared" si="763"/>
        <v>-30330</v>
      </c>
    </row>
    <row r="203" spans="1:115" ht="15" customHeight="1">
      <c r="A203" s="602"/>
      <c r="B203" s="546" t="s">
        <v>200</v>
      </c>
      <c r="C203" s="550" t="s">
        <v>62</v>
      </c>
      <c r="D203" s="551"/>
      <c r="E203" s="153">
        <f t="shared" ref="E203:E205" si="772">AF203+AS203+BF203+BS203+CF203+CS203+DF203+S203+DG203</f>
        <v>0</v>
      </c>
      <c r="F203" s="128"/>
      <c r="G203" s="129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1"/>
      <c r="S203" s="132">
        <f t="shared" ref="S203:S206" si="773">SUM(G203:R203)</f>
        <v>0</v>
      </c>
      <c r="T203" s="391"/>
      <c r="U203" s="379"/>
      <c r="V203" s="379"/>
      <c r="W203" s="379"/>
      <c r="X203" s="379"/>
      <c r="Y203" s="379"/>
      <c r="Z203" s="379"/>
      <c r="AA203" s="379"/>
      <c r="AB203" s="379"/>
      <c r="AC203" s="379"/>
      <c r="AD203" s="379"/>
      <c r="AE203" s="480"/>
      <c r="AF203" s="132">
        <v>0</v>
      </c>
      <c r="AG203" s="496"/>
      <c r="AH203" s="510"/>
      <c r="AI203" s="510"/>
      <c r="AJ203" s="510"/>
      <c r="AK203" s="510"/>
      <c r="AL203" s="510"/>
      <c r="AM203" s="510">
        <v>530.84411274865397</v>
      </c>
      <c r="AN203" s="510"/>
      <c r="AO203" s="510">
        <v>7.806296815238384</v>
      </c>
      <c r="AP203" s="510"/>
      <c r="AQ203" s="510"/>
      <c r="AR203" s="515"/>
      <c r="AS203" s="406">
        <v>0</v>
      </c>
      <c r="AT203" s="516"/>
      <c r="AU203" s="510"/>
      <c r="AV203" s="510"/>
      <c r="AW203" s="510"/>
      <c r="AX203" s="510"/>
      <c r="AY203" s="510"/>
      <c r="AZ203" s="130"/>
      <c r="BA203" s="130"/>
      <c r="BB203" s="130"/>
      <c r="BC203" s="130"/>
      <c r="BD203" s="130"/>
      <c r="BE203" s="131"/>
      <c r="BF203" s="132">
        <f t="shared" ref="BF203:BF206" si="774">SUM(AT203:BE203)</f>
        <v>0</v>
      </c>
      <c r="BG203" s="133"/>
      <c r="BH203" s="130"/>
      <c r="BI203" s="130"/>
      <c r="BJ203" s="130"/>
      <c r="BK203" s="130"/>
      <c r="BL203" s="130"/>
      <c r="BM203" s="130"/>
      <c r="BN203" s="130"/>
      <c r="BO203" s="130"/>
      <c r="BP203" s="130"/>
      <c r="BQ203" s="130"/>
      <c r="BR203" s="131"/>
      <c r="BS203" s="132">
        <f t="shared" ref="BS203:BS206" si="775">SUM(BG203:BR203)</f>
        <v>0</v>
      </c>
      <c r="BT203" s="133"/>
      <c r="BU203" s="130"/>
      <c r="BV203" s="130"/>
      <c r="BW203" s="130"/>
      <c r="BX203" s="130"/>
      <c r="BY203" s="130"/>
      <c r="BZ203" s="130"/>
      <c r="CA203" s="130"/>
      <c r="CB203" s="130"/>
      <c r="CC203" s="130"/>
      <c r="CD203" s="130"/>
      <c r="CE203" s="131"/>
      <c r="CF203" s="132">
        <f t="shared" ref="CF203:CF206" si="776">SUM(BT203:CE203)</f>
        <v>0</v>
      </c>
      <c r="CG203" s="133"/>
      <c r="CH203" s="130"/>
      <c r="CI203" s="130"/>
      <c r="CJ203" s="130"/>
      <c r="CK203" s="130"/>
      <c r="CL203" s="130"/>
      <c r="CM203" s="130"/>
      <c r="CN203" s="130"/>
      <c r="CO203" s="130"/>
      <c r="CP203" s="130"/>
      <c r="CQ203" s="130"/>
      <c r="CR203" s="131"/>
      <c r="CS203" s="132">
        <f t="shared" ref="CS203:CS206" si="777">SUM(CG203:CR203)</f>
        <v>0</v>
      </c>
      <c r="CT203" s="133"/>
      <c r="CU203" s="130"/>
      <c r="CV203" s="130"/>
      <c r="CW203" s="130"/>
      <c r="CX203" s="130"/>
      <c r="CY203" s="130"/>
      <c r="CZ203" s="130"/>
      <c r="DA203" s="130"/>
      <c r="DB203" s="130"/>
      <c r="DC203" s="130"/>
      <c r="DD203" s="130"/>
      <c r="DE203" s="131"/>
      <c r="DF203" s="132">
        <f t="shared" ref="DF203:DF206" si="778">SUM(CT203:DE203)</f>
        <v>0</v>
      </c>
      <c r="DG203" s="278"/>
      <c r="DH203" s="159">
        <f t="shared" ref="DH203:DH206" si="779">+F203+S203+AF203+AS203+BF203+BS203+DG203</f>
        <v>0</v>
      </c>
      <c r="DI203" s="160">
        <f t="shared" ref="DI203:DI206" si="780">+E203</f>
        <v>0</v>
      </c>
      <c r="DJ203" s="161">
        <f t="shared" ref="DJ203:DJ206" si="781">+DI203-DH203</f>
        <v>0</v>
      </c>
    </row>
    <row r="204" spans="1:115" ht="15" customHeight="1">
      <c r="A204" s="602"/>
      <c r="B204" s="547"/>
      <c r="C204" s="552" t="s">
        <v>63</v>
      </c>
      <c r="D204" s="184" t="s">
        <v>107</v>
      </c>
      <c r="E204" s="128">
        <f t="shared" si="772"/>
        <v>25000</v>
      </c>
      <c r="F204" s="128"/>
      <c r="G204" s="129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1"/>
      <c r="S204" s="140">
        <f t="shared" si="773"/>
        <v>0</v>
      </c>
      <c r="T204" s="391"/>
      <c r="U204" s="379"/>
      <c r="V204" s="379"/>
      <c r="W204" s="379"/>
      <c r="X204" s="379"/>
      <c r="Y204" s="379"/>
      <c r="Z204" s="379"/>
      <c r="AA204" s="379"/>
      <c r="AB204" s="379"/>
      <c r="AC204" s="392"/>
      <c r="AD204" s="392"/>
      <c r="AE204" s="392"/>
      <c r="AF204" s="132">
        <v>0</v>
      </c>
      <c r="AG204" s="511"/>
      <c r="AH204" s="510"/>
      <c r="AI204" s="511"/>
      <c r="AJ204" s="510"/>
      <c r="AK204" s="511">
        <v>4021.1840861041705</v>
      </c>
      <c r="AL204" s="511">
        <v>10025.982748706154</v>
      </c>
      <c r="AM204" s="510">
        <v>5991.2434042228197</v>
      </c>
      <c r="AN204" s="510"/>
      <c r="AO204" s="510"/>
      <c r="AP204" s="510"/>
      <c r="AQ204" s="510"/>
      <c r="AR204" s="511"/>
      <c r="AS204" s="407">
        <v>0</v>
      </c>
      <c r="AT204" s="516"/>
      <c r="AU204" s="510"/>
      <c r="AV204" s="510"/>
      <c r="AW204" s="510"/>
      <c r="AX204" s="510"/>
      <c r="AY204" s="510"/>
      <c r="AZ204" s="130"/>
      <c r="BA204" s="130"/>
      <c r="BB204" s="130"/>
      <c r="BC204" s="130"/>
      <c r="BD204" s="130"/>
      <c r="BE204" s="131"/>
      <c r="BF204" s="140">
        <f t="shared" si="774"/>
        <v>0</v>
      </c>
      <c r="BG204" s="133"/>
      <c r="BH204" s="130"/>
      <c r="BI204" s="130"/>
      <c r="BJ204" s="130"/>
      <c r="BK204" s="130"/>
      <c r="BL204" s="130"/>
      <c r="BM204" s="535">
        <v>25000</v>
      </c>
      <c r="BN204" s="282"/>
      <c r="BO204" s="282"/>
      <c r="BP204" s="130"/>
      <c r="BQ204" s="130"/>
      <c r="BR204" s="131"/>
      <c r="BS204" s="140">
        <f t="shared" si="775"/>
        <v>25000</v>
      </c>
      <c r="BT204" s="133"/>
      <c r="BU204" s="130"/>
      <c r="BV204" s="130"/>
      <c r="BW204" s="130"/>
      <c r="BX204" s="130"/>
      <c r="BY204" s="130"/>
      <c r="BZ204" s="130"/>
      <c r="CA204" s="130"/>
      <c r="CB204" s="130"/>
      <c r="CC204" s="130"/>
      <c r="CD204" s="130"/>
      <c r="CE204" s="131"/>
      <c r="CF204" s="140">
        <f t="shared" si="776"/>
        <v>0</v>
      </c>
      <c r="CG204" s="133"/>
      <c r="CH204" s="130"/>
      <c r="CI204" s="130"/>
      <c r="CJ204" s="130"/>
      <c r="CK204" s="130"/>
      <c r="CL204" s="130"/>
      <c r="CM204" s="130"/>
      <c r="CN204" s="130"/>
      <c r="CO204" s="130"/>
      <c r="CP204" s="130"/>
      <c r="CQ204" s="130"/>
      <c r="CR204" s="131"/>
      <c r="CS204" s="140">
        <f t="shared" si="777"/>
        <v>0</v>
      </c>
      <c r="CT204" s="133"/>
      <c r="CU204" s="130"/>
      <c r="CV204" s="130"/>
      <c r="CW204" s="130"/>
      <c r="CX204" s="130"/>
      <c r="CY204" s="130"/>
      <c r="CZ204" s="130"/>
      <c r="DA204" s="130"/>
      <c r="DB204" s="130"/>
      <c r="DC204" s="130"/>
      <c r="DD204" s="130"/>
      <c r="DE204" s="131"/>
      <c r="DF204" s="140">
        <f t="shared" si="778"/>
        <v>0</v>
      </c>
      <c r="DG204" s="278"/>
      <c r="DH204" s="90">
        <f t="shared" si="779"/>
        <v>25000</v>
      </c>
      <c r="DI204" s="91">
        <f t="shared" si="780"/>
        <v>25000</v>
      </c>
      <c r="DJ204" s="92">
        <f t="shared" si="781"/>
        <v>0</v>
      </c>
    </row>
    <row r="205" spans="1:115" ht="15" customHeight="1">
      <c r="A205" s="602"/>
      <c r="B205" s="548"/>
      <c r="C205" s="553"/>
      <c r="D205" s="184" t="s">
        <v>108</v>
      </c>
      <c r="E205" s="136">
        <f t="shared" si="772"/>
        <v>0</v>
      </c>
      <c r="F205" s="136"/>
      <c r="G205" s="137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1"/>
      <c r="S205" s="140">
        <f t="shared" si="773"/>
        <v>0</v>
      </c>
      <c r="T205" s="391"/>
      <c r="U205" s="381"/>
      <c r="V205" s="381"/>
      <c r="W205" s="381">
        <f>16.062+5.468</f>
        <v>21.53</v>
      </c>
      <c r="X205" s="381">
        <f>1.027+3.895</f>
        <v>4.9219999999999997</v>
      </c>
      <c r="Y205" s="381">
        <f>4.109+6.888</f>
        <v>10.997</v>
      </c>
      <c r="Z205" s="392">
        <f>0.638</f>
        <v>0.63800000000000001</v>
      </c>
      <c r="AA205" s="392">
        <v>73.918668060805899</v>
      </c>
      <c r="AB205" s="392">
        <v>8.1238068158739178</v>
      </c>
      <c r="AC205" s="395"/>
      <c r="AD205" s="395"/>
      <c r="AE205" s="392"/>
      <c r="AF205" s="132">
        <v>0</v>
      </c>
      <c r="AG205" s="497">
        <v>77.894345470480445</v>
      </c>
      <c r="AH205" s="499">
        <v>19.692176023506367</v>
      </c>
      <c r="AI205" s="499">
        <v>24.701050326261086</v>
      </c>
      <c r="AJ205" s="499">
        <v>199.96308922461844</v>
      </c>
      <c r="AK205" s="499">
        <v>34.834084566596196</v>
      </c>
      <c r="AL205" s="499">
        <v>91.128457389304202</v>
      </c>
      <c r="AM205" s="499"/>
      <c r="AN205" s="499"/>
      <c r="AO205" s="499"/>
      <c r="AP205" s="499"/>
      <c r="AQ205" s="499"/>
      <c r="AR205" s="511"/>
      <c r="AS205" s="407">
        <v>0</v>
      </c>
      <c r="AT205" s="501"/>
      <c r="AU205" s="499"/>
      <c r="AV205" s="499"/>
      <c r="AW205" s="499"/>
      <c r="AX205" s="499"/>
      <c r="AY205" s="499"/>
      <c r="AZ205" s="138"/>
      <c r="BA205" s="138"/>
      <c r="BB205" s="138"/>
      <c r="BC205" s="138"/>
      <c r="BD205" s="138"/>
      <c r="BE205" s="139"/>
      <c r="BF205" s="140">
        <f t="shared" si="774"/>
        <v>0</v>
      </c>
      <c r="BG205" s="141"/>
      <c r="BH205" s="138"/>
      <c r="BI205" s="138"/>
      <c r="BJ205" s="138"/>
      <c r="BK205" s="138"/>
      <c r="BL205" s="138"/>
      <c r="BM205" s="138"/>
      <c r="BN205" s="138"/>
      <c r="BO205" s="138"/>
      <c r="BP205" s="138"/>
      <c r="BQ205" s="138"/>
      <c r="BR205" s="139"/>
      <c r="BS205" s="140">
        <f t="shared" si="775"/>
        <v>0</v>
      </c>
      <c r="BT205" s="141"/>
      <c r="BU205" s="138"/>
      <c r="BV205" s="138"/>
      <c r="BW205" s="138"/>
      <c r="BX205" s="138"/>
      <c r="BY205" s="138"/>
      <c r="BZ205" s="138"/>
      <c r="CA205" s="138"/>
      <c r="CB205" s="138"/>
      <c r="CC205" s="138"/>
      <c r="CD205" s="138"/>
      <c r="CE205" s="139"/>
      <c r="CF205" s="140">
        <f t="shared" si="776"/>
        <v>0</v>
      </c>
      <c r="CG205" s="141"/>
      <c r="CH205" s="138"/>
      <c r="CI205" s="138"/>
      <c r="CJ205" s="138"/>
      <c r="CK205" s="138"/>
      <c r="CL205" s="138"/>
      <c r="CM205" s="138"/>
      <c r="CN205" s="138"/>
      <c r="CO205" s="138"/>
      <c r="CP205" s="138"/>
      <c r="CQ205" s="138"/>
      <c r="CR205" s="139"/>
      <c r="CS205" s="140">
        <f t="shared" si="777"/>
        <v>0</v>
      </c>
      <c r="CT205" s="141"/>
      <c r="CU205" s="138"/>
      <c r="CV205" s="138"/>
      <c r="CW205" s="138"/>
      <c r="CX205" s="138"/>
      <c r="CY205" s="138"/>
      <c r="CZ205" s="138"/>
      <c r="DA205" s="138"/>
      <c r="DB205" s="138"/>
      <c r="DC205" s="138"/>
      <c r="DD205" s="138"/>
      <c r="DE205" s="139"/>
      <c r="DF205" s="140">
        <f t="shared" si="778"/>
        <v>0</v>
      </c>
      <c r="DG205" s="279"/>
      <c r="DH205" s="90">
        <f t="shared" si="779"/>
        <v>0</v>
      </c>
      <c r="DI205" s="91">
        <f t="shared" si="780"/>
        <v>0</v>
      </c>
      <c r="DJ205" s="92">
        <f t="shared" si="781"/>
        <v>0</v>
      </c>
      <c r="DK205" s="64" t="e">
        <f>+DH205/DH203</f>
        <v>#DIV/0!</v>
      </c>
    </row>
    <row r="206" spans="1:115" ht="15" customHeight="1">
      <c r="A206" s="602"/>
      <c r="B206" s="549"/>
      <c r="C206" s="554" t="s">
        <v>11</v>
      </c>
      <c r="D206" s="555"/>
      <c r="E206" s="143">
        <f t="shared" ref="E206:R206" si="782">+E203-E204-E205</f>
        <v>-25000</v>
      </c>
      <c r="F206" s="144">
        <f t="shared" si="782"/>
        <v>0</v>
      </c>
      <c r="G206" s="145">
        <f t="shared" si="782"/>
        <v>0</v>
      </c>
      <c r="H206" s="145">
        <f t="shared" si="782"/>
        <v>0</v>
      </c>
      <c r="I206" s="145">
        <f t="shared" si="782"/>
        <v>0</v>
      </c>
      <c r="J206" s="145">
        <f t="shared" si="782"/>
        <v>0</v>
      </c>
      <c r="K206" s="145">
        <f t="shared" si="782"/>
        <v>0</v>
      </c>
      <c r="L206" s="145">
        <f t="shared" si="782"/>
        <v>0</v>
      </c>
      <c r="M206" s="145">
        <f t="shared" si="782"/>
        <v>0</v>
      </c>
      <c r="N206" s="145">
        <f t="shared" si="782"/>
        <v>0</v>
      </c>
      <c r="O206" s="145">
        <f t="shared" si="782"/>
        <v>0</v>
      </c>
      <c r="P206" s="145">
        <f t="shared" si="782"/>
        <v>0</v>
      </c>
      <c r="Q206" s="145">
        <f t="shared" si="782"/>
        <v>0</v>
      </c>
      <c r="R206" s="146">
        <f t="shared" si="782"/>
        <v>0</v>
      </c>
      <c r="S206" s="147">
        <f t="shared" si="773"/>
        <v>0</v>
      </c>
      <c r="T206" s="393">
        <f>+T203-T204-T205</f>
        <v>0</v>
      </c>
      <c r="U206" s="145">
        <f t="shared" ref="U206:AE206" si="783">+U203-U204-U205</f>
        <v>0</v>
      </c>
      <c r="V206" s="145">
        <f t="shared" si="783"/>
        <v>0</v>
      </c>
      <c r="W206" s="145">
        <f t="shared" si="783"/>
        <v>-21.53</v>
      </c>
      <c r="X206" s="145">
        <f t="shared" si="783"/>
        <v>-4.9219999999999997</v>
      </c>
      <c r="Y206" s="145">
        <f t="shared" si="783"/>
        <v>-10.997</v>
      </c>
      <c r="Z206" s="145">
        <f t="shared" si="783"/>
        <v>-0.63800000000000001</v>
      </c>
      <c r="AA206" s="145">
        <f t="shared" si="783"/>
        <v>-73.918668060805899</v>
      </c>
      <c r="AB206" s="145">
        <f t="shared" si="783"/>
        <v>-8.1238068158739178</v>
      </c>
      <c r="AC206" s="145">
        <f t="shared" si="783"/>
        <v>0</v>
      </c>
      <c r="AD206" s="145">
        <f t="shared" si="783"/>
        <v>0</v>
      </c>
      <c r="AE206" s="146">
        <f t="shared" si="783"/>
        <v>0</v>
      </c>
      <c r="AF206" s="147">
        <v>0</v>
      </c>
      <c r="AG206" s="145">
        <f>+AG203-AG204-AG205</f>
        <v>-77.894345470480445</v>
      </c>
      <c r="AH206" s="145">
        <f t="shared" ref="AH206:AR206" si="784">+AH203-AH204-AH205</f>
        <v>-19.692176023506367</v>
      </c>
      <c r="AI206" s="145">
        <f t="shared" si="784"/>
        <v>-24.701050326261086</v>
      </c>
      <c r="AJ206" s="145">
        <f t="shared" si="784"/>
        <v>-199.96308922461844</v>
      </c>
      <c r="AK206" s="145">
        <f t="shared" si="784"/>
        <v>-4056.0181706707667</v>
      </c>
      <c r="AL206" s="145">
        <f t="shared" si="784"/>
        <v>-10117.111206095458</v>
      </c>
      <c r="AM206" s="145">
        <f t="shared" si="784"/>
        <v>-5460.3992914741657</v>
      </c>
      <c r="AN206" s="145">
        <f t="shared" si="784"/>
        <v>0</v>
      </c>
      <c r="AO206" s="145">
        <f t="shared" si="784"/>
        <v>7.806296815238384</v>
      </c>
      <c r="AP206" s="145">
        <f t="shared" si="784"/>
        <v>0</v>
      </c>
      <c r="AQ206" s="145">
        <f t="shared" si="784"/>
        <v>0</v>
      </c>
      <c r="AR206" s="146">
        <f t="shared" si="784"/>
        <v>0</v>
      </c>
      <c r="AS206" s="408">
        <v>0</v>
      </c>
      <c r="AT206" s="148">
        <f>+AT203-AT204-AT205</f>
        <v>0</v>
      </c>
      <c r="AU206" s="145">
        <f t="shared" ref="AU206:BE206" si="785">+AU203-AU204-AU205</f>
        <v>0</v>
      </c>
      <c r="AV206" s="145">
        <f t="shared" si="785"/>
        <v>0</v>
      </c>
      <c r="AW206" s="145">
        <f t="shared" si="785"/>
        <v>0</v>
      </c>
      <c r="AX206" s="145">
        <f t="shared" si="785"/>
        <v>0</v>
      </c>
      <c r="AY206" s="145">
        <f t="shared" si="785"/>
        <v>0</v>
      </c>
      <c r="AZ206" s="145">
        <f t="shared" si="785"/>
        <v>0</v>
      </c>
      <c r="BA206" s="145">
        <f t="shared" si="785"/>
        <v>0</v>
      </c>
      <c r="BB206" s="145">
        <f t="shared" si="785"/>
        <v>0</v>
      </c>
      <c r="BC206" s="145">
        <f t="shared" si="785"/>
        <v>0</v>
      </c>
      <c r="BD206" s="145">
        <f t="shared" si="785"/>
        <v>0</v>
      </c>
      <c r="BE206" s="146">
        <f t="shared" si="785"/>
        <v>0</v>
      </c>
      <c r="BF206" s="147">
        <f t="shared" si="774"/>
        <v>0</v>
      </c>
      <c r="BG206" s="145">
        <f>+BG203-BG204-BG205</f>
        <v>0</v>
      </c>
      <c r="BH206" s="145">
        <f t="shared" ref="BH206:BR206" si="786">+BH203-BH204-BH205</f>
        <v>0</v>
      </c>
      <c r="BI206" s="145">
        <f t="shared" si="786"/>
        <v>0</v>
      </c>
      <c r="BJ206" s="145">
        <f t="shared" si="786"/>
        <v>0</v>
      </c>
      <c r="BK206" s="145">
        <f t="shared" si="786"/>
        <v>0</v>
      </c>
      <c r="BL206" s="145">
        <f t="shared" si="786"/>
        <v>0</v>
      </c>
      <c r="BM206" s="145">
        <f t="shared" si="786"/>
        <v>-25000</v>
      </c>
      <c r="BN206" s="145">
        <f t="shared" si="786"/>
        <v>0</v>
      </c>
      <c r="BO206" s="145">
        <f t="shared" si="786"/>
        <v>0</v>
      </c>
      <c r="BP206" s="145">
        <f t="shared" si="786"/>
        <v>0</v>
      </c>
      <c r="BQ206" s="145">
        <f t="shared" si="786"/>
        <v>0</v>
      </c>
      <c r="BR206" s="146">
        <f t="shared" si="786"/>
        <v>0</v>
      </c>
      <c r="BS206" s="147">
        <f t="shared" si="775"/>
        <v>-25000</v>
      </c>
      <c r="BT206" s="145">
        <f>+BT203-BT204-BT205</f>
        <v>0</v>
      </c>
      <c r="BU206" s="145">
        <f t="shared" ref="BU206:CE206" si="787">+BU203-BU204-BU205</f>
        <v>0</v>
      </c>
      <c r="BV206" s="145">
        <f t="shared" si="787"/>
        <v>0</v>
      </c>
      <c r="BW206" s="145">
        <f t="shared" si="787"/>
        <v>0</v>
      </c>
      <c r="BX206" s="145">
        <f t="shared" si="787"/>
        <v>0</v>
      </c>
      <c r="BY206" s="145">
        <f t="shared" si="787"/>
        <v>0</v>
      </c>
      <c r="BZ206" s="145">
        <f t="shared" si="787"/>
        <v>0</v>
      </c>
      <c r="CA206" s="145">
        <f t="shared" si="787"/>
        <v>0</v>
      </c>
      <c r="CB206" s="145">
        <f t="shared" si="787"/>
        <v>0</v>
      </c>
      <c r="CC206" s="145">
        <f t="shared" si="787"/>
        <v>0</v>
      </c>
      <c r="CD206" s="145">
        <f t="shared" si="787"/>
        <v>0</v>
      </c>
      <c r="CE206" s="146">
        <f t="shared" si="787"/>
        <v>0</v>
      </c>
      <c r="CF206" s="147">
        <f t="shared" si="776"/>
        <v>0</v>
      </c>
      <c r="CG206" s="145">
        <f>+CG203-CG204-CG205</f>
        <v>0</v>
      </c>
      <c r="CH206" s="145">
        <f t="shared" ref="CH206:CR206" si="788">+CH203-CH204-CH205</f>
        <v>0</v>
      </c>
      <c r="CI206" s="145">
        <f t="shared" si="788"/>
        <v>0</v>
      </c>
      <c r="CJ206" s="145">
        <f t="shared" si="788"/>
        <v>0</v>
      </c>
      <c r="CK206" s="145">
        <f t="shared" si="788"/>
        <v>0</v>
      </c>
      <c r="CL206" s="145">
        <f t="shared" si="788"/>
        <v>0</v>
      </c>
      <c r="CM206" s="145">
        <f t="shared" si="788"/>
        <v>0</v>
      </c>
      <c r="CN206" s="145">
        <f t="shared" si="788"/>
        <v>0</v>
      </c>
      <c r="CO206" s="145">
        <f t="shared" si="788"/>
        <v>0</v>
      </c>
      <c r="CP206" s="145">
        <f t="shared" si="788"/>
        <v>0</v>
      </c>
      <c r="CQ206" s="145">
        <f t="shared" si="788"/>
        <v>0</v>
      </c>
      <c r="CR206" s="146">
        <f t="shared" si="788"/>
        <v>0</v>
      </c>
      <c r="CS206" s="147">
        <f t="shared" si="777"/>
        <v>0</v>
      </c>
      <c r="CT206" s="145">
        <f>+CT203-CT204-CT205</f>
        <v>0</v>
      </c>
      <c r="CU206" s="145">
        <f t="shared" ref="CU206:DE206" si="789">+CU203-CU204-CU205</f>
        <v>0</v>
      </c>
      <c r="CV206" s="145">
        <f t="shared" si="789"/>
        <v>0</v>
      </c>
      <c r="CW206" s="145">
        <f t="shared" si="789"/>
        <v>0</v>
      </c>
      <c r="CX206" s="145">
        <f t="shared" si="789"/>
        <v>0</v>
      </c>
      <c r="CY206" s="145">
        <f t="shared" si="789"/>
        <v>0</v>
      </c>
      <c r="CZ206" s="145">
        <f t="shared" si="789"/>
        <v>0</v>
      </c>
      <c r="DA206" s="145">
        <f t="shared" si="789"/>
        <v>0</v>
      </c>
      <c r="DB206" s="145">
        <f t="shared" si="789"/>
        <v>0</v>
      </c>
      <c r="DC206" s="145">
        <f t="shared" si="789"/>
        <v>0</v>
      </c>
      <c r="DD206" s="145">
        <f t="shared" si="789"/>
        <v>0</v>
      </c>
      <c r="DE206" s="146">
        <f t="shared" si="789"/>
        <v>0</v>
      </c>
      <c r="DF206" s="147">
        <f t="shared" si="778"/>
        <v>0</v>
      </c>
      <c r="DG206" s="146">
        <f>+DG203-DG205</f>
        <v>0</v>
      </c>
      <c r="DH206" s="98">
        <f t="shared" si="779"/>
        <v>-25000</v>
      </c>
      <c r="DI206" s="99">
        <f t="shared" si="780"/>
        <v>-25000</v>
      </c>
      <c r="DJ206" s="100">
        <f t="shared" si="781"/>
        <v>0</v>
      </c>
    </row>
    <row r="207" spans="1:115" ht="15" customHeight="1">
      <c r="A207" s="602"/>
      <c r="B207" s="584" t="s">
        <v>65</v>
      </c>
      <c r="C207" s="605" t="s">
        <v>62</v>
      </c>
      <c r="D207" s="606"/>
      <c r="E207" s="128">
        <f>E183+E187+E191+E195</f>
        <v>223665.69835476938</v>
      </c>
      <c r="F207" s="128">
        <f t="shared" ref="F207:R207" si="790">+F183+F187+F191+F195</f>
        <v>0</v>
      </c>
      <c r="G207" s="154">
        <f t="shared" si="790"/>
        <v>0</v>
      </c>
      <c r="H207" s="133">
        <f t="shared" si="790"/>
        <v>0</v>
      </c>
      <c r="I207" s="130">
        <f t="shared" si="790"/>
        <v>0</v>
      </c>
      <c r="J207" s="130">
        <f t="shared" si="790"/>
        <v>0</v>
      </c>
      <c r="K207" s="130">
        <f t="shared" si="790"/>
        <v>0</v>
      </c>
      <c r="L207" s="130">
        <f t="shared" si="790"/>
        <v>0</v>
      </c>
      <c r="M207" s="130">
        <f t="shared" si="790"/>
        <v>0</v>
      </c>
      <c r="N207" s="130">
        <f t="shared" si="790"/>
        <v>0</v>
      </c>
      <c r="O207" s="130">
        <f t="shared" si="790"/>
        <v>0</v>
      </c>
      <c r="P207" s="130">
        <f t="shared" si="790"/>
        <v>0</v>
      </c>
      <c r="Q207" s="130">
        <f t="shared" si="790"/>
        <v>0</v>
      </c>
      <c r="R207" s="131">
        <f t="shared" si="790"/>
        <v>0</v>
      </c>
      <c r="S207" s="163">
        <f t="shared" si="709"/>
        <v>0</v>
      </c>
      <c r="T207" s="383">
        <f t="shared" ref="T207:AE207" si="791">+T183+T187+T191+T195</f>
        <v>0</v>
      </c>
      <c r="U207" s="385">
        <f t="shared" si="791"/>
        <v>0</v>
      </c>
      <c r="V207" s="379">
        <f t="shared" si="791"/>
        <v>0</v>
      </c>
      <c r="W207" s="379">
        <f t="shared" si="791"/>
        <v>0</v>
      </c>
      <c r="X207" s="379">
        <f t="shared" si="791"/>
        <v>0</v>
      </c>
      <c r="Y207" s="379">
        <f t="shared" si="791"/>
        <v>0</v>
      </c>
      <c r="Z207" s="379">
        <f t="shared" si="791"/>
        <v>0</v>
      </c>
      <c r="AA207" s="379">
        <f t="shared" si="791"/>
        <v>0</v>
      </c>
      <c r="AB207" s="379">
        <f t="shared" si="791"/>
        <v>0</v>
      </c>
      <c r="AC207" s="379">
        <f t="shared" si="791"/>
        <v>0</v>
      </c>
      <c r="AD207" s="379">
        <f t="shared" si="791"/>
        <v>0</v>
      </c>
      <c r="AE207" s="489">
        <f t="shared" si="791"/>
        <v>0</v>
      </c>
      <c r="AF207" s="163">
        <f t="shared" si="710"/>
        <v>0</v>
      </c>
      <c r="AG207" s="498">
        <f t="shared" ref="AG207:AP207" si="792">+AG183+AG187+AG191+AG195</f>
        <v>0</v>
      </c>
      <c r="AH207" s="516">
        <f t="shared" si="792"/>
        <v>0</v>
      </c>
      <c r="AI207" s="510">
        <f t="shared" si="792"/>
        <v>0</v>
      </c>
      <c r="AJ207" s="510">
        <f t="shared" si="792"/>
        <v>0</v>
      </c>
      <c r="AK207" s="510">
        <f t="shared" si="792"/>
        <v>0</v>
      </c>
      <c r="AL207" s="510">
        <f t="shared" si="792"/>
        <v>0</v>
      </c>
      <c r="AM207" s="510">
        <f t="shared" si="792"/>
        <v>530.84411274865397</v>
      </c>
      <c r="AN207" s="510">
        <f t="shared" si="792"/>
        <v>0</v>
      </c>
      <c r="AO207" s="510">
        <f t="shared" si="792"/>
        <v>7.806296815238384</v>
      </c>
      <c r="AP207" s="510">
        <f t="shared" si="792"/>
        <v>0</v>
      </c>
      <c r="AQ207" s="510">
        <f>+AQ183+AQ187+AQ191+AQ195</f>
        <v>0</v>
      </c>
      <c r="AR207" s="515">
        <f>+AR183+AR187+AR191+AR195</f>
        <v>3473.0479452054801</v>
      </c>
      <c r="AS207" s="414">
        <f t="shared" si="726"/>
        <v>4011.6983547693726</v>
      </c>
      <c r="AT207" s="500">
        <f>+AT183+AT187+AT191+AT195+AT199+AT203</f>
        <v>0</v>
      </c>
      <c r="AU207" s="516">
        <f t="shared" ref="AU207:BE207" si="793">+AU183+AU187+AU191+AU195+AU199+AU203</f>
        <v>0</v>
      </c>
      <c r="AV207" s="510">
        <f t="shared" si="793"/>
        <v>0</v>
      </c>
      <c r="AW207" s="510">
        <f t="shared" si="793"/>
        <v>0</v>
      </c>
      <c r="AX207" s="510">
        <f t="shared" si="793"/>
        <v>0</v>
      </c>
      <c r="AY207" s="510">
        <f t="shared" si="793"/>
        <v>0</v>
      </c>
      <c r="AZ207" s="130">
        <f t="shared" si="793"/>
        <v>0</v>
      </c>
      <c r="BA207" s="130">
        <f t="shared" si="793"/>
        <v>0</v>
      </c>
      <c r="BB207" s="130">
        <f t="shared" si="793"/>
        <v>0</v>
      </c>
      <c r="BC207" s="130">
        <f t="shared" si="793"/>
        <v>0</v>
      </c>
      <c r="BD207" s="130">
        <f t="shared" si="793"/>
        <v>0</v>
      </c>
      <c r="BE207" s="131">
        <f t="shared" si="793"/>
        <v>0</v>
      </c>
      <c r="BF207" s="163">
        <f t="shared" si="711"/>
        <v>0</v>
      </c>
      <c r="BG207" s="154">
        <f t="shared" ref="BG207:BR207" si="794">+BG183+BG187+BG191+BG195+BG199+BG203</f>
        <v>0</v>
      </c>
      <c r="BH207" s="133">
        <f t="shared" si="794"/>
        <v>0</v>
      </c>
      <c r="BI207" s="130">
        <f t="shared" si="794"/>
        <v>0</v>
      </c>
      <c r="BJ207" s="130">
        <f t="shared" si="794"/>
        <v>0</v>
      </c>
      <c r="BK207" s="130">
        <f t="shared" si="794"/>
        <v>0</v>
      </c>
      <c r="BL207" s="130">
        <f t="shared" si="794"/>
        <v>0</v>
      </c>
      <c r="BM207" s="130">
        <f t="shared" si="794"/>
        <v>0</v>
      </c>
      <c r="BN207" s="130">
        <f t="shared" si="794"/>
        <v>0</v>
      </c>
      <c r="BO207" s="130">
        <f t="shared" si="794"/>
        <v>0</v>
      </c>
      <c r="BP207" s="130">
        <f t="shared" si="794"/>
        <v>0</v>
      </c>
      <c r="BQ207" s="130">
        <f t="shared" si="794"/>
        <v>0</v>
      </c>
      <c r="BR207" s="131">
        <f t="shared" si="794"/>
        <v>0</v>
      </c>
      <c r="BS207" s="163">
        <f t="shared" si="712"/>
        <v>0</v>
      </c>
      <c r="BT207" s="154">
        <f t="shared" ref="BT207:CE207" si="795">+BT183+BT187+BT191+BT195+BT199+BT203</f>
        <v>0</v>
      </c>
      <c r="BU207" s="133">
        <f t="shared" si="795"/>
        <v>0</v>
      </c>
      <c r="BV207" s="130">
        <f t="shared" si="795"/>
        <v>0</v>
      </c>
      <c r="BW207" s="130">
        <f t="shared" si="795"/>
        <v>0</v>
      </c>
      <c r="BX207" s="130">
        <f t="shared" si="795"/>
        <v>0</v>
      </c>
      <c r="BY207" s="130">
        <f t="shared" si="795"/>
        <v>0</v>
      </c>
      <c r="BZ207" s="130">
        <f t="shared" si="795"/>
        <v>27958</v>
      </c>
      <c r="CA207" s="130">
        <f t="shared" si="795"/>
        <v>0</v>
      </c>
      <c r="CB207" s="130">
        <f t="shared" si="795"/>
        <v>0</v>
      </c>
      <c r="CC207" s="130">
        <f t="shared" si="795"/>
        <v>0</v>
      </c>
      <c r="CD207" s="130">
        <f t="shared" si="795"/>
        <v>0</v>
      </c>
      <c r="CE207" s="131">
        <f t="shared" si="795"/>
        <v>0</v>
      </c>
      <c r="CF207" s="163">
        <f t="shared" si="713"/>
        <v>27958</v>
      </c>
      <c r="CG207" s="154">
        <f t="shared" ref="CG207:CR207" si="796">+CG183+CG187+CG191+CG195+CG199+CG203</f>
        <v>0</v>
      </c>
      <c r="CH207" s="133">
        <f t="shared" si="796"/>
        <v>0</v>
      </c>
      <c r="CI207" s="130">
        <f t="shared" si="796"/>
        <v>0</v>
      </c>
      <c r="CJ207" s="130">
        <f t="shared" si="796"/>
        <v>0</v>
      </c>
      <c r="CK207" s="130">
        <f t="shared" si="796"/>
        <v>0</v>
      </c>
      <c r="CL207" s="130">
        <f t="shared" si="796"/>
        <v>0</v>
      </c>
      <c r="CM207" s="130">
        <f t="shared" si="796"/>
        <v>0</v>
      </c>
      <c r="CN207" s="130">
        <f t="shared" si="796"/>
        <v>0</v>
      </c>
      <c r="CO207" s="130">
        <f t="shared" si="796"/>
        <v>0</v>
      </c>
      <c r="CP207" s="130">
        <f t="shared" si="796"/>
        <v>0</v>
      </c>
      <c r="CQ207" s="130">
        <f t="shared" si="796"/>
        <v>0</v>
      </c>
      <c r="CR207" s="131">
        <f t="shared" si="796"/>
        <v>0</v>
      </c>
      <c r="CS207" s="163">
        <f t="shared" si="714"/>
        <v>0</v>
      </c>
      <c r="CT207" s="154">
        <f t="shared" ref="CT207:DE207" si="797">+CT183+CT187+CT191+CT195+CT199+CT203</f>
        <v>0</v>
      </c>
      <c r="CU207" s="133">
        <f t="shared" si="797"/>
        <v>0</v>
      </c>
      <c r="CV207" s="130">
        <f t="shared" si="797"/>
        <v>0</v>
      </c>
      <c r="CW207" s="130">
        <f t="shared" si="797"/>
        <v>64200</v>
      </c>
      <c r="CX207" s="130">
        <f t="shared" si="797"/>
        <v>0</v>
      </c>
      <c r="CY207" s="130">
        <f t="shared" si="797"/>
        <v>0</v>
      </c>
      <c r="CZ207" s="130">
        <f t="shared" si="797"/>
        <v>0</v>
      </c>
      <c r="DA207" s="130">
        <f t="shared" si="797"/>
        <v>0</v>
      </c>
      <c r="DB207" s="130">
        <f t="shared" si="797"/>
        <v>0</v>
      </c>
      <c r="DC207" s="130">
        <f t="shared" si="797"/>
        <v>0</v>
      </c>
      <c r="DD207" s="130">
        <f t="shared" si="797"/>
        <v>0</v>
      </c>
      <c r="DE207" s="131">
        <f t="shared" si="797"/>
        <v>0</v>
      </c>
      <c r="DF207" s="163">
        <f t="shared" si="715"/>
        <v>64200</v>
      </c>
      <c r="DG207" s="278">
        <f>+DG183+DG187+DG191+DG195</f>
        <v>127496</v>
      </c>
      <c r="DH207" s="164">
        <f t="shared" si="735"/>
        <v>131507.69835476938</v>
      </c>
      <c r="DI207" s="165">
        <f t="shared" si="736"/>
        <v>223665.69835476938</v>
      </c>
      <c r="DJ207" s="166">
        <f t="shared" si="737"/>
        <v>92158</v>
      </c>
    </row>
    <row r="208" spans="1:115" ht="15" customHeight="1">
      <c r="A208" s="602"/>
      <c r="B208" s="584"/>
      <c r="C208" s="594" t="s">
        <v>63</v>
      </c>
      <c r="D208" s="268" t="s">
        <v>109</v>
      </c>
      <c r="E208" s="128">
        <f>E184+E188+E196+E192</f>
        <v>139973.91590487064</v>
      </c>
      <c r="F208" s="128">
        <f t="shared" ref="F208:R208" si="798">F184+F188+F196</f>
        <v>0</v>
      </c>
      <c r="G208" s="129">
        <f t="shared" si="798"/>
        <v>0</v>
      </c>
      <c r="H208" s="133">
        <f t="shared" si="798"/>
        <v>0</v>
      </c>
      <c r="I208" s="130">
        <f t="shared" si="798"/>
        <v>0</v>
      </c>
      <c r="J208" s="130">
        <f t="shared" si="798"/>
        <v>0</v>
      </c>
      <c r="K208" s="130">
        <f t="shared" si="798"/>
        <v>0</v>
      </c>
      <c r="L208" s="130">
        <f t="shared" si="798"/>
        <v>0</v>
      </c>
      <c r="M208" s="130">
        <f t="shared" si="798"/>
        <v>0</v>
      </c>
      <c r="N208" s="130">
        <f t="shared" si="798"/>
        <v>0</v>
      </c>
      <c r="O208" s="130">
        <f t="shared" si="798"/>
        <v>0</v>
      </c>
      <c r="P208" s="130">
        <f t="shared" si="798"/>
        <v>0</v>
      </c>
      <c r="Q208" s="130">
        <f t="shared" si="798"/>
        <v>498.54590776900704</v>
      </c>
      <c r="R208" s="131">
        <f t="shared" si="798"/>
        <v>0</v>
      </c>
      <c r="S208" s="162">
        <f t="shared" si="709"/>
        <v>498.54590776900704</v>
      </c>
      <c r="T208" s="391">
        <f t="shared" ref="T208:AE208" si="799">T184+T188+T196+T192</f>
        <v>0</v>
      </c>
      <c r="U208" s="385">
        <f t="shared" si="799"/>
        <v>0</v>
      </c>
      <c r="V208" s="379">
        <f t="shared" si="799"/>
        <v>0</v>
      </c>
      <c r="W208" s="379">
        <f t="shared" si="799"/>
        <v>0</v>
      </c>
      <c r="X208" s="379">
        <f t="shared" si="799"/>
        <v>0</v>
      </c>
      <c r="Y208" s="379">
        <f t="shared" si="799"/>
        <v>3617.1561051004637</v>
      </c>
      <c r="Z208" s="379">
        <f t="shared" si="799"/>
        <v>0</v>
      </c>
      <c r="AA208" s="379">
        <f t="shared" si="799"/>
        <v>0</v>
      </c>
      <c r="AB208" s="379">
        <f t="shared" si="799"/>
        <v>0</v>
      </c>
      <c r="AC208" s="379">
        <f t="shared" si="799"/>
        <v>0</v>
      </c>
      <c r="AD208" s="379">
        <f t="shared" si="799"/>
        <v>0</v>
      </c>
      <c r="AE208" s="480">
        <f t="shared" si="799"/>
        <v>0</v>
      </c>
      <c r="AF208" s="162">
        <f t="shared" si="710"/>
        <v>3617.1561051004637</v>
      </c>
      <c r="AG208" s="496">
        <f t="shared" ref="AG208:AR208" si="800">AG184+AG188+AG196+AG192</f>
        <v>0</v>
      </c>
      <c r="AH208" s="516">
        <f t="shared" si="800"/>
        <v>0</v>
      </c>
      <c r="AI208" s="510">
        <f t="shared" si="800"/>
        <v>0</v>
      </c>
      <c r="AJ208" s="510">
        <f t="shared" si="800"/>
        <v>0</v>
      </c>
      <c r="AK208" s="510">
        <f t="shared" si="800"/>
        <v>4021.1840861041705</v>
      </c>
      <c r="AL208" s="510">
        <f t="shared" si="800"/>
        <v>10025.982748706154</v>
      </c>
      <c r="AM208" s="510">
        <f t="shared" si="800"/>
        <v>5991.2434042228197</v>
      </c>
      <c r="AN208" s="510">
        <f t="shared" si="800"/>
        <v>0</v>
      </c>
      <c r="AO208" s="510">
        <f t="shared" si="800"/>
        <v>0</v>
      </c>
      <c r="AP208" s="510">
        <f t="shared" si="800"/>
        <v>0</v>
      </c>
      <c r="AQ208" s="510">
        <f t="shared" si="800"/>
        <v>0</v>
      </c>
      <c r="AR208" s="515">
        <f t="shared" si="800"/>
        <v>57261.803652968032</v>
      </c>
      <c r="AS208" s="410">
        <f t="shared" si="726"/>
        <v>77300.213892001178</v>
      </c>
      <c r="AT208" s="516">
        <f>AT184+AT188+AT196+AT192+AT200+AT204</f>
        <v>0</v>
      </c>
      <c r="AU208" s="516">
        <f t="shared" ref="AU208:BE208" si="801">AU184+AU188+AU196+AU192+AU200+AU204</f>
        <v>0</v>
      </c>
      <c r="AV208" s="510">
        <f t="shared" si="801"/>
        <v>0</v>
      </c>
      <c r="AW208" s="510">
        <f t="shared" si="801"/>
        <v>0</v>
      </c>
      <c r="AX208" s="510">
        <f t="shared" si="801"/>
        <v>0</v>
      </c>
      <c r="AY208" s="510">
        <f t="shared" si="801"/>
        <v>0</v>
      </c>
      <c r="AZ208" s="130">
        <f t="shared" si="801"/>
        <v>19083</v>
      </c>
      <c r="BA208" s="130">
        <f t="shared" si="801"/>
        <v>0</v>
      </c>
      <c r="BB208" s="130">
        <f t="shared" si="801"/>
        <v>8875</v>
      </c>
      <c r="BC208" s="130">
        <f t="shared" si="801"/>
        <v>510</v>
      </c>
      <c r="BD208" s="130">
        <f t="shared" si="801"/>
        <v>0</v>
      </c>
      <c r="BE208" s="131">
        <f t="shared" si="801"/>
        <v>0</v>
      </c>
      <c r="BF208" s="162">
        <f t="shared" si="711"/>
        <v>28468</v>
      </c>
      <c r="BG208" s="129">
        <f t="shared" ref="BG208:BR208" si="802">BG184+BG188+BG196+BG192+BG200+BG204</f>
        <v>0</v>
      </c>
      <c r="BH208" s="133">
        <f t="shared" si="802"/>
        <v>2712</v>
      </c>
      <c r="BI208" s="130">
        <f t="shared" si="802"/>
        <v>0</v>
      </c>
      <c r="BJ208" s="130">
        <f t="shared" si="802"/>
        <v>0</v>
      </c>
      <c r="BK208" s="130">
        <f t="shared" si="802"/>
        <v>0</v>
      </c>
      <c r="BL208" s="130">
        <f t="shared" si="802"/>
        <v>0</v>
      </c>
      <c r="BM208" s="130">
        <f t="shared" si="802"/>
        <v>55090</v>
      </c>
      <c r="BN208" s="130">
        <f t="shared" si="802"/>
        <v>0</v>
      </c>
      <c r="BO208" s="130">
        <f t="shared" si="802"/>
        <v>7458</v>
      </c>
      <c r="BP208" s="130">
        <f t="shared" si="802"/>
        <v>0</v>
      </c>
      <c r="BQ208" s="130">
        <f t="shared" si="802"/>
        <v>0</v>
      </c>
      <c r="BR208" s="131">
        <f t="shared" si="802"/>
        <v>0</v>
      </c>
      <c r="BS208" s="162">
        <f>SUM(BG208:BR208)</f>
        <v>65260</v>
      </c>
      <c r="BT208" s="129">
        <f t="shared" ref="BT208:CE208" si="803">BT184+BT188+BT196+BT192+BT200+BT204</f>
        <v>0</v>
      </c>
      <c r="BU208" s="133">
        <f>BU184+BU188+BU196+BU192+BU200+BU204</f>
        <v>0</v>
      </c>
      <c r="BV208" s="130">
        <f t="shared" si="803"/>
        <v>0</v>
      </c>
      <c r="BW208" s="130">
        <f t="shared" si="803"/>
        <v>0</v>
      </c>
      <c r="BX208" s="130">
        <f t="shared" si="803"/>
        <v>0</v>
      </c>
      <c r="BY208" s="130">
        <f t="shared" si="803"/>
        <v>6780</v>
      </c>
      <c r="BZ208" s="130">
        <f t="shared" si="803"/>
        <v>0</v>
      </c>
      <c r="CA208" s="130">
        <f t="shared" si="803"/>
        <v>0</v>
      </c>
      <c r="CB208" s="130">
        <f t="shared" si="803"/>
        <v>0</v>
      </c>
      <c r="CC208" s="130">
        <f t="shared" si="803"/>
        <v>0</v>
      </c>
      <c r="CD208" s="130">
        <f t="shared" si="803"/>
        <v>0</v>
      </c>
      <c r="CE208" s="131">
        <f t="shared" si="803"/>
        <v>0</v>
      </c>
      <c r="CF208" s="162">
        <f>SUM(BT208:CE208)</f>
        <v>6780</v>
      </c>
      <c r="CG208" s="129">
        <f t="shared" ref="CG208:CR208" si="804">CG184+CG188+CG196+CG192+CG200+CG204</f>
        <v>0</v>
      </c>
      <c r="CH208" s="133">
        <f t="shared" si="804"/>
        <v>6780</v>
      </c>
      <c r="CI208" s="130">
        <f t="shared" si="804"/>
        <v>0</v>
      </c>
      <c r="CJ208" s="130">
        <f t="shared" si="804"/>
        <v>0</v>
      </c>
      <c r="CK208" s="130">
        <f t="shared" si="804"/>
        <v>0</v>
      </c>
      <c r="CL208" s="130">
        <f t="shared" si="804"/>
        <v>10170</v>
      </c>
      <c r="CM208" s="130">
        <f t="shared" si="804"/>
        <v>0</v>
      </c>
      <c r="CN208" s="130">
        <f t="shared" si="804"/>
        <v>0</v>
      </c>
      <c r="CO208" s="130">
        <f t="shared" si="804"/>
        <v>0</v>
      </c>
      <c r="CP208" s="130">
        <f t="shared" si="804"/>
        <v>6600</v>
      </c>
      <c r="CQ208" s="130">
        <f t="shared" si="804"/>
        <v>0</v>
      </c>
      <c r="CR208" s="131">
        <f t="shared" si="804"/>
        <v>0</v>
      </c>
      <c r="CS208" s="162">
        <f>SUM(CG208:CR208)</f>
        <v>23550</v>
      </c>
      <c r="CT208" s="129">
        <f t="shared" ref="CT208:DE208" si="805">CT184+CT188+CT196+CT192+CT200+CT204</f>
        <v>0</v>
      </c>
      <c r="CU208" s="133">
        <f t="shared" si="805"/>
        <v>0</v>
      </c>
      <c r="CV208" s="130">
        <f t="shared" si="805"/>
        <v>0</v>
      </c>
      <c r="CW208" s="130">
        <f t="shared" si="805"/>
        <v>0</v>
      </c>
      <c r="CX208" s="130">
        <f t="shared" si="805"/>
        <v>0</v>
      </c>
      <c r="CY208" s="130">
        <f t="shared" si="805"/>
        <v>0</v>
      </c>
      <c r="CZ208" s="130">
        <f t="shared" si="805"/>
        <v>0</v>
      </c>
      <c r="DA208" s="130">
        <f t="shared" si="805"/>
        <v>0</v>
      </c>
      <c r="DB208" s="130">
        <f t="shared" si="805"/>
        <v>0</v>
      </c>
      <c r="DC208" s="130">
        <f t="shared" si="805"/>
        <v>0</v>
      </c>
      <c r="DD208" s="130">
        <f t="shared" si="805"/>
        <v>0</v>
      </c>
      <c r="DE208" s="131">
        <f t="shared" si="805"/>
        <v>0</v>
      </c>
      <c r="DF208" s="162">
        <f>SUM(CT208:DE208)</f>
        <v>0</v>
      </c>
      <c r="DG208" s="278">
        <f>DG184+DG188+DG196</f>
        <v>0</v>
      </c>
      <c r="DH208" s="164">
        <f t="shared" si="735"/>
        <v>175143.91590487066</v>
      </c>
      <c r="DI208" s="165">
        <f t="shared" si="736"/>
        <v>139973.91590487064</v>
      </c>
      <c r="DJ208" s="166">
        <f t="shared" si="737"/>
        <v>-35170.000000000029</v>
      </c>
    </row>
    <row r="209" spans="1:115" ht="15" customHeight="1">
      <c r="A209" s="602"/>
      <c r="B209" s="585"/>
      <c r="C209" s="595"/>
      <c r="D209" s="268" t="s">
        <v>110</v>
      </c>
      <c r="E209" s="136">
        <f>E185+E189+E193+E197</f>
        <v>898.80219872869839</v>
      </c>
      <c r="F209" s="136">
        <f t="shared" ref="F209:R209" si="806">+F185+F189+F193+F197</f>
        <v>0</v>
      </c>
      <c r="G209" s="137">
        <f t="shared" si="806"/>
        <v>0</v>
      </c>
      <c r="H209" s="141">
        <f t="shared" si="806"/>
        <v>0</v>
      </c>
      <c r="I209" s="138">
        <f t="shared" si="806"/>
        <v>0</v>
      </c>
      <c r="J209" s="138">
        <f t="shared" si="806"/>
        <v>0</v>
      </c>
      <c r="K209" s="138">
        <f t="shared" si="806"/>
        <v>0</v>
      </c>
      <c r="L209" s="138">
        <f t="shared" si="806"/>
        <v>0</v>
      </c>
      <c r="M209" s="138">
        <f t="shared" si="806"/>
        <v>0</v>
      </c>
      <c r="N209" s="138">
        <f t="shared" si="806"/>
        <v>0</v>
      </c>
      <c r="O209" s="138">
        <f t="shared" si="806"/>
        <v>0</v>
      </c>
      <c r="P209" s="138">
        <f t="shared" si="806"/>
        <v>0</v>
      </c>
      <c r="Q209" s="138">
        <f t="shared" si="806"/>
        <v>0</v>
      </c>
      <c r="R209" s="139">
        <f t="shared" si="806"/>
        <v>0</v>
      </c>
      <c r="S209" s="162">
        <f t="shared" si="709"/>
        <v>0</v>
      </c>
      <c r="T209" s="384">
        <f t="shared" ref="T209:AE209" si="807">+T185+T189+T193+T197</f>
        <v>0</v>
      </c>
      <c r="U209" s="380">
        <f t="shared" si="807"/>
        <v>3.1480000000000001</v>
      </c>
      <c r="V209" s="381">
        <f t="shared" si="807"/>
        <v>0</v>
      </c>
      <c r="W209" s="381">
        <f t="shared" si="807"/>
        <v>21.53</v>
      </c>
      <c r="X209" s="381">
        <f t="shared" si="807"/>
        <v>9.2880000000000003</v>
      </c>
      <c r="Y209" s="381">
        <f t="shared" si="807"/>
        <v>17.969000000000001</v>
      </c>
      <c r="Z209" s="381">
        <f t="shared" si="807"/>
        <v>8.0410000000000004</v>
      </c>
      <c r="AA209" s="381">
        <f t="shared" si="807"/>
        <v>112.858672484517</v>
      </c>
      <c r="AB209" s="381">
        <f t="shared" si="807"/>
        <v>8.1238068158739178</v>
      </c>
      <c r="AC209" s="381">
        <f t="shared" si="807"/>
        <v>0</v>
      </c>
      <c r="AD209" s="381">
        <f t="shared" si="807"/>
        <v>0</v>
      </c>
      <c r="AE209" s="486">
        <f t="shared" si="807"/>
        <v>0</v>
      </c>
      <c r="AF209" s="162">
        <f t="shared" si="710"/>
        <v>180.95847930039091</v>
      </c>
      <c r="AG209" s="496">
        <f t="shared" ref="AG209:AR209" si="808">+AG185+AG189+AG193+AG197</f>
        <v>136.15241634132738</v>
      </c>
      <c r="AH209" s="501">
        <f t="shared" si="808"/>
        <v>35.078161253672867</v>
      </c>
      <c r="AI209" s="499">
        <f t="shared" si="808"/>
        <v>24.701050326261086</v>
      </c>
      <c r="AJ209" s="499">
        <f t="shared" si="808"/>
        <v>280.47359070464768</v>
      </c>
      <c r="AK209" s="499">
        <f t="shared" si="808"/>
        <v>34.834084566596196</v>
      </c>
      <c r="AL209" s="499">
        <f t="shared" si="808"/>
        <v>91.128457389304202</v>
      </c>
      <c r="AM209" s="499">
        <f t="shared" si="808"/>
        <v>0</v>
      </c>
      <c r="AN209" s="499">
        <f t="shared" si="808"/>
        <v>0</v>
      </c>
      <c r="AO209" s="499">
        <f t="shared" si="808"/>
        <v>104.18113625175144</v>
      </c>
      <c r="AP209" s="499">
        <f t="shared" si="808"/>
        <v>11.294822594746645</v>
      </c>
      <c r="AQ209" s="499">
        <f t="shared" si="808"/>
        <v>0</v>
      </c>
      <c r="AR209" s="511">
        <f t="shared" si="808"/>
        <v>0</v>
      </c>
      <c r="AS209" s="410">
        <f t="shared" si="726"/>
        <v>717.84371942830751</v>
      </c>
      <c r="AT209" s="501">
        <f>+AT185+AT189+AT193+AT197+AT201+AT205</f>
        <v>0</v>
      </c>
      <c r="AU209" s="501">
        <f t="shared" ref="AU209:BE209" si="809">+AU185+AU189+AU193+AU197+AU201+AU205</f>
        <v>0</v>
      </c>
      <c r="AV209" s="499">
        <f t="shared" si="809"/>
        <v>0</v>
      </c>
      <c r="AW209" s="499">
        <f t="shared" si="809"/>
        <v>0</v>
      </c>
      <c r="AX209" s="499">
        <f t="shared" si="809"/>
        <v>0</v>
      </c>
      <c r="AY209" s="499">
        <f t="shared" si="809"/>
        <v>0</v>
      </c>
      <c r="AZ209" s="138">
        <f t="shared" si="809"/>
        <v>0</v>
      </c>
      <c r="BA209" s="138">
        <f t="shared" si="809"/>
        <v>0</v>
      </c>
      <c r="BB209" s="138">
        <f t="shared" si="809"/>
        <v>0</v>
      </c>
      <c r="BC209" s="138">
        <f t="shared" si="809"/>
        <v>0</v>
      </c>
      <c r="BD209" s="138">
        <f t="shared" si="809"/>
        <v>0</v>
      </c>
      <c r="BE209" s="139">
        <f t="shared" si="809"/>
        <v>0</v>
      </c>
      <c r="BF209" s="162">
        <f t="shared" si="711"/>
        <v>0</v>
      </c>
      <c r="BG209" s="137">
        <f t="shared" ref="BG209:BR209" si="810">+BG185+BG189+BG193+BG197+BG201+BG205</f>
        <v>0</v>
      </c>
      <c r="BH209" s="141">
        <f t="shared" si="810"/>
        <v>0</v>
      </c>
      <c r="BI209" s="138">
        <f t="shared" si="810"/>
        <v>0</v>
      </c>
      <c r="BJ209" s="138">
        <f t="shared" si="810"/>
        <v>0</v>
      </c>
      <c r="BK209" s="138">
        <f t="shared" si="810"/>
        <v>0</v>
      </c>
      <c r="BL209" s="138">
        <f t="shared" si="810"/>
        <v>0</v>
      </c>
      <c r="BM209" s="138">
        <f t="shared" si="810"/>
        <v>0</v>
      </c>
      <c r="BN209" s="138">
        <f t="shared" si="810"/>
        <v>0</v>
      </c>
      <c r="BO209" s="138">
        <f t="shared" si="810"/>
        <v>0</v>
      </c>
      <c r="BP209" s="138">
        <f t="shared" si="810"/>
        <v>0</v>
      </c>
      <c r="BQ209" s="138">
        <f t="shared" si="810"/>
        <v>0</v>
      </c>
      <c r="BR209" s="139">
        <f t="shared" si="810"/>
        <v>0</v>
      </c>
      <c r="BS209" s="162">
        <f>SUM(BG209:BR209)</f>
        <v>0</v>
      </c>
      <c r="BT209" s="137">
        <f t="shared" ref="BT209:CE209" si="811">+BT185+BT189+BT193+BT197+BT201+BT205</f>
        <v>0</v>
      </c>
      <c r="BU209" s="141">
        <f>+BU185+BU188+BU193+BU197+BU201+BU205</f>
        <v>0</v>
      </c>
      <c r="BV209" s="138">
        <f t="shared" si="811"/>
        <v>0</v>
      </c>
      <c r="BW209" s="138">
        <f t="shared" si="811"/>
        <v>0</v>
      </c>
      <c r="BX209" s="138">
        <f t="shared" si="811"/>
        <v>0</v>
      </c>
      <c r="BY209" s="138">
        <f t="shared" si="811"/>
        <v>0</v>
      </c>
      <c r="BZ209" s="138">
        <f t="shared" si="811"/>
        <v>0</v>
      </c>
      <c r="CA209" s="138">
        <f t="shared" si="811"/>
        <v>0</v>
      </c>
      <c r="CB209" s="138">
        <f t="shared" si="811"/>
        <v>0</v>
      </c>
      <c r="CC209" s="138">
        <f t="shared" si="811"/>
        <v>0</v>
      </c>
      <c r="CD209" s="138">
        <f t="shared" si="811"/>
        <v>0</v>
      </c>
      <c r="CE209" s="139">
        <f t="shared" si="811"/>
        <v>0</v>
      </c>
      <c r="CF209" s="162">
        <f>SUM(BT209:CE209)</f>
        <v>0</v>
      </c>
      <c r="CG209" s="137">
        <f t="shared" ref="CG209:CR209" si="812">+CG185+CG189+CG193+CG197+CG201+CG205</f>
        <v>0</v>
      </c>
      <c r="CH209" s="141">
        <f t="shared" si="812"/>
        <v>0</v>
      </c>
      <c r="CI209" s="138">
        <f t="shared" si="812"/>
        <v>0</v>
      </c>
      <c r="CJ209" s="138">
        <f t="shared" si="812"/>
        <v>0</v>
      </c>
      <c r="CK209" s="138">
        <f t="shared" si="812"/>
        <v>0</v>
      </c>
      <c r="CL209" s="138">
        <f t="shared" si="812"/>
        <v>0</v>
      </c>
      <c r="CM209" s="138">
        <f t="shared" si="812"/>
        <v>0</v>
      </c>
      <c r="CN209" s="138">
        <f t="shared" si="812"/>
        <v>0</v>
      </c>
      <c r="CO209" s="138">
        <f t="shared" si="812"/>
        <v>0</v>
      </c>
      <c r="CP209" s="138">
        <f t="shared" si="812"/>
        <v>0</v>
      </c>
      <c r="CQ209" s="138">
        <f t="shared" si="812"/>
        <v>0</v>
      </c>
      <c r="CR209" s="139">
        <f t="shared" si="812"/>
        <v>0</v>
      </c>
      <c r="CS209" s="162">
        <f>SUM(CG209:CR209)</f>
        <v>0</v>
      </c>
      <c r="CT209" s="137">
        <f t="shared" ref="CT209:DE209" si="813">+CT185+CT189+CT193+CT197+CT201+CT205</f>
        <v>0</v>
      </c>
      <c r="CU209" s="141">
        <f t="shared" si="813"/>
        <v>0</v>
      </c>
      <c r="CV209" s="138">
        <f t="shared" si="813"/>
        <v>0</v>
      </c>
      <c r="CW209" s="138">
        <f t="shared" si="813"/>
        <v>0</v>
      </c>
      <c r="CX209" s="138">
        <f t="shared" si="813"/>
        <v>0</v>
      </c>
      <c r="CY209" s="138">
        <f t="shared" si="813"/>
        <v>0</v>
      </c>
      <c r="CZ209" s="138">
        <f t="shared" si="813"/>
        <v>0</v>
      </c>
      <c r="DA209" s="138">
        <f t="shared" si="813"/>
        <v>0</v>
      </c>
      <c r="DB209" s="138">
        <f t="shared" si="813"/>
        <v>0</v>
      </c>
      <c r="DC209" s="138">
        <f t="shared" si="813"/>
        <v>0</v>
      </c>
      <c r="DD209" s="138">
        <f t="shared" si="813"/>
        <v>0</v>
      </c>
      <c r="DE209" s="139">
        <f t="shared" si="813"/>
        <v>0</v>
      </c>
      <c r="DF209" s="162">
        <f>SUM(CT209:DE209)</f>
        <v>0</v>
      </c>
      <c r="DG209" s="279">
        <f>+DG185+DG189+DG193+DG197</f>
        <v>0</v>
      </c>
      <c r="DH209" s="90">
        <f t="shared" ref="DH209:DH248" si="814">+F209+S209+AF209+AS209+BF209+BS209+DG209</f>
        <v>898.80219872869839</v>
      </c>
      <c r="DI209" s="91">
        <f t="shared" si="736"/>
        <v>898.80219872869839</v>
      </c>
      <c r="DJ209" s="92">
        <f t="shared" si="737"/>
        <v>0</v>
      </c>
      <c r="DK209" s="64">
        <f>+DH209/DH207</f>
        <v>6.834597593701263E-3</v>
      </c>
    </row>
    <row r="210" spans="1:115" ht="15" customHeight="1">
      <c r="A210" s="603"/>
      <c r="B210" s="586"/>
      <c r="C210" s="617" t="s">
        <v>11</v>
      </c>
      <c r="D210" s="618"/>
      <c r="E210" s="169">
        <f>+E207-E208-E209</f>
        <v>82792.980251170055</v>
      </c>
      <c r="F210" s="170">
        <f t="shared" ref="F210:R210" si="815">+F207-F208-F209</f>
        <v>0</v>
      </c>
      <c r="G210" s="171">
        <f t="shared" si="815"/>
        <v>0</v>
      </c>
      <c r="H210" s="171">
        <f t="shared" si="815"/>
        <v>0</v>
      </c>
      <c r="I210" s="171">
        <f t="shared" si="815"/>
        <v>0</v>
      </c>
      <c r="J210" s="171">
        <f t="shared" si="815"/>
        <v>0</v>
      </c>
      <c r="K210" s="171">
        <f t="shared" si="815"/>
        <v>0</v>
      </c>
      <c r="L210" s="171">
        <f t="shared" si="815"/>
        <v>0</v>
      </c>
      <c r="M210" s="171">
        <f t="shared" si="815"/>
        <v>0</v>
      </c>
      <c r="N210" s="171">
        <f t="shared" si="815"/>
        <v>0</v>
      </c>
      <c r="O210" s="171">
        <f t="shared" si="815"/>
        <v>0</v>
      </c>
      <c r="P210" s="171">
        <f t="shared" si="815"/>
        <v>0</v>
      </c>
      <c r="Q210" s="171">
        <f t="shared" si="815"/>
        <v>-498.54590776900704</v>
      </c>
      <c r="R210" s="172">
        <f t="shared" si="815"/>
        <v>0</v>
      </c>
      <c r="S210" s="173">
        <f t="shared" si="709"/>
        <v>-498.54590776900704</v>
      </c>
      <c r="T210" s="174">
        <f t="shared" ref="T210:AE210" si="816">+T207-T208-T209</f>
        <v>0</v>
      </c>
      <c r="U210" s="171">
        <f t="shared" si="816"/>
        <v>-3.1480000000000001</v>
      </c>
      <c r="V210" s="171">
        <f t="shared" si="816"/>
        <v>0</v>
      </c>
      <c r="W210" s="171">
        <f t="shared" si="816"/>
        <v>-21.53</v>
      </c>
      <c r="X210" s="171">
        <f t="shared" si="816"/>
        <v>-9.2880000000000003</v>
      </c>
      <c r="Y210" s="171">
        <f t="shared" si="816"/>
        <v>-3635.1251051004638</v>
      </c>
      <c r="Z210" s="171">
        <f t="shared" si="816"/>
        <v>-8.0410000000000004</v>
      </c>
      <c r="AA210" s="171">
        <f t="shared" si="816"/>
        <v>-112.858672484517</v>
      </c>
      <c r="AB210" s="171">
        <f t="shared" si="816"/>
        <v>-8.1238068158739178</v>
      </c>
      <c r="AC210" s="171">
        <f t="shared" si="816"/>
        <v>0</v>
      </c>
      <c r="AD210" s="171">
        <f t="shared" si="816"/>
        <v>0</v>
      </c>
      <c r="AE210" s="172">
        <f t="shared" si="816"/>
        <v>0</v>
      </c>
      <c r="AF210" s="173">
        <f t="shared" si="710"/>
        <v>-3798.1145844008547</v>
      </c>
      <c r="AG210" s="490">
        <f>AG186+AG190+AG198+AG194</f>
        <v>-136.15241634132738</v>
      </c>
      <c r="AH210" s="171">
        <f t="shared" ref="AH210:AR210" si="817">+AH207-AH208-AH209</f>
        <v>-35.078161253672867</v>
      </c>
      <c r="AI210" s="171">
        <f t="shared" si="817"/>
        <v>-24.701050326261086</v>
      </c>
      <c r="AJ210" s="171">
        <f t="shared" si="817"/>
        <v>-280.47359070464768</v>
      </c>
      <c r="AK210" s="171">
        <f t="shared" si="817"/>
        <v>-4056.0181706707667</v>
      </c>
      <c r="AL210" s="171">
        <f t="shared" si="817"/>
        <v>-10117.111206095458</v>
      </c>
      <c r="AM210" s="171">
        <f t="shared" si="817"/>
        <v>-5460.3992914741657</v>
      </c>
      <c r="AN210" s="171">
        <f t="shared" si="817"/>
        <v>0</v>
      </c>
      <c r="AO210" s="171">
        <f t="shared" si="817"/>
        <v>-96.374839436513057</v>
      </c>
      <c r="AP210" s="171">
        <f t="shared" si="817"/>
        <v>-11.294822594746645</v>
      </c>
      <c r="AQ210" s="171">
        <f t="shared" si="817"/>
        <v>0</v>
      </c>
      <c r="AR210" s="172">
        <f t="shared" si="817"/>
        <v>-53788.755707762553</v>
      </c>
      <c r="AS210" s="411">
        <f t="shared" si="726"/>
        <v>-74006.359256660115</v>
      </c>
      <c r="AT210" s="174">
        <f t="shared" ref="AT210:BE210" si="818">+AT207-AT208-AT209</f>
        <v>0</v>
      </c>
      <c r="AU210" s="171">
        <f t="shared" si="818"/>
        <v>0</v>
      </c>
      <c r="AV210" s="171">
        <f t="shared" si="818"/>
        <v>0</v>
      </c>
      <c r="AW210" s="171">
        <f t="shared" si="818"/>
        <v>0</v>
      </c>
      <c r="AX210" s="171">
        <f t="shared" si="818"/>
        <v>0</v>
      </c>
      <c r="AY210" s="171">
        <f t="shared" si="818"/>
        <v>0</v>
      </c>
      <c r="AZ210" s="171">
        <f t="shared" si="818"/>
        <v>-19083</v>
      </c>
      <c r="BA210" s="171">
        <f t="shared" si="818"/>
        <v>0</v>
      </c>
      <c r="BB210" s="171">
        <f t="shared" si="818"/>
        <v>-8875</v>
      </c>
      <c r="BC210" s="171">
        <f t="shared" si="818"/>
        <v>-510</v>
      </c>
      <c r="BD210" s="171">
        <f t="shared" si="818"/>
        <v>0</v>
      </c>
      <c r="BE210" s="172">
        <f t="shared" si="818"/>
        <v>0</v>
      </c>
      <c r="BF210" s="173">
        <f t="shared" si="711"/>
        <v>-28468</v>
      </c>
      <c r="BG210" s="174">
        <f t="shared" ref="BG210:BR210" si="819">+BG207-BG208-BG209</f>
        <v>0</v>
      </c>
      <c r="BH210" s="171">
        <f t="shared" si="819"/>
        <v>-2712</v>
      </c>
      <c r="BI210" s="171">
        <f t="shared" si="819"/>
        <v>0</v>
      </c>
      <c r="BJ210" s="171">
        <f t="shared" si="819"/>
        <v>0</v>
      </c>
      <c r="BK210" s="171">
        <f t="shared" si="819"/>
        <v>0</v>
      </c>
      <c r="BL210" s="171">
        <f t="shared" si="819"/>
        <v>0</v>
      </c>
      <c r="BM210" s="171">
        <f t="shared" si="819"/>
        <v>-55090</v>
      </c>
      <c r="BN210" s="171">
        <f t="shared" si="819"/>
        <v>0</v>
      </c>
      <c r="BO210" s="171">
        <f t="shared" si="819"/>
        <v>-7458</v>
      </c>
      <c r="BP210" s="171">
        <f t="shared" si="819"/>
        <v>0</v>
      </c>
      <c r="BQ210" s="171">
        <f t="shared" si="819"/>
        <v>0</v>
      </c>
      <c r="BR210" s="172">
        <f t="shared" si="819"/>
        <v>0</v>
      </c>
      <c r="BS210" s="173">
        <f>SUM(BG210:BR210)</f>
        <v>-65260</v>
      </c>
      <c r="BT210" s="174">
        <f t="shared" ref="BT210:CE210" si="820">+BT207-BT208-BT209</f>
        <v>0</v>
      </c>
      <c r="BU210" s="171">
        <f t="shared" si="820"/>
        <v>0</v>
      </c>
      <c r="BV210" s="171">
        <f t="shared" si="820"/>
        <v>0</v>
      </c>
      <c r="BW210" s="171">
        <f t="shared" si="820"/>
        <v>0</v>
      </c>
      <c r="BX210" s="171">
        <f t="shared" si="820"/>
        <v>0</v>
      </c>
      <c r="BY210" s="171">
        <f t="shared" si="820"/>
        <v>-6780</v>
      </c>
      <c r="BZ210" s="171">
        <f t="shared" si="820"/>
        <v>27958</v>
      </c>
      <c r="CA210" s="171">
        <f t="shared" si="820"/>
        <v>0</v>
      </c>
      <c r="CB210" s="171">
        <f t="shared" si="820"/>
        <v>0</v>
      </c>
      <c r="CC210" s="171">
        <f t="shared" si="820"/>
        <v>0</v>
      </c>
      <c r="CD210" s="171">
        <f t="shared" si="820"/>
        <v>0</v>
      </c>
      <c r="CE210" s="172">
        <f t="shared" si="820"/>
        <v>0</v>
      </c>
      <c r="CF210" s="173">
        <f>SUM(BT210:CE210)</f>
        <v>21178</v>
      </c>
      <c r="CG210" s="174">
        <f t="shared" ref="CG210:CR210" si="821">+CG207-CG208-CG209</f>
        <v>0</v>
      </c>
      <c r="CH210" s="171">
        <f t="shared" si="821"/>
        <v>-6780</v>
      </c>
      <c r="CI210" s="171">
        <f t="shared" si="821"/>
        <v>0</v>
      </c>
      <c r="CJ210" s="171">
        <f t="shared" si="821"/>
        <v>0</v>
      </c>
      <c r="CK210" s="171">
        <f t="shared" si="821"/>
        <v>0</v>
      </c>
      <c r="CL210" s="171">
        <f t="shared" si="821"/>
        <v>-10170</v>
      </c>
      <c r="CM210" s="171">
        <f t="shared" si="821"/>
        <v>0</v>
      </c>
      <c r="CN210" s="171">
        <f t="shared" si="821"/>
        <v>0</v>
      </c>
      <c r="CO210" s="171">
        <f t="shared" si="821"/>
        <v>0</v>
      </c>
      <c r="CP210" s="171">
        <f t="shared" si="821"/>
        <v>-6600</v>
      </c>
      <c r="CQ210" s="171">
        <f t="shared" si="821"/>
        <v>0</v>
      </c>
      <c r="CR210" s="172">
        <f t="shared" si="821"/>
        <v>0</v>
      </c>
      <c r="CS210" s="173">
        <f>SUM(CG210:CR210)</f>
        <v>-23550</v>
      </c>
      <c r="CT210" s="174">
        <f t="shared" ref="CT210:DE210" si="822">+CT207-CT208-CT209</f>
        <v>0</v>
      </c>
      <c r="CU210" s="171">
        <f t="shared" si="822"/>
        <v>0</v>
      </c>
      <c r="CV210" s="171">
        <f t="shared" si="822"/>
        <v>0</v>
      </c>
      <c r="CW210" s="171">
        <f t="shared" si="822"/>
        <v>64200</v>
      </c>
      <c r="CX210" s="171">
        <f t="shared" si="822"/>
        <v>0</v>
      </c>
      <c r="CY210" s="171">
        <f t="shared" si="822"/>
        <v>0</v>
      </c>
      <c r="CZ210" s="171">
        <f t="shared" si="822"/>
        <v>0</v>
      </c>
      <c r="DA210" s="171">
        <f t="shared" si="822"/>
        <v>0</v>
      </c>
      <c r="DB210" s="171">
        <f t="shared" si="822"/>
        <v>0</v>
      </c>
      <c r="DC210" s="171">
        <f t="shared" si="822"/>
        <v>0</v>
      </c>
      <c r="DD210" s="171">
        <f t="shared" si="822"/>
        <v>0</v>
      </c>
      <c r="DE210" s="172">
        <f t="shared" si="822"/>
        <v>0</v>
      </c>
      <c r="DF210" s="173">
        <f>SUM(CT210:DE210)</f>
        <v>64200</v>
      </c>
      <c r="DG210" s="172">
        <f>+DG207-DG208-DG209</f>
        <v>127496</v>
      </c>
      <c r="DH210" s="149">
        <f t="shared" si="814"/>
        <v>-44535.019748829975</v>
      </c>
      <c r="DI210" s="150">
        <f t="shared" si="736"/>
        <v>82792.980251170055</v>
      </c>
      <c r="DJ210" s="151">
        <f t="shared" si="737"/>
        <v>127328.00000000003</v>
      </c>
    </row>
    <row r="211" spans="1:115" ht="6" customHeight="1">
      <c r="A211" s="185"/>
      <c r="B211" s="186"/>
      <c r="C211" s="54"/>
      <c r="D211" s="54"/>
      <c r="E211" s="187"/>
      <c r="F211" s="187"/>
      <c r="G211" s="188"/>
      <c r="H211" s="188"/>
      <c r="I211" s="188"/>
      <c r="J211" s="188"/>
      <c r="K211" s="188"/>
      <c r="L211" s="188"/>
      <c r="M211" s="188"/>
      <c r="N211" s="188"/>
      <c r="O211" s="188"/>
      <c r="P211" s="188"/>
      <c r="Q211" s="188"/>
      <c r="R211" s="188"/>
      <c r="S211" s="187"/>
      <c r="T211" s="188"/>
      <c r="U211" s="188"/>
      <c r="V211" s="188"/>
      <c r="W211" s="188"/>
      <c r="X211" s="188"/>
      <c r="Y211" s="188"/>
      <c r="Z211" s="188"/>
      <c r="AA211" s="188"/>
      <c r="AB211" s="188"/>
      <c r="AC211" s="188"/>
      <c r="AD211" s="188"/>
      <c r="AE211" s="188"/>
      <c r="AF211" s="187"/>
      <c r="AG211" s="188"/>
      <c r="AH211" s="188"/>
      <c r="AI211" s="188"/>
      <c r="AJ211" s="188"/>
      <c r="AK211" s="188"/>
      <c r="AL211" s="188"/>
      <c r="AM211" s="188"/>
      <c r="AN211" s="188"/>
      <c r="AO211" s="188"/>
      <c r="AP211" s="188"/>
      <c r="AQ211" s="188"/>
      <c r="AR211" s="188"/>
      <c r="AS211" s="415"/>
      <c r="AT211" s="188"/>
      <c r="AU211" s="188"/>
      <c r="AV211" s="188"/>
      <c r="AW211" s="188"/>
      <c r="AX211" s="188"/>
      <c r="AY211" s="188"/>
      <c r="AZ211" s="188"/>
      <c r="BA211" s="188"/>
      <c r="BB211" s="188"/>
      <c r="BC211" s="188"/>
      <c r="BD211" s="188"/>
      <c r="BE211" s="188"/>
      <c r="BF211" s="187"/>
      <c r="BG211" s="188"/>
      <c r="BH211" s="188"/>
      <c r="BI211" s="188"/>
      <c r="BJ211" s="188"/>
      <c r="BK211" s="188"/>
      <c r="BL211" s="188"/>
      <c r="BM211" s="188"/>
      <c r="BN211" s="188"/>
      <c r="BO211" s="188"/>
      <c r="BP211" s="188"/>
      <c r="BQ211" s="188"/>
      <c r="BR211" s="188"/>
      <c r="BS211" s="187"/>
      <c r="BT211" s="188"/>
      <c r="BU211" s="188"/>
      <c r="BV211" s="188"/>
      <c r="BW211" s="188"/>
      <c r="BX211" s="188"/>
      <c r="BY211" s="188"/>
      <c r="BZ211" s="188"/>
      <c r="CA211" s="188"/>
      <c r="CB211" s="188"/>
      <c r="CC211" s="188"/>
      <c r="CD211" s="188"/>
      <c r="CE211" s="188"/>
      <c r="CF211" s="187"/>
      <c r="CG211" s="188"/>
      <c r="CH211" s="188"/>
      <c r="CI211" s="188"/>
      <c r="CJ211" s="188"/>
      <c r="CK211" s="188"/>
      <c r="CL211" s="188"/>
      <c r="CM211" s="188"/>
      <c r="CN211" s="188"/>
      <c r="CO211" s="188"/>
      <c r="CP211" s="188"/>
      <c r="CQ211" s="188"/>
      <c r="CR211" s="188"/>
      <c r="CS211" s="187"/>
      <c r="CT211" s="188"/>
      <c r="CU211" s="188"/>
      <c r="CV211" s="188"/>
      <c r="CW211" s="188"/>
      <c r="CX211" s="188"/>
      <c r="CY211" s="188"/>
      <c r="CZ211" s="188"/>
      <c r="DA211" s="188"/>
      <c r="DB211" s="188"/>
      <c r="DC211" s="188"/>
      <c r="DD211" s="188"/>
      <c r="DE211" s="188"/>
      <c r="DF211" s="187"/>
      <c r="DG211" s="188"/>
      <c r="DH211" s="189"/>
      <c r="DI211" s="189"/>
      <c r="DJ211" s="189"/>
    </row>
    <row r="212" spans="1:115" ht="15" customHeight="1">
      <c r="A212" s="596" t="s">
        <v>81</v>
      </c>
      <c r="B212" s="597"/>
      <c r="C212" s="620" t="s">
        <v>63</v>
      </c>
      <c r="D212" s="621"/>
      <c r="E212" s="190">
        <f>+DH212</f>
        <v>21451.008957416783</v>
      </c>
      <c r="F212" s="190"/>
      <c r="G212" s="191">
        <v>727.2447773860705</v>
      </c>
      <c r="H212" s="192">
        <v>221.939154028838</v>
      </c>
      <c r="I212" s="193">
        <v>503.01350700171798</v>
      </c>
      <c r="J212" s="193">
        <v>145.3320091963902</v>
      </c>
      <c r="K212" s="193">
        <v>133.59888738197427</v>
      </c>
      <c r="L212" s="193">
        <v>121.05316383842703</v>
      </c>
      <c r="M212" s="193">
        <v>220</v>
      </c>
      <c r="N212" s="193">
        <v>107.12352298994975</v>
      </c>
      <c r="O212" s="193">
        <v>184.44930804979253</v>
      </c>
      <c r="P212" s="193">
        <v>481.00799388592532</v>
      </c>
      <c r="Q212" s="193">
        <v>189.67637503115901</v>
      </c>
      <c r="R212" s="193">
        <v>339.14051779625783</v>
      </c>
      <c r="S212" s="190">
        <f>SUM(G212:R212)</f>
        <v>3373.5792165865028</v>
      </c>
      <c r="T212" s="191">
        <f>235.492675881989-T185-T197</f>
        <v>235.49267588198899</v>
      </c>
      <c r="U212" s="192">
        <f>245.108346156991-U185</f>
        <v>241.96034615699099</v>
      </c>
      <c r="V212" s="193">
        <v>351.90824622258327</v>
      </c>
      <c r="W212" s="193">
        <f>170.294275062632-W197</f>
        <v>148.76427506263201</v>
      </c>
      <c r="X212" s="193">
        <f>203.236948957755-X185-X197</f>
        <v>193.94894895775499</v>
      </c>
      <c r="Y212" s="193">
        <f>169.089991836088-Y185-Y197</f>
        <v>151.12099183608797</v>
      </c>
      <c r="Z212" s="193">
        <f>124-Z185-Z197</f>
        <v>115.95899999999999</v>
      </c>
      <c r="AA212" s="193">
        <v>84</v>
      </c>
      <c r="AB212" s="193">
        <f>68.4995293472521-1</f>
        <v>67.499529347252107</v>
      </c>
      <c r="AC212" s="193">
        <v>332.25007497330853</v>
      </c>
      <c r="AD212" s="193">
        <v>1267.1469321713068</v>
      </c>
      <c r="AE212" s="194">
        <v>377.032571064097</v>
      </c>
      <c r="AF212" s="190">
        <f>SUM(T212:AE212)</f>
        <v>3567.0835916740029</v>
      </c>
      <c r="AG212" s="191">
        <v>426.39878969803203</v>
      </c>
      <c r="AH212" s="192">
        <v>418.26323345739468</v>
      </c>
      <c r="AI212" s="193">
        <v>181.27703246981596</v>
      </c>
      <c r="AJ212" s="193">
        <v>174.95490327913001</v>
      </c>
      <c r="AK212" s="193">
        <v>163.11294533922728</v>
      </c>
      <c r="AL212" s="193">
        <v>287.04373049645392</v>
      </c>
      <c r="AM212" s="193">
        <v>215.189565308694</v>
      </c>
      <c r="AN212" s="193">
        <v>284.9183563392553</v>
      </c>
      <c r="AO212" s="193">
        <v>358.30033017760439</v>
      </c>
      <c r="AP212" s="193">
        <v>311.287808073897</v>
      </c>
      <c r="AQ212" s="193">
        <v>476.21013189103166</v>
      </c>
      <c r="AR212" s="194">
        <v>345.97811864535765</v>
      </c>
      <c r="AS212" s="416">
        <f>SUM(AG212:AR212)</f>
        <v>3642.9349451758935</v>
      </c>
      <c r="AT212" s="192">
        <v>502</v>
      </c>
      <c r="AU212" s="192">
        <v>971.82965730164801</v>
      </c>
      <c r="AV212" s="193">
        <v>574.25801179549399</v>
      </c>
      <c r="AW212" s="193">
        <v>377.06471539132747</v>
      </c>
      <c r="AX212" s="193">
        <v>220.35314974358974</v>
      </c>
      <c r="AY212" s="193">
        <v>291.88736582398781</v>
      </c>
      <c r="AZ212" s="193">
        <v>222.01013041069973</v>
      </c>
      <c r="BA212" s="193">
        <v>293.94901819026393</v>
      </c>
      <c r="BB212" s="193">
        <v>369.65687864472363</v>
      </c>
      <c r="BC212" s="193">
        <v>321.15426585210281</v>
      </c>
      <c r="BD212" s="193">
        <v>491.30390375742383</v>
      </c>
      <c r="BE212" s="194">
        <v>356.94410706912248</v>
      </c>
      <c r="BF212" s="190">
        <f>SUM(AT212:BE212)</f>
        <v>4992.4112039803831</v>
      </c>
      <c r="BG212" s="191">
        <f>5875/12</f>
        <v>489.58333333333331</v>
      </c>
      <c r="BH212" s="192">
        <f t="shared" ref="BH212:BR212" si="823">5875/12</f>
        <v>489.58333333333331</v>
      </c>
      <c r="BI212" s="193">
        <f t="shared" si="823"/>
        <v>489.58333333333331</v>
      </c>
      <c r="BJ212" s="193">
        <f t="shared" si="823"/>
        <v>489.58333333333331</v>
      </c>
      <c r="BK212" s="193">
        <f t="shared" si="823"/>
        <v>489.58333333333331</v>
      </c>
      <c r="BL212" s="193">
        <f t="shared" si="823"/>
        <v>489.58333333333331</v>
      </c>
      <c r="BM212" s="193">
        <f t="shared" si="823"/>
        <v>489.58333333333331</v>
      </c>
      <c r="BN212" s="193">
        <f t="shared" si="823"/>
        <v>489.58333333333331</v>
      </c>
      <c r="BO212" s="193">
        <f t="shared" si="823"/>
        <v>489.58333333333331</v>
      </c>
      <c r="BP212" s="193">
        <f t="shared" si="823"/>
        <v>489.58333333333331</v>
      </c>
      <c r="BQ212" s="193">
        <f t="shared" si="823"/>
        <v>489.58333333333331</v>
      </c>
      <c r="BR212" s="194">
        <f t="shared" si="823"/>
        <v>489.58333333333331</v>
      </c>
      <c r="BS212" s="190">
        <f>SUM(BG212:BR212)</f>
        <v>5874.9999999999991</v>
      </c>
      <c r="BT212" s="191">
        <f>6853/12</f>
        <v>571.08333333333337</v>
      </c>
      <c r="BU212" s="192">
        <f t="shared" ref="BU212:CE212" si="824">6853/12</f>
        <v>571.08333333333337</v>
      </c>
      <c r="BV212" s="193">
        <f t="shared" si="824"/>
        <v>571.08333333333337</v>
      </c>
      <c r="BW212" s="193">
        <f t="shared" si="824"/>
        <v>571.08333333333337</v>
      </c>
      <c r="BX212" s="193">
        <f t="shared" si="824"/>
        <v>571.08333333333337</v>
      </c>
      <c r="BY212" s="193">
        <f t="shared" si="824"/>
        <v>571.08333333333337</v>
      </c>
      <c r="BZ212" s="193">
        <f t="shared" si="824"/>
        <v>571.08333333333337</v>
      </c>
      <c r="CA212" s="193">
        <f t="shared" si="824"/>
        <v>571.08333333333337</v>
      </c>
      <c r="CB212" s="193">
        <f t="shared" si="824"/>
        <v>571.08333333333337</v>
      </c>
      <c r="CC212" s="193">
        <f t="shared" si="824"/>
        <v>571.08333333333337</v>
      </c>
      <c r="CD212" s="193">
        <f t="shared" si="824"/>
        <v>571.08333333333337</v>
      </c>
      <c r="CE212" s="194">
        <f t="shared" si="824"/>
        <v>571.08333333333337</v>
      </c>
      <c r="CF212" s="190">
        <f>SUM(BT212:CE212)</f>
        <v>6852.9999999999991</v>
      </c>
      <c r="CG212" s="191">
        <f>6853/12</f>
        <v>571.08333333333337</v>
      </c>
      <c r="CH212" s="192">
        <f t="shared" ref="CH212:CR212" si="825">6853/12</f>
        <v>571.08333333333337</v>
      </c>
      <c r="CI212" s="193">
        <f t="shared" si="825"/>
        <v>571.08333333333337</v>
      </c>
      <c r="CJ212" s="193">
        <f t="shared" si="825"/>
        <v>571.08333333333337</v>
      </c>
      <c r="CK212" s="193">
        <f t="shared" si="825"/>
        <v>571.08333333333337</v>
      </c>
      <c r="CL212" s="193">
        <f t="shared" si="825"/>
        <v>571.08333333333337</v>
      </c>
      <c r="CM212" s="193">
        <f t="shared" si="825"/>
        <v>571.08333333333337</v>
      </c>
      <c r="CN212" s="193">
        <f t="shared" si="825"/>
        <v>571.08333333333337</v>
      </c>
      <c r="CO212" s="193">
        <f t="shared" si="825"/>
        <v>571.08333333333337</v>
      </c>
      <c r="CP212" s="193">
        <f t="shared" si="825"/>
        <v>571.08333333333337</v>
      </c>
      <c r="CQ212" s="193">
        <f t="shared" si="825"/>
        <v>571.08333333333337</v>
      </c>
      <c r="CR212" s="194">
        <f t="shared" si="825"/>
        <v>571.08333333333337</v>
      </c>
      <c r="CS212" s="190">
        <f>SUM(CG212:CR212)</f>
        <v>6852.9999999999991</v>
      </c>
      <c r="CT212" s="191">
        <f>7196/12</f>
        <v>599.66666666666663</v>
      </c>
      <c r="CU212" s="192">
        <f t="shared" ref="CU212:DE212" si="826">7196/12</f>
        <v>599.66666666666663</v>
      </c>
      <c r="CV212" s="193">
        <f t="shared" si="826"/>
        <v>599.66666666666663</v>
      </c>
      <c r="CW212" s="193">
        <f t="shared" si="826"/>
        <v>599.66666666666663</v>
      </c>
      <c r="CX212" s="193">
        <f t="shared" si="826"/>
        <v>599.66666666666663</v>
      </c>
      <c r="CY212" s="193">
        <f t="shared" si="826"/>
        <v>599.66666666666663</v>
      </c>
      <c r="CZ212" s="193">
        <f t="shared" si="826"/>
        <v>599.66666666666663</v>
      </c>
      <c r="DA212" s="193">
        <f t="shared" si="826"/>
        <v>599.66666666666663</v>
      </c>
      <c r="DB212" s="193">
        <f t="shared" si="826"/>
        <v>599.66666666666663</v>
      </c>
      <c r="DC212" s="193">
        <f t="shared" si="826"/>
        <v>599.66666666666663</v>
      </c>
      <c r="DD212" s="193">
        <f t="shared" si="826"/>
        <v>599.66666666666663</v>
      </c>
      <c r="DE212" s="194">
        <f t="shared" si="826"/>
        <v>599.66666666666663</v>
      </c>
      <c r="DF212" s="190">
        <f>SUM(CT212:DE212)</f>
        <v>7196.0000000000009</v>
      </c>
      <c r="DG212" s="195"/>
      <c r="DH212" s="196">
        <f t="shared" si="814"/>
        <v>21451.008957416783</v>
      </c>
      <c r="DI212" s="197">
        <f>+E212</f>
        <v>21451.008957416783</v>
      </c>
      <c r="DJ212" s="198">
        <f>+DI212-DH212</f>
        <v>0</v>
      </c>
    </row>
    <row r="213" spans="1:115" ht="6" customHeight="1">
      <c r="A213" s="185"/>
      <c r="B213" s="186"/>
      <c r="C213" s="54"/>
      <c r="D213" s="54"/>
      <c r="E213" s="187"/>
      <c r="F213" s="187"/>
      <c r="G213" s="188"/>
      <c r="H213" s="188"/>
      <c r="I213" s="188"/>
      <c r="J213" s="188"/>
      <c r="K213" s="188"/>
      <c r="L213" s="188"/>
      <c r="M213" s="188"/>
      <c r="N213" s="188"/>
      <c r="O213" s="188"/>
      <c r="P213" s="188"/>
      <c r="Q213" s="188"/>
      <c r="R213" s="188"/>
      <c r="S213" s="187"/>
      <c r="T213" s="188"/>
      <c r="U213" s="188"/>
      <c r="V213" s="188"/>
      <c r="W213" s="188"/>
      <c r="X213" s="188"/>
      <c r="Y213" s="188"/>
      <c r="Z213" s="188"/>
      <c r="AA213" s="188"/>
      <c r="AB213" s="188"/>
      <c r="AC213" s="188"/>
      <c r="AD213" s="188"/>
      <c r="AE213" s="188"/>
      <c r="AF213" s="187"/>
      <c r="AG213" s="188"/>
      <c r="AH213" s="188"/>
      <c r="AI213" s="188"/>
      <c r="AJ213" s="188"/>
      <c r="AK213" s="188"/>
      <c r="AL213" s="188"/>
      <c r="AM213" s="188"/>
      <c r="AN213" s="188"/>
      <c r="AO213" s="188"/>
      <c r="AP213" s="188"/>
      <c r="AQ213" s="188"/>
      <c r="AR213" s="188"/>
      <c r="AS213" s="415"/>
      <c r="AT213" s="188"/>
      <c r="AU213" s="188"/>
      <c r="AV213" s="188"/>
      <c r="AW213" s="188"/>
      <c r="AX213" s="188"/>
      <c r="AY213" s="188"/>
      <c r="AZ213" s="188"/>
      <c r="BA213" s="188"/>
      <c r="BB213" s="188"/>
      <c r="BC213" s="188"/>
      <c r="BD213" s="188"/>
      <c r="BE213" s="188"/>
      <c r="BF213" s="187"/>
      <c r="BG213" s="188"/>
      <c r="BH213" s="188"/>
      <c r="BI213" s="188"/>
      <c r="BJ213" s="188"/>
      <c r="BK213" s="188"/>
      <c r="BL213" s="188"/>
      <c r="BM213" s="188"/>
      <c r="BN213" s="188"/>
      <c r="BO213" s="188"/>
      <c r="BP213" s="188"/>
      <c r="BQ213" s="188"/>
      <c r="BR213" s="188"/>
      <c r="BS213" s="187"/>
      <c r="BT213" s="188"/>
      <c r="BU213" s="188"/>
      <c r="BV213" s="188"/>
      <c r="BW213" s="188"/>
      <c r="BX213" s="188"/>
      <c r="BY213" s="188"/>
      <c r="BZ213" s="188"/>
      <c r="CA213" s="188"/>
      <c r="CB213" s="188"/>
      <c r="CC213" s="188"/>
      <c r="CD213" s="188"/>
      <c r="CE213" s="188"/>
      <c r="CF213" s="187"/>
      <c r="CG213" s="188"/>
      <c r="CH213" s="188"/>
      <c r="CI213" s="188"/>
      <c r="CJ213" s="188"/>
      <c r="CK213" s="188"/>
      <c r="CL213" s="188"/>
      <c r="CM213" s="188"/>
      <c r="CN213" s="188"/>
      <c r="CO213" s="188"/>
      <c r="CP213" s="188"/>
      <c r="CQ213" s="188"/>
      <c r="CR213" s="188"/>
      <c r="CS213" s="187"/>
      <c r="CT213" s="188"/>
      <c r="CU213" s="188"/>
      <c r="CV213" s="188"/>
      <c r="CW213" s="188"/>
      <c r="CX213" s="188"/>
      <c r="CY213" s="188"/>
      <c r="CZ213" s="188"/>
      <c r="DA213" s="188"/>
      <c r="DB213" s="188"/>
      <c r="DC213" s="188"/>
      <c r="DD213" s="188"/>
      <c r="DE213" s="188"/>
      <c r="DF213" s="187"/>
      <c r="DG213" s="188"/>
      <c r="DH213" s="189"/>
      <c r="DI213" s="189"/>
      <c r="DJ213" s="189"/>
    </row>
    <row r="214" spans="1:115" ht="15" customHeight="1">
      <c r="A214" s="587" t="s">
        <v>115</v>
      </c>
      <c r="B214" s="588"/>
      <c r="C214" s="199" t="s">
        <v>62</v>
      </c>
      <c r="D214" s="237"/>
      <c r="E214" s="153">
        <f>AF214+AS214+BF214+BS214+CF214+CS214+DF214+S214+DG214</f>
        <v>1809431.4399162014</v>
      </c>
      <c r="F214" s="153">
        <f t="shared" ref="F214:R214" si="827">+F103+F179+F207</f>
        <v>4518.8</v>
      </c>
      <c r="G214" s="154">
        <f t="shared" si="827"/>
        <v>2410.7997037403265</v>
      </c>
      <c r="H214" s="155">
        <f t="shared" si="827"/>
        <v>2585.0402174300257</v>
      </c>
      <c r="I214" s="155">
        <f t="shared" si="827"/>
        <v>1643.8650660652925</v>
      </c>
      <c r="J214" s="155">
        <f t="shared" si="827"/>
        <v>1095.5899310270734</v>
      </c>
      <c r="K214" s="155">
        <f t="shared" si="827"/>
        <v>938.78216480686694</v>
      </c>
      <c r="L214" s="155">
        <f t="shared" si="827"/>
        <v>2572.7344891643515</v>
      </c>
      <c r="M214" s="155">
        <f t="shared" si="827"/>
        <v>1109.6345537773993</v>
      </c>
      <c r="N214" s="155">
        <f t="shared" si="827"/>
        <v>640.46318077889441</v>
      </c>
      <c r="O214" s="155">
        <f t="shared" si="827"/>
        <v>824.97447008298764</v>
      </c>
      <c r="P214" s="155">
        <f t="shared" si="827"/>
        <v>856.31660008206813</v>
      </c>
      <c r="Q214" s="155">
        <f t="shared" si="827"/>
        <v>25858.929654424592</v>
      </c>
      <c r="R214" s="156">
        <f t="shared" si="827"/>
        <v>2951.7028231185031</v>
      </c>
      <c r="S214" s="157">
        <f>SUM(G214:R214)</f>
        <v>43488.832854498381</v>
      </c>
      <c r="T214" s="383">
        <f t="shared" ref="T214:AE214" si="828">+T103+T179+T207</f>
        <v>2477.2539852692398</v>
      </c>
      <c r="U214" s="382">
        <f t="shared" si="828"/>
        <v>1158.4478215862637</v>
      </c>
      <c r="V214" s="382">
        <f t="shared" si="828"/>
        <v>607.71864951259136</v>
      </c>
      <c r="W214" s="382">
        <f t="shared" si="828"/>
        <v>727.13063275937486</v>
      </c>
      <c r="X214" s="382">
        <f t="shared" si="828"/>
        <v>647.41927986050564</v>
      </c>
      <c r="Y214" s="382">
        <f t="shared" si="828"/>
        <v>849.28849815717513</v>
      </c>
      <c r="Z214" s="382">
        <f t="shared" si="828"/>
        <v>1210.0057627814306</v>
      </c>
      <c r="AA214" s="382">
        <f t="shared" si="828"/>
        <v>1798.5851877664281</v>
      </c>
      <c r="AB214" s="382">
        <f t="shared" si="828"/>
        <v>765.5901729152281</v>
      </c>
      <c r="AC214" s="382">
        <f t="shared" si="828"/>
        <v>793.43747415872508</v>
      </c>
      <c r="AD214" s="382">
        <f t="shared" si="828"/>
        <v>4877.8477255698399</v>
      </c>
      <c r="AE214" s="485">
        <f t="shared" si="828"/>
        <v>32193.420957294813</v>
      </c>
      <c r="AF214" s="157">
        <f>SUM(T214:AE214)</f>
        <v>48106.146147631618</v>
      </c>
      <c r="AG214" s="498">
        <f t="shared" ref="AG214:AR214" si="829">+AG103+AG179+AG207</f>
        <v>5306.9557683451512</v>
      </c>
      <c r="AH214" s="513">
        <f t="shared" si="829"/>
        <v>1009.4704036434869</v>
      </c>
      <c r="AI214" s="513">
        <f t="shared" si="829"/>
        <v>1334.4751844645016</v>
      </c>
      <c r="AJ214" s="513">
        <f t="shared" si="829"/>
        <v>2825.3249903125361</v>
      </c>
      <c r="AK214" s="513">
        <f t="shared" si="829"/>
        <v>4332.9033734384011</v>
      </c>
      <c r="AL214" s="513">
        <f t="shared" si="829"/>
        <v>3324.7458981023528</v>
      </c>
      <c r="AM214" s="513">
        <f t="shared" si="829"/>
        <v>3758.7613432858616</v>
      </c>
      <c r="AN214" s="513">
        <f t="shared" si="829"/>
        <v>4322.3224102428121</v>
      </c>
      <c r="AO214" s="513">
        <f t="shared" si="829"/>
        <v>2198.6489151361384</v>
      </c>
      <c r="AP214" s="513">
        <f t="shared" si="829"/>
        <v>1668.3271846656787</v>
      </c>
      <c r="AQ214" s="513">
        <f t="shared" si="829"/>
        <v>3289.4399878376844</v>
      </c>
      <c r="AR214" s="512">
        <f t="shared" si="829"/>
        <v>16522.030641894977</v>
      </c>
      <c r="AS214" s="409">
        <f>SUM(AG214:AR214)</f>
        <v>49893.406101369583</v>
      </c>
      <c r="AT214" s="158">
        <f t="shared" ref="AT214:BE214" si="830">+AT103+AT179+AT207</f>
        <v>13475.459768014465</v>
      </c>
      <c r="AU214" s="155">
        <f t="shared" si="830"/>
        <v>8369.8133273668082</v>
      </c>
      <c r="AV214" s="155">
        <f t="shared" si="830"/>
        <v>4229.9637588181758</v>
      </c>
      <c r="AW214" s="155">
        <f t="shared" si="830"/>
        <v>4720.3815977465001</v>
      </c>
      <c r="AX214" s="155">
        <f t="shared" si="830"/>
        <v>65.990112820512806</v>
      </c>
      <c r="AY214" s="155">
        <f t="shared" si="830"/>
        <v>1989.0830464550479</v>
      </c>
      <c r="AZ214" s="155">
        <f t="shared" si="830"/>
        <v>139.4</v>
      </c>
      <c r="BA214" s="155">
        <f t="shared" si="830"/>
        <v>6836.1224825751242</v>
      </c>
      <c r="BB214" s="155">
        <f t="shared" si="830"/>
        <v>5849.0150998039389</v>
      </c>
      <c r="BC214" s="155">
        <f t="shared" si="830"/>
        <v>7607.8262977410504</v>
      </c>
      <c r="BD214" s="155">
        <f t="shared" si="830"/>
        <v>13118.017984146145</v>
      </c>
      <c r="BE214" s="156">
        <f t="shared" si="830"/>
        <v>16348.345789161944</v>
      </c>
      <c r="BF214" s="157">
        <f>SUM(AT214:BE214)</f>
        <v>82749.419264649725</v>
      </c>
      <c r="BG214" s="154">
        <f t="shared" ref="BG214:BR214" si="831">+BG103+BG179+BG207</f>
        <v>18238.899762122695</v>
      </c>
      <c r="BH214" s="155">
        <f t="shared" si="831"/>
        <v>14945.131272846142</v>
      </c>
      <c r="BI214" s="155">
        <f t="shared" si="831"/>
        <v>17865.55887609662</v>
      </c>
      <c r="BJ214" s="155">
        <f t="shared" si="831"/>
        <v>34173.9600572493</v>
      </c>
      <c r="BK214" s="155">
        <f t="shared" si="831"/>
        <v>24465.90823656262</v>
      </c>
      <c r="BL214" s="155">
        <f t="shared" si="831"/>
        <v>26813.16964436238</v>
      </c>
      <c r="BM214" s="155">
        <f t="shared" si="831"/>
        <v>104855.09550324635</v>
      </c>
      <c r="BN214" s="155">
        <f t="shared" si="831"/>
        <v>26265.412495018416</v>
      </c>
      <c r="BO214" s="155">
        <f t="shared" si="831"/>
        <v>26971.206053583443</v>
      </c>
      <c r="BP214" s="155">
        <f t="shared" si="831"/>
        <v>24163.004703739643</v>
      </c>
      <c r="BQ214" s="155">
        <f t="shared" si="831"/>
        <v>27861.258744695377</v>
      </c>
      <c r="BR214" s="156">
        <f t="shared" si="831"/>
        <v>31159.826179429019</v>
      </c>
      <c r="BS214" s="157">
        <f>SUM(BG214:BR214)</f>
        <v>377778.43152895203</v>
      </c>
      <c r="BT214" s="154">
        <f t="shared" ref="BT214:CE214" si="832">+BT103+BT179+BT207</f>
        <v>31631.132516655631</v>
      </c>
      <c r="BU214" s="155">
        <f t="shared" si="832"/>
        <v>30145.143450803331</v>
      </c>
      <c r="BV214" s="155">
        <f t="shared" si="832"/>
        <v>26573.408732981061</v>
      </c>
      <c r="BW214" s="155">
        <f t="shared" si="832"/>
        <v>27055.125352322797</v>
      </c>
      <c r="BX214" s="155">
        <f t="shared" si="832"/>
        <v>26237.678964371931</v>
      </c>
      <c r="BY214" s="155">
        <f t="shared" si="832"/>
        <v>26688.214642432707</v>
      </c>
      <c r="BZ214" s="155">
        <f t="shared" si="832"/>
        <v>55855.091393815281</v>
      </c>
      <c r="CA214" s="155">
        <f t="shared" si="832"/>
        <v>27883.311430624875</v>
      </c>
      <c r="CB214" s="155">
        <f t="shared" si="832"/>
        <v>26469.331188709148</v>
      </c>
      <c r="CC214" s="155">
        <f t="shared" si="832"/>
        <v>27200.718804363347</v>
      </c>
      <c r="CD214" s="155">
        <f t="shared" si="832"/>
        <v>27726.414859072534</v>
      </c>
      <c r="CE214" s="156">
        <f t="shared" si="832"/>
        <v>28474.719225825396</v>
      </c>
      <c r="CF214" s="157">
        <f>SUM(BT214:CE214)</f>
        <v>361940.29056197801</v>
      </c>
      <c r="CG214" s="154">
        <f t="shared" ref="CG214:CR214" si="833">+CG103+CG179+CG207</f>
        <v>26643.526202809189</v>
      </c>
      <c r="CH214" s="155">
        <f t="shared" si="833"/>
        <v>27507.477920607758</v>
      </c>
      <c r="CI214" s="155">
        <f t="shared" si="833"/>
        <v>28555.777063488327</v>
      </c>
      <c r="CJ214" s="155">
        <f t="shared" si="833"/>
        <v>27406.830474736944</v>
      </c>
      <c r="CK214" s="155">
        <f t="shared" si="833"/>
        <v>28143.110366341876</v>
      </c>
      <c r="CL214" s="155">
        <f t="shared" si="833"/>
        <v>28716.185162289668</v>
      </c>
      <c r="CM214" s="155">
        <f t="shared" si="833"/>
        <v>27043.596550642309</v>
      </c>
      <c r="CN214" s="155">
        <f t="shared" si="833"/>
        <v>24464.788619947536</v>
      </c>
      <c r="CO214" s="155">
        <f t="shared" si="833"/>
        <v>24342.647434266823</v>
      </c>
      <c r="CP214" s="155">
        <f t="shared" si="833"/>
        <v>25811.021490053878</v>
      </c>
      <c r="CQ214" s="155">
        <f t="shared" si="833"/>
        <v>15225.352063609516</v>
      </c>
      <c r="CR214" s="156">
        <f t="shared" si="833"/>
        <v>15832.975263992152</v>
      </c>
      <c r="CS214" s="157">
        <f>SUM(CG214:CR214)</f>
        <v>299693.28861278598</v>
      </c>
      <c r="CT214" s="154">
        <f t="shared" ref="CT214:DE214" si="834">+CT103+CT179+CT207</f>
        <v>12869.378216193514</v>
      </c>
      <c r="CU214" s="155">
        <f t="shared" si="834"/>
        <v>13263.673452187129</v>
      </c>
      <c r="CV214" s="155">
        <f t="shared" si="834"/>
        <v>13554.381908584679</v>
      </c>
      <c r="CW214" s="155">
        <f t="shared" si="834"/>
        <v>77932.828942025997</v>
      </c>
      <c r="CX214" s="155">
        <f t="shared" si="834"/>
        <v>13863.123833542188</v>
      </c>
      <c r="CY214" s="155">
        <f t="shared" si="834"/>
        <v>13936.780519850045</v>
      </c>
      <c r="CZ214" s="155">
        <f t="shared" si="834"/>
        <v>55828.963019656068</v>
      </c>
      <c r="DA214" s="155">
        <f t="shared" si="834"/>
        <v>9689.5310479275613</v>
      </c>
      <c r="DB214" s="155">
        <f t="shared" si="834"/>
        <v>9432.028593144345</v>
      </c>
      <c r="DC214" s="155">
        <f t="shared" si="834"/>
        <v>9074.5525190815988</v>
      </c>
      <c r="DD214" s="155">
        <f t="shared" si="834"/>
        <v>8617.1253291660996</v>
      </c>
      <c r="DE214" s="156">
        <f t="shared" si="834"/>
        <v>60543.681019150034</v>
      </c>
      <c r="DF214" s="157">
        <f>SUM(CT214:DE214)</f>
        <v>298606.04840050929</v>
      </c>
      <c r="DG214" s="280">
        <f>+DG103+DG179+DG207</f>
        <v>247175.57644382701</v>
      </c>
      <c r="DH214" s="159">
        <f t="shared" si="814"/>
        <v>853710.61234092829</v>
      </c>
      <c r="DI214" s="160">
        <f>+E214</f>
        <v>1809431.4399162014</v>
      </c>
      <c r="DJ214" s="161">
        <f>+DI214-DH214</f>
        <v>955720.82757527311</v>
      </c>
    </row>
    <row r="215" spans="1:115" ht="15" customHeight="1">
      <c r="A215" s="589"/>
      <c r="B215" s="590"/>
      <c r="C215" s="200" t="s">
        <v>63</v>
      </c>
      <c r="D215" s="238"/>
      <c r="E215" s="136">
        <f>AF215+AS215+BF215+BS215+CF215+CS215+DF215+S215+DG215</f>
        <v>1624985.1671257052</v>
      </c>
      <c r="F215" s="136">
        <f t="shared" ref="F215:R215" si="835">+F104+F180+F208+F209+F212</f>
        <v>764.56299999999999</v>
      </c>
      <c r="G215" s="137">
        <f t="shared" si="835"/>
        <v>1884.9120027515046</v>
      </c>
      <c r="H215" s="138">
        <f t="shared" si="835"/>
        <v>1585.3505390024525</v>
      </c>
      <c r="I215" s="138">
        <f t="shared" si="835"/>
        <v>2036.3751054553261</v>
      </c>
      <c r="J215" s="138">
        <f t="shared" si="835"/>
        <v>1154.8133418564673</v>
      </c>
      <c r="K215" s="138">
        <f t="shared" si="835"/>
        <v>2062.1812125751076</v>
      </c>
      <c r="L215" s="138">
        <f t="shared" si="835"/>
        <v>1125.7988690745888</v>
      </c>
      <c r="M215" s="138">
        <f t="shared" si="835"/>
        <v>1483.1628414130669</v>
      </c>
      <c r="N215" s="138">
        <f t="shared" si="835"/>
        <v>884.48631561976549</v>
      </c>
      <c r="O215" s="138">
        <f t="shared" si="835"/>
        <v>977.93668809128633</v>
      </c>
      <c r="P215" s="138">
        <f t="shared" si="835"/>
        <v>1360.7161608945426</v>
      </c>
      <c r="Q215" s="138">
        <f t="shared" si="835"/>
        <v>1746.3797083090983</v>
      </c>
      <c r="R215" s="139">
        <f t="shared" si="835"/>
        <v>1552.2888624116426</v>
      </c>
      <c r="S215" s="162">
        <f>SUM(G215:R215)</f>
        <v>17854.401647454848</v>
      </c>
      <c r="T215" s="384">
        <f t="shared" ref="T215:AE215" si="836">+T104+T180+T208+T209+T212</f>
        <v>2322.1344967608825</v>
      </c>
      <c r="U215" s="381">
        <f t="shared" si="836"/>
        <v>1117.9376727718725</v>
      </c>
      <c r="V215" s="381">
        <f t="shared" si="836"/>
        <v>955.41010446791233</v>
      </c>
      <c r="W215" s="381">
        <f t="shared" si="836"/>
        <v>975.01553111703208</v>
      </c>
      <c r="X215" s="381">
        <f t="shared" si="836"/>
        <v>1021.295521677102</v>
      </c>
      <c r="Y215" s="381">
        <f t="shared" si="836"/>
        <v>4672.8562690920626</v>
      </c>
      <c r="Z215" s="381">
        <f t="shared" si="836"/>
        <v>1216.6466247459653</v>
      </c>
      <c r="AA215" s="381">
        <f t="shared" si="836"/>
        <v>1250.182130338615</v>
      </c>
      <c r="AB215" s="381">
        <f t="shared" si="836"/>
        <v>1107.0595875543279</v>
      </c>
      <c r="AC215" s="381">
        <f t="shared" si="836"/>
        <v>1428.7886644786272</v>
      </c>
      <c r="AD215" s="381">
        <f t="shared" si="836"/>
        <v>3613.989787128322</v>
      </c>
      <c r="AE215" s="486">
        <f t="shared" si="836"/>
        <v>6072.4212318954351</v>
      </c>
      <c r="AF215" s="162">
        <f>SUM(T215:AE215)</f>
        <v>25753.737622028155</v>
      </c>
      <c r="AG215" s="497">
        <f t="shared" ref="AG215:AR215" si="837">+AG104+AG180+AG208+AG209+AG212</f>
        <v>5420.811544179749</v>
      </c>
      <c r="AH215" s="499">
        <f t="shared" si="837"/>
        <v>1242.4144172771794</v>
      </c>
      <c r="AI215" s="499">
        <f t="shared" si="837"/>
        <v>1290.7705302231079</v>
      </c>
      <c r="AJ215" s="499">
        <f t="shared" si="837"/>
        <v>2987.208075231616</v>
      </c>
      <c r="AK215" s="499">
        <f t="shared" si="837"/>
        <v>7976.0753049010182</v>
      </c>
      <c r="AL215" s="499">
        <f t="shared" si="837"/>
        <v>13482.3744635231</v>
      </c>
      <c r="AM215" s="499">
        <f t="shared" si="837"/>
        <v>8569.6324252987615</v>
      </c>
      <c r="AN215" s="499">
        <f t="shared" si="837"/>
        <v>2865.3009390507214</v>
      </c>
      <c r="AO215" s="499">
        <f t="shared" si="837"/>
        <v>2924.0599934487068</v>
      </c>
      <c r="AP215" s="499">
        <f t="shared" si="837"/>
        <v>2122.8536548447187</v>
      </c>
      <c r="AQ215" s="499">
        <f t="shared" si="837"/>
        <v>4094.0278408290073</v>
      </c>
      <c r="AR215" s="511">
        <f t="shared" si="837"/>
        <v>67227.866315410953</v>
      </c>
      <c r="AS215" s="410">
        <f>SUM(AG215:AR215)</f>
        <v>120203.39550421864</v>
      </c>
      <c r="AT215" s="141">
        <f t="shared" ref="AT215:BE215" si="838">+AT104+AT180+AT208+AT209+AT212</f>
        <v>9911.436309929597</v>
      </c>
      <c r="AU215" s="138">
        <f t="shared" si="838"/>
        <v>5681.4822762361064</v>
      </c>
      <c r="AV215" s="138">
        <f t="shared" si="838"/>
        <v>3514.9385276113176</v>
      </c>
      <c r="AW215" s="138">
        <f t="shared" si="838"/>
        <v>5429.3869385788539</v>
      </c>
      <c r="AX215" s="138">
        <f t="shared" si="838"/>
        <v>7141.0439095156689</v>
      </c>
      <c r="AY215" s="138">
        <f t="shared" si="838"/>
        <v>6836.5692690363057</v>
      </c>
      <c r="AZ215" s="138">
        <f t="shared" si="838"/>
        <v>29080.144384075313</v>
      </c>
      <c r="BA215" s="138">
        <f t="shared" si="838"/>
        <v>8075.3438454430143</v>
      </c>
      <c r="BB215" s="138">
        <f t="shared" si="838"/>
        <v>16116.32494653409</v>
      </c>
      <c r="BC215" s="138">
        <f t="shared" si="838"/>
        <v>8453.2786616836165</v>
      </c>
      <c r="BD215" s="138">
        <f t="shared" si="838"/>
        <v>13649.574257214754</v>
      </c>
      <c r="BE215" s="139">
        <f t="shared" si="838"/>
        <v>17076.536729383624</v>
      </c>
      <c r="BF215" s="162">
        <f>SUM(AT215:BE215)</f>
        <v>130966.06005524227</v>
      </c>
      <c r="BG215" s="137">
        <f t="shared" ref="BG215:BR215" si="839">+BG104+BG180+BG208+BG209+BG212</f>
        <v>15669.218757474522</v>
      </c>
      <c r="BH215" s="138">
        <f t="shared" si="839"/>
        <v>22382.028196508447</v>
      </c>
      <c r="BI215" s="138">
        <f t="shared" si="839"/>
        <v>21313.044573094052</v>
      </c>
      <c r="BJ215" s="138">
        <f t="shared" si="839"/>
        <v>26631.417716753844</v>
      </c>
      <c r="BK215" s="138">
        <f t="shared" si="839"/>
        <v>27256.3152417243</v>
      </c>
      <c r="BL215" s="138">
        <f t="shared" si="839"/>
        <v>27764.221636986265</v>
      </c>
      <c r="BM215" s="138">
        <f t="shared" si="839"/>
        <v>98570.360394177682</v>
      </c>
      <c r="BN215" s="138">
        <f t="shared" si="839"/>
        <v>25711.824047397422</v>
      </c>
      <c r="BO215" s="138">
        <f t="shared" si="839"/>
        <v>32813.232628665508</v>
      </c>
      <c r="BP215" s="138">
        <f t="shared" si="839"/>
        <v>24068.832113410066</v>
      </c>
      <c r="BQ215" s="138">
        <f t="shared" si="839"/>
        <v>24709.925462272171</v>
      </c>
      <c r="BR215" s="139">
        <f t="shared" si="839"/>
        <v>25366.18662629445</v>
      </c>
      <c r="BS215" s="162">
        <f>SUM(BG215:BR215)</f>
        <v>372256.60739475873</v>
      </c>
      <c r="BT215" s="137">
        <f t="shared" ref="BT215:CE215" si="840">+BT104+BT180+BT208+BT209+BT212</f>
        <v>24960.918285256212</v>
      </c>
      <c r="BU215" s="138">
        <f t="shared" si="840"/>
        <v>27049.412093810188</v>
      </c>
      <c r="BV215" s="138">
        <f t="shared" si="840"/>
        <v>26932.266540381373</v>
      </c>
      <c r="BW215" s="138">
        <f t="shared" si="840"/>
        <v>26799.36268608008</v>
      </c>
      <c r="BX215" s="138">
        <f t="shared" si="840"/>
        <v>25189.940811058441</v>
      </c>
      <c r="BY215" s="138">
        <f t="shared" si="840"/>
        <v>32906.89376565149</v>
      </c>
      <c r="BZ215" s="138">
        <f t="shared" si="840"/>
        <v>26474.482472558004</v>
      </c>
      <c r="CA215" s="138">
        <f t="shared" si="840"/>
        <v>38497.920387738683</v>
      </c>
      <c r="CB215" s="138">
        <f t="shared" si="840"/>
        <v>25202.360211108949</v>
      </c>
      <c r="CC215" s="138">
        <f t="shared" si="840"/>
        <v>25796.49712798293</v>
      </c>
      <c r="CD215" s="138">
        <f t="shared" si="840"/>
        <v>26218.494614959527</v>
      </c>
      <c r="CE215" s="139">
        <f t="shared" si="840"/>
        <v>26451.429063942163</v>
      </c>
      <c r="CF215" s="162">
        <f>SUM(BT215:CE215)</f>
        <v>332479.978060528</v>
      </c>
      <c r="CG215" s="137">
        <f t="shared" ref="CG215:CR215" si="841">+CG104+CG180+CG208+CG209+CG212</f>
        <v>25100.864456802479</v>
      </c>
      <c r="CH215" s="138">
        <f t="shared" si="841"/>
        <v>32651.722318565106</v>
      </c>
      <c r="CI215" s="138">
        <f t="shared" si="841"/>
        <v>26807.291717219581</v>
      </c>
      <c r="CJ215" s="138">
        <f t="shared" si="841"/>
        <v>25544.911824335853</v>
      </c>
      <c r="CK215" s="138">
        <f t="shared" si="841"/>
        <v>26197.105741730171</v>
      </c>
      <c r="CL215" s="138">
        <f t="shared" si="841"/>
        <v>36871.149653268942</v>
      </c>
      <c r="CM215" s="138">
        <f t="shared" si="841"/>
        <v>24742.40125459394</v>
      </c>
      <c r="CN215" s="138">
        <f t="shared" si="841"/>
        <v>22653.883471478002</v>
      </c>
      <c r="CO215" s="138">
        <f t="shared" si="841"/>
        <v>22532.817887448684</v>
      </c>
      <c r="CP215" s="138">
        <f t="shared" si="841"/>
        <v>30541.717974796735</v>
      </c>
      <c r="CQ215" s="138">
        <f t="shared" si="841"/>
        <v>14175.22596496012</v>
      </c>
      <c r="CR215" s="139">
        <f t="shared" si="841"/>
        <v>14320.370864222734</v>
      </c>
      <c r="CS215" s="162">
        <f>SUM(CG215:CR215)</f>
        <v>302139.46312942239</v>
      </c>
      <c r="CT215" s="137">
        <f t="shared" ref="CT215:DE215" si="842">+CT104+CT180+CT208+CT209+CT212</f>
        <v>12115.720025029294</v>
      </c>
      <c r="CU215" s="138">
        <f t="shared" si="842"/>
        <v>12462.162958182036</v>
      </c>
      <c r="CV215" s="138">
        <f t="shared" si="842"/>
        <v>12715.634470753781</v>
      </c>
      <c r="CW215" s="138">
        <f t="shared" si="842"/>
        <v>12868.506599609005</v>
      </c>
      <c r="CX215" s="138">
        <f t="shared" si="842"/>
        <v>12978.668534819477</v>
      </c>
      <c r="CY215" s="138">
        <f t="shared" si="842"/>
        <v>13038.684383711559</v>
      </c>
      <c r="CZ215" s="138">
        <f t="shared" si="842"/>
        <v>49897.288763692864</v>
      </c>
      <c r="DA215" s="138">
        <f t="shared" si="842"/>
        <v>9286.4146630599735</v>
      </c>
      <c r="DB215" s="138">
        <f t="shared" si="842"/>
        <v>9050.0591208143087</v>
      </c>
      <c r="DC215" s="138">
        <f t="shared" si="842"/>
        <v>8724.2465518677454</v>
      </c>
      <c r="DD215" s="138">
        <f t="shared" si="842"/>
        <v>8309.1154361806439</v>
      </c>
      <c r="DE215" s="139">
        <f t="shared" si="842"/>
        <v>54002.635349586191</v>
      </c>
      <c r="DF215" s="162">
        <f>SUM(CT215:DE215)</f>
        <v>215449.1368573069</v>
      </c>
      <c r="DG215" s="279">
        <f>+DG104+DG180+DG208+DG209+DG212</f>
        <v>107882.38685474546</v>
      </c>
      <c r="DH215" s="90">
        <f t="shared" si="814"/>
        <v>775681.1520784481</v>
      </c>
      <c r="DI215" s="91">
        <f>+E215</f>
        <v>1624985.1671257052</v>
      </c>
      <c r="DJ215" s="92">
        <f>+DI215-DH215</f>
        <v>849304.01504725707</v>
      </c>
      <c r="DK215" s="64">
        <f>+DH215/DH214</f>
        <v>0.90859963653430698</v>
      </c>
    </row>
    <row r="216" spans="1:115" ht="15" customHeight="1">
      <c r="A216" s="591"/>
      <c r="B216" s="592"/>
      <c r="C216" s="201" t="s">
        <v>11</v>
      </c>
      <c r="D216" s="239"/>
      <c r="E216" s="202">
        <f t="shared" ref="E216:R216" si="843">+E214-E215</f>
        <v>184446.27279049624</v>
      </c>
      <c r="F216" s="203">
        <f t="shared" si="843"/>
        <v>3754.2370000000001</v>
      </c>
      <c r="G216" s="204">
        <f t="shared" si="843"/>
        <v>525.88770098882196</v>
      </c>
      <c r="H216" s="204">
        <f t="shared" si="843"/>
        <v>999.6896784275732</v>
      </c>
      <c r="I216" s="204">
        <f t="shared" si="843"/>
        <v>-392.51003939003363</v>
      </c>
      <c r="J216" s="204">
        <f t="shared" si="843"/>
        <v>-59.22341082939397</v>
      </c>
      <c r="K216" s="204">
        <f t="shared" si="843"/>
        <v>-1123.3990477682405</v>
      </c>
      <c r="L216" s="204">
        <f t="shared" si="843"/>
        <v>1446.9356200897628</v>
      </c>
      <c r="M216" s="204">
        <f t="shared" si="843"/>
        <v>-373.52828763566754</v>
      </c>
      <c r="N216" s="204">
        <f t="shared" si="843"/>
        <v>-244.02313484087108</v>
      </c>
      <c r="O216" s="204">
        <f t="shared" si="843"/>
        <v>-152.96221800829869</v>
      </c>
      <c r="P216" s="204">
        <f t="shared" si="843"/>
        <v>-504.39956081247442</v>
      </c>
      <c r="Q216" s="204">
        <f t="shared" si="843"/>
        <v>24112.549946115494</v>
      </c>
      <c r="R216" s="205">
        <f t="shared" si="843"/>
        <v>1399.4139607068605</v>
      </c>
      <c r="S216" s="112">
        <f>SUM(G216:R216)</f>
        <v>25634.431207043534</v>
      </c>
      <c r="T216" s="206">
        <f t="shared" ref="T216:AE216" si="844">+T214-T215</f>
        <v>155.11948850835734</v>
      </c>
      <c r="U216" s="204">
        <f t="shared" si="844"/>
        <v>40.510148814391187</v>
      </c>
      <c r="V216" s="204">
        <f t="shared" si="844"/>
        <v>-347.69145495532098</v>
      </c>
      <c r="W216" s="204">
        <f t="shared" si="844"/>
        <v>-247.88489835765722</v>
      </c>
      <c r="X216" s="204">
        <f t="shared" si="844"/>
        <v>-373.87624181659635</v>
      </c>
      <c r="Y216" s="204">
        <f t="shared" si="844"/>
        <v>-3823.5677709348874</v>
      </c>
      <c r="Z216" s="204">
        <f t="shared" si="844"/>
        <v>-6.6408619645346789</v>
      </c>
      <c r="AA216" s="204">
        <f t="shared" si="844"/>
        <v>548.40305742781311</v>
      </c>
      <c r="AB216" s="204">
        <f t="shared" si="844"/>
        <v>-341.4694146390998</v>
      </c>
      <c r="AC216" s="204">
        <f t="shared" si="844"/>
        <v>-635.35119031990212</v>
      </c>
      <c r="AD216" s="204">
        <f t="shared" si="844"/>
        <v>1263.8579384415179</v>
      </c>
      <c r="AE216" s="205">
        <f t="shared" si="844"/>
        <v>26120.999725399379</v>
      </c>
      <c r="AF216" s="112">
        <f>SUM(T216:AE216)</f>
        <v>22352.40852560346</v>
      </c>
      <c r="AG216" s="206">
        <f t="shared" ref="AG216:AR216" si="845">+AG214-AG215</f>
        <v>-113.85577583459781</v>
      </c>
      <c r="AH216" s="204">
        <f t="shared" si="845"/>
        <v>-232.94401363369252</v>
      </c>
      <c r="AI216" s="204">
        <f t="shared" si="845"/>
        <v>43.704654241393655</v>
      </c>
      <c r="AJ216" s="204">
        <f t="shared" si="845"/>
        <v>-161.88308491907992</v>
      </c>
      <c r="AK216" s="204">
        <f t="shared" si="845"/>
        <v>-3643.1719314626171</v>
      </c>
      <c r="AL216" s="204">
        <f t="shared" si="845"/>
        <v>-10157.628565420746</v>
      </c>
      <c r="AM216" s="204">
        <f t="shared" si="845"/>
        <v>-4810.8710820128999</v>
      </c>
      <c r="AN216" s="204">
        <f t="shared" si="845"/>
        <v>1457.0214711920908</v>
      </c>
      <c r="AO216" s="204">
        <f t="shared" si="845"/>
        <v>-725.41107831256841</v>
      </c>
      <c r="AP216" s="204">
        <f t="shared" si="845"/>
        <v>-454.52647017903996</v>
      </c>
      <c r="AQ216" s="204">
        <f t="shared" si="845"/>
        <v>-804.58785299132296</v>
      </c>
      <c r="AR216" s="205">
        <f t="shared" si="845"/>
        <v>-50705.835673515976</v>
      </c>
      <c r="AS216" s="401">
        <f>SUM(AG216:AR216)</f>
        <v>-70309.989402849053</v>
      </c>
      <c r="AT216" s="206">
        <f t="shared" ref="AT216:BE216" si="846">+AT214-AT215</f>
        <v>3564.0234580848683</v>
      </c>
      <c r="AU216" s="204">
        <f t="shared" si="846"/>
        <v>2688.3310511307018</v>
      </c>
      <c r="AV216" s="204">
        <f t="shared" si="846"/>
        <v>715.02523120685828</v>
      </c>
      <c r="AW216" s="204">
        <f t="shared" si="846"/>
        <v>-709.0053408323538</v>
      </c>
      <c r="AX216" s="204">
        <f t="shared" si="846"/>
        <v>-7075.0537966951561</v>
      </c>
      <c r="AY216" s="204">
        <f t="shared" si="846"/>
        <v>-4847.4862225812576</v>
      </c>
      <c r="AZ216" s="204">
        <f t="shared" si="846"/>
        <v>-28940.744384075311</v>
      </c>
      <c r="BA216" s="204">
        <f t="shared" si="846"/>
        <v>-1239.2213628678901</v>
      </c>
      <c r="BB216" s="204">
        <f t="shared" si="846"/>
        <v>-10267.309846730152</v>
      </c>
      <c r="BC216" s="204">
        <f t="shared" si="846"/>
        <v>-845.45236394256608</v>
      </c>
      <c r="BD216" s="204">
        <f t="shared" si="846"/>
        <v>-531.55627306860879</v>
      </c>
      <c r="BE216" s="205">
        <f t="shared" si="846"/>
        <v>-728.19094022168065</v>
      </c>
      <c r="BF216" s="112">
        <f>SUM(AT216:BE216)</f>
        <v>-48216.640790592544</v>
      </c>
      <c r="BG216" s="206">
        <f t="shared" ref="BG216:BR216" si="847">+BG214-BG215</f>
        <v>2569.6810046481733</v>
      </c>
      <c r="BH216" s="204">
        <f t="shared" si="847"/>
        <v>-7436.8969236623052</v>
      </c>
      <c r="BI216" s="204">
        <f t="shared" si="847"/>
        <v>-3447.4856969974317</v>
      </c>
      <c r="BJ216" s="204">
        <f t="shared" si="847"/>
        <v>7542.5423404954563</v>
      </c>
      <c r="BK216" s="204">
        <f t="shared" si="847"/>
        <v>-2790.40700516168</v>
      </c>
      <c r="BL216" s="204">
        <f t="shared" si="847"/>
        <v>-951.05199262388487</v>
      </c>
      <c r="BM216" s="204">
        <f t="shared" si="847"/>
        <v>6284.7351090686716</v>
      </c>
      <c r="BN216" s="204">
        <f t="shared" si="847"/>
        <v>553.58844762099397</v>
      </c>
      <c r="BO216" s="204">
        <f t="shared" si="847"/>
        <v>-5842.0265750820654</v>
      </c>
      <c r="BP216" s="204">
        <f t="shared" si="847"/>
        <v>94.172590329577361</v>
      </c>
      <c r="BQ216" s="204">
        <f t="shared" si="847"/>
        <v>3151.3332824232057</v>
      </c>
      <c r="BR216" s="205">
        <f t="shared" si="847"/>
        <v>5793.6395531345697</v>
      </c>
      <c r="BS216" s="112">
        <f>SUM(BG216:BR216)</f>
        <v>5521.8241341932808</v>
      </c>
      <c r="BT216" s="206">
        <f t="shared" ref="BT216:CE216" si="848">+BT214-BT215</f>
        <v>6670.2142313994191</v>
      </c>
      <c r="BU216" s="204">
        <f t="shared" si="848"/>
        <v>3095.731356993143</v>
      </c>
      <c r="BV216" s="204">
        <f t="shared" si="848"/>
        <v>-358.85780740031259</v>
      </c>
      <c r="BW216" s="204">
        <f t="shared" si="848"/>
        <v>255.76266624271739</v>
      </c>
      <c r="BX216" s="204">
        <f t="shared" si="848"/>
        <v>1047.7381533134903</v>
      </c>
      <c r="BY216" s="204">
        <f t="shared" si="848"/>
        <v>-6218.6791232187825</v>
      </c>
      <c r="BZ216" s="204">
        <f t="shared" si="848"/>
        <v>29380.608921257277</v>
      </c>
      <c r="CA216" s="204">
        <f t="shared" si="848"/>
        <v>-10614.608957113807</v>
      </c>
      <c r="CB216" s="204">
        <f t="shared" si="848"/>
        <v>1266.9709776001982</v>
      </c>
      <c r="CC216" s="204">
        <f t="shared" si="848"/>
        <v>1404.2216763804172</v>
      </c>
      <c r="CD216" s="204">
        <f t="shared" si="848"/>
        <v>1507.9202441130074</v>
      </c>
      <c r="CE216" s="205">
        <f t="shared" si="848"/>
        <v>2023.2901618832329</v>
      </c>
      <c r="CF216" s="112">
        <f>SUM(BT216:CE216)</f>
        <v>29460.31250145</v>
      </c>
      <c r="CG216" s="206">
        <f t="shared" ref="CG216:CR216" si="849">+CG214-CG215</f>
        <v>1542.66174600671</v>
      </c>
      <c r="CH216" s="204">
        <f t="shared" si="849"/>
        <v>-5144.2443979573472</v>
      </c>
      <c r="CI216" s="204">
        <f t="shared" si="849"/>
        <v>1748.4853462687461</v>
      </c>
      <c r="CJ216" s="204">
        <f t="shared" si="849"/>
        <v>1861.9186504010904</v>
      </c>
      <c r="CK216" s="204">
        <f t="shared" si="849"/>
        <v>1946.0046246117054</v>
      </c>
      <c r="CL216" s="204">
        <f t="shared" si="849"/>
        <v>-8154.9644909792733</v>
      </c>
      <c r="CM216" s="204">
        <f t="shared" si="849"/>
        <v>2301.1952960483686</v>
      </c>
      <c r="CN216" s="204">
        <f t="shared" si="849"/>
        <v>1810.9051484695337</v>
      </c>
      <c r="CO216" s="204">
        <f t="shared" si="849"/>
        <v>1809.8295468181386</v>
      </c>
      <c r="CP216" s="204">
        <f t="shared" si="849"/>
        <v>-4730.6964847428571</v>
      </c>
      <c r="CQ216" s="204">
        <f t="shared" si="849"/>
        <v>1050.1260986493962</v>
      </c>
      <c r="CR216" s="205">
        <f t="shared" si="849"/>
        <v>1512.6043997694178</v>
      </c>
      <c r="CS216" s="112">
        <f>SUM(CG216:CR216)</f>
        <v>-2446.1745166363708</v>
      </c>
      <c r="CT216" s="206">
        <f t="shared" ref="CT216:DE216" si="850">+CT214-CT215</f>
        <v>753.65819116422063</v>
      </c>
      <c r="CU216" s="204">
        <f t="shared" si="850"/>
        <v>801.51049400509328</v>
      </c>
      <c r="CV216" s="204">
        <f t="shared" si="850"/>
        <v>838.74743783089798</v>
      </c>
      <c r="CW216" s="204">
        <f t="shared" si="850"/>
        <v>65064.322342416992</v>
      </c>
      <c r="CX216" s="204">
        <f t="shared" si="850"/>
        <v>884.45529872271072</v>
      </c>
      <c r="CY216" s="204">
        <f t="shared" si="850"/>
        <v>898.09613613848524</v>
      </c>
      <c r="CZ216" s="204">
        <f t="shared" si="850"/>
        <v>5931.6742559632039</v>
      </c>
      <c r="DA216" s="204">
        <f t="shared" si="850"/>
        <v>403.11638486758784</v>
      </c>
      <c r="DB216" s="204">
        <f t="shared" si="850"/>
        <v>381.9694723300363</v>
      </c>
      <c r="DC216" s="204">
        <f t="shared" si="850"/>
        <v>350.30596721385336</v>
      </c>
      <c r="DD216" s="204">
        <f t="shared" si="850"/>
        <v>308.00989298545574</v>
      </c>
      <c r="DE216" s="205">
        <f t="shared" si="850"/>
        <v>6541.0456695638422</v>
      </c>
      <c r="DF216" s="112">
        <f>SUM(CT216:DE216)</f>
        <v>83156.911543202368</v>
      </c>
      <c r="DG216" s="205">
        <f>+DG214-DG215</f>
        <v>139293.18958908156</v>
      </c>
      <c r="DH216" s="98">
        <f t="shared" si="814"/>
        <v>78029.46026248025</v>
      </c>
      <c r="DI216" s="99">
        <f>+E216</f>
        <v>184446.27279049624</v>
      </c>
      <c r="DJ216" s="100">
        <f>+DI216-DH216</f>
        <v>106416.81252801599</v>
      </c>
    </row>
    <row r="217" spans="1:115" ht="6" customHeight="1">
      <c r="AS217" s="404"/>
    </row>
    <row r="218" spans="1:115" ht="15" customHeight="1">
      <c r="A218" s="587" t="s">
        <v>114</v>
      </c>
      <c r="B218" s="588"/>
      <c r="C218" s="199" t="s">
        <v>62</v>
      </c>
      <c r="D218" s="237"/>
      <c r="E218" s="153">
        <f>AF218+AS218+BF218+BS218+CF218+CS218+DF218+S218+DG218</f>
        <v>1585765.7415614321</v>
      </c>
      <c r="F218" s="153">
        <f t="shared" ref="F218:R218" si="851">+F214-F207</f>
        <v>4518.8</v>
      </c>
      <c r="G218" s="154">
        <f t="shared" si="851"/>
        <v>2410.7997037403265</v>
      </c>
      <c r="H218" s="155">
        <f t="shared" si="851"/>
        <v>2585.0402174300257</v>
      </c>
      <c r="I218" s="155">
        <f t="shared" si="851"/>
        <v>1643.8650660652925</v>
      </c>
      <c r="J218" s="155">
        <f t="shared" si="851"/>
        <v>1095.5899310270734</v>
      </c>
      <c r="K218" s="155">
        <f t="shared" si="851"/>
        <v>938.78216480686694</v>
      </c>
      <c r="L218" s="155">
        <f t="shared" si="851"/>
        <v>2572.7344891643515</v>
      </c>
      <c r="M218" s="155">
        <f t="shared" si="851"/>
        <v>1109.6345537773993</v>
      </c>
      <c r="N218" s="155">
        <f t="shared" si="851"/>
        <v>640.46318077889441</v>
      </c>
      <c r="O218" s="155">
        <f t="shared" si="851"/>
        <v>824.97447008298764</v>
      </c>
      <c r="P218" s="155">
        <f t="shared" si="851"/>
        <v>856.31660008206813</v>
      </c>
      <c r="Q218" s="155">
        <f t="shared" si="851"/>
        <v>25858.929654424592</v>
      </c>
      <c r="R218" s="156">
        <f t="shared" si="851"/>
        <v>2951.7028231185031</v>
      </c>
      <c r="S218" s="157">
        <f>SUM(G218:R218)</f>
        <v>43488.832854498381</v>
      </c>
      <c r="T218" s="383">
        <f t="shared" ref="T218:AE218" si="852">+T214-T207</f>
        <v>2477.2539852692398</v>
      </c>
      <c r="U218" s="382">
        <f t="shared" si="852"/>
        <v>1158.4478215862637</v>
      </c>
      <c r="V218" s="382">
        <f t="shared" si="852"/>
        <v>607.71864951259136</v>
      </c>
      <c r="W218" s="382">
        <f t="shared" si="852"/>
        <v>727.13063275937486</v>
      </c>
      <c r="X218" s="382">
        <f t="shared" si="852"/>
        <v>647.41927986050564</v>
      </c>
      <c r="Y218" s="382">
        <f t="shared" si="852"/>
        <v>849.28849815717513</v>
      </c>
      <c r="Z218" s="382">
        <f t="shared" si="852"/>
        <v>1210.0057627814306</v>
      </c>
      <c r="AA218" s="382">
        <f t="shared" si="852"/>
        <v>1798.5851877664281</v>
      </c>
      <c r="AB218" s="382">
        <f t="shared" si="852"/>
        <v>765.5901729152281</v>
      </c>
      <c r="AC218" s="382">
        <f t="shared" si="852"/>
        <v>793.43747415872508</v>
      </c>
      <c r="AD218" s="382">
        <f t="shared" si="852"/>
        <v>4877.8477255698399</v>
      </c>
      <c r="AE218" s="485">
        <f t="shared" si="852"/>
        <v>32193.420957294813</v>
      </c>
      <c r="AF218" s="157">
        <f>SUM(T218:AE218)</f>
        <v>48106.146147631618</v>
      </c>
      <c r="AG218" s="498">
        <f t="shared" ref="AG218:AR218" si="853">+AG214-AG207</f>
        <v>5306.9557683451512</v>
      </c>
      <c r="AH218" s="513">
        <f t="shared" si="853"/>
        <v>1009.4704036434869</v>
      </c>
      <c r="AI218" s="513">
        <f t="shared" si="853"/>
        <v>1334.4751844645016</v>
      </c>
      <c r="AJ218" s="513">
        <f t="shared" si="853"/>
        <v>2825.3249903125361</v>
      </c>
      <c r="AK218" s="513">
        <f t="shared" si="853"/>
        <v>4332.9033734384011</v>
      </c>
      <c r="AL218" s="513">
        <f t="shared" si="853"/>
        <v>3324.7458981023528</v>
      </c>
      <c r="AM218" s="513">
        <f t="shared" si="853"/>
        <v>3227.9172305372076</v>
      </c>
      <c r="AN218" s="513">
        <f t="shared" si="853"/>
        <v>4322.3224102428121</v>
      </c>
      <c r="AO218" s="513">
        <f t="shared" si="853"/>
        <v>2190.8426183208999</v>
      </c>
      <c r="AP218" s="513">
        <f t="shared" si="853"/>
        <v>1668.3271846656787</v>
      </c>
      <c r="AQ218" s="513">
        <f t="shared" si="853"/>
        <v>3289.4399878376844</v>
      </c>
      <c r="AR218" s="512">
        <f t="shared" si="853"/>
        <v>13048.982696689496</v>
      </c>
      <c r="AS218" s="409">
        <f>SUM(AG218:AR218)</f>
        <v>45881.707746600216</v>
      </c>
      <c r="AT218" s="158">
        <f t="shared" ref="AT218:BE218" si="854">+AT214-AT207</f>
        <v>13475.459768014465</v>
      </c>
      <c r="AU218" s="155">
        <f t="shared" si="854"/>
        <v>8369.8133273668082</v>
      </c>
      <c r="AV218" s="155">
        <f t="shared" si="854"/>
        <v>4229.9637588181758</v>
      </c>
      <c r="AW218" s="155">
        <f t="shared" si="854"/>
        <v>4720.3815977465001</v>
      </c>
      <c r="AX218" s="155">
        <f t="shared" si="854"/>
        <v>65.990112820512806</v>
      </c>
      <c r="AY218" s="155">
        <f t="shared" si="854"/>
        <v>1989.0830464550479</v>
      </c>
      <c r="AZ218" s="155">
        <f t="shared" si="854"/>
        <v>139.4</v>
      </c>
      <c r="BA218" s="155">
        <f t="shared" si="854"/>
        <v>6836.1224825751242</v>
      </c>
      <c r="BB218" s="155">
        <f t="shared" si="854"/>
        <v>5849.0150998039389</v>
      </c>
      <c r="BC218" s="155">
        <f t="shared" si="854"/>
        <v>7607.8262977410504</v>
      </c>
      <c r="BD218" s="155">
        <f t="shared" si="854"/>
        <v>13118.017984146145</v>
      </c>
      <c r="BE218" s="156">
        <f t="shared" si="854"/>
        <v>16348.345789161944</v>
      </c>
      <c r="BF218" s="157">
        <f>SUM(AT218:BE218)</f>
        <v>82749.419264649725</v>
      </c>
      <c r="BG218" s="154">
        <f t="shared" ref="BG218:BR218" si="855">+BG214-BG207</f>
        <v>18238.899762122695</v>
      </c>
      <c r="BH218" s="155">
        <f t="shared" si="855"/>
        <v>14945.131272846142</v>
      </c>
      <c r="BI218" s="155">
        <f t="shared" si="855"/>
        <v>17865.55887609662</v>
      </c>
      <c r="BJ218" s="155">
        <f t="shared" si="855"/>
        <v>34173.9600572493</v>
      </c>
      <c r="BK218" s="155">
        <f t="shared" si="855"/>
        <v>24465.90823656262</v>
      </c>
      <c r="BL218" s="155">
        <f t="shared" si="855"/>
        <v>26813.16964436238</v>
      </c>
      <c r="BM218" s="155">
        <f t="shared" si="855"/>
        <v>104855.09550324635</v>
      </c>
      <c r="BN218" s="155">
        <f t="shared" si="855"/>
        <v>26265.412495018416</v>
      </c>
      <c r="BO218" s="155">
        <f t="shared" si="855"/>
        <v>26971.206053583443</v>
      </c>
      <c r="BP218" s="155">
        <f t="shared" si="855"/>
        <v>24163.004703739643</v>
      </c>
      <c r="BQ218" s="155">
        <f t="shared" si="855"/>
        <v>27861.258744695377</v>
      </c>
      <c r="BR218" s="156">
        <f t="shared" si="855"/>
        <v>31159.826179429019</v>
      </c>
      <c r="BS218" s="157">
        <f>SUM(BG218:BR218)</f>
        <v>377778.43152895203</v>
      </c>
      <c r="BT218" s="154">
        <f t="shared" ref="BT218:CE218" si="856">+BT214-BT207</f>
        <v>31631.132516655631</v>
      </c>
      <c r="BU218" s="155">
        <f t="shared" si="856"/>
        <v>30145.143450803331</v>
      </c>
      <c r="BV218" s="155">
        <f t="shared" si="856"/>
        <v>26573.408732981061</v>
      </c>
      <c r="BW218" s="155">
        <f t="shared" si="856"/>
        <v>27055.125352322797</v>
      </c>
      <c r="BX218" s="155">
        <f t="shared" si="856"/>
        <v>26237.678964371931</v>
      </c>
      <c r="BY218" s="155">
        <f t="shared" si="856"/>
        <v>26688.214642432707</v>
      </c>
      <c r="BZ218" s="155">
        <f t="shared" si="856"/>
        <v>27897.091393815281</v>
      </c>
      <c r="CA218" s="155">
        <f t="shared" si="856"/>
        <v>27883.311430624875</v>
      </c>
      <c r="CB218" s="155">
        <f t="shared" si="856"/>
        <v>26469.331188709148</v>
      </c>
      <c r="CC218" s="155">
        <f t="shared" si="856"/>
        <v>27200.718804363347</v>
      </c>
      <c r="CD218" s="155">
        <f t="shared" si="856"/>
        <v>27726.414859072534</v>
      </c>
      <c r="CE218" s="156">
        <f t="shared" si="856"/>
        <v>28474.719225825396</v>
      </c>
      <c r="CF218" s="157">
        <f>SUM(BT218:CE218)</f>
        <v>333982.29056197806</v>
      </c>
      <c r="CG218" s="154">
        <f t="shared" ref="CG218:CR218" si="857">+CG214-CG207</f>
        <v>26643.526202809189</v>
      </c>
      <c r="CH218" s="155">
        <f t="shared" si="857"/>
        <v>27507.477920607758</v>
      </c>
      <c r="CI218" s="155">
        <f t="shared" si="857"/>
        <v>28555.777063488327</v>
      </c>
      <c r="CJ218" s="155">
        <f t="shared" si="857"/>
        <v>27406.830474736944</v>
      </c>
      <c r="CK218" s="155">
        <f t="shared" si="857"/>
        <v>28143.110366341876</v>
      </c>
      <c r="CL218" s="155">
        <f t="shared" si="857"/>
        <v>28716.185162289668</v>
      </c>
      <c r="CM218" s="155">
        <f t="shared" si="857"/>
        <v>27043.596550642309</v>
      </c>
      <c r="CN218" s="155">
        <f t="shared" si="857"/>
        <v>24464.788619947536</v>
      </c>
      <c r="CO218" s="155">
        <f t="shared" si="857"/>
        <v>24342.647434266823</v>
      </c>
      <c r="CP218" s="155">
        <f t="shared" si="857"/>
        <v>25811.021490053878</v>
      </c>
      <c r="CQ218" s="155">
        <f t="shared" si="857"/>
        <v>15225.352063609516</v>
      </c>
      <c r="CR218" s="156">
        <f t="shared" si="857"/>
        <v>15832.975263992152</v>
      </c>
      <c r="CS218" s="157">
        <f>SUM(CG218:CR218)</f>
        <v>299693.28861278598</v>
      </c>
      <c r="CT218" s="154">
        <f t="shared" ref="CT218:DE218" si="858">+CT214-CT207</f>
        <v>12869.378216193514</v>
      </c>
      <c r="CU218" s="155">
        <f t="shared" si="858"/>
        <v>13263.673452187129</v>
      </c>
      <c r="CV218" s="155">
        <f t="shared" si="858"/>
        <v>13554.381908584679</v>
      </c>
      <c r="CW218" s="155">
        <f t="shared" si="858"/>
        <v>13732.828942025997</v>
      </c>
      <c r="CX218" s="155">
        <f t="shared" si="858"/>
        <v>13863.123833542188</v>
      </c>
      <c r="CY218" s="155">
        <f t="shared" si="858"/>
        <v>13936.780519850045</v>
      </c>
      <c r="CZ218" s="155">
        <f t="shared" si="858"/>
        <v>55828.963019656068</v>
      </c>
      <c r="DA218" s="155">
        <f t="shared" si="858"/>
        <v>9689.5310479275613</v>
      </c>
      <c r="DB218" s="155">
        <f t="shared" si="858"/>
        <v>9432.028593144345</v>
      </c>
      <c r="DC218" s="155">
        <f t="shared" si="858"/>
        <v>9074.5525190815988</v>
      </c>
      <c r="DD218" s="155">
        <f t="shared" si="858"/>
        <v>8617.1253291660996</v>
      </c>
      <c r="DE218" s="156">
        <f t="shared" si="858"/>
        <v>60543.681019150034</v>
      </c>
      <c r="DF218" s="157">
        <f>SUM(CT218:DE218)</f>
        <v>234406.04840050926</v>
      </c>
      <c r="DG218" s="280">
        <f>+DG214-DG207</f>
        <v>119679.57644382701</v>
      </c>
      <c r="DH218" s="159">
        <f t="shared" si="814"/>
        <v>722202.91398615902</v>
      </c>
      <c r="DI218" s="160">
        <f>+E218</f>
        <v>1585765.7415614321</v>
      </c>
      <c r="DJ218" s="161">
        <f>+DI218-DH218</f>
        <v>863562.82757527311</v>
      </c>
    </row>
    <row r="219" spans="1:115" ht="15" customHeight="1">
      <c r="A219" s="589"/>
      <c r="B219" s="590"/>
      <c r="C219" s="200" t="s">
        <v>63</v>
      </c>
      <c r="D219" s="238"/>
      <c r="E219" s="136">
        <f>AF219+AS219+BF219+BS219+CF219+CS219+DF219+S219+DG219</f>
        <v>1419511.2512208347</v>
      </c>
      <c r="F219" s="136">
        <f t="shared" ref="F219:R219" si="859">+F215-F208</f>
        <v>764.56299999999999</v>
      </c>
      <c r="G219" s="137">
        <f t="shared" si="859"/>
        <v>1884.9120027515046</v>
      </c>
      <c r="H219" s="138">
        <f t="shared" si="859"/>
        <v>1585.3505390024525</v>
      </c>
      <c r="I219" s="138">
        <f t="shared" si="859"/>
        <v>2036.3751054553261</v>
      </c>
      <c r="J219" s="138">
        <f t="shared" si="859"/>
        <v>1154.8133418564673</v>
      </c>
      <c r="K219" s="138">
        <f t="shared" si="859"/>
        <v>2062.1812125751076</v>
      </c>
      <c r="L219" s="138">
        <f t="shared" si="859"/>
        <v>1125.7988690745888</v>
      </c>
      <c r="M219" s="138">
        <f t="shared" si="859"/>
        <v>1483.1628414130669</v>
      </c>
      <c r="N219" s="138">
        <f t="shared" si="859"/>
        <v>884.48631561976549</v>
      </c>
      <c r="O219" s="138">
        <f t="shared" si="859"/>
        <v>977.93668809128633</v>
      </c>
      <c r="P219" s="138">
        <f t="shared" si="859"/>
        <v>1360.7161608945426</v>
      </c>
      <c r="Q219" s="138">
        <f t="shared" si="859"/>
        <v>1247.8338005400913</v>
      </c>
      <c r="R219" s="139">
        <f t="shared" si="859"/>
        <v>1552.2888624116426</v>
      </c>
      <c r="S219" s="162">
        <f>SUM(G219:R219)</f>
        <v>17355.855739685841</v>
      </c>
      <c r="T219" s="384">
        <f t="shared" ref="T219:AE219" si="860">+T215-T208</f>
        <v>2322.1344967608825</v>
      </c>
      <c r="U219" s="381">
        <f t="shared" si="860"/>
        <v>1117.9376727718725</v>
      </c>
      <c r="V219" s="381">
        <f t="shared" si="860"/>
        <v>955.41010446791233</v>
      </c>
      <c r="W219" s="381">
        <f t="shared" si="860"/>
        <v>975.01553111703208</v>
      </c>
      <c r="X219" s="381">
        <f t="shared" si="860"/>
        <v>1021.295521677102</v>
      </c>
      <c r="Y219" s="381">
        <f t="shared" si="860"/>
        <v>1055.7001639915989</v>
      </c>
      <c r="Z219" s="381">
        <f t="shared" si="860"/>
        <v>1216.6466247459653</v>
      </c>
      <c r="AA219" s="381">
        <f t="shared" si="860"/>
        <v>1250.182130338615</v>
      </c>
      <c r="AB219" s="381">
        <f t="shared" si="860"/>
        <v>1107.0595875543279</v>
      </c>
      <c r="AC219" s="381">
        <f t="shared" si="860"/>
        <v>1428.7886644786272</v>
      </c>
      <c r="AD219" s="381">
        <f t="shared" si="860"/>
        <v>3613.989787128322</v>
      </c>
      <c r="AE219" s="486">
        <f t="shared" si="860"/>
        <v>6072.4212318954351</v>
      </c>
      <c r="AF219" s="162">
        <f>SUM(T219:AE219)</f>
        <v>22136.58151692769</v>
      </c>
      <c r="AG219" s="497">
        <f t="shared" ref="AG219:AR219" si="861">+AG215-AG208</f>
        <v>5420.811544179749</v>
      </c>
      <c r="AH219" s="499">
        <f t="shared" si="861"/>
        <v>1242.4144172771794</v>
      </c>
      <c r="AI219" s="499">
        <f t="shared" si="861"/>
        <v>1290.7705302231079</v>
      </c>
      <c r="AJ219" s="499">
        <f t="shared" si="861"/>
        <v>2987.208075231616</v>
      </c>
      <c r="AK219" s="499">
        <f t="shared" si="861"/>
        <v>3954.8912187968476</v>
      </c>
      <c r="AL219" s="499">
        <f t="shared" si="861"/>
        <v>3456.3917148169458</v>
      </c>
      <c r="AM219" s="499">
        <f t="shared" si="861"/>
        <v>2578.3890210759419</v>
      </c>
      <c r="AN219" s="499">
        <f t="shared" si="861"/>
        <v>2865.3009390507214</v>
      </c>
      <c r="AO219" s="499">
        <f t="shared" si="861"/>
        <v>2924.0599934487068</v>
      </c>
      <c r="AP219" s="499">
        <f t="shared" si="861"/>
        <v>2122.8536548447187</v>
      </c>
      <c r="AQ219" s="499">
        <f t="shared" si="861"/>
        <v>4094.0278408290073</v>
      </c>
      <c r="AR219" s="511">
        <f t="shared" si="861"/>
        <v>9966.0626624429206</v>
      </c>
      <c r="AS219" s="410">
        <f>SUM(AG219:AR219)</f>
        <v>42903.181612217464</v>
      </c>
      <c r="AT219" s="141">
        <f t="shared" ref="AT219:BE219" si="862">+AT215-AT208</f>
        <v>9911.436309929597</v>
      </c>
      <c r="AU219" s="138">
        <f t="shared" si="862"/>
        <v>5681.4822762361064</v>
      </c>
      <c r="AV219" s="138">
        <f t="shared" si="862"/>
        <v>3514.9385276113176</v>
      </c>
      <c r="AW219" s="138">
        <f t="shared" si="862"/>
        <v>5429.3869385788539</v>
      </c>
      <c r="AX219" s="138">
        <f t="shared" si="862"/>
        <v>7141.0439095156689</v>
      </c>
      <c r="AY219" s="138">
        <f t="shared" si="862"/>
        <v>6836.5692690363057</v>
      </c>
      <c r="AZ219" s="138">
        <f t="shared" si="862"/>
        <v>9997.1443840753127</v>
      </c>
      <c r="BA219" s="138">
        <f t="shared" si="862"/>
        <v>8075.3438454430143</v>
      </c>
      <c r="BB219" s="138">
        <f t="shared" si="862"/>
        <v>7241.3249465340905</v>
      </c>
      <c r="BC219" s="138">
        <f t="shared" si="862"/>
        <v>7943.2786616836165</v>
      </c>
      <c r="BD219" s="138">
        <f t="shared" si="862"/>
        <v>13649.574257214754</v>
      </c>
      <c r="BE219" s="139">
        <f t="shared" si="862"/>
        <v>17076.536729383624</v>
      </c>
      <c r="BF219" s="162">
        <f>SUM(AT219:BE219)</f>
        <v>102498.06005524227</v>
      </c>
      <c r="BG219" s="137">
        <f t="shared" ref="BG219:BR219" si="863">+BG215-BG208</f>
        <v>15669.218757474522</v>
      </c>
      <c r="BH219" s="138">
        <f t="shared" si="863"/>
        <v>19670.028196508447</v>
      </c>
      <c r="BI219" s="138">
        <f t="shared" si="863"/>
        <v>21313.044573094052</v>
      </c>
      <c r="BJ219" s="138">
        <f t="shared" si="863"/>
        <v>26631.417716753844</v>
      </c>
      <c r="BK219" s="138">
        <f t="shared" si="863"/>
        <v>27256.3152417243</v>
      </c>
      <c r="BL219" s="138">
        <f t="shared" si="863"/>
        <v>27764.221636986265</v>
      </c>
      <c r="BM219" s="138">
        <f t="shared" si="863"/>
        <v>43480.360394177682</v>
      </c>
      <c r="BN219" s="138">
        <f t="shared" si="863"/>
        <v>25711.824047397422</v>
      </c>
      <c r="BO219" s="138">
        <f t="shared" si="863"/>
        <v>25355.232628665508</v>
      </c>
      <c r="BP219" s="138">
        <f t="shared" si="863"/>
        <v>24068.832113410066</v>
      </c>
      <c r="BQ219" s="138">
        <f t="shared" si="863"/>
        <v>24709.925462272171</v>
      </c>
      <c r="BR219" s="139">
        <f t="shared" si="863"/>
        <v>25366.18662629445</v>
      </c>
      <c r="BS219" s="162">
        <f>SUM(BG219:BR219)</f>
        <v>306996.60739475873</v>
      </c>
      <c r="BT219" s="137">
        <f t="shared" ref="BT219:CE219" si="864">+BT215-BT208</f>
        <v>24960.918285256212</v>
      </c>
      <c r="BU219" s="138">
        <f t="shared" si="864"/>
        <v>27049.412093810188</v>
      </c>
      <c r="BV219" s="138">
        <f t="shared" si="864"/>
        <v>26932.266540381373</v>
      </c>
      <c r="BW219" s="138">
        <f t="shared" si="864"/>
        <v>26799.36268608008</v>
      </c>
      <c r="BX219" s="138">
        <f t="shared" si="864"/>
        <v>25189.940811058441</v>
      </c>
      <c r="BY219" s="138">
        <f t="shared" si="864"/>
        <v>26126.89376565149</v>
      </c>
      <c r="BZ219" s="138">
        <f t="shared" si="864"/>
        <v>26474.482472558004</v>
      </c>
      <c r="CA219" s="138">
        <f t="shared" si="864"/>
        <v>38497.920387738683</v>
      </c>
      <c r="CB219" s="138">
        <f t="shared" si="864"/>
        <v>25202.360211108949</v>
      </c>
      <c r="CC219" s="138">
        <f t="shared" si="864"/>
        <v>25796.49712798293</v>
      </c>
      <c r="CD219" s="138">
        <f t="shared" si="864"/>
        <v>26218.494614959527</v>
      </c>
      <c r="CE219" s="139">
        <f t="shared" si="864"/>
        <v>26451.429063942163</v>
      </c>
      <c r="CF219" s="162">
        <f>SUM(BT219:CE219)</f>
        <v>325699.978060528</v>
      </c>
      <c r="CG219" s="137">
        <f t="shared" ref="CG219:CR219" si="865">+CG215-CG208</f>
        <v>25100.864456802479</v>
      </c>
      <c r="CH219" s="138">
        <f t="shared" si="865"/>
        <v>25871.722318565106</v>
      </c>
      <c r="CI219" s="138">
        <f t="shared" si="865"/>
        <v>26807.291717219581</v>
      </c>
      <c r="CJ219" s="138">
        <f t="shared" si="865"/>
        <v>25544.911824335853</v>
      </c>
      <c r="CK219" s="138">
        <f t="shared" si="865"/>
        <v>26197.105741730171</v>
      </c>
      <c r="CL219" s="138">
        <f t="shared" si="865"/>
        <v>26701.149653268942</v>
      </c>
      <c r="CM219" s="138">
        <f t="shared" si="865"/>
        <v>24742.40125459394</v>
      </c>
      <c r="CN219" s="138">
        <f t="shared" si="865"/>
        <v>22653.883471478002</v>
      </c>
      <c r="CO219" s="138">
        <f t="shared" si="865"/>
        <v>22532.817887448684</v>
      </c>
      <c r="CP219" s="138">
        <f t="shared" si="865"/>
        <v>23941.717974796735</v>
      </c>
      <c r="CQ219" s="138">
        <f t="shared" si="865"/>
        <v>14175.22596496012</v>
      </c>
      <c r="CR219" s="139">
        <f t="shared" si="865"/>
        <v>14320.370864222734</v>
      </c>
      <c r="CS219" s="162">
        <f>SUM(CG219:CR219)</f>
        <v>278589.46312942239</v>
      </c>
      <c r="CT219" s="137">
        <f t="shared" ref="CT219:DE219" si="866">+CT215-CT208</f>
        <v>12115.720025029294</v>
      </c>
      <c r="CU219" s="138">
        <f t="shared" si="866"/>
        <v>12462.162958182036</v>
      </c>
      <c r="CV219" s="138">
        <f t="shared" si="866"/>
        <v>12715.634470753781</v>
      </c>
      <c r="CW219" s="138">
        <f t="shared" si="866"/>
        <v>12868.506599609005</v>
      </c>
      <c r="CX219" s="138">
        <f t="shared" si="866"/>
        <v>12978.668534819477</v>
      </c>
      <c r="CY219" s="138">
        <f t="shared" si="866"/>
        <v>13038.684383711559</v>
      </c>
      <c r="CZ219" s="138">
        <f t="shared" si="866"/>
        <v>49897.288763692864</v>
      </c>
      <c r="DA219" s="138">
        <f t="shared" si="866"/>
        <v>9286.4146630599735</v>
      </c>
      <c r="DB219" s="138">
        <f t="shared" si="866"/>
        <v>9050.0591208143087</v>
      </c>
      <c r="DC219" s="138">
        <f t="shared" si="866"/>
        <v>8724.2465518677454</v>
      </c>
      <c r="DD219" s="138">
        <f t="shared" si="866"/>
        <v>8309.1154361806439</v>
      </c>
      <c r="DE219" s="139">
        <f t="shared" si="866"/>
        <v>54002.635349586191</v>
      </c>
      <c r="DF219" s="162">
        <f>SUM(CT219:DE219)</f>
        <v>215449.1368573069</v>
      </c>
      <c r="DG219" s="279">
        <f>+DG215-DG208</f>
        <v>107882.38685474546</v>
      </c>
      <c r="DH219" s="90">
        <f t="shared" si="814"/>
        <v>600537.23617357749</v>
      </c>
      <c r="DI219" s="91">
        <f>+E219</f>
        <v>1419511.2512208347</v>
      </c>
      <c r="DJ219" s="92">
        <f>+DI219-DH219</f>
        <v>818974.01504725718</v>
      </c>
      <c r="DK219" s="64">
        <f>+DH219/DH218</f>
        <v>0.83153532690548904</v>
      </c>
    </row>
    <row r="220" spans="1:115" ht="15" customHeight="1">
      <c r="A220" s="591"/>
      <c r="B220" s="592"/>
      <c r="C220" s="201" t="s">
        <v>11</v>
      </c>
      <c r="D220" s="239"/>
      <c r="E220" s="202">
        <f t="shared" ref="E220:R220" si="867">+E218-E219</f>
        <v>166254.49034059746</v>
      </c>
      <c r="F220" s="203">
        <f t="shared" si="867"/>
        <v>3754.2370000000001</v>
      </c>
      <c r="G220" s="204">
        <f t="shared" si="867"/>
        <v>525.88770098882196</v>
      </c>
      <c r="H220" s="204">
        <f t="shared" si="867"/>
        <v>999.6896784275732</v>
      </c>
      <c r="I220" s="204">
        <f t="shared" si="867"/>
        <v>-392.51003939003363</v>
      </c>
      <c r="J220" s="204">
        <f t="shared" si="867"/>
        <v>-59.22341082939397</v>
      </c>
      <c r="K220" s="204">
        <f t="shared" si="867"/>
        <v>-1123.3990477682405</v>
      </c>
      <c r="L220" s="204">
        <f t="shared" si="867"/>
        <v>1446.9356200897628</v>
      </c>
      <c r="M220" s="204">
        <f t="shared" si="867"/>
        <v>-373.52828763566754</v>
      </c>
      <c r="N220" s="204">
        <f t="shared" si="867"/>
        <v>-244.02313484087108</v>
      </c>
      <c r="O220" s="204">
        <f t="shared" si="867"/>
        <v>-152.96221800829869</v>
      </c>
      <c r="P220" s="204">
        <f t="shared" si="867"/>
        <v>-504.39956081247442</v>
      </c>
      <c r="Q220" s="204">
        <f t="shared" si="867"/>
        <v>24611.095853884501</v>
      </c>
      <c r="R220" s="205">
        <f t="shared" si="867"/>
        <v>1399.4139607068605</v>
      </c>
      <c r="S220" s="112">
        <f>SUM(G220:R220)</f>
        <v>26132.97711481254</v>
      </c>
      <c r="T220" s="206">
        <f t="shared" ref="T220:AE220" si="868">+T218-T219</f>
        <v>155.11948850835734</v>
      </c>
      <c r="U220" s="204">
        <f t="shared" si="868"/>
        <v>40.510148814391187</v>
      </c>
      <c r="V220" s="204">
        <f t="shared" si="868"/>
        <v>-347.69145495532098</v>
      </c>
      <c r="W220" s="204">
        <f t="shared" si="868"/>
        <v>-247.88489835765722</v>
      </c>
      <c r="X220" s="204">
        <f t="shared" si="868"/>
        <v>-373.87624181659635</v>
      </c>
      <c r="Y220" s="204">
        <f t="shared" si="868"/>
        <v>-206.41166583442373</v>
      </c>
      <c r="Z220" s="204">
        <f t="shared" si="868"/>
        <v>-6.6408619645346789</v>
      </c>
      <c r="AA220" s="204">
        <f t="shared" si="868"/>
        <v>548.40305742781311</v>
      </c>
      <c r="AB220" s="204">
        <f t="shared" si="868"/>
        <v>-341.4694146390998</v>
      </c>
      <c r="AC220" s="204">
        <f t="shared" si="868"/>
        <v>-635.35119031990212</v>
      </c>
      <c r="AD220" s="204">
        <f t="shared" si="868"/>
        <v>1263.8579384415179</v>
      </c>
      <c r="AE220" s="205">
        <f t="shared" si="868"/>
        <v>26120.999725399379</v>
      </c>
      <c r="AF220" s="112">
        <f>SUM(T220:AE220)</f>
        <v>25969.564630703924</v>
      </c>
      <c r="AG220" s="206">
        <f t="shared" ref="AG220:AR220" si="869">+AG218-AG219</f>
        <v>-113.85577583459781</v>
      </c>
      <c r="AH220" s="204">
        <f t="shared" si="869"/>
        <v>-232.94401363369252</v>
      </c>
      <c r="AI220" s="204">
        <f t="shared" si="869"/>
        <v>43.704654241393655</v>
      </c>
      <c r="AJ220" s="204">
        <f t="shared" si="869"/>
        <v>-161.88308491907992</v>
      </c>
      <c r="AK220" s="204">
        <f t="shared" si="869"/>
        <v>378.01215464155348</v>
      </c>
      <c r="AL220" s="204">
        <f t="shared" si="869"/>
        <v>-131.64581671459291</v>
      </c>
      <c r="AM220" s="204">
        <f t="shared" si="869"/>
        <v>649.52820946126576</v>
      </c>
      <c r="AN220" s="204">
        <f t="shared" si="869"/>
        <v>1457.0214711920908</v>
      </c>
      <c r="AO220" s="204">
        <f t="shared" si="869"/>
        <v>-733.21737512780692</v>
      </c>
      <c r="AP220" s="204">
        <f t="shared" si="869"/>
        <v>-454.52647017903996</v>
      </c>
      <c r="AQ220" s="204">
        <f t="shared" si="869"/>
        <v>-804.58785299132296</v>
      </c>
      <c r="AR220" s="205">
        <f t="shared" si="869"/>
        <v>3082.9200342465756</v>
      </c>
      <c r="AS220" s="401">
        <f>SUM(AG220:AR220)</f>
        <v>2978.526134382746</v>
      </c>
      <c r="AT220" s="206">
        <f t="shared" ref="AT220:BE220" si="870">+AT218-AT219</f>
        <v>3564.0234580848683</v>
      </c>
      <c r="AU220" s="204">
        <f t="shared" si="870"/>
        <v>2688.3310511307018</v>
      </c>
      <c r="AV220" s="204">
        <f t="shared" si="870"/>
        <v>715.02523120685828</v>
      </c>
      <c r="AW220" s="204">
        <f t="shared" si="870"/>
        <v>-709.0053408323538</v>
      </c>
      <c r="AX220" s="204">
        <f t="shared" si="870"/>
        <v>-7075.0537966951561</v>
      </c>
      <c r="AY220" s="204">
        <f t="shared" si="870"/>
        <v>-4847.4862225812576</v>
      </c>
      <c r="AZ220" s="204">
        <f t="shared" si="870"/>
        <v>-9857.7443840753131</v>
      </c>
      <c r="BA220" s="204">
        <f t="shared" si="870"/>
        <v>-1239.2213628678901</v>
      </c>
      <c r="BB220" s="204">
        <f t="shared" si="870"/>
        <v>-1392.3098467301515</v>
      </c>
      <c r="BC220" s="204">
        <f t="shared" si="870"/>
        <v>-335.45236394256608</v>
      </c>
      <c r="BD220" s="204">
        <f t="shared" si="870"/>
        <v>-531.55627306860879</v>
      </c>
      <c r="BE220" s="205">
        <f t="shared" si="870"/>
        <v>-728.19094022168065</v>
      </c>
      <c r="BF220" s="112">
        <f>SUM(AT220:BE220)</f>
        <v>-19748.640790592548</v>
      </c>
      <c r="BG220" s="206">
        <f t="shared" ref="BG220:BR220" si="871">+BG218-BG219</f>
        <v>2569.6810046481733</v>
      </c>
      <c r="BH220" s="204">
        <f t="shared" si="871"/>
        <v>-4724.8969236623052</v>
      </c>
      <c r="BI220" s="204">
        <f t="shared" si="871"/>
        <v>-3447.4856969974317</v>
      </c>
      <c r="BJ220" s="204">
        <f t="shared" si="871"/>
        <v>7542.5423404954563</v>
      </c>
      <c r="BK220" s="204">
        <f t="shared" si="871"/>
        <v>-2790.40700516168</v>
      </c>
      <c r="BL220" s="204">
        <f t="shared" si="871"/>
        <v>-951.05199262388487</v>
      </c>
      <c r="BM220" s="204">
        <f t="shared" si="871"/>
        <v>61374.735109068672</v>
      </c>
      <c r="BN220" s="204">
        <f t="shared" si="871"/>
        <v>553.58844762099397</v>
      </c>
      <c r="BO220" s="204">
        <f t="shared" si="871"/>
        <v>1615.9734249179346</v>
      </c>
      <c r="BP220" s="204">
        <f t="shared" si="871"/>
        <v>94.172590329577361</v>
      </c>
      <c r="BQ220" s="204">
        <f t="shared" si="871"/>
        <v>3151.3332824232057</v>
      </c>
      <c r="BR220" s="205">
        <f t="shared" si="871"/>
        <v>5793.6395531345697</v>
      </c>
      <c r="BS220" s="112">
        <f>SUM(BG220:BR220)</f>
        <v>70781.824134193273</v>
      </c>
      <c r="BT220" s="206">
        <f t="shared" ref="BT220:CE220" si="872">+BT218-BT219</f>
        <v>6670.2142313994191</v>
      </c>
      <c r="BU220" s="204">
        <f t="shared" si="872"/>
        <v>3095.731356993143</v>
      </c>
      <c r="BV220" s="204">
        <f t="shared" si="872"/>
        <v>-358.85780740031259</v>
      </c>
      <c r="BW220" s="204">
        <f t="shared" si="872"/>
        <v>255.76266624271739</v>
      </c>
      <c r="BX220" s="204">
        <f t="shared" si="872"/>
        <v>1047.7381533134903</v>
      </c>
      <c r="BY220" s="204">
        <f t="shared" si="872"/>
        <v>561.32087678121752</v>
      </c>
      <c r="BZ220" s="204">
        <f t="shared" si="872"/>
        <v>1422.608921257277</v>
      </c>
      <c r="CA220" s="204">
        <f t="shared" si="872"/>
        <v>-10614.608957113807</v>
      </c>
      <c r="CB220" s="204">
        <f t="shared" si="872"/>
        <v>1266.9709776001982</v>
      </c>
      <c r="CC220" s="204">
        <f t="shared" si="872"/>
        <v>1404.2216763804172</v>
      </c>
      <c r="CD220" s="204">
        <f t="shared" si="872"/>
        <v>1507.9202441130074</v>
      </c>
      <c r="CE220" s="205">
        <f t="shared" si="872"/>
        <v>2023.2901618832329</v>
      </c>
      <c r="CF220" s="112">
        <f>SUM(BT220:CE220)</f>
        <v>8282.3125014500001</v>
      </c>
      <c r="CG220" s="206">
        <f t="shared" ref="CG220:CR220" si="873">+CG218-CG219</f>
        <v>1542.66174600671</v>
      </c>
      <c r="CH220" s="204">
        <f t="shared" si="873"/>
        <v>1635.7556020426528</v>
      </c>
      <c r="CI220" s="204">
        <f t="shared" si="873"/>
        <v>1748.4853462687461</v>
      </c>
      <c r="CJ220" s="204">
        <f t="shared" si="873"/>
        <v>1861.9186504010904</v>
      </c>
      <c r="CK220" s="204">
        <f t="shared" si="873"/>
        <v>1946.0046246117054</v>
      </c>
      <c r="CL220" s="204">
        <f t="shared" si="873"/>
        <v>2015.0355090207267</v>
      </c>
      <c r="CM220" s="204">
        <f t="shared" si="873"/>
        <v>2301.1952960483686</v>
      </c>
      <c r="CN220" s="204">
        <f t="shared" si="873"/>
        <v>1810.9051484695337</v>
      </c>
      <c r="CO220" s="204">
        <f t="shared" si="873"/>
        <v>1809.8295468181386</v>
      </c>
      <c r="CP220" s="204">
        <f t="shared" si="873"/>
        <v>1869.3035152571429</v>
      </c>
      <c r="CQ220" s="204">
        <f t="shared" si="873"/>
        <v>1050.1260986493962</v>
      </c>
      <c r="CR220" s="205">
        <f t="shared" si="873"/>
        <v>1512.6043997694178</v>
      </c>
      <c r="CS220" s="112">
        <f>SUM(CG220:CR220)</f>
        <v>21103.825483363627</v>
      </c>
      <c r="CT220" s="206">
        <f t="shared" ref="CT220:DE220" si="874">+CT218-CT219</f>
        <v>753.65819116422063</v>
      </c>
      <c r="CU220" s="204">
        <f t="shared" si="874"/>
        <v>801.51049400509328</v>
      </c>
      <c r="CV220" s="204">
        <f t="shared" si="874"/>
        <v>838.74743783089798</v>
      </c>
      <c r="CW220" s="204">
        <f t="shared" si="874"/>
        <v>864.32234241699189</v>
      </c>
      <c r="CX220" s="204">
        <f t="shared" si="874"/>
        <v>884.45529872271072</v>
      </c>
      <c r="CY220" s="204">
        <f t="shared" si="874"/>
        <v>898.09613613848524</v>
      </c>
      <c r="CZ220" s="204">
        <f t="shared" si="874"/>
        <v>5931.6742559632039</v>
      </c>
      <c r="DA220" s="204">
        <f t="shared" si="874"/>
        <v>403.11638486758784</v>
      </c>
      <c r="DB220" s="204">
        <f t="shared" si="874"/>
        <v>381.9694723300363</v>
      </c>
      <c r="DC220" s="204">
        <f t="shared" si="874"/>
        <v>350.30596721385336</v>
      </c>
      <c r="DD220" s="204">
        <f t="shared" si="874"/>
        <v>308.00989298545574</v>
      </c>
      <c r="DE220" s="205">
        <f t="shared" si="874"/>
        <v>6541.0456695638422</v>
      </c>
      <c r="DF220" s="112">
        <f>SUM(CT220:DE220)</f>
        <v>18956.911543202379</v>
      </c>
      <c r="DG220" s="205">
        <f>+DG218-DG219</f>
        <v>11797.18958908155</v>
      </c>
      <c r="DH220" s="98">
        <f t="shared" si="814"/>
        <v>121665.67781258149</v>
      </c>
      <c r="DI220" s="99">
        <f>+E220</f>
        <v>166254.49034059746</v>
      </c>
      <c r="DJ220" s="100">
        <f>+DI220-DH220</f>
        <v>44588.812528015973</v>
      </c>
    </row>
    <row r="221" spans="1:115" ht="15" customHeight="1">
      <c r="A221" s="257"/>
      <c r="B221" s="257"/>
      <c r="C221" s="54"/>
      <c r="D221" s="54"/>
      <c r="E221" s="258"/>
      <c r="F221" s="256"/>
      <c r="G221" s="259"/>
      <c r="H221" s="259"/>
      <c r="I221" s="259"/>
      <c r="J221" s="259"/>
      <c r="K221" s="259"/>
      <c r="L221" s="259"/>
      <c r="M221" s="259"/>
      <c r="N221" s="259"/>
      <c r="O221" s="259"/>
      <c r="P221" s="259"/>
      <c r="Q221" s="259"/>
      <c r="R221" s="259"/>
      <c r="S221" s="256"/>
      <c r="T221" s="259"/>
      <c r="U221" s="259"/>
      <c r="V221" s="259"/>
      <c r="W221" s="259"/>
      <c r="X221" s="259"/>
      <c r="Y221" s="259"/>
      <c r="Z221" s="259"/>
      <c r="AA221" s="259"/>
      <c r="AB221" s="259"/>
      <c r="AC221" s="259"/>
      <c r="AD221" s="259"/>
      <c r="AE221" s="259"/>
      <c r="AF221" s="256"/>
      <c r="AG221" s="259"/>
      <c r="AH221" s="259"/>
      <c r="AI221" s="259"/>
      <c r="AJ221" s="259"/>
      <c r="AK221" s="259"/>
      <c r="AL221" s="259"/>
      <c r="AM221" s="259"/>
      <c r="AN221" s="259"/>
      <c r="AO221" s="259"/>
      <c r="AP221" s="259"/>
      <c r="AQ221" s="259"/>
      <c r="AR221" s="259"/>
      <c r="AS221" s="417"/>
      <c r="AT221" s="259"/>
      <c r="AU221" s="259"/>
      <c r="AV221" s="259"/>
      <c r="AW221" s="259"/>
      <c r="AX221" s="259"/>
      <c r="AY221" s="259"/>
      <c r="AZ221" s="259"/>
      <c r="BA221" s="259"/>
      <c r="BB221" s="259"/>
      <c r="BC221" s="259"/>
      <c r="BD221" s="259"/>
      <c r="BE221" s="259"/>
      <c r="BF221" s="256"/>
      <c r="BG221" s="259"/>
      <c r="BH221" s="259"/>
      <c r="BI221" s="259"/>
      <c r="BJ221" s="259"/>
      <c r="BK221" s="259"/>
      <c r="BL221" s="259"/>
      <c r="BM221" s="259"/>
      <c r="BN221" s="259"/>
      <c r="BO221" s="259"/>
      <c r="BP221" s="259"/>
      <c r="BQ221" s="259"/>
      <c r="BR221" s="259"/>
      <c r="BS221" s="256"/>
      <c r="BT221" s="259"/>
      <c r="BU221" s="259"/>
      <c r="BV221" s="259"/>
      <c r="BW221" s="259"/>
      <c r="BX221" s="259"/>
      <c r="BY221" s="259"/>
      <c r="BZ221" s="259"/>
      <c r="CA221" s="259"/>
      <c r="CB221" s="259"/>
      <c r="CC221" s="259"/>
      <c r="CD221" s="259"/>
      <c r="CE221" s="259"/>
      <c r="CF221" s="256"/>
      <c r="CG221" s="259"/>
      <c r="CH221" s="259"/>
      <c r="CI221" s="259"/>
      <c r="CJ221" s="259"/>
      <c r="CK221" s="259"/>
      <c r="CL221" s="259"/>
      <c r="CM221" s="259"/>
      <c r="CN221" s="259"/>
      <c r="CO221" s="259"/>
      <c r="CP221" s="259"/>
      <c r="CQ221" s="259"/>
      <c r="CR221" s="259"/>
      <c r="CS221" s="256"/>
      <c r="CT221" s="259"/>
      <c r="CU221" s="259"/>
      <c r="CV221" s="259"/>
      <c r="CW221" s="259"/>
      <c r="CX221" s="259"/>
      <c r="CY221" s="259"/>
      <c r="CZ221" s="259"/>
      <c r="DA221" s="259"/>
      <c r="DB221" s="259"/>
      <c r="DC221" s="259"/>
      <c r="DD221" s="259"/>
      <c r="DE221" s="259"/>
      <c r="DF221" s="256"/>
      <c r="DG221" s="259"/>
      <c r="DH221" s="260">
        <f>+F221+S221+AF221+AS221+BF221+BS221</f>
        <v>0</v>
      </c>
      <c r="DI221" s="260"/>
      <c r="DJ221" s="260"/>
    </row>
    <row r="222" spans="1:115" ht="15" customHeight="1">
      <c r="A222" s="598" t="s">
        <v>125</v>
      </c>
      <c r="B222" s="546" t="s">
        <v>82</v>
      </c>
      <c r="C222" s="152" t="s">
        <v>62</v>
      </c>
      <c r="D222" s="232"/>
      <c r="E222" s="153">
        <f>AF222+AS222+BF222+BS222+CF222+CS222+DF222+S222+DG222</f>
        <v>0</v>
      </c>
      <c r="F222" s="153"/>
      <c r="G222" s="154"/>
      <c r="H222" s="155"/>
      <c r="I222" s="155"/>
      <c r="J222" s="155"/>
      <c r="K222" s="155"/>
      <c r="L222" s="155"/>
      <c r="M222" s="155"/>
      <c r="N222" s="155"/>
      <c r="O222" s="155"/>
      <c r="P222" s="155"/>
      <c r="Q222" s="155"/>
      <c r="R222" s="156"/>
      <c r="S222" s="180">
        <f t="shared" ref="S222:S248" si="875">SUM(G222:R222)</f>
        <v>0</v>
      </c>
      <c r="T222" s="378"/>
      <c r="U222" s="382"/>
      <c r="V222" s="382"/>
      <c r="W222" s="382"/>
      <c r="X222" s="382"/>
      <c r="Y222" s="382"/>
      <c r="Z222" s="382"/>
      <c r="AA222" s="382"/>
      <c r="AB222" s="382"/>
      <c r="AC222" s="382"/>
      <c r="AD222" s="382"/>
      <c r="AE222" s="485"/>
      <c r="AF222" s="180">
        <f t="shared" ref="AF222:AF248" si="876">SUM(T222:AE222)</f>
        <v>0</v>
      </c>
      <c r="AG222" s="512"/>
      <c r="AH222" s="513"/>
      <c r="AI222" s="513"/>
      <c r="AJ222" s="513"/>
      <c r="AK222" s="513"/>
      <c r="AL222" s="513"/>
      <c r="AM222" s="512"/>
      <c r="AN222" s="513"/>
      <c r="AO222" s="513"/>
      <c r="AP222" s="513"/>
      <c r="AQ222" s="513"/>
      <c r="AR222" s="512"/>
      <c r="AS222" s="413">
        <f t="shared" ref="AS222:AS248" si="877">SUM(AG222:AR222)</f>
        <v>0</v>
      </c>
      <c r="AT222" s="500"/>
      <c r="AU222" s="513"/>
      <c r="AV222" s="513"/>
      <c r="AW222" s="513"/>
      <c r="AX222" s="513"/>
      <c r="AY222" s="513"/>
      <c r="AZ222" s="155"/>
      <c r="BA222" s="155"/>
      <c r="BB222" s="155"/>
      <c r="BC222" s="155"/>
      <c r="BD222" s="155"/>
      <c r="BE222" s="156"/>
      <c r="BF222" s="180">
        <f t="shared" ref="BF222:BF248" si="878">SUM(AT222:BE222)</f>
        <v>0</v>
      </c>
      <c r="BG222" s="158"/>
      <c r="BH222" s="155"/>
      <c r="BI222" s="155"/>
      <c r="BJ222" s="155"/>
      <c r="BK222" s="155"/>
      <c r="BL222" s="155"/>
      <c r="BM222" s="155"/>
      <c r="BN222" s="155"/>
      <c r="BO222" s="155"/>
      <c r="BP222" s="155"/>
      <c r="BQ222" s="155"/>
      <c r="BR222" s="156"/>
      <c r="BS222" s="180">
        <f t="shared" ref="BS222:BS248" si="879">SUM(BG222:BR222)</f>
        <v>0</v>
      </c>
      <c r="BT222" s="158"/>
      <c r="BU222" s="155"/>
      <c r="BV222" s="155"/>
      <c r="BW222" s="155"/>
      <c r="BX222" s="155"/>
      <c r="BY222" s="155"/>
      <c r="BZ222" s="155">
        <f>AX223+AY223</f>
        <v>0</v>
      </c>
      <c r="CA222" s="155"/>
      <c r="CB222" s="155"/>
      <c r="CC222" s="155"/>
      <c r="CD222" s="155"/>
      <c r="CE222" s="156"/>
      <c r="CF222" s="180">
        <f t="shared" ref="CF222:CF248" si="880">SUM(BT222:CE222)</f>
        <v>0</v>
      </c>
      <c r="CG222" s="158"/>
      <c r="CH222" s="155"/>
      <c r="CI222" s="155"/>
      <c r="CJ222" s="155"/>
      <c r="CK222" s="155"/>
      <c r="CL222" s="155"/>
      <c r="CM222" s="155"/>
      <c r="CN222" s="155"/>
      <c r="CO222" s="155"/>
      <c r="CP222" s="155"/>
      <c r="CQ222" s="155"/>
      <c r="CR222" s="156"/>
      <c r="CS222" s="180">
        <f t="shared" ref="CS222:CS248" si="881">SUM(CG222:CR222)</f>
        <v>0</v>
      </c>
      <c r="CT222" s="158"/>
      <c r="CU222" s="155"/>
      <c r="CV222" s="155"/>
      <c r="CW222" s="155"/>
      <c r="CX222" s="155"/>
      <c r="CY222" s="155"/>
      <c r="CZ222" s="155"/>
      <c r="DA222" s="155"/>
      <c r="DB222" s="155"/>
      <c r="DC222" s="155"/>
      <c r="DD222" s="155"/>
      <c r="DE222" s="156"/>
      <c r="DF222" s="180">
        <f t="shared" ref="DF222:DF248" si="882">SUM(CT222:DE222)</f>
        <v>0</v>
      </c>
      <c r="DG222" s="280"/>
      <c r="DH222" s="159">
        <f t="shared" si="814"/>
        <v>0</v>
      </c>
      <c r="DI222" s="160">
        <f t="shared" ref="DI222:DI248" si="883">+E222</f>
        <v>0</v>
      </c>
      <c r="DJ222" s="161">
        <f t="shared" ref="DJ222:DJ248" si="884">+DI222-DH222</f>
        <v>0</v>
      </c>
    </row>
    <row r="223" spans="1:115" ht="15" customHeight="1">
      <c r="A223" s="599"/>
      <c r="B223" s="548"/>
      <c r="C223" s="135" t="s">
        <v>63</v>
      </c>
      <c r="D223" s="230"/>
      <c r="E223" s="364">
        <f>AF223+AS223+BF223+BS223+CF223+CS223+DF223+S223+DG223</f>
        <v>3962.6919201484902</v>
      </c>
      <c r="F223" s="136"/>
      <c r="G223" s="137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9"/>
      <c r="S223" s="140">
        <f t="shared" si="875"/>
        <v>0</v>
      </c>
      <c r="T223" s="380"/>
      <c r="U223" s="381"/>
      <c r="V223" s="381"/>
      <c r="W223" s="381"/>
      <c r="X223" s="381"/>
      <c r="Y223" s="381"/>
      <c r="Z223" s="381"/>
      <c r="AA223" s="381"/>
      <c r="AB223" s="381"/>
      <c r="AC223" s="381"/>
      <c r="AD223" s="381"/>
      <c r="AE223" s="392"/>
      <c r="AF223" s="140">
        <f t="shared" si="876"/>
        <v>0</v>
      </c>
      <c r="AG223" s="497"/>
      <c r="AH223" s="499"/>
      <c r="AI223" s="499"/>
      <c r="AJ223" s="499"/>
      <c r="AK223" s="499"/>
      <c r="AL223" s="499"/>
      <c r="AM223" s="499"/>
      <c r="AN223" s="499">
        <v>3962.6919201484902</v>
      </c>
      <c r="AO223" s="499"/>
      <c r="AP223" s="499"/>
      <c r="AQ223" s="499"/>
      <c r="AR223" s="511"/>
      <c r="AS223" s="407">
        <f>SUM(AG223:AR223)</f>
        <v>3962.6919201484902</v>
      </c>
      <c r="AT223" s="501"/>
      <c r="AU223" s="499"/>
      <c r="AV223" s="499"/>
      <c r="AW223" s="499"/>
      <c r="AX223" s="499"/>
      <c r="AY223" s="499"/>
      <c r="AZ223" s="138"/>
      <c r="BA223" s="138"/>
      <c r="BB223" s="138"/>
      <c r="BC223" s="138"/>
      <c r="BD223" s="138"/>
      <c r="BE223" s="139"/>
      <c r="BF223" s="140">
        <f t="shared" si="878"/>
        <v>0</v>
      </c>
      <c r="BG223" s="141"/>
      <c r="BH223" s="138"/>
      <c r="BI223" s="138"/>
      <c r="BJ223" s="138"/>
      <c r="BK223" s="138"/>
      <c r="BL223" s="138"/>
      <c r="BM223" s="138"/>
      <c r="BN223" s="138"/>
      <c r="BO223" s="138"/>
      <c r="BP223" s="138"/>
      <c r="BQ223" s="138"/>
      <c r="BR223" s="139"/>
      <c r="BS223" s="140">
        <f t="shared" si="879"/>
        <v>0</v>
      </c>
      <c r="BT223" s="141"/>
      <c r="BU223" s="138"/>
      <c r="BV223" s="138"/>
      <c r="BW223" s="138"/>
      <c r="BX223" s="138"/>
      <c r="BY223" s="138"/>
      <c r="BZ223" s="138"/>
      <c r="CA223" s="138"/>
      <c r="CB223" s="138"/>
      <c r="CC223" s="138"/>
      <c r="CD223" s="138"/>
      <c r="CE223" s="139"/>
      <c r="CF223" s="140">
        <f t="shared" si="880"/>
        <v>0</v>
      </c>
      <c r="CG223" s="141"/>
      <c r="CH223" s="138"/>
      <c r="CI223" s="138"/>
      <c r="CJ223" s="138"/>
      <c r="CK223" s="138"/>
      <c r="CL223" s="138"/>
      <c r="CM223" s="138"/>
      <c r="CN223" s="138"/>
      <c r="CO223" s="138"/>
      <c r="CP223" s="138"/>
      <c r="CQ223" s="138"/>
      <c r="CR223" s="139"/>
      <c r="CS223" s="140">
        <f t="shared" si="881"/>
        <v>0</v>
      </c>
      <c r="CT223" s="141"/>
      <c r="CU223" s="138"/>
      <c r="CV223" s="138"/>
      <c r="CW223" s="138"/>
      <c r="CX223" s="138"/>
      <c r="CY223" s="138"/>
      <c r="CZ223" s="138"/>
      <c r="DA223" s="138"/>
      <c r="DB223" s="138"/>
      <c r="DC223" s="138"/>
      <c r="DD223" s="138"/>
      <c r="DE223" s="139"/>
      <c r="DF223" s="140">
        <f t="shared" si="882"/>
        <v>0</v>
      </c>
      <c r="DG223" s="279"/>
      <c r="DH223" s="90">
        <f t="shared" si="814"/>
        <v>3962.6919201484902</v>
      </c>
      <c r="DI223" s="91">
        <f t="shared" si="883"/>
        <v>3962.6919201484902</v>
      </c>
      <c r="DJ223" s="92">
        <f t="shared" si="884"/>
        <v>0</v>
      </c>
      <c r="DK223" s="64"/>
    </row>
    <row r="224" spans="1:115" ht="15" customHeight="1">
      <c r="A224" s="599"/>
      <c r="B224" s="556"/>
      <c r="C224" s="142" t="s">
        <v>11</v>
      </c>
      <c r="D224" s="231"/>
      <c r="E224" s="143">
        <f t="shared" ref="E224:R224" si="885">+E222-E223</f>
        <v>-3962.6919201484902</v>
      </c>
      <c r="F224" s="144">
        <f t="shared" si="885"/>
        <v>0</v>
      </c>
      <c r="G224" s="145">
        <f t="shared" si="885"/>
        <v>0</v>
      </c>
      <c r="H224" s="145">
        <f t="shared" si="885"/>
        <v>0</v>
      </c>
      <c r="I224" s="145">
        <f t="shared" si="885"/>
        <v>0</v>
      </c>
      <c r="J224" s="145">
        <f t="shared" si="885"/>
        <v>0</v>
      </c>
      <c r="K224" s="145">
        <f t="shared" si="885"/>
        <v>0</v>
      </c>
      <c r="L224" s="145">
        <f t="shared" si="885"/>
        <v>0</v>
      </c>
      <c r="M224" s="145">
        <f t="shared" si="885"/>
        <v>0</v>
      </c>
      <c r="N224" s="145">
        <f t="shared" si="885"/>
        <v>0</v>
      </c>
      <c r="O224" s="145">
        <f t="shared" si="885"/>
        <v>0</v>
      </c>
      <c r="P224" s="145">
        <f t="shared" si="885"/>
        <v>0</v>
      </c>
      <c r="Q224" s="145">
        <f t="shared" si="885"/>
        <v>0</v>
      </c>
      <c r="R224" s="146">
        <f t="shared" si="885"/>
        <v>0</v>
      </c>
      <c r="S224" s="147">
        <f t="shared" si="875"/>
        <v>0</v>
      </c>
      <c r="T224" s="148">
        <f t="shared" ref="T224:AE224" si="886">+T222-T223</f>
        <v>0</v>
      </c>
      <c r="U224" s="145">
        <f t="shared" si="886"/>
        <v>0</v>
      </c>
      <c r="V224" s="145">
        <f t="shared" si="886"/>
        <v>0</v>
      </c>
      <c r="W224" s="145">
        <f t="shared" si="886"/>
        <v>0</v>
      </c>
      <c r="X224" s="145">
        <f t="shared" si="886"/>
        <v>0</v>
      </c>
      <c r="Y224" s="145">
        <f t="shared" si="886"/>
        <v>0</v>
      </c>
      <c r="Z224" s="145">
        <f t="shared" si="886"/>
        <v>0</v>
      </c>
      <c r="AA224" s="145">
        <f t="shared" si="886"/>
        <v>0</v>
      </c>
      <c r="AB224" s="145">
        <f t="shared" si="886"/>
        <v>0</v>
      </c>
      <c r="AC224" s="145">
        <f t="shared" si="886"/>
        <v>0</v>
      </c>
      <c r="AD224" s="145">
        <f t="shared" si="886"/>
        <v>0</v>
      </c>
      <c r="AE224" s="146">
        <f t="shared" si="886"/>
        <v>0</v>
      </c>
      <c r="AF224" s="147">
        <f t="shared" si="876"/>
        <v>0</v>
      </c>
      <c r="AG224" s="148">
        <f>+AG222-AG223</f>
        <v>0</v>
      </c>
      <c r="AH224" s="145">
        <f t="shared" ref="AH224:AR224" si="887">+AH222-AH223</f>
        <v>0</v>
      </c>
      <c r="AI224" s="145">
        <f t="shared" si="887"/>
        <v>0</v>
      </c>
      <c r="AJ224" s="145">
        <f t="shared" si="887"/>
        <v>0</v>
      </c>
      <c r="AK224" s="145">
        <f t="shared" si="887"/>
        <v>0</v>
      </c>
      <c r="AL224" s="145">
        <f t="shared" si="887"/>
        <v>0</v>
      </c>
      <c r="AM224" s="145">
        <f t="shared" si="887"/>
        <v>0</v>
      </c>
      <c r="AN224" s="145">
        <f t="shared" si="887"/>
        <v>-3962.6919201484902</v>
      </c>
      <c r="AO224" s="145">
        <f t="shared" si="887"/>
        <v>0</v>
      </c>
      <c r="AP224" s="145">
        <f t="shared" si="887"/>
        <v>0</v>
      </c>
      <c r="AQ224" s="145">
        <f t="shared" si="887"/>
        <v>0</v>
      </c>
      <c r="AR224" s="146">
        <f t="shared" si="887"/>
        <v>0</v>
      </c>
      <c r="AS224" s="408">
        <f t="shared" si="877"/>
        <v>-3962.6919201484902</v>
      </c>
      <c r="AT224" s="148">
        <f t="shared" ref="AT224:BE224" si="888">+AT222-AT223</f>
        <v>0</v>
      </c>
      <c r="AU224" s="145">
        <f t="shared" si="888"/>
        <v>0</v>
      </c>
      <c r="AV224" s="145">
        <f t="shared" si="888"/>
        <v>0</v>
      </c>
      <c r="AW224" s="145">
        <f t="shared" si="888"/>
        <v>0</v>
      </c>
      <c r="AX224" s="145">
        <f t="shared" si="888"/>
        <v>0</v>
      </c>
      <c r="AY224" s="145">
        <f t="shared" si="888"/>
        <v>0</v>
      </c>
      <c r="AZ224" s="145">
        <f t="shared" si="888"/>
        <v>0</v>
      </c>
      <c r="BA224" s="145">
        <f t="shared" si="888"/>
        <v>0</v>
      </c>
      <c r="BB224" s="145">
        <f t="shared" si="888"/>
        <v>0</v>
      </c>
      <c r="BC224" s="145">
        <f t="shared" si="888"/>
        <v>0</v>
      </c>
      <c r="BD224" s="145">
        <f t="shared" si="888"/>
        <v>0</v>
      </c>
      <c r="BE224" s="146">
        <f t="shared" si="888"/>
        <v>0</v>
      </c>
      <c r="BF224" s="147">
        <f t="shared" si="878"/>
        <v>0</v>
      </c>
      <c r="BG224" s="148">
        <f t="shared" ref="BG224:BR224" si="889">+BG222-BG223</f>
        <v>0</v>
      </c>
      <c r="BH224" s="145">
        <f t="shared" si="889"/>
        <v>0</v>
      </c>
      <c r="BI224" s="145">
        <f t="shared" si="889"/>
        <v>0</v>
      </c>
      <c r="BJ224" s="145">
        <f t="shared" si="889"/>
        <v>0</v>
      </c>
      <c r="BK224" s="145">
        <f t="shared" si="889"/>
        <v>0</v>
      </c>
      <c r="BL224" s="145">
        <f t="shared" si="889"/>
        <v>0</v>
      </c>
      <c r="BM224" s="145">
        <f t="shared" si="889"/>
        <v>0</v>
      </c>
      <c r="BN224" s="145">
        <f t="shared" si="889"/>
        <v>0</v>
      </c>
      <c r="BO224" s="145">
        <f t="shared" si="889"/>
        <v>0</v>
      </c>
      <c r="BP224" s="145">
        <f t="shared" si="889"/>
        <v>0</v>
      </c>
      <c r="BQ224" s="145">
        <f t="shared" si="889"/>
        <v>0</v>
      </c>
      <c r="BR224" s="146">
        <f t="shared" si="889"/>
        <v>0</v>
      </c>
      <c r="BS224" s="147">
        <f t="shared" si="879"/>
        <v>0</v>
      </c>
      <c r="BT224" s="148">
        <f t="shared" ref="BT224:CE224" si="890">+BT222-BT223</f>
        <v>0</v>
      </c>
      <c r="BU224" s="145">
        <f t="shared" si="890"/>
        <v>0</v>
      </c>
      <c r="BV224" s="145">
        <f t="shared" si="890"/>
        <v>0</v>
      </c>
      <c r="BW224" s="145">
        <f t="shared" si="890"/>
        <v>0</v>
      </c>
      <c r="BX224" s="145">
        <f t="shared" si="890"/>
        <v>0</v>
      </c>
      <c r="BY224" s="145">
        <f t="shared" si="890"/>
        <v>0</v>
      </c>
      <c r="BZ224" s="145">
        <f t="shared" si="890"/>
        <v>0</v>
      </c>
      <c r="CA224" s="145">
        <f t="shared" si="890"/>
        <v>0</v>
      </c>
      <c r="CB224" s="145">
        <f t="shared" si="890"/>
        <v>0</v>
      </c>
      <c r="CC224" s="145">
        <f t="shared" si="890"/>
        <v>0</v>
      </c>
      <c r="CD224" s="145">
        <f t="shared" si="890"/>
        <v>0</v>
      </c>
      <c r="CE224" s="146">
        <f t="shared" si="890"/>
        <v>0</v>
      </c>
      <c r="CF224" s="147">
        <f t="shared" si="880"/>
        <v>0</v>
      </c>
      <c r="CG224" s="148">
        <f t="shared" ref="CG224:CR224" si="891">+CG222-CG223</f>
        <v>0</v>
      </c>
      <c r="CH224" s="145">
        <f t="shared" si="891"/>
        <v>0</v>
      </c>
      <c r="CI224" s="145">
        <f t="shared" si="891"/>
        <v>0</v>
      </c>
      <c r="CJ224" s="145">
        <f t="shared" si="891"/>
        <v>0</v>
      </c>
      <c r="CK224" s="145">
        <f t="shared" si="891"/>
        <v>0</v>
      </c>
      <c r="CL224" s="145">
        <f t="shared" si="891"/>
        <v>0</v>
      </c>
      <c r="CM224" s="145">
        <f t="shared" si="891"/>
        <v>0</v>
      </c>
      <c r="CN224" s="145">
        <f t="shared" si="891"/>
        <v>0</v>
      </c>
      <c r="CO224" s="145">
        <f t="shared" si="891"/>
        <v>0</v>
      </c>
      <c r="CP224" s="145">
        <f t="shared" si="891"/>
        <v>0</v>
      </c>
      <c r="CQ224" s="145">
        <f t="shared" si="891"/>
        <v>0</v>
      </c>
      <c r="CR224" s="146">
        <f t="shared" si="891"/>
        <v>0</v>
      </c>
      <c r="CS224" s="147">
        <f t="shared" si="881"/>
        <v>0</v>
      </c>
      <c r="CT224" s="148">
        <f t="shared" ref="CT224:DE224" si="892">+CT222-CT223</f>
        <v>0</v>
      </c>
      <c r="CU224" s="145">
        <f t="shared" si="892"/>
        <v>0</v>
      </c>
      <c r="CV224" s="145">
        <f t="shared" si="892"/>
        <v>0</v>
      </c>
      <c r="CW224" s="145">
        <f t="shared" si="892"/>
        <v>0</v>
      </c>
      <c r="CX224" s="145">
        <f t="shared" si="892"/>
        <v>0</v>
      </c>
      <c r="CY224" s="145">
        <f t="shared" si="892"/>
        <v>0</v>
      </c>
      <c r="CZ224" s="145">
        <f t="shared" si="892"/>
        <v>0</v>
      </c>
      <c r="DA224" s="145">
        <f t="shared" si="892"/>
        <v>0</v>
      </c>
      <c r="DB224" s="145">
        <f t="shared" si="892"/>
        <v>0</v>
      </c>
      <c r="DC224" s="145">
        <f t="shared" si="892"/>
        <v>0</v>
      </c>
      <c r="DD224" s="145">
        <f t="shared" si="892"/>
        <v>0</v>
      </c>
      <c r="DE224" s="146">
        <f t="shared" si="892"/>
        <v>0</v>
      </c>
      <c r="DF224" s="147">
        <f t="shared" si="882"/>
        <v>0</v>
      </c>
      <c r="DG224" s="146">
        <f>+DG222-DG223</f>
        <v>0</v>
      </c>
      <c r="DH224" s="149">
        <f t="shared" si="814"/>
        <v>-3962.6919201484902</v>
      </c>
      <c r="DI224" s="150">
        <f t="shared" si="883"/>
        <v>-3962.6919201484902</v>
      </c>
      <c r="DJ224" s="151">
        <f t="shared" si="884"/>
        <v>0</v>
      </c>
    </row>
    <row r="225" spans="1:115" ht="15" customHeight="1">
      <c r="A225" s="599"/>
      <c r="B225" s="546" t="s">
        <v>18</v>
      </c>
      <c r="C225" s="152" t="s">
        <v>62</v>
      </c>
      <c r="D225" s="235"/>
      <c r="E225" s="136">
        <f t="shared" ref="E225:E244" si="893">AF225+AS225+BF225+BS225+CF225+CS225+DF225+S225+DG225</f>
        <v>49.734937139454821</v>
      </c>
      <c r="F225" s="128"/>
      <c r="G225" s="129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1"/>
      <c r="S225" s="132">
        <f t="shared" si="875"/>
        <v>0</v>
      </c>
      <c r="T225" s="385">
        <v>6.663915824221168</v>
      </c>
      <c r="U225" s="379">
        <v>2.2228127555192101</v>
      </c>
      <c r="V225" s="379">
        <v>2.5554341998375301</v>
      </c>
      <c r="W225" s="379">
        <v>4.7719409869964604</v>
      </c>
      <c r="X225" s="379">
        <v>2.1795989537925022</v>
      </c>
      <c r="Y225" s="379"/>
      <c r="Z225" s="379"/>
      <c r="AA225" s="379">
        <v>2.0075605244108399</v>
      </c>
      <c r="AB225" s="379">
        <v>1.8644136642430642</v>
      </c>
      <c r="AC225" s="379">
        <v>3.3216022776701331</v>
      </c>
      <c r="AD225" s="379"/>
      <c r="AE225" s="480">
        <v>0.65627821172037526</v>
      </c>
      <c r="AF225" s="132">
        <f t="shared" si="876"/>
        <v>26.243557398411284</v>
      </c>
      <c r="AG225" s="496">
        <v>1.2634132738427217</v>
      </c>
      <c r="AH225" s="510"/>
      <c r="AI225" s="510">
        <v>3.0346188410893604</v>
      </c>
      <c r="AJ225" s="510">
        <v>2.9494099104294005</v>
      </c>
      <c r="AK225" s="510"/>
      <c r="AL225" s="510">
        <v>3.5652673950546299</v>
      </c>
      <c r="AM225" s="510"/>
      <c r="AN225" s="510">
        <v>0.71101178074927074</v>
      </c>
      <c r="AO225" s="510">
        <v>3.7016700117393118</v>
      </c>
      <c r="AP225" s="510"/>
      <c r="AQ225" s="510">
        <v>1.288220361459478</v>
      </c>
      <c r="AR225" s="515">
        <v>1.7969178082191781</v>
      </c>
      <c r="AS225" s="406">
        <f t="shared" si="877"/>
        <v>18.310529382583351</v>
      </c>
      <c r="AT225" s="516"/>
      <c r="AU225" s="510">
        <v>3.209083940206976</v>
      </c>
      <c r="AV225" s="510">
        <v>1.7441401805355381</v>
      </c>
      <c r="AW225" s="510">
        <v>0.22762623771766799</v>
      </c>
      <c r="AX225" s="510"/>
      <c r="AY225" s="510"/>
      <c r="AZ225" s="130"/>
      <c r="BA225" s="130"/>
      <c r="BB225" s="130"/>
      <c r="BC225" s="130"/>
      <c r="BD225" s="130"/>
      <c r="BE225" s="131"/>
      <c r="BF225" s="132">
        <f t="shared" si="878"/>
        <v>5.1808503584601819</v>
      </c>
      <c r="BG225" s="133"/>
      <c r="BH225" s="130"/>
      <c r="BI225" s="130"/>
      <c r="BJ225" s="130"/>
      <c r="BK225" s="130"/>
      <c r="BL225" s="130"/>
      <c r="BM225" s="130"/>
      <c r="BN225" s="130"/>
      <c r="BO225" s="130"/>
      <c r="BP225" s="130"/>
      <c r="BQ225" s="130"/>
      <c r="BR225" s="131"/>
      <c r="BS225" s="132">
        <f t="shared" si="879"/>
        <v>0</v>
      </c>
      <c r="BT225" s="133"/>
      <c r="BU225" s="130"/>
      <c r="BV225" s="130"/>
      <c r="BW225" s="130"/>
      <c r="BX225" s="130"/>
      <c r="BY225" s="130"/>
      <c r="BZ225" s="130"/>
      <c r="CA225" s="130"/>
      <c r="CB225" s="130"/>
      <c r="CC225" s="130"/>
      <c r="CD225" s="130"/>
      <c r="CE225" s="131"/>
      <c r="CF225" s="132">
        <f t="shared" si="880"/>
        <v>0</v>
      </c>
      <c r="CG225" s="133"/>
      <c r="CH225" s="130"/>
      <c r="CI225" s="130"/>
      <c r="CJ225" s="130"/>
      <c r="CK225" s="130"/>
      <c r="CL225" s="130"/>
      <c r="CM225" s="130"/>
      <c r="CN225" s="130"/>
      <c r="CO225" s="130"/>
      <c r="CP225" s="130"/>
      <c r="CQ225" s="130"/>
      <c r="CR225" s="131"/>
      <c r="CS225" s="132">
        <f t="shared" si="881"/>
        <v>0</v>
      </c>
      <c r="CT225" s="133"/>
      <c r="CU225" s="130"/>
      <c r="CV225" s="130"/>
      <c r="CW225" s="130"/>
      <c r="CX225" s="130"/>
      <c r="CY225" s="130"/>
      <c r="CZ225" s="130"/>
      <c r="DA225" s="130"/>
      <c r="DB225" s="130"/>
      <c r="DC225" s="130"/>
      <c r="DD225" s="130"/>
      <c r="DE225" s="131"/>
      <c r="DF225" s="132">
        <f t="shared" si="882"/>
        <v>0</v>
      </c>
      <c r="DG225" s="278"/>
      <c r="DH225" s="159">
        <f t="shared" si="814"/>
        <v>49.734937139454821</v>
      </c>
      <c r="DI225" s="160">
        <f t="shared" si="883"/>
        <v>49.734937139454821</v>
      </c>
      <c r="DJ225" s="161">
        <f t="shared" si="884"/>
        <v>0</v>
      </c>
    </row>
    <row r="226" spans="1:115" ht="15" customHeight="1">
      <c r="A226" s="599"/>
      <c r="B226" s="548"/>
      <c r="C226" s="135" t="s">
        <v>63</v>
      </c>
      <c r="D226" s="233"/>
      <c r="E226" s="136">
        <f t="shared" si="893"/>
        <v>99.83303457607829</v>
      </c>
      <c r="F226" s="136"/>
      <c r="G226" s="137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9"/>
      <c r="S226" s="140">
        <f t="shared" si="875"/>
        <v>0</v>
      </c>
      <c r="T226" s="380">
        <v>0.20631318341242005</v>
      </c>
      <c r="U226" s="381">
        <v>1.9691332788225675</v>
      </c>
      <c r="V226" s="381">
        <v>1.6043866774979691</v>
      </c>
      <c r="W226" s="381"/>
      <c r="X226" s="381"/>
      <c r="Y226" s="381">
        <v>8.8756786747512706</v>
      </c>
      <c r="Z226" s="381">
        <v>6.3456106794182103</v>
      </c>
      <c r="AA226" s="381">
        <v>-14.506555135526421</v>
      </c>
      <c r="AB226" s="381">
        <v>3.3510703115479914</v>
      </c>
      <c r="AC226" s="381"/>
      <c r="AD226" s="381">
        <v>1.348686804953072</v>
      </c>
      <c r="AE226" s="392">
        <v>0.80559335871570403</v>
      </c>
      <c r="AF226" s="140">
        <f t="shared" si="876"/>
        <v>9.9999178335927859</v>
      </c>
      <c r="AG226" s="497">
        <v>4.1316628157118958</v>
      </c>
      <c r="AH226" s="499">
        <v>4.4599412340842308</v>
      </c>
      <c r="AI226" s="499">
        <v>38.411792286953499</v>
      </c>
      <c r="AJ226" s="499">
        <v>1.3070387882981587</v>
      </c>
      <c r="AK226" s="499">
        <v>1.9488756486642322</v>
      </c>
      <c r="AL226" s="499"/>
      <c r="AM226" s="499">
        <v>4.8858577373907064</v>
      </c>
      <c r="AN226" s="499">
        <v>1.8826470699647715</v>
      </c>
      <c r="AO226" s="499">
        <v>1.9023743704320826</v>
      </c>
      <c r="AP226" s="499">
        <v>1.2924316721785076</v>
      </c>
      <c r="AQ226" s="499">
        <v>1.6879475618535218</v>
      </c>
      <c r="AR226" s="511">
        <v>1.9597945205479452</v>
      </c>
      <c r="AS226" s="407">
        <f t="shared" si="877"/>
        <v>63.870363706079551</v>
      </c>
      <c r="AT226" s="501">
        <v>4.9429442542222901</v>
      </c>
      <c r="AU226" s="499"/>
      <c r="AV226" s="499"/>
      <c r="AW226" s="499">
        <v>0.66770363063849159</v>
      </c>
      <c r="AX226" s="499">
        <v>2.4161994301994301</v>
      </c>
      <c r="AY226" s="499">
        <v>17.935905721345751</v>
      </c>
      <c r="AZ226" s="138"/>
      <c r="BA226" s="138"/>
      <c r="BB226" s="138"/>
      <c r="BC226" s="138"/>
      <c r="BD226" s="138"/>
      <c r="BE226" s="139"/>
      <c r="BF226" s="140">
        <f t="shared" si="878"/>
        <v>25.962753036405964</v>
      </c>
      <c r="BG226" s="141"/>
      <c r="BH226" s="138"/>
      <c r="BI226" s="138"/>
      <c r="BJ226" s="138"/>
      <c r="BK226" s="138"/>
      <c r="BL226" s="138"/>
      <c r="BM226" s="138"/>
      <c r="BN226" s="138"/>
      <c r="BO226" s="138"/>
      <c r="BP226" s="138"/>
      <c r="BQ226" s="138"/>
      <c r="BR226" s="139"/>
      <c r="BS226" s="140">
        <f t="shared" si="879"/>
        <v>0</v>
      </c>
      <c r="BT226" s="141"/>
      <c r="BU226" s="138"/>
      <c r="BV226" s="138"/>
      <c r="BW226" s="138"/>
      <c r="BX226" s="138"/>
      <c r="BY226" s="138"/>
      <c r="BZ226" s="138"/>
      <c r="CA226" s="138"/>
      <c r="CB226" s="138"/>
      <c r="CC226" s="138"/>
      <c r="CD226" s="138"/>
      <c r="CE226" s="139"/>
      <c r="CF226" s="140">
        <f t="shared" si="880"/>
        <v>0</v>
      </c>
      <c r="CG226" s="141"/>
      <c r="CH226" s="138"/>
      <c r="CI226" s="138"/>
      <c r="CJ226" s="138"/>
      <c r="CK226" s="138"/>
      <c r="CL226" s="138"/>
      <c r="CM226" s="138"/>
      <c r="CN226" s="138"/>
      <c r="CO226" s="138"/>
      <c r="CP226" s="138"/>
      <c r="CQ226" s="138"/>
      <c r="CR226" s="139"/>
      <c r="CS226" s="140">
        <f t="shared" si="881"/>
        <v>0</v>
      </c>
      <c r="CT226" s="141"/>
      <c r="CU226" s="138"/>
      <c r="CV226" s="138"/>
      <c r="CW226" s="138"/>
      <c r="CX226" s="138"/>
      <c r="CY226" s="138"/>
      <c r="CZ226" s="138"/>
      <c r="DA226" s="138"/>
      <c r="DB226" s="138"/>
      <c r="DC226" s="138"/>
      <c r="DD226" s="138"/>
      <c r="DE226" s="139"/>
      <c r="DF226" s="140">
        <f t="shared" si="882"/>
        <v>0</v>
      </c>
      <c r="DG226" s="279"/>
      <c r="DH226" s="90">
        <f t="shared" si="814"/>
        <v>99.83303457607829</v>
      </c>
      <c r="DI226" s="91">
        <f t="shared" si="883"/>
        <v>99.83303457607829</v>
      </c>
      <c r="DJ226" s="92">
        <f t="shared" si="884"/>
        <v>0</v>
      </c>
      <c r="DK226" s="64"/>
    </row>
    <row r="227" spans="1:115" ht="15" customHeight="1">
      <c r="A227" s="599"/>
      <c r="B227" s="556"/>
      <c r="C227" s="142" t="s">
        <v>11</v>
      </c>
      <c r="D227" s="234"/>
      <c r="E227" s="143">
        <f t="shared" ref="E227:R227" si="894">+E225-E226</f>
        <v>-50.098097436623469</v>
      </c>
      <c r="F227" s="144">
        <f t="shared" si="894"/>
        <v>0</v>
      </c>
      <c r="G227" s="145">
        <f t="shared" si="894"/>
        <v>0</v>
      </c>
      <c r="H227" s="145">
        <f t="shared" si="894"/>
        <v>0</v>
      </c>
      <c r="I227" s="145">
        <f t="shared" si="894"/>
        <v>0</v>
      </c>
      <c r="J227" s="145">
        <f t="shared" si="894"/>
        <v>0</v>
      </c>
      <c r="K227" s="145">
        <f t="shared" si="894"/>
        <v>0</v>
      </c>
      <c r="L227" s="145">
        <f t="shared" si="894"/>
        <v>0</v>
      </c>
      <c r="M227" s="145">
        <f t="shared" si="894"/>
        <v>0</v>
      </c>
      <c r="N227" s="145">
        <f t="shared" si="894"/>
        <v>0</v>
      </c>
      <c r="O227" s="145">
        <f t="shared" si="894"/>
        <v>0</v>
      </c>
      <c r="P227" s="145">
        <f t="shared" si="894"/>
        <v>0</v>
      </c>
      <c r="Q227" s="145">
        <f t="shared" si="894"/>
        <v>0</v>
      </c>
      <c r="R227" s="146">
        <f t="shared" si="894"/>
        <v>0</v>
      </c>
      <c r="S227" s="147">
        <f t="shared" si="875"/>
        <v>0</v>
      </c>
      <c r="T227" s="148">
        <f t="shared" ref="T227:AE227" si="895">+T225-T226</f>
        <v>6.4576026408087479</v>
      </c>
      <c r="U227" s="145">
        <f t="shared" si="895"/>
        <v>0.25367947669664259</v>
      </c>
      <c r="V227" s="145">
        <f t="shared" si="895"/>
        <v>0.95104752233956091</v>
      </c>
      <c r="W227" s="145">
        <f t="shared" si="895"/>
        <v>4.7719409869964604</v>
      </c>
      <c r="X227" s="145">
        <f t="shared" si="895"/>
        <v>2.1795989537925022</v>
      </c>
      <c r="Y227" s="145">
        <f t="shared" si="895"/>
        <v>-8.8756786747512706</v>
      </c>
      <c r="Z227" s="145">
        <f t="shared" si="895"/>
        <v>-6.3456106794182103</v>
      </c>
      <c r="AA227" s="145">
        <f t="shared" si="895"/>
        <v>16.514115659937261</v>
      </c>
      <c r="AB227" s="145">
        <f t="shared" si="895"/>
        <v>-1.4866566473049272</v>
      </c>
      <c r="AC227" s="145">
        <f t="shared" si="895"/>
        <v>3.3216022776701331</v>
      </c>
      <c r="AD227" s="145">
        <f t="shared" si="895"/>
        <v>-1.348686804953072</v>
      </c>
      <c r="AE227" s="146">
        <f t="shared" si="895"/>
        <v>-0.14931514699532877</v>
      </c>
      <c r="AF227" s="147">
        <f t="shared" si="876"/>
        <v>16.243639564818498</v>
      </c>
      <c r="AG227" s="148">
        <f t="shared" ref="AG227:AR227" si="896">+AG225-AG226</f>
        <v>-2.868249541869174</v>
      </c>
      <c r="AH227" s="145">
        <f t="shared" si="896"/>
        <v>-4.4599412340842308</v>
      </c>
      <c r="AI227" s="145">
        <f t="shared" si="896"/>
        <v>-35.377173445864138</v>
      </c>
      <c r="AJ227" s="145">
        <f t="shared" si="896"/>
        <v>1.6423711221312418</v>
      </c>
      <c r="AK227" s="145">
        <f t="shared" si="896"/>
        <v>-1.9488756486642322</v>
      </c>
      <c r="AL227" s="145">
        <f t="shared" si="896"/>
        <v>3.5652673950546299</v>
      </c>
      <c r="AM227" s="145">
        <f t="shared" si="896"/>
        <v>-4.8858577373907064</v>
      </c>
      <c r="AN227" s="145">
        <f t="shared" si="896"/>
        <v>-1.1716352892155006</v>
      </c>
      <c r="AO227" s="145">
        <f t="shared" si="896"/>
        <v>1.7992956413072292</v>
      </c>
      <c r="AP227" s="145">
        <f t="shared" si="896"/>
        <v>-1.2924316721785076</v>
      </c>
      <c r="AQ227" s="145">
        <f t="shared" si="896"/>
        <v>-0.39972720039404375</v>
      </c>
      <c r="AR227" s="146">
        <f t="shared" si="896"/>
        <v>-0.1628767123287671</v>
      </c>
      <c r="AS227" s="408">
        <f t="shared" si="877"/>
        <v>-45.559834323496197</v>
      </c>
      <c r="AT227" s="148">
        <f t="shared" ref="AT227:BE227" si="897">+AT225-AT226</f>
        <v>-4.9429442542222901</v>
      </c>
      <c r="AU227" s="145">
        <f t="shared" si="897"/>
        <v>3.209083940206976</v>
      </c>
      <c r="AV227" s="145">
        <f t="shared" si="897"/>
        <v>1.7441401805355381</v>
      </c>
      <c r="AW227" s="145">
        <f t="shared" si="897"/>
        <v>-0.4400773929208236</v>
      </c>
      <c r="AX227" s="145">
        <f t="shared" si="897"/>
        <v>-2.4161994301994301</v>
      </c>
      <c r="AY227" s="145">
        <f t="shared" si="897"/>
        <v>-17.935905721345751</v>
      </c>
      <c r="AZ227" s="145">
        <f t="shared" si="897"/>
        <v>0</v>
      </c>
      <c r="BA227" s="145">
        <f t="shared" si="897"/>
        <v>0</v>
      </c>
      <c r="BB227" s="145">
        <f t="shared" si="897"/>
        <v>0</v>
      </c>
      <c r="BC227" s="145">
        <f t="shared" si="897"/>
        <v>0</v>
      </c>
      <c r="BD227" s="145">
        <f t="shared" si="897"/>
        <v>0</v>
      </c>
      <c r="BE227" s="146">
        <f t="shared" si="897"/>
        <v>0</v>
      </c>
      <c r="BF227" s="147">
        <f t="shared" si="878"/>
        <v>-20.78190267794578</v>
      </c>
      <c r="BG227" s="148">
        <f t="shared" ref="BG227:BR227" si="898">+BG225-BG226</f>
        <v>0</v>
      </c>
      <c r="BH227" s="145">
        <f t="shared" si="898"/>
        <v>0</v>
      </c>
      <c r="BI227" s="145">
        <f t="shared" si="898"/>
        <v>0</v>
      </c>
      <c r="BJ227" s="145">
        <f t="shared" si="898"/>
        <v>0</v>
      </c>
      <c r="BK227" s="145">
        <f t="shared" si="898"/>
        <v>0</v>
      </c>
      <c r="BL227" s="145">
        <f t="shared" si="898"/>
        <v>0</v>
      </c>
      <c r="BM227" s="145">
        <f t="shared" si="898"/>
        <v>0</v>
      </c>
      <c r="BN227" s="145">
        <f t="shared" si="898"/>
        <v>0</v>
      </c>
      <c r="BO227" s="145">
        <f t="shared" si="898"/>
        <v>0</v>
      </c>
      <c r="BP227" s="145">
        <f t="shared" si="898"/>
        <v>0</v>
      </c>
      <c r="BQ227" s="145">
        <f t="shared" si="898"/>
        <v>0</v>
      </c>
      <c r="BR227" s="146">
        <f t="shared" si="898"/>
        <v>0</v>
      </c>
      <c r="BS227" s="147">
        <f t="shared" si="879"/>
        <v>0</v>
      </c>
      <c r="BT227" s="148">
        <f t="shared" ref="BT227:CE227" si="899">+BT225-BT226</f>
        <v>0</v>
      </c>
      <c r="BU227" s="145">
        <f t="shared" si="899"/>
        <v>0</v>
      </c>
      <c r="BV227" s="145">
        <f t="shared" si="899"/>
        <v>0</v>
      </c>
      <c r="BW227" s="145">
        <f t="shared" si="899"/>
        <v>0</v>
      </c>
      <c r="BX227" s="145">
        <f t="shared" si="899"/>
        <v>0</v>
      </c>
      <c r="BY227" s="145">
        <f t="shared" si="899"/>
        <v>0</v>
      </c>
      <c r="BZ227" s="145">
        <f t="shared" si="899"/>
        <v>0</v>
      </c>
      <c r="CA227" s="145">
        <f t="shared" si="899"/>
        <v>0</v>
      </c>
      <c r="CB227" s="145">
        <f t="shared" si="899"/>
        <v>0</v>
      </c>
      <c r="CC227" s="145">
        <f t="shared" si="899"/>
        <v>0</v>
      </c>
      <c r="CD227" s="145">
        <f t="shared" si="899"/>
        <v>0</v>
      </c>
      <c r="CE227" s="146">
        <f t="shared" si="899"/>
        <v>0</v>
      </c>
      <c r="CF227" s="147">
        <f t="shared" si="880"/>
        <v>0</v>
      </c>
      <c r="CG227" s="148">
        <f t="shared" ref="CG227:CR227" si="900">+CG225-CG226</f>
        <v>0</v>
      </c>
      <c r="CH227" s="145">
        <f t="shared" si="900"/>
        <v>0</v>
      </c>
      <c r="CI227" s="145">
        <f t="shared" si="900"/>
        <v>0</v>
      </c>
      <c r="CJ227" s="145">
        <f t="shared" si="900"/>
        <v>0</v>
      </c>
      <c r="CK227" s="145">
        <f t="shared" si="900"/>
        <v>0</v>
      </c>
      <c r="CL227" s="145">
        <f t="shared" si="900"/>
        <v>0</v>
      </c>
      <c r="CM227" s="145">
        <f t="shared" si="900"/>
        <v>0</v>
      </c>
      <c r="CN227" s="145">
        <f t="shared" si="900"/>
        <v>0</v>
      </c>
      <c r="CO227" s="145">
        <f t="shared" si="900"/>
        <v>0</v>
      </c>
      <c r="CP227" s="145">
        <f t="shared" si="900"/>
        <v>0</v>
      </c>
      <c r="CQ227" s="145">
        <f t="shared" si="900"/>
        <v>0</v>
      </c>
      <c r="CR227" s="146">
        <f t="shared" si="900"/>
        <v>0</v>
      </c>
      <c r="CS227" s="147">
        <f t="shared" si="881"/>
        <v>0</v>
      </c>
      <c r="CT227" s="148">
        <f t="shared" ref="CT227:DE227" si="901">+CT225-CT226</f>
        <v>0</v>
      </c>
      <c r="CU227" s="145">
        <f t="shared" si="901"/>
        <v>0</v>
      </c>
      <c r="CV227" s="145">
        <f t="shared" si="901"/>
        <v>0</v>
      </c>
      <c r="CW227" s="145">
        <f t="shared" si="901"/>
        <v>0</v>
      </c>
      <c r="CX227" s="145">
        <f t="shared" si="901"/>
        <v>0</v>
      </c>
      <c r="CY227" s="145">
        <f t="shared" si="901"/>
        <v>0</v>
      </c>
      <c r="CZ227" s="145">
        <f t="shared" si="901"/>
        <v>0</v>
      </c>
      <c r="DA227" s="145">
        <f t="shared" si="901"/>
        <v>0</v>
      </c>
      <c r="DB227" s="145">
        <f t="shared" si="901"/>
        <v>0</v>
      </c>
      <c r="DC227" s="145">
        <f t="shared" si="901"/>
        <v>0</v>
      </c>
      <c r="DD227" s="145">
        <f t="shared" si="901"/>
        <v>0</v>
      </c>
      <c r="DE227" s="146">
        <f t="shared" si="901"/>
        <v>0</v>
      </c>
      <c r="DF227" s="147">
        <f t="shared" si="882"/>
        <v>0</v>
      </c>
      <c r="DG227" s="146">
        <f>+DG225-DG226</f>
        <v>0</v>
      </c>
      <c r="DH227" s="98">
        <f t="shared" si="814"/>
        <v>-50.098097436623476</v>
      </c>
      <c r="DI227" s="99">
        <f t="shared" si="883"/>
        <v>-50.098097436623469</v>
      </c>
      <c r="DJ227" s="100">
        <f t="shared" si="884"/>
        <v>0</v>
      </c>
    </row>
    <row r="228" spans="1:115" ht="15" customHeight="1">
      <c r="A228" s="599"/>
      <c r="B228" s="593" t="s">
        <v>84</v>
      </c>
      <c r="C228" s="152" t="s">
        <v>62</v>
      </c>
      <c r="D228" s="235"/>
      <c r="E228" s="136">
        <f t="shared" si="893"/>
        <v>0</v>
      </c>
      <c r="F228" s="128"/>
      <c r="G228" s="129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1"/>
      <c r="S228" s="132">
        <f t="shared" si="875"/>
        <v>0</v>
      </c>
      <c r="T228" s="385"/>
      <c r="U228" s="379"/>
      <c r="V228" s="379"/>
      <c r="W228" s="379"/>
      <c r="X228" s="379"/>
      <c r="Y228" s="379"/>
      <c r="Z228" s="379"/>
      <c r="AA228" s="379"/>
      <c r="AB228" s="379"/>
      <c r="AC228" s="379"/>
      <c r="AD228" s="379"/>
      <c r="AE228" s="480"/>
      <c r="AF228" s="132">
        <f t="shared" si="876"/>
        <v>0</v>
      </c>
      <c r="AG228" s="510"/>
      <c r="AH228" s="510"/>
      <c r="AI228" s="510"/>
      <c r="AJ228" s="510"/>
      <c r="AK228" s="510"/>
      <c r="AL228" s="510"/>
      <c r="AM228" s="512"/>
      <c r="AN228" s="510"/>
      <c r="AO228" s="510"/>
      <c r="AP228" s="510"/>
      <c r="AQ228" s="510"/>
      <c r="AR228" s="515"/>
      <c r="AS228" s="406">
        <f t="shared" si="877"/>
        <v>0</v>
      </c>
      <c r="AT228" s="516"/>
      <c r="AU228" s="510"/>
      <c r="AV228" s="510"/>
      <c r="AW228" s="510"/>
      <c r="AX228" s="510"/>
      <c r="AY228" s="510"/>
      <c r="AZ228" s="130"/>
      <c r="BA228" s="130"/>
      <c r="BB228" s="130"/>
      <c r="BC228" s="130"/>
      <c r="BD228" s="130"/>
      <c r="BE228" s="131"/>
      <c r="BF228" s="132">
        <f t="shared" si="878"/>
        <v>0</v>
      </c>
      <c r="BG228" s="133"/>
      <c r="BH228" s="130"/>
      <c r="BI228" s="130"/>
      <c r="BJ228" s="130"/>
      <c r="BK228" s="130"/>
      <c r="BL228" s="130"/>
      <c r="BM228" s="130"/>
      <c r="BN228" s="130"/>
      <c r="BO228" s="130"/>
      <c r="BP228" s="130"/>
      <c r="BQ228" s="130"/>
      <c r="BR228" s="131"/>
      <c r="BS228" s="132">
        <f t="shared" si="879"/>
        <v>0</v>
      </c>
      <c r="BT228" s="133"/>
      <c r="BU228" s="130"/>
      <c r="BV228" s="130"/>
      <c r="BW228" s="130"/>
      <c r="BX228" s="130"/>
      <c r="BY228" s="130"/>
      <c r="BZ228" s="130"/>
      <c r="CA228" s="130"/>
      <c r="CB228" s="130"/>
      <c r="CC228" s="130"/>
      <c r="CD228" s="130"/>
      <c r="CE228" s="131"/>
      <c r="CF228" s="132">
        <f t="shared" si="880"/>
        <v>0</v>
      </c>
      <c r="CG228" s="133"/>
      <c r="CH228" s="130"/>
      <c r="CI228" s="130"/>
      <c r="CJ228" s="130"/>
      <c r="CK228" s="130"/>
      <c r="CL228" s="130"/>
      <c r="CM228" s="130"/>
      <c r="CN228" s="130"/>
      <c r="CO228" s="130"/>
      <c r="CP228" s="130"/>
      <c r="CQ228" s="130"/>
      <c r="CR228" s="131"/>
      <c r="CS228" s="132">
        <f t="shared" si="881"/>
        <v>0</v>
      </c>
      <c r="CT228" s="133"/>
      <c r="CU228" s="130"/>
      <c r="CV228" s="130"/>
      <c r="CW228" s="130"/>
      <c r="CX228" s="130"/>
      <c r="CY228" s="130"/>
      <c r="CZ228" s="130"/>
      <c r="DA228" s="130"/>
      <c r="DB228" s="130"/>
      <c r="DC228" s="130"/>
      <c r="DD228" s="130"/>
      <c r="DE228" s="131"/>
      <c r="DF228" s="132">
        <f t="shared" si="882"/>
        <v>0</v>
      </c>
      <c r="DG228" s="278"/>
      <c r="DH228" s="164">
        <f t="shared" si="814"/>
        <v>0</v>
      </c>
      <c r="DI228" s="165">
        <f t="shared" si="883"/>
        <v>0</v>
      </c>
      <c r="DJ228" s="166">
        <f t="shared" si="884"/>
        <v>0</v>
      </c>
    </row>
    <row r="229" spans="1:115" ht="15" customHeight="1">
      <c r="A229" s="599"/>
      <c r="B229" s="548"/>
      <c r="C229" s="135" t="s">
        <v>63</v>
      </c>
      <c r="D229" s="233"/>
      <c r="E229" s="136">
        <f t="shared" si="893"/>
        <v>74000</v>
      </c>
      <c r="F229" s="136"/>
      <c r="G229" s="137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9"/>
      <c r="S229" s="140">
        <f t="shared" si="875"/>
        <v>0</v>
      </c>
      <c r="T229" s="380"/>
      <c r="U229" s="381"/>
      <c r="V229" s="381"/>
      <c r="W229" s="381"/>
      <c r="X229" s="381"/>
      <c r="Y229" s="381"/>
      <c r="Z229" s="381"/>
      <c r="AA229" s="381"/>
      <c r="AB229" s="381"/>
      <c r="AC229" s="381"/>
      <c r="AD229" s="381"/>
      <c r="AE229" s="392"/>
      <c r="AF229" s="140">
        <f t="shared" si="876"/>
        <v>0</v>
      </c>
      <c r="AG229" s="497"/>
      <c r="AH229" s="499"/>
      <c r="AI229" s="499"/>
      <c r="AJ229" s="499"/>
      <c r="AK229" s="499"/>
      <c r="AL229" s="499"/>
      <c r="AM229" s="499"/>
      <c r="AN229" s="499"/>
      <c r="AO229" s="499"/>
      <c r="AP229" s="499"/>
      <c r="AQ229" s="499"/>
      <c r="AR229" s="511"/>
      <c r="AS229" s="407">
        <f t="shared" si="877"/>
        <v>0</v>
      </c>
      <c r="AT229" s="501"/>
      <c r="AU229" s="499"/>
      <c r="AV229" s="499"/>
      <c r="AW229" s="499"/>
      <c r="AX229" s="499"/>
      <c r="AY229" s="499"/>
      <c r="AZ229" s="138"/>
      <c r="BA229" s="138"/>
      <c r="BB229" s="138"/>
      <c r="BC229" s="138"/>
      <c r="BD229" s="138"/>
      <c r="BE229" s="139"/>
      <c r="BF229" s="140">
        <f t="shared" si="878"/>
        <v>0</v>
      </c>
      <c r="BG229" s="141"/>
      <c r="BH229" s="138"/>
      <c r="BI229" s="138"/>
      <c r="BJ229" s="138"/>
      <c r="BK229" s="138"/>
      <c r="BL229" s="138"/>
      <c r="BM229" s="138"/>
      <c r="BN229" s="138"/>
      <c r="BO229" s="138"/>
      <c r="BP229" s="138"/>
      <c r="BQ229" s="138"/>
      <c r="BR229" s="139"/>
      <c r="BS229" s="140">
        <f t="shared" si="879"/>
        <v>0</v>
      </c>
      <c r="BT229" s="141"/>
      <c r="BU229" s="138"/>
      <c r="BV229" s="138"/>
      <c r="BW229" s="138"/>
      <c r="BX229" s="138"/>
      <c r="BY229" s="138"/>
      <c r="BZ229" s="138"/>
      <c r="CA229" s="138"/>
      <c r="CB229" s="138"/>
      <c r="CC229" s="138"/>
      <c r="CD229" s="138"/>
      <c r="CE229" s="139"/>
      <c r="CF229" s="140">
        <f t="shared" si="880"/>
        <v>0</v>
      </c>
      <c r="CG229" s="141"/>
      <c r="CH229" s="138"/>
      <c r="CI229" s="138"/>
      <c r="CJ229" s="138"/>
      <c r="CK229" s="138"/>
      <c r="CL229" s="138"/>
      <c r="CM229" s="138"/>
      <c r="CN229" s="138"/>
      <c r="CO229" s="138"/>
      <c r="CP229" s="138"/>
      <c r="CQ229" s="138"/>
      <c r="CR229" s="139"/>
      <c r="CS229" s="140">
        <f t="shared" si="881"/>
        <v>0</v>
      </c>
      <c r="CT229" s="141"/>
      <c r="CU229" s="138"/>
      <c r="CV229" s="138"/>
      <c r="CW229" s="138"/>
      <c r="CX229" s="138"/>
      <c r="CY229" s="138"/>
      <c r="CZ229" s="138"/>
      <c r="DA229" s="138"/>
      <c r="DB229" s="138"/>
      <c r="DC229" s="138"/>
      <c r="DD229" s="138"/>
      <c r="DE229" s="139"/>
      <c r="DF229" s="140">
        <f t="shared" si="882"/>
        <v>0</v>
      </c>
      <c r="DG229" s="279">
        <v>74000</v>
      </c>
      <c r="DH229" s="90">
        <f t="shared" si="814"/>
        <v>74000</v>
      </c>
      <c r="DI229" s="91">
        <f t="shared" si="883"/>
        <v>74000</v>
      </c>
      <c r="DJ229" s="92">
        <f t="shared" si="884"/>
        <v>0</v>
      </c>
      <c r="DK229" s="64" t="e">
        <f>+DH229/DH228</f>
        <v>#DIV/0!</v>
      </c>
    </row>
    <row r="230" spans="1:115" ht="15" customHeight="1">
      <c r="A230" s="599"/>
      <c r="B230" s="556"/>
      <c r="C230" s="142" t="s">
        <v>11</v>
      </c>
      <c r="D230" s="234"/>
      <c r="E230" s="143">
        <f t="shared" ref="E230:R230" si="902">+E228-E229</f>
        <v>-74000</v>
      </c>
      <c r="F230" s="144">
        <f t="shared" si="902"/>
        <v>0</v>
      </c>
      <c r="G230" s="145">
        <f t="shared" si="902"/>
        <v>0</v>
      </c>
      <c r="H230" s="145">
        <f t="shared" si="902"/>
        <v>0</v>
      </c>
      <c r="I230" s="145">
        <f t="shared" si="902"/>
        <v>0</v>
      </c>
      <c r="J230" s="145">
        <f t="shared" si="902"/>
        <v>0</v>
      </c>
      <c r="K230" s="145">
        <f t="shared" si="902"/>
        <v>0</v>
      </c>
      <c r="L230" s="145">
        <f t="shared" si="902"/>
        <v>0</v>
      </c>
      <c r="M230" s="145">
        <f t="shared" si="902"/>
        <v>0</v>
      </c>
      <c r="N230" s="145">
        <f t="shared" si="902"/>
        <v>0</v>
      </c>
      <c r="O230" s="145">
        <f t="shared" si="902"/>
        <v>0</v>
      </c>
      <c r="P230" s="145">
        <f t="shared" si="902"/>
        <v>0</v>
      </c>
      <c r="Q230" s="145">
        <f t="shared" si="902"/>
        <v>0</v>
      </c>
      <c r="R230" s="146">
        <f t="shared" si="902"/>
        <v>0</v>
      </c>
      <c r="S230" s="147">
        <f t="shared" si="875"/>
        <v>0</v>
      </c>
      <c r="T230" s="148">
        <f t="shared" ref="T230:AE230" si="903">+T228-T229</f>
        <v>0</v>
      </c>
      <c r="U230" s="145">
        <f t="shared" si="903"/>
        <v>0</v>
      </c>
      <c r="V230" s="145">
        <f t="shared" si="903"/>
        <v>0</v>
      </c>
      <c r="W230" s="145">
        <f t="shared" si="903"/>
        <v>0</v>
      </c>
      <c r="X230" s="145">
        <f t="shared" si="903"/>
        <v>0</v>
      </c>
      <c r="Y230" s="145">
        <f t="shared" si="903"/>
        <v>0</v>
      </c>
      <c r="Z230" s="145">
        <f t="shared" si="903"/>
        <v>0</v>
      </c>
      <c r="AA230" s="145">
        <f t="shared" si="903"/>
        <v>0</v>
      </c>
      <c r="AB230" s="145">
        <f t="shared" si="903"/>
        <v>0</v>
      </c>
      <c r="AC230" s="145">
        <f t="shared" si="903"/>
        <v>0</v>
      </c>
      <c r="AD230" s="145">
        <f t="shared" si="903"/>
        <v>0</v>
      </c>
      <c r="AE230" s="146">
        <f t="shared" si="903"/>
        <v>0</v>
      </c>
      <c r="AF230" s="147">
        <f t="shared" si="876"/>
        <v>0</v>
      </c>
      <c r="AG230" s="148">
        <f t="shared" ref="AG230:AR230" si="904">+AG228-AG229</f>
        <v>0</v>
      </c>
      <c r="AH230" s="145">
        <f t="shared" si="904"/>
        <v>0</v>
      </c>
      <c r="AI230" s="145">
        <f t="shared" si="904"/>
        <v>0</v>
      </c>
      <c r="AJ230" s="145">
        <f t="shared" si="904"/>
        <v>0</v>
      </c>
      <c r="AK230" s="145">
        <f t="shared" si="904"/>
        <v>0</v>
      </c>
      <c r="AL230" s="145">
        <f t="shared" si="904"/>
        <v>0</v>
      </c>
      <c r="AM230" s="145">
        <f t="shared" si="904"/>
        <v>0</v>
      </c>
      <c r="AN230" s="145">
        <f t="shared" si="904"/>
        <v>0</v>
      </c>
      <c r="AO230" s="145">
        <f t="shared" si="904"/>
        <v>0</v>
      </c>
      <c r="AP230" s="145">
        <f t="shared" si="904"/>
        <v>0</v>
      </c>
      <c r="AQ230" s="145">
        <f t="shared" si="904"/>
        <v>0</v>
      </c>
      <c r="AR230" s="146">
        <f t="shared" si="904"/>
        <v>0</v>
      </c>
      <c r="AS230" s="408">
        <f t="shared" si="877"/>
        <v>0</v>
      </c>
      <c r="AT230" s="148">
        <f t="shared" ref="AT230:BE230" si="905">+AT228-AT229</f>
        <v>0</v>
      </c>
      <c r="AU230" s="145">
        <f t="shared" si="905"/>
        <v>0</v>
      </c>
      <c r="AV230" s="145">
        <f t="shared" si="905"/>
        <v>0</v>
      </c>
      <c r="AW230" s="145">
        <f t="shared" si="905"/>
        <v>0</v>
      </c>
      <c r="AX230" s="145">
        <f t="shared" si="905"/>
        <v>0</v>
      </c>
      <c r="AY230" s="145">
        <f t="shared" si="905"/>
        <v>0</v>
      </c>
      <c r="AZ230" s="145">
        <f t="shared" si="905"/>
        <v>0</v>
      </c>
      <c r="BA230" s="145">
        <f t="shared" si="905"/>
        <v>0</v>
      </c>
      <c r="BB230" s="145">
        <f t="shared" si="905"/>
        <v>0</v>
      </c>
      <c r="BC230" s="145">
        <f t="shared" si="905"/>
        <v>0</v>
      </c>
      <c r="BD230" s="145">
        <f t="shared" si="905"/>
        <v>0</v>
      </c>
      <c r="BE230" s="146">
        <f t="shared" si="905"/>
        <v>0</v>
      </c>
      <c r="BF230" s="147">
        <f t="shared" si="878"/>
        <v>0</v>
      </c>
      <c r="BG230" s="148">
        <f t="shared" ref="BG230:BR230" si="906">+BG228-BG229</f>
        <v>0</v>
      </c>
      <c r="BH230" s="145">
        <f t="shared" si="906"/>
        <v>0</v>
      </c>
      <c r="BI230" s="145">
        <f t="shared" si="906"/>
        <v>0</v>
      </c>
      <c r="BJ230" s="145">
        <f t="shared" si="906"/>
        <v>0</v>
      </c>
      <c r="BK230" s="145">
        <f t="shared" si="906"/>
        <v>0</v>
      </c>
      <c r="BL230" s="145">
        <f t="shared" si="906"/>
        <v>0</v>
      </c>
      <c r="BM230" s="145">
        <f t="shared" si="906"/>
        <v>0</v>
      </c>
      <c r="BN230" s="145">
        <f t="shared" si="906"/>
        <v>0</v>
      </c>
      <c r="BO230" s="145">
        <f t="shared" si="906"/>
        <v>0</v>
      </c>
      <c r="BP230" s="145">
        <f t="shared" si="906"/>
        <v>0</v>
      </c>
      <c r="BQ230" s="145">
        <f t="shared" si="906"/>
        <v>0</v>
      </c>
      <c r="BR230" s="146">
        <f t="shared" si="906"/>
        <v>0</v>
      </c>
      <c r="BS230" s="147">
        <f t="shared" si="879"/>
        <v>0</v>
      </c>
      <c r="BT230" s="148">
        <f t="shared" ref="BT230:CE230" si="907">+BT228-BT229</f>
        <v>0</v>
      </c>
      <c r="BU230" s="145">
        <f t="shared" si="907"/>
        <v>0</v>
      </c>
      <c r="BV230" s="145">
        <f t="shared" si="907"/>
        <v>0</v>
      </c>
      <c r="BW230" s="145">
        <f t="shared" si="907"/>
        <v>0</v>
      </c>
      <c r="BX230" s="145">
        <f t="shared" si="907"/>
        <v>0</v>
      </c>
      <c r="BY230" s="145">
        <f t="shared" si="907"/>
        <v>0</v>
      </c>
      <c r="BZ230" s="145">
        <f t="shared" si="907"/>
        <v>0</v>
      </c>
      <c r="CA230" s="145">
        <f t="shared" si="907"/>
        <v>0</v>
      </c>
      <c r="CB230" s="145">
        <f t="shared" si="907"/>
        <v>0</v>
      </c>
      <c r="CC230" s="145">
        <f t="shared" si="907"/>
        <v>0</v>
      </c>
      <c r="CD230" s="145">
        <f t="shared" si="907"/>
        <v>0</v>
      </c>
      <c r="CE230" s="146">
        <f t="shared" si="907"/>
        <v>0</v>
      </c>
      <c r="CF230" s="147">
        <f t="shared" si="880"/>
        <v>0</v>
      </c>
      <c r="CG230" s="148">
        <f t="shared" ref="CG230:CR230" si="908">+CG228-CG229</f>
        <v>0</v>
      </c>
      <c r="CH230" s="145">
        <f t="shared" si="908"/>
        <v>0</v>
      </c>
      <c r="CI230" s="145">
        <f t="shared" si="908"/>
        <v>0</v>
      </c>
      <c r="CJ230" s="145">
        <f t="shared" si="908"/>
        <v>0</v>
      </c>
      <c r="CK230" s="145">
        <f t="shared" si="908"/>
        <v>0</v>
      </c>
      <c r="CL230" s="145">
        <f t="shared" si="908"/>
        <v>0</v>
      </c>
      <c r="CM230" s="145">
        <f t="shared" si="908"/>
        <v>0</v>
      </c>
      <c r="CN230" s="145">
        <f t="shared" si="908"/>
        <v>0</v>
      </c>
      <c r="CO230" s="145">
        <f t="shared" si="908"/>
        <v>0</v>
      </c>
      <c r="CP230" s="145">
        <f t="shared" si="908"/>
        <v>0</v>
      </c>
      <c r="CQ230" s="145">
        <f t="shared" si="908"/>
        <v>0</v>
      </c>
      <c r="CR230" s="146">
        <f t="shared" si="908"/>
        <v>0</v>
      </c>
      <c r="CS230" s="147">
        <f t="shared" si="881"/>
        <v>0</v>
      </c>
      <c r="CT230" s="148">
        <f t="shared" ref="CT230:DE230" si="909">+CT228-CT229</f>
        <v>0</v>
      </c>
      <c r="CU230" s="145">
        <f t="shared" si="909"/>
        <v>0</v>
      </c>
      <c r="CV230" s="145">
        <f t="shared" si="909"/>
        <v>0</v>
      </c>
      <c r="CW230" s="145">
        <f t="shared" si="909"/>
        <v>0</v>
      </c>
      <c r="CX230" s="145">
        <f t="shared" si="909"/>
        <v>0</v>
      </c>
      <c r="CY230" s="145">
        <f t="shared" si="909"/>
        <v>0</v>
      </c>
      <c r="CZ230" s="145">
        <f t="shared" si="909"/>
        <v>0</v>
      </c>
      <c r="DA230" s="145">
        <f t="shared" si="909"/>
        <v>0</v>
      </c>
      <c r="DB230" s="145">
        <f t="shared" si="909"/>
        <v>0</v>
      </c>
      <c r="DC230" s="145">
        <f t="shared" si="909"/>
        <v>0</v>
      </c>
      <c r="DD230" s="145">
        <f t="shared" si="909"/>
        <v>0</v>
      </c>
      <c r="DE230" s="146">
        <f t="shared" si="909"/>
        <v>0</v>
      </c>
      <c r="DF230" s="147">
        <f t="shared" si="882"/>
        <v>0</v>
      </c>
      <c r="DG230" s="146">
        <f>+DG228-DG229</f>
        <v>-74000</v>
      </c>
      <c r="DH230" s="149">
        <f t="shared" si="814"/>
        <v>-74000</v>
      </c>
      <c r="DI230" s="150">
        <f t="shared" si="883"/>
        <v>-74000</v>
      </c>
      <c r="DJ230" s="151">
        <f t="shared" si="884"/>
        <v>0</v>
      </c>
    </row>
    <row r="231" spans="1:115" ht="15" customHeight="1">
      <c r="A231" s="599"/>
      <c r="B231" s="593" t="s">
        <v>111</v>
      </c>
      <c r="C231" s="152" t="s">
        <v>62</v>
      </c>
      <c r="D231" s="235"/>
      <c r="E231" s="136">
        <f t="shared" si="893"/>
        <v>304143.88125973055</v>
      </c>
      <c r="F231" s="128">
        <f t="shared" ref="F231:R231" si="910">+F207</f>
        <v>0</v>
      </c>
      <c r="G231" s="129">
        <f t="shared" si="910"/>
        <v>0</v>
      </c>
      <c r="H231" s="130">
        <f t="shared" si="910"/>
        <v>0</v>
      </c>
      <c r="I231" s="130">
        <f t="shared" si="910"/>
        <v>0</v>
      </c>
      <c r="J231" s="130">
        <f t="shared" si="910"/>
        <v>0</v>
      </c>
      <c r="K231" s="130">
        <f t="shared" si="910"/>
        <v>0</v>
      </c>
      <c r="L231" s="130">
        <f t="shared" si="910"/>
        <v>0</v>
      </c>
      <c r="M231" s="130">
        <f t="shared" si="910"/>
        <v>0</v>
      </c>
      <c r="N231" s="130">
        <f t="shared" si="910"/>
        <v>0</v>
      </c>
      <c r="O231" s="130">
        <f t="shared" si="910"/>
        <v>0</v>
      </c>
      <c r="P231" s="130">
        <f t="shared" si="910"/>
        <v>0</v>
      </c>
      <c r="Q231" s="130">
        <f t="shared" si="910"/>
        <v>0</v>
      </c>
      <c r="R231" s="131">
        <f t="shared" si="910"/>
        <v>0</v>
      </c>
      <c r="S231" s="132">
        <f>SUM(G231:R231)</f>
        <v>0</v>
      </c>
      <c r="T231" s="385">
        <f t="shared" ref="T231:AE232" si="911">+T207</f>
        <v>0</v>
      </c>
      <c r="U231" s="379">
        <f t="shared" si="911"/>
        <v>0</v>
      </c>
      <c r="V231" s="379"/>
      <c r="W231" s="379">
        <v>0</v>
      </c>
      <c r="X231" s="382"/>
      <c r="Y231" s="379">
        <f t="shared" ref="Y231:AE231" si="912">+Y207</f>
        <v>0</v>
      </c>
      <c r="Z231" s="379">
        <v>80478.182904961155</v>
      </c>
      <c r="AA231" s="382"/>
      <c r="AB231" s="379">
        <f t="shared" si="912"/>
        <v>0</v>
      </c>
      <c r="AC231" s="379">
        <f t="shared" si="912"/>
        <v>0</v>
      </c>
      <c r="AD231" s="379">
        <f t="shared" si="912"/>
        <v>0</v>
      </c>
      <c r="AE231" s="480">
        <f t="shared" si="912"/>
        <v>0</v>
      </c>
      <c r="AF231" s="132">
        <f>SUM(T231:AE231)</f>
        <v>80478.182904961155</v>
      </c>
      <c r="AG231" s="496">
        <f t="shared" ref="AG231:AR231" si="913">+AG207</f>
        <v>0</v>
      </c>
      <c r="AH231" s="510">
        <f t="shared" si="913"/>
        <v>0</v>
      </c>
      <c r="AI231" s="510">
        <f t="shared" si="913"/>
        <v>0</v>
      </c>
      <c r="AJ231" s="510">
        <f t="shared" si="913"/>
        <v>0</v>
      </c>
      <c r="AK231" s="510">
        <f t="shared" si="913"/>
        <v>0</v>
      </c>
      <c r="AL231" s="510">
        <f t="shared" si="913"/>
        <v>0</v>
      </c>
      <c r="AM231" s="510">
        <f t="shared" si="913"/>
        <v>530.84411274865397</v>
      </c>
      <c r="AN231" s="510">
        <f t="shared" si="913"/>
        <v>0</v>
      </c>
      <c r="AO231" s="510">
        <f t="shared" si="913"/>
        <v>7.806296815238384</v>
      </c>
      <c r="AP231" s="510">
        <f t="shared" si="913"/>
        <v>0</v>
      </c>
      <c r="AQ231" s="510">
        <f t="shared" si="913"/>
        <v>0</v>
      </c>
      <c r="AR231" s="510">
        <f t="shared" si="913"/>
        <v>3473.0479452054801</v>
      </c>
      <c r="AS231" s="406">
        <f>SUM(AG231:AR231)</f>
        <v>4011.6983547693726</v>
      </c>
      <c r="AT231" s="516">
        <f t="shared" ref="AT231:BE231" si="914">+AT207</f>
        <v>0</v>
      </c>
      <c r="AU231" s="510">
        <f t="shared" si="914"/>
        <v>0</v>
      </c>
      <c r="AV231" s="510">
        <f t="shared" si="914"/>
        <v>0</v>
      </c>
      <c r="AW231" s="510">
        <f t="shared" si="914"/>
        <v>0</v>
      </c>
      <c r="AX231" s="510">
        <f t="shared" si="914"/>
        <v>0</v>
      </c>
      <c r="AY231" s="510">
        <f t="shared" si="914"/>
        <v>0</v>
      </c>
      <c r="AZ231" s="130">
        <f t="shared" si="914"/>
        <v>0</v>
      </c>
      <c r="BA231" s="130">
        <f t="shared" si="914"/>
        <v>0</v>
      </c>
      <c r="BB231" s="130">
        <f t="shared" si="914"/>
        <v>0</v>
      </c>
      <c r="BC231" s="130">
        <f t="shared" si="914"/>
        <v>0</v>
      </c>
      <c r="BD231" s="130">
        <f t="shared" si="914"/>
        <v>0</v>
      </c>
      <c r="BE231" s="131">
        <f t="shared" si="914"/>
        <v>0</v>
      </c>
      <c r="BF231" s="132">
        <f>SUM(AT231:BE231)</f>
        <v>0</v>
      </c>
      <c r="BG231" s="133">
        <f t="shared" ref="BG231:BR231" si="915">+BG207</f>
        <v>0</v>
      </c>
      <c r="BH231" s="130">
        <f t="shared" si="915"/>
        <v>0</v>
      </c>
      <c r="BI231" s="130">
        <f t="shared" si="915"/>
        <v>0</v>
      </c>
      <c r="BJ231" s="130">
        <f t="shared" si="915"/>
        <v>0</v>
      </c>
      <c r="BK231" s="130">
        <f t="shared" si="915"/>
        <v>0</v>
      </c>
      <c r="BL231" s="130">
        <f t="shared" si="915"/>
        <v>0</v>
      </c>
      <c r="BM231" s="130">
        <f t="shared" si="915"/>
        <v>0</v>
      </c>
      <c r="BN231" s="130">
        <f t="shared" si="915"/>
        <v>0</v>
      </c>
      <c r="BO231" s="130">
        <f t="shared" si="915"/>
        <v>0</v>
      </c>
      <c r="BP231" s="130">
        <f t="shared" si="915"/>
        <v>0</v>
      </c>
      <c r="BQ231" s="130">
        <f t="shared" si="915"/>
        <v>0</v>
      </c>
      <c r="BR231" s="131">
        <f t="shared" si="915"/>
        <v>0</v>
      </c>
      <c r="BS231" s="132">
        <f t="shared" si="879"/>
        <v>0</v>
      </c>
      <c r="BT231" s="133">
        <f t="shared" ref="BT231:CE231" si="916">+BT207</f>
        <v>0</v>
      </c>
      <c r="BU231" s="130">
        <f t="shared" si="916"/>
        <v>0</v>
      </c>
      <c r="BV231" s="130">
        <f t="shared" si="916"/>
        <v>0</v>
      </c>
      <c r="BW231" s="130">
        <f t="shared" si="916"/>
        <v>0</v>
      </c>
      <c r="BX231" s="130">
        <f t="shared" si="916"/>
        <v>0</v>
      </c>
      <c r="BY231" s="130">
        <f t="shared" si="916"/>
        <v>0</v>
      </c>
      <c r="BZ231" s="130">
        <f t="shared" si="916"/>
        <v>27958</v>
      </c>
      <c r="CA231" s="130">
        <f t="shared" si="916"/>
        <v>0</v>
      </c>
      <c r="CB231" s="130">
        <f t="shared" si="916"/>
        <v>0</v>
      </c>
      <c r="CC231" s="130">
        <f t="shared" si="916"/>
        <v>0</v>
      </c>
      <c r="CD231" s="130">
        <f t="shared" si="916"/>
        <v>0</v>
      </c>
      <c r="CE231" s="131">
        <f t="shared" si="916"/>
        <v>0</v>
      </c>
      <c r="CF231" s="132">
        <f t="shared" si="880"/>
        <v>27958</v>
      </c>
      <c r="CG231" s="133">
        <f t="shared" ref="CG231:CR231" si="917">+CG207</f>
        <v>0</v>
      </c>
      <c r="CH231" s="130">
        <f t="shared" si="917"/>
        <v>0</v>
      </c>
      <c r="CI231" s="130">
        <f t="shared" si="917"/>
        <v>0</v>
      </c>
      <c r="CJ231" s="130">
        <f t="shared" si="917"/>
        <v>0</v>
      </c>
      <c r="CK231" s="130">
        <f t="shared" si="917"/>
        <v>0</v>
      </c>
      <c r="CL231" s="130">
        <f t="shared" si="917"/>
        <v>0</v>
      </c>
      <c r="CM231" s="130">
        <f t="shared" si="917"/>
        <v>0</v>
      </c>
      <c r="CN231" s="130">
        <f t="shared" si="917"/>
        <v>0</v>
      </c>
      <c r="CO231" s="130">
        <f t="shared" si="917"/>
        <v>0</v>
      </c>
      <c r="CP231" s="130">
        <f t="shared" si="917"/>
        <v>0</v>
      </c>
      <c r="CQ231" s="130">
        <f t="shared" si="917"/>
        <v>0</v>
      </c>
      <c r="CR231" s="131">
        <f t="shared" si="917"/>
        <v>0</v>
      </c>
      <c r="CS231" s="132">
        <f t="shared" si="881"/>
        <v>0</v>
      </c>
      <c r="CT231" s="133">
        <f t="shared" ref="CT231:DE231" si="918">+CT207</f>
        <v>0</v>
      </c>
      <c r="CU231" s="130">
        <f t="shared" si="918"/>
        <v>0</v>
      </c>
      <c r="CV231" s="130">
        <f t="shared" si="918"/>
        <v>0</v>
      </c>
      <c r="CW231" s="130">
        <f t="shared" si="918"/>
        <v>64200</v>
      </c>
      <c r="CX231" s="130">
        <f t="shared" si="918"/>
        <v>0</v>
      </c>
      <c r="CY231" s="130">
        <f t="shared" si="918"/>
        <v>0</v>
      </c>
      <c r="CZ231" s="130">
        <f t="shared" si="918"/>
        <v>0</v>
      </c>
      <c r="DA231" s="130">
        <f t="shared" si="918"/>
        <v>0</v>
      </c>
      <c r="DB231" s="130">
        <f t="shared" si="918"/>
        <v>0</v>
      </c>
      <c r="DC231" s="130">
        <f t="shared" si="918"/>
        <v>0</v>
      </c>
      <c r="DD231" s="130">
        <f t="shared" si="918"/>
        <v>0</v>
      </c>
      <c r="DE231" s="131">
        <f t="shared" si="918"/>
        <v>0</v>
      </c>
      <c r="DF231" s="132">
        <f t="shared" si="882"/>
        <v>64200</v>
      </c>
      <c r="DG231" s="278">
        <f>+DG207</f>
        <v>127496</v>
      </c>
      <c r="DH231" s="159">
        <f t="shared" si="814"/>
        <v>211985.88125973052</v>
      </c>
      <c r="DI231" s="160">
        <f>+E231</f>
        <v>304143.88125973055</v>
      </c>
      <c r="DJ231" s="161">
        <f>+DI231-DH231</f>
        <v>92158.000000000029</v>
      </c>
    </row>
    <row r="232" spans="1:115" ht="15" customHeight="1">
      <c r="A232" s="599"/>
      <c r="B232" s="548"/>
      <c r="C232" s="135" t="s">
        <v>63</v>
      </c>
      <c r="D232" s="233"/>
      <c r="E232" s="136">
        <f t="shared" si="893"/>
        <v>205473.91590487066</v>
      </c>
      <c r="F232" s="136">
        <f t="shared" ref="F232:P232" si="919">+F208</f>
        <v>0</v>
      </c>
      <c r="G232" s="137">
        <f t="shared" si="919"/>
        <v>0</v>
      </c>
      <c r="H232" s="138">
        <f t="shared" si="919"/>
        <v>0</v>
      </c>
      <c r="I232" s="138">
        <f t="shared" si="919"/>
        <v>0</v>
      </c>
      <c r="J232" s="138">
        <f t="shared" si="919"/>
        <v>0</v>
      </c>
      <c r="K232" s="138">
        <f t="shared" si="919"/>
        <v>0</v>
      </c>
      <c r="L232" s="138">
        <f t="shared" si="919"/>
        <v>0</v>
      </c>
      <c r="M232" s="138">
        <f t="shared" si="919"/>
        <v>0</v>
      </c>
      <c r="N232" s="138">
        <f t="shared" si="919"/>
        <v>0</v>
      </c>
      <c r="O232" s="138">
        <f t="shared" si="919"/>
        <v>0</v>
      </c>
      <c r="P232" s="138">
        <f t="shared" si="919"/>
        <v>0</v>
      </c>
      <c r="Q232" s="138">
        <v>498.54590776900699</v>
      </c>
      <c r="R232" s="139">
        <f>+R208</f>
        <v>0</v>
      </c>
      <c r="S232" s="140">
        <f>SUM(G232:R232)</f>
        <v>498.54590776900699</v>
      </c>
      <c r="T232" s="384">
        <f t="shared" si="911"/>
        <v>0</v>
      </c>
      <c r="U232" s="381">
        <f t="shared" si="911"/>
        <v>0</v>
      </c>
      <c r="V232" s="381">
        <f t="shared" si="911"/>
        <v>0</v>
      </c>
      <c r="W232" s="381">
        <f t="shared" si="911"/>
        <v>0</v>
      </c>
      <c r="X232" s="381">
        <f t="shared" si="911"/>
        <v>0</v>
      </c>
      <c r="Y232" s="381">
        <f t="shared" si="911"/>
        <v>3617.1561051004637</v>
      </c>
      <c r="Z232" s="381"/>
      <c r="AA232" s="381"/>
      <c r="AB232" s="381">
        <f t="shared" si="911"/>
        <v>0</v>
      </c>
      <c r="AC232" s="381">
        <f t="shared" si="911"/>
        <v>0</v>
      </c>
      <c r="AD232" s="381">
        <f t="shared" si="911"/>
        <v>0</v>
      </c>
      <c r="AE232" s="392">
        <f t="shared" si="911"/>
        <v>0</v>
      </c>
      <c r="AF232" s="140">
        <f>SUM(T232:AE232)</f>
        <v>3617.1561051004637</v>
      </c>
      <c r="AG232" s="497">
        <f t="shared" ref="AG232:AQ232" si="920">+AG208</f>
        <v>0</v>
      </c>
      <c r="AH232" s="499">
        <f t="shared" si="920"/>
        <v>0</v>
      </c>
      <c r="AI232" s="499">
        <v>0</v>
      </c>
      <c r="AJ232" s="499">
        <f t="shared" si="920"/>
        <v>0</v>
      </c>
      <c r="AK232" s="499">
        <f t="shared" si="920"/>
        <v>4021.1840861041705</v>
      </c>
      <c r="AL232" s="499">
        <f t="shared" si="920"/>
        <v>10025.982748706154</v>
      </c>
      <c r="AM232" s="499">
        <f t="shared" si="920"/>
        <v>5991.2434042228197</v>
      </c>
      <c r="AN232" s="499">
        <f t="shared" si="920"/>
        <v>0</v>
      </c>
      <c r="AO232" s="499">
        <f t="shared" si="920"/>
        <v>0</v>
      </c>
      <c r="AP232" s="499">
        <f t="shared" si="920"/>
        <v>0</v>
      </c>
      <c r="AQ232" s="499">
        <f t="shared" si="920"/>
        <v>0</v>
      </c>
      <c r="AR232" s="511">
        <v>57261.803652968032</v>
      </c>
      <c r="AS232" s="407">
        <f>SUM(AG232:AR232)</f>
        <v>77300.213892001178</v>
      </c>
      <c r="AT232" s="501">
        <f t="shared" ref="AT232:BE232" si="921">+AT208</f>
        <v>0</v>
      </c>
      <c r="AU232" s="499">
        <f t="shared" si="921"/>
        <v>0</v>
      </c>
      <c r="AV232" s="499">
        <f t="shared" si="921"/>
        <v>0</v>
      </c>
      <c r="AW232" s="499">
        <f t="shared" si="921"/>
        <v>0</v>
      </c>
      <c r="AX232" s="499">
        <f t="shared" si="921"/>
        <v>0</v>
      </c>
      <c r="AY232" s="499"/>
      <c r="AZ232" s="138">
        <f t="shared" si="921"/>
        <v>19083</v>
      </c>
      <c r="BA232" s="138">
        <f t="shared" si="921"/>
        <v>0</v>
      </c>
      <c r="BB232" s="138">
        <f t="shared" si="921"/>
        <v>8875</v>
      </c>
      <c r="BC232" s="138">
        <f t="shared" si="921"/>
        <v>510</v>
      </c>
      <c r="BD232" s="138">
        <f t="shared" si="921"/>
        <v>0</v>
      </c>
      <c r="BE232" s="139">
        <f t="shared" si="921"/>
        <v>0</v>
      </c>
      <c r="BF232" s="140">
        <f>SUM(AT232:BE232)</f>
        <v>28468</v>
      </c>
      <c r="BG232" s="137">
        <f t="shared" ref="BG232:BR232" si="922">+BG208</f>
        <v>0</v>
      </c>
      <c r="BH232" s="138">
        <f t="shared" si="922"/>
        <v>2712</v>
      </c>
      <c r="BI232" s="138">
        <f t="shared" si="922"/>
        <v>0</v>
      </c>
      <c r="BJ232" s="138">
        <f t="shared" si="922"/>
        <v>0</v>
      </c>
      <c r="BK232" s="138">
        <f t="shared" si="922"/>
        <v>0</v>
      </c>
      <c r="BL232" s="138">
        <f t="shared" si="922"/>
        <v>0</v>
      </c>
      <c r="BM232" s="138">
        <f t="shared" si="922"/>
        <v>55090</v>
      </c>
      <c r="BN232" s="138">
        <f t="shared" si="922"/>
        <v>0</v>
      </c>
      <c r="BO232" s="138">
        <f t="shared" si="922"/>
        <v>7458</v>
      </c>
      <c r="BP232" s="138">
        <f t="shared" si="922"/>
        <v>0</v>
      </c>
      <c r="BQ232" s="138">
        <f t="shared" si="922"/>
        <v>0</v>
      </c>
      <c r="BR232" s="139">
        <f t="shared" si="922"/>
        <v>0</v>
      </c>
      <c r="BS232" s="140">
        <f t="shared" si="879"/>
        <v>65260</v>
      </c>
      <c r="BT232" s="137">
        <f t="shared" ref="BT232:CE232" si="923">+BT208</f>
        <v>0</v>
      </c>
      <c r="BU232" s="138">
        <f t="shared" si="923"/>
        <v>0</v>
      </c>
      <c r="BV232" s="138">
        <f t="shared" si="923"/>
        <v>0</v>
      </c>
      <c r="BW232" s="138">
        <f t="shared" si="923"/>
        <v>0</v>
      </c>
      <c r="BX232" s="138">
        <f t="shared" si="923"/>
        <v>0</v>
      </c>
      <c r="BY232" s="138">
        <f t="shared" si="923"/>
        <v>6780</v>
      </c>
      <c r="BZ232" s="138">
        <f t="shared" si="923"/>
        <v>0</v>
      </c>
      <c r="CA232" s="138">
        <f t="shared" si="923"/>
        <v>0</v>
      </c>
      <c r="CB232" s="138">
        <f t="shared" si="923"/>
        <v>0</v>
      </c>
      <c r="CC232" s="138">
        <f t="shared" si="923"/>
        <v>0</v>
      </c>
      <c r="CD232" s="138">
        <f t="shared" si="923"/>
        <v>0</v>
      </c>
      <c r="CE232" s="139">
        <f t="shared" si="923"/>
        <v>0</v>
      </c>
      <c r="CF232" s="140">
        <f t="shared" si="880"/>
        <v>6780</v>
      </c>
      <c r="CG232" s="137">
        <f t="shared" ref="CG232:CR232" si="924">+CG208</f>
        <v>0</v>
      </c>
      <c r="CH232" s="138">
        <f t="shared" si="924"/>
        <v>6780</v>
      </c>
      <c r="CI232" s="138">
        <f t="shared" si="924"/>
        <v>0</v>
      </c>
      <c r="CJ232" s="138">
        <f t="shared" si="924"/>
        <v>0</v>
      </c>
      <c r="CK232" s="138">
        <f t="shared" si="924"/>
        <v>0</v>
      </c>
      <c r="CL232" s="138">
        <f t="shared" si="924"/>
        <v>10170</v>
      </c>
      <c r="CM232" s="138">
        <f t="shared" si="924"/>
        <v>0</v>
      </c>
      <c r="CN232" s="138">
        <f t="shared" si="924"/>
        <v>0</v>
      </c>
      <c r="CO232" s="138">
        <f t="shared" si="924"/>
        <v>0</v>
      </c>
      <c r="CP232" s="138">
        <f t="shared" si="924"/>
        <v>6600</v>
      </c>
      <c r="CQ232" s="138">
        <f t="shared" si="924"/>
        <v>0</v>
      </c>
      <c r="CR232" s="139">
        <f t="shared" si="924"/>
        <v>0</v>
      </c>
      <c r="CS232" s="140">
        <f t="shared" si="881"/>
        <v>23550</v>
      </c>
      <c r="CT232" s="137">
        <f t="shared" ref="CT232:DE232" si="925">+CT208</f>
        <v>0</v>
      </c>
      <c r="CU232" s="138">
        <f t="shared" si="925"/>
        <v>0</v>
      </c>
      <c r="CV232" s="138">
        <f t="shared" si="925"/>
        <v>0</v>
      </c>
      <c r="CW232" s="138">
        <f t="shared" si="925"/>
        <v>0</v>
      </c>
      <c r="CX232" s="138">
        <f t="shared" si="925"/>
        <v>0</v>
      </c>
      <c r="CY232" s="138">
        <f t="shared" si="925"/>
        <v>0</v>
      </c>
      <c r="CZ232" s="138">
        <f t="shared" si="925"/>
        <v>0</v>
      </c>
      <c r="DA232" s="138">
        <f t="shared" si="925"/>
        <v>0</v>
      </c>
      <c r="DB232" s="138">
        <f t="shared" si="925"/>
        <v>0</v>
      </c>
      <c r="DC232" s="138">
        <f t="shared" si="925"/>
        <v>0</v>
      </c>
      <c r="DD232" s="138">
        <f t="shared" si="925"/>
        <v>0</v>
      </c>
      <c r="DE232" s="139">
        <f t="shared" si="925"/>
        <v>0</v>
      </c>
      <c r="DF232" s="140">
        <f t="shared" si="882"/>
        <v>0</v>
      </c>
      <c r="DG232" s="279">
        <f>+DG208</f>
        <v>0</v>
      </c>
      <c r="DH232" s="90">
        <f t="shared" si="814"/>
        <v>175143.91590487066</v>
      </c>
      <c r="DI232" s="91">
        <f>+E232</f>
        <v>205473.91590487066</v>
      </c>
      <c r="DJ232" s="92">
        <f>+DI232-DH232</f>
        <v>30330</v>
      </c>
      <c r="DK232" s="64">
        <f>+DH232/DH231</f>
        <v>0.82620557022040475</v>
      </c>
    </row>
    <row r="233" spans="1:115" ht="15" customHeight="1">
      <c r="A233" s="599"/>
      <c r="B233" s="549"/>
      <c r="C233" s="286" t="s">
        <v>11</v>
      </c>
      <c r="D233" s="236"/>
      <c r="E233" s="143">
        <f t="shared" ref="E233:R233" si="926">+E231-E232</f>
        <v>98669.965354859887</v>
      </c>
      <c r="F233" s="144">
        <f t="shared" si="926"/>
        <v>0</v>
      </c>
      <c r="G233" s="145">
        <f t="shared" si="926"/>
        <v>0</v>
      </c>
      <c r="H233" s="145">
        <f t="shared" si="926"/>
        <v>0</v>
      </c>
      <c r="I233" s="145">
        <f t="shared" si="926"/>
        <v>0</v>
      </c>
      <c r="J233" s="145">
        <f t="shared" si="926"/>
        <v>0</v>
      </c>
      <c r="K233" s="145">
        <f t="shared" si="926"/>
        <v>0</v>
      </c>
      <c r="L233" s="145">
        <f t="shared" si="926"/>
        <v>0</v>
      </c>
      <c r="M233" s="145">
        <f t="shared" si="926"/>
        <v>0</v>
      </c>
      <c r="N233" s="145">
        <f t="shared" si="926"/>
        <v>0</v>
      </c>
      <c r="O233" s="145">
        <f t="shared" si="926"/>
        <v>0</v>
      </c>
      <c r="P233" s="145">
        <f t="shared" si="926"/>
        <v>0</v>
      </c>
      <c r="Q233" s="145">
        <f t="shared" si="926"/>
        <v>-498.54590776900699</v>
      </c>
      <c r="R233" s="146">
        <f t="shared" si="926"/>
        <v>0</v>
      </c>
      <c r="S233" s="147">
        <f>SUM(G233:R233)</f>
        <v>-498.54590776900699</v>
      </c>
      <c r="T233" s="148">
        <f t="shared" ref="T233:AE233" si="927">+T231-T232</f>
        <v>0</v>
      </c>
      <c r="U233" s="145">
        <f t="shared" si="927"/>
        <v>0</v>
      </c>
      <c r="V233" s="145">
        <f t="shared" si="927"/>
        <v>0</v>
      </c>
      <c r="W233" s="145">
        <f t="shared" si="927"/>
        <v>0</v>
      </c>
      <c r="X233" s="145">
        <f t="shared" si="927"/>
        <v>0</v>
      </c>
      <c r="Y233" s="145">
        <f t="shared" si="927"/>
        <v>-3617.1561051004637</v>
      </c>
      <c r="Z233" s="145">
        <f t="shared" si="927"/>
        <v>80478.182904961155</v>
      </c>
      <c r="AA233" s="145">
        <f t="shared" si="927"/>
        <v>0</v>
      </c>
      <c r="AB233" s="145">
        <f t="shared" si="927"/>
        <v>0</v>
      </c>
      <c r="AC233" s="145">
        <f t="shared" si="927"/>
        <v>0</v>
      </c>
      <c r="AD233" s="145">
        <f t="shared" si="927"/>
        <v>0</v>
      </c>
      <c r="AE233" s="146">
        <f t="shared" si="927"/>
        <v>0</v>
      </c>
      <c r="AF233" s="147">
        <f>SUM(T233:AE233)</f>
        <v>76861.026799860687</v>
      </c>
      <c r="AG233" s="148">
        <f t="shared" ref="AG233:AR233" si="928">+AG231-AG232</f>
        <v>0</v>
      </c>
      <c r="AH233" s="145">
        <f t="shared" si="928"/>
        <v>0</v>
      </c>
      <c r="AI233" s="145">
        <f t="shared" si="928"/>
        <v>0</v>
      </c>
      <c r="AJ233" s="145">
        <f t="shared" si="928"/>
        <v>0</v>
      </c>
      <c r="AK233" s="145">
        <f t="shared" si="928"/>
        <v>-4021.1840861041705</v>
      </c>
      <c r="AL233" s="145">
        <f t="shared" si="928"/>
        <v>-10025.982748706154</v>
      </c>
      <c r="AM233" s="145">
        <f t="shared" si="928"/>
        <v>-5460.3992914741657</v>
      </c>
      <c r="AN233" s="145">
        <f t="shared" si="928"/>
        <v>0</v>
      </c>
      <c r="AO233" s="145">
        <f t="shared" si="928"/>
        <v>7.806296815238384</v>
      </c>
      <c r="AP233" s="145">
        <f t="shared" si="928"/>
        <v>0</v>
      </c>
      <c r="AQ233" s="145">
        <f t="shared" si="928"/>
        <v>0</v>
      </c>
      <c r="AR233" s="146">
        <f t="shared" si="928"/>
        <v>-53788.755707762553</v>
      </c>
      <c r="AS233" s="408">
        <f>SUM(AG233:AR233)</f>
        <v>-73288.515537231811</v>
      </c>
      <c r="AT233" s="148">
        <f t="shared" ref="AT233:BE233" si="929">+AT231-AT232</f>
        <v>0</v>
      </c>
      <c r="AU233" s="145">
        <f t="shared" si="929"/>
        <v>0</v>
      </c>
      <c r="AV233" s="145">
        <f t="shared" si="929"/>
        <v>0</v>
      </c>
      <c r="AW233" s="145">
        <f t="shared" si="929"/>
        <v>0</v>
      </c>
      <c r="AX233" s="145">
        <f t="shared" si="929"/>
        <v>0</v>
      </c>
      <c r="AY233" s="145">
        <f t="shared" si="929"/>
        <v>0</v>
      </c>
      <c r="AZ233" s="145">
        <f t="shared" si="929"/>
        <v>-19083</v>
      </c>
      <c r="BA233" s="145">
        <f t="shared" si="929"/>
        <v>0</v>
      </c>
      <c r="BB233" s="145">
        <f t="shared" si="929"/>
        <v>-8875</v>
      </c>
      <c r="BC233" s="145">
        <f t="shared" si="929"/>
        <v>-510</v>
      </c>
      <c r="BD233" s="145">
        <f t="shared" si="929"/>
        <v>0</v>
      </c>
      <c r="BE233" s="146">
        <f t="shared" si="929"/>
        <v>0</v>
      </c>
      <c r="BF233" s="147">
        <f>SUM(AT233:BE233)</f>
        <v>-28468</v>
      </c>
      <c r="BG233" s="148">
        <f t="shared" ref="BG233:BR233" si="930">+BG231-BG232</f>
        <v>0</v>
      </c>
      <c r="BH233" s="145">
        <f t="shared" si="930"/>
        <v>-2712</v>
      </c>
      <c r="BI233" s="145">
        <f t="shared" si="930"/>
        <v>0</v>
      </c>
      <c r="BJ233" s="145">
        <f t="shared" si="930"/>
        <v>0</v>
      </c>
      <c r="BK233" s="145">
        <f t="shared" si="930"/>
        <v>0</v>
      </c>
      <c r="BL233" s="145">
        <f t="shared" si="930"/>
        <v>0</v>
      </c>
      <c r="BM233" s="145">
        <f t="shared" si="930"/>
        <v>-55090</v>
      </c>
      <c r="BN233" s="145">
        <f t="shared" si="930"/>
        <v>0</v>
      </c>
      <c r="BO233" s="145">
        <f t="shared" si="930"/>
        <v>-7458</v>
      </c>
      <c r="BP233" s="145">
        <f t="shared" si="930"/>
        <v>0</v>
      </c>
      <c r="BQ233" s="145">
        <f t="shared" si="930"/>
        <v>0</v>
      </c>
      <c r="BR233" s="146">
        <f t="shared" si="930"/>
        <v>0</v>
      </c>
      <c r="BS233" s="147">
        <f t="shared" si="879"/>
        <v>-65260</v>
      </c>
      <c r="BT233" s="148">
        <f t="shared" ref="BT233:CE233" si="931">+BT231-BT232</f>
        <v>0</v>
      </c>
      <c r="BU233" s="145">
        <f t="shared" si="931"/>
        <v>0</v>
      </c>
      <c r="BV233" s="145">
        <f t="shared" si="931"/>
        <v>0</v>
      </c>
      <c r="BW233" s="145">
        <f t="shared" si="931"/>
        <v>0</v>
      </c>
      <c r="BX233" s="145">
        <f t="shared" si="931"/>
        <v>0</v>
      </c>
      <c r="BY233" s="145">
        <f t="shared" si="931"/>
        <v>-6780</v>
      </c>
      <c r="BZ233" s="145">
        <f t="shared" si="931"/>
        <v>27958</v>
      </c>
      <c r="CA233" s="145">
        <f t="shared" si="931"/>
        <v>0</v>
      </c>
      <c r="CB233" s="145">
        <f t="shared" si="931"/>
        <v>0</v>
      </c>
      <c r="CC233" s="145">
        <f t="shared" si="931"/>
        <v>0</v>
      </c>
      <c r="CD233" s="145">
        <f t="shared" si="931"/>
        <v>0</v>
      </c>
      <c r="CE233" s="146">
        <f t="shared" si="931"/>
        <v>0</v>
      </c>
      <c r="CF233" s="147">
        <f t="shared" si="880"/>
        <v>21178</v>
      </c>
      <c r="CG233" s="148">
        <f t="shared" ref="CG233:CR233" si="932">+CG231-CG232</f>
        <v>0</v>
      </c>
      <c r="CH233" s="145">
        <f t="shared" si="932"/>
        <v>-6780</v>
      </c>
      <c r="CI233" s="145">
        <f t="shared" si="932"/>
        <v>0</v>
      </c>
      <c r="CJ233" s="145">
        <f t="shared" si="932"/>
        <v>0</v>
      </c>
      <c r="CK233" s="145">
        <f t="shared" si="932"/>
        <v>0</v>
      </c>
      <c r="CL233" s="145">
        <f t="shared" si="932"/>
        <v>-10170</v>
      </c>
      <c r="CM233" s="145">
        <f t="shared" si="932"/>
        <v>0</v>
      </c>
      <c r="CN233" s="145">
        <f t="shared" si="932"/>
        <v>0</v>
      </c>
      <c r="CO233" s="145">
        <f t="shared" si="932"/>
        <v>0</v>
      </c>
      <c r="CP233" s="145">
        <f t="shared" si="932"/>
        <v>-6600</v>
      </c>
      <c r="CQ233" s="145">
        <f t="shared" si="932"/>
        <v>0</v>
      </c>
      <c r="CR233" s="146">
        <f t="shared" si="932"/>
        <v>0</v>
      </c>
      <c r="CS233" s="147">
        <f t="shared" si="881"/>
        <v>-23550</v>
      </c>
      <c r="CT233" s="148">
        <f t="shared" ref="CT233:DE233" si="933">+CT231-CT232</f>
        <v>0</v>
      </c>
      <c r="CU233" s="145">
        <f t="shared" si="933"/>
        <v>0</v>
      </c>
      <c r="CV233" s="145">
        <f t="shared" si="933"/>
        <v>0</v>
      </c>
      <c r="CW233" s="145">
        <f t="shared" si="933"/>
        <v>64200</v>
      </c>
      <c r="CX233" s="145">
        <f t="shared" si="933"/>
        <v>0</v>
      </c>
      <c r="CY233" s="145">
        <f t="shared" si="933"/>
        <v>0</v>
      </c>
      <c r="CZ233" s="145">
        <f t="shared" si="933"/>
        <v>0</v>
      </c>
      <c r="DA233" s="145">
        <f t="shared" si="933"/>
        <v>0</v>
      </c>
      <c r="DB233" s="145">
        <f t="shared" si="933"/>
        <v>0</v>
      </c>
      <c r="DC233" s="145">
        <f t="shared" si="933"/>
        <v>0</v>
      </c>
      <c r="DD233" s="145">
        <f t="shared" si="933"/>
        <v>0</v>
      </c>
      <c r="DE233" s="146">
        <f t="shared" si="933"/>
        <v>0</v>
      </c>
      <c r="DF233" s="147">
        <f t="shared" si="882"/>
        <v>64200</v>
      </c>
      <c r="DG233" s="146">
        <f>+DG231-DG232</f>
        <v>127496</v>
      </c>
      <c r="DH233" s="98">
        <f t="shared" si="814"/>
        <v>36841.965354859873</v>
      </c>
      <c r="DI233" s="99">
        <f>+E233</f>
        <v>98669.965354859887</v>
      </c>
      <c r="DJ233" s="100">
        <f>+DI233-DH233</f>
        <v>61828.000000000015</v>
      </c>
    </row>
    <row r="234" spans="1:115" ht="15" customHeight="1">
      <c r="A234" s="599"/>
      <c r="B234" s="593" t="s">
        <v>112</v>
      </c>
      <c r="C234" s="152" t="s">
        <v>62</v>
      </c>
      <c r="D234" s="235"/>
      <c r="E234" s="136">
        <f t="shared" si="893"/>
        <v>4249.8311524689243</v>
      </c>
      <c r="F234" s="128"/>
      <c r="G234" s="129"/>
      <c r="H234" s="130"/>
      <c r="I234" s="130"/>
      <c r="J234" s="130"/>
      <c r="K234" s="130"/>
      <c r="L234" s="130"/>
      <c r="M234" s="130"/>
      <c r="N234" s="130"/>
      <c r="O234" s="130"/>
      <c r="P234" s="130"/>
      <c r="Q234" s="130"/>
      <c r="R234" s="131"/>
      <c r="S234" s="132">
        <f t="shared" si="875"/>
        <v>0</v>
      </c>
      <c r="T234" s="385"/>
      <c r="U234" s="379"/>
      <c r="V234" s="379"/>
      <c r="W234" s="379"/>
      <c r="X234" s="379"/>
      <c r="Y234" s="379"/>
      <c r="Z234" s="379"/>
      <c r="AA234" s="379"/>
      <c r="AB234" s="379"/>
      <c r="AC234" s="379"/>
      <c r="AD234" s="379"/>
      <c r="AE234" s="480"/>
      <c r="AF234" s="132">
        <f t="shared" si="876"/>
        <v>0</v>
      </c>
      <c r="AG234" s="496"/>
      <c r="AH234" s="510"/>
      <c r="AI234" s="510"/>
      <c r="AJ234" s="510"/>
      <c r="AK234" s="510"/>
      <c r="AL234" s="510"/>
      <c r="AM234" s="510"/>
      <c r="AN234" s="510"/>
      <c r="AO234" s="510"/>
      <c r="AP234" s="510">
        <v>58.8311524689246</v>
      </c>
      <c r="AQ234" s="510"/>
      <c r="AR234" s="515"/>
      <c r="AS234" s="406">
        <f t="shared" si="877"/>
        <v>58.8311524689246</v>
      </c>
      <c r="AT234" s="516"/>
      <c r="AU234" s="510"/>
      <c r="AV234" s="510"/>
      <c r="AW234" s="510"/>
      <c r="AX234" s="510"/>
      <c r="AY234" s="510"/>
      <c r="AZ234" s="130"/>
      <c r="BA234" s="130"/>
      <c r="BB234" s="130"/>
      <c r="BC234" s="130"/>
      <c r="BD234" s="130"/>
      <c r="BE234" s="131"/>
      <c r="BF234" s="132">
        <f t="shared" si="878"/>
        <v>0</v>
      </c>
      <c r="BG234" s="133"/>
      <c r="BH234" s="130"/>
      <c r="BI234" s="130"/>
      <c r="BJ234" s="130"/>
      <c r="BK234" s="130"/>
      <c r="BL234" s="130"/>
      <c r="BM234" s="130"/>
      <c r="BN234" s="130"/>
      <c r="BO234" s="130"/>
      <c r="BP234" s="130"/>
      <c r="BQ234" s="130"/>
      <c r="BR234" s="131"/>
      <c r="BS234" s="132">
        <f t="shared" si="879"/>
        <v>0</v>
      </c>
      <c r="BT234" s="133"/>
      <c r="BU234" s="130"/>
      <c r="BV234" s="130"/>
      <c r="BW234" s="130"/>
      <c r="BX234" s="130"/>
      <c r="BY234" s="130">
        <v>0</v>
      </c>
      <c r="BZ234" s="130">
        <v>4191</v>
      </c>
      <c r="CA234" s="130">
        <f t="shared" ref="CA234" si="934">CA258</f>
        <v>0</v>
      </c>
      <c r="CB234" s="130"/>
      <c r="CC234" s="130"/>
      <c r="CD234" s="130"/>
      <c r="CE234" s="131"/>
      <c r="CF234" s="132">
        <f t="shared" si="880"/>
        <v>4191</v>
      </c>
      <c r="CG234" s="133"/>
      <c r="CH234" s="130"/>
      <c r="CI234" s="130"/>
      <c r="CJ234" s="130"/>
      <c r="CK234" s="130"/>
      <c r="CL234" s="130"/>
      <c r="CM234" s="130"/>
      <c r="CN234" s="130"/>
      <c r="CO234" s="130"/>
      <c r="CP234" s="130"/>
      <c r="CQ234" s="130"/>
      <c r="CR234" s="131"/>
      <c r="CS234" s="132">
        <f t="shared" si="881"/>
        <v>0</v>
      </c>
      <c r="CT234" s="133"/>
      <c r="CU234" s="130"/>
      <c r="CV234" s="130"/>
      <c r="CW234" s="130"/>
      <c r="CX234" s="130"/>
      <c r="CY234" s="130"/>
      <c r="CZ234" s="130"/>
      <c r="DA234" s="130"/>
      <c r="DB234" s="130"/>
      <c r="DC234" s="130"/>
      <c r="DD234" s="130"/>
      <c r="DE234" s="131"/>
      <c r="DF234" s="132">
        <f t="shared" si="882"/>
        <v>0</v>
      </c>
      <c r="DG234" s="278"/>
      <c r="DH234" s="159">
        <f t="shared" si="814"/>
        <v>58.8311524689246</v>
      </c>
      <c r="DI234" s="160">
        <f t="shared" si="883"/>
        <v>4249.8311524689243</v>
      </c>
      <c r="DJ234" s="161">
        <f t="shared" si="884"/>
        <v>4191</v>
      </c>
    </row>
    <row r="235" spans="1:115" ht="15" customHeight="1">
      <c r="A235" s="599"/>
      <c r="B235" s="548"/>
      <c r="C235" s="135" t="s">
        <v>63</v>
      </c>
      <c r="D235" s="233"/>
      <c r="E235" s="136">
        <f t="shared" si="893"/>
        <v>0</v>
      </c>
      <c r="F235" s="136"/>
      <c r="G235" s="137">
        <f t="shared" ref="G235:R235" si="935">+G257</f>
        <v>0</v>
      </c>
      <c r="H235" s="138">
        <f t="shared" si="935"/>
        <v>0</v>
      </c>
      <c r="I235" s="138">
        <f t="shared" si="935"/>
        <v>0</v>
      </c>
      <c r="J235" s="138">
        <f t="shared" si="935"/>
        <v>0</v>
      </c>
      <c r="K235" s="138">
        <f t="shared" si="935"/>
        <v>0</v>
      </c>
      <c r="L235" s="138">
        <f t="shared" si="935"/>
        <v>0</v>
      </c>
      <c r="M235" s="138">
        <f t="shared" si="935"/>
        <v>0</v>
      </c>
      <c r="N235" s="138">
        <f t="shared" si="935"/>
        <v>0</v>
      </c>
      <c r="O235" s="138">
        <f t="shared" si="935"/>
        <v>0</v>
      </c>
      <c r="P235" s="138">
        <f t="shared" si="935"/>
        <v>0</v>
      </c>
      <c r="Q235" s="138">
        <f t="shared" si="935"/>
        <v>0</v>
      </c>
      <c r="R235" s="139">
        <f t="shared" si="935"/>
        <v>0</v>
      </c>
      <c r="S235" s="140">
        <f t="shared" si="875"/>
        <v>0</v>
      </c>
      <c r="T235" s="384">
        <f t="shared" ref="T235:AE235" si="936">+T257</f>
        <v>0</v>
      </c>
      <c r="U235" s="381">
        <f t="shared" si="936"/>
        <v>0</v>
      </c>
      <c r="V235" s="381">
        <f t="shared" si="936"/>
        <v>0</v>
      </c>
      <c r="W235" s="381">
        <f t="shared" si="936"/>
        <v>0</v>
      </c>
      <c r="X235" s="381">
        <f t="shared" si="936"/>
        <v>0</v>
      </c>
      <c r="Y235" s="381">
        <f t="shared" si="936"/>
        <v>0</v>
      </c>
      <c r="Z235" s="381">
        <f t="shared" si="936"/>
        <v>0</v>
      </c>
      <c r="AA235" s="381">
        <f t="shared" si="936"/>
        <v>0</v>
      </c>
      <c r="AB235" s="381">
        <f t="shared" si="936"/>
        <v>0</v>
      </c>
      <c r="AC235" s="381">
        <f t="shared" si="936"/>
        <v>0</v>
      </c>
      <c r="AD235" s="381">
        <f t="shared" si="936"/>
        <v>0</v>
      </c>
      <c r="AE235" s="392">
        <f t="shared" si="936"/>
        <v>0</v>
      </c>
      <c r="AF235" s="140">
        <f t="shared" si="876"/>
        <v>0</v>
      </c>
      <c r="AG235" s="497">
        <f t="shared" ref="AG235:AO235" si="937">+AG257</f>
        <v>0</v>
      </c>
      <c r="AH235" s="499">
        <f t="shared" si="937"/>
        <v>0</v>
      </c>
      <c r="AI235" s="499">
        <f t="shared" si="937"/>
        <v>0</v>
      </c>
      <c r="AJ235" s="499">
        <f t="shared" si="937"/>
        <v>0</v>
      </c>
      <c r="AK235" s="499">
        <f t="shared" si="937"/>
        <v>0</v>
      </c>
      <c r="AL235" s="499">
        <f t="shared" si="937"/>
        <v>0</v>
      </c>
      <c r="AM235" s="499">
        <f t="shared" si="937"/>
        <v>0</v>
      </c>
      <c r="AN235" s="499">
        <f t="shared" si="937"/>
        <v>0</v>
      </c>
      <c r="AO235" s="499">
        <f t="shared" si="937"/>
        <v>0</v>
      </c>
      <c r="AP235" s="499">
        <v>0</v>
      </c>
      <c r="AQ235" s="499">
        <f>+AQ257</f>
        <v>0</v>
      </c>
      <c r="AR235" s="511">
        <f>+AR257</f>
        <v>0</v>
      </c>
      <c r="AS235" s="407">
        <f t="shared" si="877"/>
        <v>0</v>
      </c>
      <c r="AT235" s="501">
        <v>0</v>
      </c>
      <c r="AU235" s="499">
        <v>0</v>
      </c>
      <c r="AV235" s="499">
        <v>0</v>
      </c>
      <c r="AW235" s="499">
        <v>0</v>
      </c>
      <c r="AX235" s="499">
        <v>0</v>
      </c>
      <c r="AY235" s="499">
        <v>0</v>
      </c>
      <c r="AZ235" s="138">
        <v>0</v>
      </c>
      <c r="BA235" s="138">
        <v>0</v>
      </c>
      <c r="BB235" s="138">
        <v>0</v>
      </c>
      <c r="BC235" s="138">
        <v>0</v>
      </c>
      <c r="BD235" s="138">
        <v>0</v>
      </c>
      <c r="BE235" s="139">
        <v>0</v>
      </c>
      <c r="BF235" s="140">
        <f t="shared" si="878"/>
        <v>0</v>
      </c>
      <c r="BG235" s="137">
        <v>0</v>
      </c>
      <c r="BH235" s="138">
        <v>0</v>
      </c>
      <c r="BI235" s="138">
        <v>0</v>
      </c>
      <c r="BJ235" s="138">
        <v>0</v>
      </c>
      <c r="BK235" s="138">
        <v>0</v>
      </c>
      <c r="BL235" s="138">
        <v>0</v>
      </c>
      <c r="BM235" s="138">
        <v>0</v>
      </c>
      <c r="BN235" s="138">
        <v>0</v>
      </c>
      <c r="BO235" s="138">
        <v>0</v>
      </c>
      <c r="BP235" s="138">
        <v>0</v>
      </c>
      <c r="BQ235" s="138">
        <v>0</v>
      </c>
      <c r="BR235" s="139">
        <v>0</v>
      </c>
      <c r="BS235" s="140">
        <f t="shared" si="879"/>
        <v>0</v>
      </c>
      <c r="BT235" s="137">
        <v>0</v>
      </c>
      <c r="BU235" s="138">
        <v>0</v>
      </c>
      <c r="BV235" s="138">
        <v>0</v>
      </c>
      <c r="BW235" s="138">
        <v>0</v>
      </c>
      <c r="BX235" s="138">
        <v>0</v>
      </c>
      <c r="BY235" s="138">
        <v>0</v>
      </c>
      <c r="BZ235" s="138">
        <v>0</v>
      </c>
      <c r="CA235" s="138">
        <v>0</v>
      </c>
      <c r="CB235" s="138">
        <v>0</v>
      </c>
      <c r="CC235" s="138">
        <v>0</v>
      </c>
      <c r="CD235" s="138">
        <v>0</v>
      </c>
      <c r="CE235" s="139">
        <v>0</v>
      </c>
      <c r="CF235" s="140">
        <f t="shared" si="880"/>
        <v>0</v>
      </c>
      <c r="CG235" s="137">
        <v>0</v>
      </c>
      <c r="CH235" s="138">
        <v>0</v>
      </c>
      <c r="CI235" s="138">
        <v>0</v>
      </c>
      <c r="CJ235" s="138">
        <v>0</v>
      </c>
      <c r="CK235" s="138">
        <v>0</v>
      </c>
      <c r="CL235" s="138">
        <v>0</v>
      </c>
      <c r="CM235" s="138">
        <v>0</v>
      </c>
      <c r="CN235" s="138">
        <v>0</v>
      </c>
      <c r="CO235" s="138">
        <v>0</v>
      </c>
      <c r="CP235" s="138">
        <v>0</v>
      </c>
      <c r="CQ235" s="138">
        <v>0</v>
      </c>
      <c r="CR235" s="139">
        <v>0</v>
      </c>
      <c r="CS235" s="140">
        <f t="shared" si="881"/>
        <v>0</v>
      </c>
      <c r="CT235" s="137"/>
      <c r="CU235" s="138"/>
      <c r="CV235" s="138"/>
      <c r="CW235" s="138"/>
      <c r="CX235" s="138"/>
      <c r="CY235" s="138"/>
      <c r="CZ235" s="138"/>
      <c r="DA235" s="138"/>
      <c r="DB235" s="138"/>
      <c r="DC235" s="138"/>
      <c r="DD235" s="138"/>
      <c r="DE235" s="139"/>
      <c r="DF235" s="140">
        <f t="shared" si="882"/>
        <v>0</v>
      </c>
      <c r="DG235" s="279">
        <f>+DG257</f>
        <v>0</v>
      </c>
      <c r="DH235" s="90">
        <f t="shared" si="814"/>
        <v>0</v>
      </c>
      <c r="DI235" s="91">
        <f t="shared" si="883"/>
        <v>0</v>
      </c>
      <c r="DJ235" s="92">
        <f t="shared" si="884"/>
        <v>0</v>
      </c>
      <c r="DK235" s="64">
        <f>+DH235/DH234</f>
        <v>0</v>
      </c>
    </row>
    <row r="236" spans="1:115" ht="15" customHeight="1">
      <c r="A236" s="599"/>
      <c r="B236" s="549"/>
      <c r="C236" s="286" t="s">
        <v>11</v>
      </c>
      <c r="D236" s="236"/>
      <c r="E236" s="143">
        <f t="shared" ref="E236:R236" si="938">+E234-E235</f>
        <v>4249.8311524689243</v>
      </c>
      <c r="F236" s="144">
        <f t="shared" si="938"/>
        <v>0</v>
      </c>
      <c r="G236" s="145">
        <f t="shared" si="938"/>
        <v>0</v>
      </c>
      <c r="H236" s="145">
        <f t="shared" si="938"/>
        <v>0</v>
      </c>
      <c r="I236" s="145">
        <f t="shared" si="938"/>
        <v>0</v>
      </c>
      <c r="J236" s="145">
        <f t="shared" si="938"/>
        <v>0</v>
      </c>
      <c r="K236" s="145">
        <f t="shared" si="938"/>
        <v>0</v>
      </c>
      <c r="L236" s="145">
        <f t="shared" si="938"/>
        <v>0</v>
      </c>
      <c r="M236" s="145">
        <f t="shared" si="938"/>
        <v>0</v>
      </c>
      <c r="N236" s="145">
        <f t="shared" si="938"/>
        <v>0</v>
      </c>
      <c r="O236" s="145">
        <f t="shared" si="938"/>
        <v>0</v>
      </c>
      <c r="P236" s="145">
        <f t="shared" si="938"/>
        <v>0</v>
      </c>
      <c r="Q236" s="145">
        <f t="shared" si="938"/>
        <v>0</v>
      </c>
      <c r="R236" s="146">
        <f t="shared" si="938"/>
        <v>0</v>
      </c>
      <c r="S236" s="147">
        <f t="shared" si="875"/>
        <v>0</v>
      </c>
      <c r="T236" s="148">
        <f t="shared" ref="T236:AE236" si="939">+T234-T235</f>
        <v>0</v>
      </c>
      <c r="U236" s="145">
        <f t="shared" si="939"/>
        <v>0</v>
      </c>
      <c r="V236" s="145">
        <f t="shared" si="939"/>
        <v>0</v>
      </c>
      <c r="W236" s="145">
        <f t="shared" si="939"/>
        <v>0</v>
      </c>
      <c r="X236" s="145">
        <f t="shared" si="939"/>
        <v>0</v>
      </c>
      <c r="Y236" s="145">
        <f t="shared" si="939"/>
        <v>0</v>
      </c>
      <c r="Z236" s="145">
        <f t="shared" si="939"/>
        <v>0</v>
      </c>
      <c r="AA236" s="145">
        <f t="shared" si="939"/>
        <v>0</v>
      </c>
      <c r="AB236" s="145">
        <f t="shared" si="939"/>
        <v>0</v>
      </c>
      <c r="AC236" s="145">
        <f t="shared" si="939"/>
        <v>0</v>
      </c>
      <c r="AD236" s="145">
        <f t="shared" si="939"/>
        <v>0</v>
      </c>
      <c r="AE236" s="146">
        <f t="shared" si="939"/>
        <v>0</v>
      </c>
      <c r="AF236" s="147">
        <f t="shared" si="876"/>
        <v>0</v>
      </c>
      <c r="AG236" s="148">
        <f t="shared" ref="AG236:AR236" si="940">+AG234-AG235</f>
        <v>0</v>
      </c>
      <c r="AH236" s="145">
        <f t="shared" si="940"/>
        <v>0</v>
      </c>
      <c r="AI236" s="145">
        <f t="shared" si="940"/>
        <v>0</v>
      </c>
      <c r="AJ236" s="145">
        <f t="shared" si="940"/>
        <v>0</v>
      </c>
      <c r="AK236" s="145">
        <f t="shared" si="940"/>
        <v>0</v>
      </c>
      <c r="AL236" s="145">
        <f t="shared" si="940"/>
        <v>0</v>
      </c>
      <c r="AM236" s="145">
        <f t="shared" si="940"/>
        <v>0</v>
      </c>
      <c r="AN236" s="145">
        <f t="shared" si="940"/>
        <v>0</v>
      </c>
      <c r="AO236" s="145">
        <f t="shared" si="940"/>
        <v>0</v>
      </c>
      <c r="AP236" s="145">
        <f t="shared" si="940"/>
        <v>58.8311524689246</v>
      </c>
      <c r="AQ236" s="145">
        <f t="shared" si="940"/>
        <v>0</v>
      </c>
      <c r="AR236" s="146">
        <f t="shared" si="940"/>
        <v>0</v>
      </c>
      <c r="AS236" s="408">
        <f t="shared" si="877"/>
        <v>58.8311524689246</v>
      </c>
      <c r="AT236" s="148">
        <f t="shared" ref="AT236:BE236" si="941">+AT234-AT235</f>
        <v>0</v>
      </c>
      <c r="AU236" s="145">
        <f t="shared" si="941"/>
        <v>0</v>
      </c>
      <c r="AV236" s="145">
        <f t="shared" si="941"/>
        <v>0</v>
      </c>
      <c r="AW236" s="145">
        <f t="shared" si="941"/>
        <v>0</v>
      </c>
      <c r="AX236" s="145">
        <f t="shared" si="941"/>
        <v>0</v>
      </c>
      <c r="AY236" s="145">
        <f t="shared" si="941"/>
        <v>0</v>
      </c>
      <c r="AZ236" s="145">
        <f t="shared" si="941"/>
        <v>0</v>
      </c>
      <c r="BA236" s="145">
        <f t="shared" si="941"/>
        <v>0</v>
      </c>
      <c r="BB236" s="145">
        <f t="shared" si="941"/>
        <v>0</v>
      </c>
      <c r="BC236" s="145">
        <f t="shared" si="941"/>
        <v>0</v>
      </c>
      <c r="BD236" s="145">
        <f t="shared" si="941"/>
        <v>0</v>
      </c>
      <c r="BE236" s="146">
        <f t="shared" si="941"/>
        <v>0</v>
      </c>
      <c r="BF236" s="147">
        <f t="shared" si="878"/>
        <v>0</v>
      </c>
      <c r="BG236" s="148">
        <f t="shared" ref="BG236:BR236" si="942">+BG234-BG235</f>
        <v>0</v>
      </c>
      <c r="BH236" s="145">
        <f t="shared" si="942"/>
        <v>0</v>
      </c>
      <c r="BI236" s="145">
        <f t="shared" si="942"/>
        <v>0</v>
      </c>
      <c r="BJ236" s="145">
        <f t="shared" si="942"/>
        <v>0</v>
      </c>
      <c r="BK236" s="145">
        <f t="shared" si="942"/>
        <v>0</v>
      </c>
      <c r="BL236" s="145">
        <f t="shared" si="942"/>
        <v>0</v>
      </c>
      <c r="BM236" s="145">
        <f t="shared" si="942"/>
        <v>0</v>
      </c>
      <c r="BN236" s="145">
        <f t="shared" si="942"/>
        <v>0</v>
      </c>
      <c r="BO236" s="145">
        <f t="shared" si="942"/>
        <v>0</v>
      </c>
      <c r="BP236" s="145">
        <f t="shared" si="942"/>
        <v>0</v>
      </c>
      <c r="BQ236" s="145">
        <f t="shared" si="942"/>
        <v>0</v>
      </c>
      <c r="BR236" s="146">
        <f t="shared" si="942"/>
        <v>0</v>
      </c>
      <c r="BS236" s="147">
        <f t="shared" si="879"/>
        <v>0</v>
      </c>
      <c r="BT236" s="148">
        <f t="shared" ref="BT236:CE236" si="943">+BT234-BT235</f>
        <v>0</v>
      </c>
      <c r="BU236" s="145">
        <f t="shared" si="943"/>
        <v>0</v>
      </c>
      <c r="BV236" s="145">
        <f t="shared" si="943"/>
        <v>0</v>
      </c>
      <c r="BW236" s="145">
        <f t="shared" si="943"/>
        <v>0</v>
      </c>
      <c r="BX236" s="145">
        <f t="shared" si="943"/>
        <v>0</v>
      </c>
      <c r="BY236" s="145">
        <f t="shared" si="943"/>
        <v>0</v>
      </c>
      <c r="BZ236" s="145">
        <f t="shared" si="943"/>
        <v>4191</v>
      </c>
      <c r="CA236" s="145">
        <f t="shared" si="943"/>
        <v>0</v>
      </c>
      <c r="CB236" s="145">
        <f t="shared" si="943"/>
        <v>0</v>
      </c>
      <c r="CC236" s="145">
        <f t="shared" si="943"/>
        <v>0</v>
      </c>
      <c r="CD236" s="145">
        <f t="shared" si="943"/>
        <v>0</v>
      </c>
      <c r="CE236" s="146">
        <f t="shared" si="943"/>
        <v>0</v>
      </c>
      <c r="CF236" s="147">
        <f t="shared" si="880"/>
        <v>4191</v>
      </c>
      <c r="CG236" s="148">
        <f t="shared" ref="CG236:CR236" si="944">+CG234-CG235</f>
        <v>0</v>
      </c>
      <c r="CH236" s="145">
        <f t="shared" si="944"/>
        <v>0</v>
      </c>
      <c r="CI236" s="145">
        <f t="shared" si="944"/>
        <v>0</v>
      </c>
      <c r="CJ236" s="145">
        <f t="shared" si="944"/>
        <v>0</v>
      </c>
      <c r="CK236" s="145">
        <f t="shared" si="944"/>
        <v>0</v>
      </c>
      <c r="CL236" s="145">
        <f t="shared" si="944"/>
        <v>0</v>
      </c>
      <c r="CM236" s="145">
        <f t="shared" si="944"/>
        <v>0</v>
      </c>
      <c r="CN236" s="145">
        <f t="shared" si="944"/>
        <v>0</v>
      </c>
      <c r="CO236" s="145">
        <f t="shared" si="944"/>
        <v>0</v>
      </c>
      <c r="CP236" s="145">
        <f t="shared" si="944"/>
        <v>0</v>
      </c>
      <c r="CQ236" s="145">
        <f t="shared" si="944"/>
        <v>0</v>
      </c>
      <c r="CR236" s="146">
        <f t="shared" si="944"/>
        <v>0</v>
      </c>
      <c r="CS236" s="147">
        <f t="shared" si="881"/>
        <v>0</v>
      </c>
      <c r="CT236" s="148">
        <f t="shared" ref="CT236:DE236" si="945">+CT234-CT235</f>
        <v>0</v>
      </c>
      <c r="CU236" s="145">
        <f t="shared" si="945"/>
        <v>0</v>
      </c>
      <c r="CV236" s="145">
        <f t="shared" si="945"/>
        <v>0</v>
      </c>
      <c r="CW236" s="145">
        <f t="shared" si="945"/>
        <v>0</v>
      </c>
      <c r="CX236" s="145">
        <f t="shared" si="945"/>
        <v>0</v>
      </c>
      <c r="CY236" s="145">
        <f t="shared" si="945"/>
        <v>0</v>
      </c>
      <c r="CZ236" s="145">
        <f t="shared" si="945"/>
        <v>0</v>
      </c>
      <c r="DA236" s="145">
        <f t="shared" si="945"/>
        <v>0</v>
      </c>
      <c r="DB236" s="145">
        <f t="shared" si="945"/>
        <v>0</v>
      </c>
      <c r="DC236" s="145">
        <f t="shared" si="945"/>
        <v>0</v>
      </c>
      <c r="DD236" s="145">
        <f t="shared" si="945"/>
        <v>0</v>
      </c>
      <c r="DE236" s="146">
        <f t="shared" si="945"/>
        <v>0</v>
      </c>
      <c r="DF236" s="147">
        <f t="shared" si="882"/>
        <v>0</v>
      </c>
      <c r="DG236" s="146">
        <f>+DG234-DG235</f>
        <v>0</v>
      </c>
      <c r="DH236" s="98">
        <f t="shared" si="814"/>
        <v>58.8311524689246</v>
      </c>
      <c r="DI236" s="99">
        <f t="shared" si="883"/>
        <v>4249.8311524689243</v>
      </c>
      <c r="DJ236" s="100">
        <f t="shared" si="884"/>
        <v>4191</v>
      </c>
    </row>
    <row r="237" spans="1:115" ht="15" customHeight="1">
      <c r="A237" s="599"/>
      <c r="B237" s="593" t="s">
        <v>359</v>
      </c>
      <c r="C237" s="152" t="s">
        <v>62</v>
      </c>
      <c r="D237" s="235"/>
      <c r="E237" s="136">
        <f t="shared" si="893"/>
        <v>20448.945691439425</v>
      </c>
      <c r="F237" s="128"/>
      <c r="G237" s="129">
        <v>267</v>
      </c>
      <c r="H237" s="130">
        <v>30</v>
      </c>
      <c r="I237" s="130">
        <v>31.690435910652898</v>
      </c>
      <c r="J237" s="130">
        <v>30.818565921787702</v>
      </c>
      <c r="K237" s="130">
        <v>27.487747982832619</v>
      </c>
      <c r="L237" s="130">
        <v>23.602976832656552</v>
      </c>
      <c r="M237" s="130">
        <v>725.21884549904235</v>
      </c>
      <c r="N237" s="130">
        <v>31.23327056113903</v>
      </c>
      <c r="O237" s="130">
        <v>15.518960995850623</v>
      </c>
      <c r="P237" s="130">
        <v>142.02183032416909</v>
      </c>
      <c r="Q237" s="130">
        <v>58.7377421686747</v>
      </c>
      <c r="R237" s="131">
        <v>37.031831143451143</v>
      </c>
      <c r="S237" s="132">
        <f t="shared" si="875"/>
        <v>1420.3622073402569</v>
      </c>
      <c r="T237" s="385">
        <v>190.20762842995669</v>
      </c>
      <c r="U237" s="379">
        <v>89.328731643499594</v>
      </c>
      <c r="V237" s="379">
        <v>19.834575223395611</v>
      </c>
      <c r="W237" s="379">
        <v>17.067838748160813</v>
      </c>
      <c r="X237" s="379">
        <v>329.6391820163272</v>
      </c>
      <c r="Y237" s="379">
        <v>19.702723695161097</v>
      </c>
      <c r="Z237" s="379">
        <v>267.92654751942615</v>
      </c>
      <c r="AA237" s="379">
        <v>95.780618394595038</v>
      </c>
      <c r="AB237" s="379">
        <v>93.602134977050241</v>
      </c>
      <c r="AC237" s="379">
        <v>90.189075685080468</v>
      </c>
      <c r="AD237" s="379">
        <v>354.86728996766305</v>
      </c>
      <c r="AE237" s="480">
        <v>93.803933665659216</v>
      </c>
      <c r="AF237" s="132">
        <f t="shared" si="876"/>
        <v>1661.9502799659751</v>
      </c>
      <c r="AG237" s="496">
        <v>117.06765779619153</v>
      </c>
      <c r="AH237" s="510">
        <v>112.49558687561215</v>
      </c>
      <c r="AI237" s="510">
        <v>167.16807505958661</v>
      </c>
      <c r="AJ237" s="510">
        <v>110.56016787759965</v>
      </c>
      <c r="AK237" s="510">
        <v>2612.5066700749567</v>
      </c>
      <c r="AL237" s="510">
        <v>956.27385133218297</v>
      </c>
      <c r="AM237" s="510">
        <v>173.97868034821121</v>
      </c>
      <c r="AN237" s="510">
        <v>1519.5043554680101</v>
      </c>
      <c r="AO237" s="510">
        <v>551.23114776385057</v>
      </c>
      <c r="AP237" s="510">
        <v>195.21534298855801</v>
      </c>
      <c r="AQ237" s="510">
        <v>767.70500458454887</v>
      </c>
      <c r="AR237" s="515">
        <v>405.61594246575339</v>
      </c>
      <c r="AS237" s="406">
        <f t="shared" si="877"/>
        <v>7689.3224826350615</v>
      </c>
      <c r="AT237" s="516">
        <v>177.07950140422423</v>
      </c>
      <c r="AU237" s="510">
        <v>269.75396546569567</v>
      </c>
      <c r="AV237" s="510">
        <v>520.04505089888494</v>
      </c>
      <c r="AW237" s="510">
        <v>280.55649846352298</v>
      </c>
      <c r="AX237" s="510">
        <v>183.94852311490956</v>
      </c>
      <c r="AY237" s="510">
        <v>462.64219114236801</v>
      </c>
      <c r="AZ237" s="130">
        <f t="shared" ref="AZ237:BE237" si="946">+AZ251</f>
        <v>222.90329023932296</v>
      </c>
      <c r="BA237" s="130">
        <f t="shared" si="946"/>
        <v>125.00048659320299</v>
      </c>
      <c r="BB237" s="130">
        <f t="shared" si="946"/>
        <v>120.77965033895406</v>
      </c>
      <c r="BC237" s="130">
        <f t="shared" si="946"/>
        <v>86.957883017650047</v>
      </c>
      <c r="BD237" s="130">
        <f t="shared" si="946"/>
        <v>82.762901414566997</v>
      </c>
      <c r="BE237" s="131">
        <f t="shared" si="946"/>
        <v>80.760156842386849</v>
      </c>
      <c r="BF237" s="132">
        <f t="shared" si="878"/>
        <v>2613.1900989356891</v>
      </c>
      <c r="BG237" s="133">
        <f t="shared" ref="BG237:BQ237" si="947">+BG251</f>
        <v>78.602054231122523</v>
      </c>
      <c r="BH237" s="130">
        <f t="shared" si="947"/>
        <v>85.312997760720194</v>
      </c>
      <c r="BI237" s="130">
        <f t="shared" si="947"/>
        <v>60.30095134104824</v>
      </c>
      <c r="BJ237" s="130">
        <f t="shared" si="947"/>
        <v>46.440335522193628</v>
      </c>
      <c r="BK237" s="130">
        <f t="shared" si="947"/>
        <v>65.658878662043577</v>
      </c>
      <c r="BL237" s="130">
        <f t="shared" si="947"/>
        <v>56.069618240378126</v>
      </c>
      <c r="BM237" s="130">
        <f t="shared" si="947"/>
        <v>53.086343659099761</v>
      </c>
      <c r="BN237" s="130">
        <f t="shared" si="947"/>
        <v>65.428230797121088</v>
      </c>
      <c r="BO237" s="130">
        <f t="shared" si="947"/>
        <v>66.984853058514815</v>
      </c>
      <c r="BP237" s="130">
        <f t="shared" si="947"/>
        <v>47.734713985102978</v>
      </c>
      <c r="BQ237" s="130">
        <f t="shared" si="947"/>
        <v>37.948018226860043</v>
      </c>
      <c r="BR237" s="131">
        <f>+BR251</f>
        <v>48.072189229026925</v>
      </c>
      <c r="BS237" s="132">
        <f t="shared" si="879"/>
        <v>711.639184713232</v>
      </c>
      <c r="BT237" s="133">
        <f t="shared" ref="BT237:CD237" si="948">+BT251</f>
        <v>67.544561703572256</v>
      </c>
      <c r="BU237" s="130">
        <f t="shared" si="948"/>
        <v>86.597091013915573</v>
      </c>
      <c r="BV237" s="130">
        <f t="shared" si="948"/>
        <v>96.698085840605756</v>
      </c>
      <c r="BW237" s="130">
        <f t="shared" si="948"/>
        <v>88.690886768740071</v>
      </c>
      <c r="BX237" s="130">
        <f>+BX251</f>
        <v>80.34268326861438</v>
      </c>
      <c r="BY237" s="130">
        <f t="shared" si="948"/>
        <v>83.596186057221402</v>
      </c>
      <c r="BZ237" s="130">
        <f t="shared" si="948"/>
        <v>63.145909600016189</v>
      </c>
      <c r="CA237" s="130">
        <f t="shared" si="948"/>
        <v>164.58168548790002</v>
      </c>
      <c r="CB237" s="130">
        <f t="shared" si="948"/>
        <v>129.24149458248033</v>
      </c>
      <c r="CC237" s="130">
        <f t="shared" si="948"/>
        <v>133.89553615642259</v>
      </c>
      <c r="CD237" s="130">
        <f t="shared" si="948"/>
        <v>127.5793786611182</v>
      </c>
      <c r="CE237" s="131">
        <f>+CE251</f>
        <v>132.52427740369862</v>
      </c>
      <c r="CF237" s="132">
        <f t="shared" si="880"/>
        <v>1254.4377765443053</v>
      </c>
      <c r="CG237" s="133">
        <f t="shared" ref="CG237:CQ237" si="949">+CG251</f>
        <v>139.71032553465503</v>
      </c>
      <c r="CH237" s="130">
        <f t="shared" si="949"/>
        <v>145.04156577312625</v>
      </c>
      <c r="CI237" s="130">
        <f t="shared" si="949"/>
        <v>127.87078966584552</v>
      </c>
      <c r="CJ237" s="130">
        <f t="shared" si="949"/>
        <v>128.34197678562748</v>
      </c>
      <c r="CK237" s="130">
        <f t="shared" si="949"/>
        <v>133.86902118450283</v>
      </c>
      <c r="CL237" s="130">
        <f t="shared" si="949"/>
        <v>140.2951666704902</v>
      </c>
      <c r="CM237" s="130">
        <f t="shared" si="949"/>
        <v>113.5796022561276</v>
      </c>
      <c r="CN237" s="130">
        <f t="shared" si="949"/>
        <v>120.01036157919953</v>
      </c>
      <c r="CO237" s="130">
        <f t="shared" si="949"/>
        <v>125.93997994602864</v>
      </c>
      <c r="CP237" s="130">
        <f t="shared" si="949"/>
        <v>132.39254503524253</v>
      </c>
      <c r="CQ237" s="130">
        <f t="shared" si="949"/>
        <v>115.05694204392989</v>
      </c>
      <c r="CR237" s="131">
        <f>+CR251</f>
        <v>118.43411884624096</v>
      </c>
      <c r="CS237" s="132">
        <f t="shared" si="881"/>
        <v>1540.5423953210168</v>
      </c>
      <c r="CT237" s="133">
        <f t="shared" ref="CT237:DE237" si="950">+CT251</f>
        <v>123.87091390829316</v>
      </c>
      <c r="CU237" s="130">
        <f t="shared" si="950"/>
        <v>126.79601092520153</v>
      </c>
      <c r="CV237" s="130">
        <f t="shared" si="950"/>
        <v>129.38359927496916</v>
      </c>
      <c r="CW237" s="130">
        <f t="shared" si="950"/>
        <v>130.3334743014384</v>
      </c>
      <c r="CX237" s="130">
        <f t="shared" si="950"/>
        <v>347.64899369049982</v>
      </c>
      <c r="CY237" s="130">
        <f t="shared" si="950"/>
        <v>351.24924133187716</v>
      </c>
      <c r="CZ237" s="130">
        <f t="shared" si="950"/>
        <v>355.4137259234451</v>
      </c>
      <c r="DA237" s="130">
        <f t="shared" si="950"/>
        <v>374.49824045945871</v>
      </c>
      <c r="DB237" s="130">
        <f t="shared" si="950"/>
        <v>376.58352254388222</v>
      </c>
      <c r="DC237" s="130">
        <f t="shared" si="950"/>
        <v>379.1120325267953</v>
      </c>
      <c r="DD237" s="130">
        <f t="shared" si="950"/>
        <v>379.75444371017358</v>
      </c>
      <c r="DE237" s="131">
        <f t="shared" si="950"/>
        <v>381.54022483249236</v>
      </c>
      <c r="DF237" s="132">
        <f t="shared" si="882"/>
        <v>3456.1844234285263</v>
      </c>
      <c r="DG237" s="278">
        <f>+DG251</f>
        <v>101.31684255535838</v>
      </c>
      <c r="DH237" s="159">
        <f t="shared" si="814"/>
        <v>14197.781096145573</v>
      </c>
      <c r="DI237" s="160">
        <f t="shared" si="883"/>
        <v>20448.945691439425</v>
      </c>
      <c r="DJ237" s="161">
        <f t="shared" si="884"/>
        <v>6251.1645952938525</v>
      </c>
    </row>
    <row r="238" spans="1:115" ht="15" customHeight="1">
      <c r="A238" s="599"/>
      <c r="B238" s="548"/>
      <c r="C238" s="135" t="s">
        <v>63</v>
      </c>
      <c r="D238" s="233"/>
      <c r="E238" s="136">
        <f t="shared" si="893"/>
        <v>0</v>
      </c>
      <c r="F238" s="136"/>
      <c r="G238" s="137">
        <f>+G254</f>
        <v>0</v>
      </c>
      <c r="H238" s="138">
        <f t="shared" ref="H238:R238" si="951">+H254</f>
        <v>0</v>
      </c>
      <c r="I238" s="138">
        <f t="shared" si="951"/>
        <v>0</v>
      </c>
      <c r="J238" s="138">
        <f t="shared" si="951"/>
        <v>0</v>
      </c>
      <c r="K238" s="138">
        <f t="shared" si="951"/>
        <v>0</v>
      </c>
      <c r="L238" s="138">
        <f t="shared" si="951"/>
        <v>0</v>
      </c>
      <c r="M238" s="138">
        <f t="shared" si="951"/>
        <v>0</v>
      </c>
      <c r="N238" s="138">
        <f t="shared" si="951"/>
        <v>0</v>
      </c>
      <c r="O238" s="138">
        <f t="shared" si="951"/>
        <v>0</v>
      </c>
      <c r="P238" s="138">
        <f t="shared" si="951"/>
        <v>0</v>
      </c>
      <c r="Q238" s="138">
        <f t="shared" si="951"/>
        <v>0</v>
      </c>
      <c r="R238" s="139">
        <f t="shared" si="951"/>
        <v>0</v>
      </c>
      <c r="S238" s="140">
        <f t="shared" si="875"/>
        <v>0</v>
      </c>
      <c r="T238" s="384">
        <f>+T254</f>
        <v>0</v>
      </c>
      <c r="U238" s="381">
        <f t="shared" ref="U238:AA238" si="952">+U254</f>
        <v>0</v>
      </c>
      <c r="V238" s="381">
        <v>0</v>
      </c>
      <c r="W238" s="381">
        <f t="shared" si="952"/>
        <v>0</v>
      </c>
      <c r="X238" s="381">
        <f t="shared" si="952"/>
        <v>0</v>
      </c>
      <c r="Y238" s="381">
        <f t="shared" si="952"/>
        <v>0</v>
      </c>
      <c r="Z238" s="381">
        <v>0</v>
      </c>
      <c r="AA238" s="381">
        <f t="shared" si="952"/>
        <v>0</v>
      </c>
      <c r="AB238" s="381">
        <v>0</v>
      </c>
      <c r="AC238" s="381">
        <v>0</v>
      </c>
      <c r="AD238" s="381">
        <v>0</v>
      </c>
      <c r="AE238" s="392">
        <v>0</v>
      </c>
      <c r="AF238" s="140">
        <f t="shared" si="876"/>
        <v>0</v>
      </c>
      <c r="AG238" s="497">
        <v>0</v>
      </c>
      <c r="AH238" s="499">
        <f t="shared" ref="AH238:AK238" si="953">+AH254</f>
        <v>0</v>
      </c>
      <c r="AI238" s="499">
        <v>0</v>
      </c>
      <c r="AJ238" s="499">
        <v>0</v>
      </c>
      <c r="AK238" s="499">
        <f t="shared" si="953"/>
        <v>0</v>
      </c>
      <c r="AL238" s="499"/>
      <c r="AM238" s="499"/>
      <c r="AN238" s="499"/>
      <c r="AO238" s="499"/>
      <c r="AP238" s="499"/>
      <c r="AQ238" s="499"/>
      <c r="AR238" s="511">
        <v>0</v>
      </c>
      <c r="AS238" s="407">
        <f t="shared" si="877"/>
        <v>0</v>
      </c>
      <c r="AT238" s="501"/>
      <c r="AU238" s="499"/>
      <c r="AV238" s="499"/>
      <c r="AW238" s="499"/>
      <c r="AX238" s="499"/>
      <c r="AY238" s="499">
        <f t="shared" ref="AY238:BE238" si="954">+AY254</f>
        <v>0</v>
      </c>
      <c r="AZ238" s="138">
        <f t="shared" si="954"/>
        <v>0</v>
      </c>
      <c r="BA238" s="138">
        <f t="shared" si="954"/>
        <v>0</v>
      </c>
      <c r="BB238" s="138">
        <f t="shared" si="954"/>
        <v>0</v>
      </c>
      <c r="BC238" s="138">
        <f t="shared" si="954"/>
        <v>0</v>
      </c>
      <c r="BD238" s="138">
        <f t="shared" si="954"/>
        <v>0</v>
      </c>
      <c r="BE238" s="139">
        <f t="shared" si="954"/>
        <v>0</v>
      </c>
      <c r="BF238" s="140">
        <f t="shared" si="878"/>
        <v>0</v>
      </c>
      <c r="BG238" s="137">
        <f>+BG254</f>
        <v>0</v>
      </c>
      <c r="BH238" s="138">
        <f t="shared" ref="BH238:BR238" si="955">+BH254</f>
        <v>0</v>
      </c>
      <c r="BI238" s="138">
        <f t="shared" si="955"/>
        <v>0</v>
      </c>
      <c r="BJ238" s="138">
        <f t="shared" si="955"/>
        <v>0</v>
      </c>
      <c r="BK238" s="138">
        <f t="shared" si="955"/>
        <v>0</v>
      </c>
      <c r="BL238" s="138">
        <f t="shared" si="955"/>
        <v>0</v>
      </c>
      <c r="BM238" s="138">
        <f t="shared" si="955"/>
        <v>0</v>
      </c>
      <c r="BN238" s="138">
        <f t="shared" si="955"/>
        <v>0</v>
      </c>
      <c r="BO238" s="138">
        <f t="shared" si="955"/>
        <v>0</v>
      </c>
      <c r="BP238" s="138">
        <f t="shared" si="955"/>
        <v>0</v>
      </c>
      <c r="BQ238" s="138">
        <f t="shared" si="955"/>
        <v>0</v>
      </c>
      <c r="BR238" s="139">
        <f t="shared" si="955"/>
        <v>0</v>
      </c>
      <c r="BS238" s="140">
        <f t="shared" si="879"/>
        <v>0</v>
      </c>
      <c r="BT238" s="137">
        <f>+BT254</f>
        <v>0</v>
      </c>
      <c r="BU238" s="138">
        <f t="shared" ref="BU238:CE238" si="956">+BU254</f>
        <v>0</v>
      </c>
      <c r="BV238" s="138">
        <f t="shared" si="956"/>
        <v>0</v>
      </c>
      <c r="BW238" s="138">
        <f t="shared" si="956"/>
        <v>0</v>
      </c>
      <c r="BX238" s="138">
        <f t="shared" si="956"/>
        <v>0</v>
      </c>
      <c r="BY238" s="138">
        <f t="shared" si="956"/>
        <v>0</v>
      </c>
      <c r="BZ238" s="138">
        <f t="shared" si="956"/>
        <v>0</v>
      </c>
      <c r="CA238" s="138">
        <f t="shared" si="956"/>
        <v>0</v>
      </c>
      <c r="CB238" s="138">
        <f t="shared" si="956"/>
        <v>0</v>
      </c>
      <c r="CC238" s="138">
        <f t="shared" si="956"/>
        <v>0</v>
      </c>
      <c r="CD238" s="138">
        <f t="shared" si="956"/>
        <v>0</v>
      </c>
      <c r="CE238" s="139">
        <f t="shared" si="956"/>
        <v>0</v>
      </c>
      <c r="CF238" s="140">
        <f t="shared" si="880"/>
        <v>0</v>
      </c>
      <c r="CG238" s="137">
        <f>+CG254</f>
        <v>0</v>
      </c>
      <c r="CH238" s="138">
        <f t="shared" ref="CH238:CR238" si="957">+CH254</f>
        <v>0</v>
      </c>
      <c r="CI238" s="138">
        <f t="shared" si="957"/>
        <v>0</v>
      </c>
      <c r="CJ238" s="138">
        <f t="shared" si="957"/>
        <v>0</v>
      </c>
      <c r="CK238" s="138">
        <f t="shared" si="957"/>
        <v>0</v>
      </c>
      <c r="CL238" s="138">
        <f t="shared" si="957"/>
        <v>0</v>
      </c>
      <c r="CM238" s="138">
        <f t="shared" si="957"/>
        <v>0</v>
      </c>
      <c r="CN238" s="138">
        <f t="shared" si="957"/>
        <v>0</v>
      </c>
      <c r="CO238" s="138">
        <f t="shared" si="957"/>
        <v>0</v>
      </c>
      <c r="CP238" s="138">
        <f t="shared" si="957"/>
        <v>0</v>
      </c>
      <c r="CQ238" s="138">
        <f t="shared" si="957"/>
        <v>0</v>
      </c>
      <c r="CR238" s="139">
        <f t="shared" si="957"/>
        <v>0</v>
      </c>
      <c r="CS238" s="140">
        <f t="shared" si="881"/>
        <v>0</v>
      </c>
      <c r="CT238" s="137"/>
      <c r="CU238" s="138"/>
      <c r="CV238" s="138"/>
      <c r="CW238" s="138"/>
      <c r="CX238" s="138"/>
      <c r="CY238" s="138"/>
      <c r="CZ238" s="138"/>
      <c r="DA238" s="138"/>
      <c r="DB238" s="138"/>
      <c r="DC238" s="138"/>
      <c r="DD238" s="138"/>
      <c r="DE238" s="139"/>
      <c r="DF238" s="140">
        <f t="shared" si="882"/>
        <v>0</v>
      </c>
      <c r="DG238" s="279">
        <f>+DG254</f>
        <v>0</v>
      </c>
      <c r="DH238" s="90">
        <f t="shared" si="814"/>
        <v>0</v>
      </c>
      <c r="DI238" s="91">
        <f t="shared" si="883"/>
        <v>0</v>
      </c>
      <c r="DJ238" s="92">
        <f t="shared" si="884"/>
        <v>0</v>
      </c>
      <c r="DK238" s="64">
        <f>+DH238/DH237</f>
        <v>0</v>
      </c>
    </row>
    <row r="239" spans="1:115" ht="15" customHeight="1">
      <c r="A239" s="599"/>
      <c r="B239" s="549"/>
      <c r="C239" s="286" t="s">
        <v>11</v>
      </c>
      <c r="D239" s="236"/>
      <c r="E239" s="143">
        <f t="shared" ref="E239:R239" si="958">+E237-E238</f>
        <v>20448.945691439425</v>
      </c>
      <c r="F239" s="144">
        <f t="shared" si="958"/>
        <v>0</v>
      </c>
      <c r="G239" s="145">
        <f t="shared" si="958"/>
        <v>267</v>
      </c>
      <c r="H239" s="145">
        <f t="shared" si="958"/>
        <v>30</v>
      </c>
      <c r="I239" s="145">
        <f t="shared" si="958"/>
        <v>31.690435910652898</v>
      </c>
      <c r="J239" s="145">
        <f t="shared" si="958"/>
        <v>30.818565921787702</v>
      </c>
      <c r="K239" s="145">
        <f t="shared" si="958"/>
        <v>27.487747982832619</v>
      </c>
      <c r="L239" s="145">
        <f t="shared" si="958"/>
        <v>23.602976832656552</v>
      </c>
      <c r="M239" s="145">
        <f t="shared" si="958"/>
        <v>725.21884549904235</v>
      </c>
      <c r="N239" s="145">
        <f t="shared" si="958"/>
        <v>31.23327056113903</v>
      </c>
      <c r="O239" s="145">
        <f t="shared" si="958"/>
        <v>15.518960995850623</v>
      </c>
      <c r="P239" s="145">
        <f t="shared" si="958"/>
        <v>142.02183032416909</v>
      </c>
      <c r="Q239" s="145">
        <f t="shared" si="958"/>
        <v>58.7377421686747</v>
      </c>
      <c r="R239" s="146">
        <f t="shared" si="958"/>
        <v>37.031831143451143</v>
      </c>
      <c r="S239" s="147">
        <f t="shared" si="875"/>
        <v>1420.3622073402569</v>
      </c>
      <c r="T239" s="148">
        <f t="shared" ref="T239:AE239" si="959">+T237-T238</f>
        <v>190.20762842995669</v>
      </c>
      <c r="U239" s="145">
        <f t="shared" si="959"/>
        <v>89.328731643499594</v>
      </c>
      <c r="V239" s="145">
        <f t="shared" si="959"/>
        <v>19.834575223395611</v>
      </c>
      <c r="W239" s="145">
        <f t="shared" si="959"/>
        <v>17.067838748160813</v>
      </c>
      <c r="X239" s="145">
        <f t="shared" si="959"/>
        <v>329.6391820163272</v>
      </c>
      <c r="Y239" s="145">
        <f t="shared" si="959"/>
        <v>19.702723695161097</v>
      </c>
      <c r="Z239" s="145">
        <f t="shared" si="959"/>
        <v>267.92654751942615</v>
      </c>
      <c r="AA239" s="145">
        <f t="shared" si="959"/>
        <v>95.780618394595038</v>
      </c>
      <c r="AB239" s="145">
        <f t="shared" si="959"/>
        <v>93.602134977050241</v>
      </c>
      <c r="AC239" s="145">
        <f t="shared" si="959"/>
        <v>90.189075685080468</v>
      </c>
      <c r="AD239" s="145">
        <f t="shared" si="959"/>
        <v>354.86728996766305</v>
      </c>
      <c r="AE239" s="146">
        <f t="shared" si="959"/>
        <v>93.803933665659216</v>
      </c>
      <c r="AF239" s="147">
        <f t="shared" si="876"/>
        <v>1661.9502799659751</v>
      </c>
      <c r="AG239" s="148">
        <f t="shared" ref="AG239:AR239" si="960">+AG237-AG238</f>
        <v>117.06765779619153</v>
      </c>
      <c r="AH239" s="145">
        <f t="shared" si="960"/>
        <v>112.49558687561215</v>
      </c>
      <c r="AI239" s="145">
        <f t="shared" si="960"/>
        <v>167.16807505958661</v>
      </c>
      <c r="AJ239" s="145">
        <f t="shared" si="960"/>
        <v>110.56016787759965</v>
      </c>
      <c r="AK239" s="145">
        <f t="shared" si="960"/>
        <v>2612.5066700749567</v>
      </c>
      <c r="AL239" s="145">
        <f t="shared" si="960"/>
        <v>956.27385133218297</v>
      </c>
      <c r="AM239" s="145">
        <f t="shared" si="960"/>
        <v>173.97868034821121</v>
      </c>
      <c r="AN239" s="145">
        <f t="shared" si="960"/>
        <v>1519.5043554680101</v>
      </c>
      <c r="AO239" s="145">
        <f t="shared" si="960"/>
        <v>551.23114776385057</v>
      </c>
      <c r="AP239" s="145">
        <f t="shared" si="960"/>
        <v>195.21534298855801</v>
      </c>
      <c r="AQ239" s="145">
        <f t="shared" si="960"/>
        <v>767.70500458454887</v>
      </c>
      <c r="AR239" s="146">
        <f t="shared" si="960"/>
        <v>405.61594246575339</v>
      </c>
      <c r="AS239" s="408">
        <f t="shared" si="877"/>
        <v>7689.3224826350615</v>
      </c>
      <c r="AT239" s="148">
        <f t="shared" ref="AT239:BE239" si="961">+AT237-AT238</f>
        <v>177.07950140422423</v>
      </c>
      <c r="AU239" s="145">
        <f t="shared" si="961"/>
        <v>269.75396546569567</v>
      </c>
      <c r="AV239" s="145">
        <f t="shared" si="961"/>
        <v>520.04505089888494</v>
      </c>
      <c r="AW239" s="145">
        <f t="shared" si="961"/>
        <v>280.55649846352298</v>
      </c>
      <c r="AX239" s="145">
        <f t="shared" si="961"/>
        <v>183.94852311490956</v>
      </c>
      <c r="AY239" s="145">
        <f t="shared" si="961"/>
        <v>462.64219114236801</v>
      </c>
      <c r="AZ239" s="145">
        <f t="shared" si="961"/>
        <v>222.90329023932296</v>
      </c>
      <c r="BA239" s="145">
        <f t="shared" si="961"/>
        <v>125.00048659320299</v>
      </c>
      <c r="BB239" s="145">
        <f t="shared" si="961"/>
        <v>120.77965033895406</v>
      </c>
      <c r="BC239" s="145">
        <f t="shared" si="961"/>
        <v>86.957883017650047</v>
      </c>
      <c r="BD239" s="145">
        <f t="shared" si="961"/>
        <v>82.762901414566997</v>
      </c>
      <c r="BE239" s="146">
        <f t="shared" si="961"/>
        <v>80.760156842386849</v>
      </c>
      <c r="BF239" s="147">
        <f t="shared" si="878"/>
        <v>2613.1900989356891</v>
      </c>
      <c r="BG239" s="148">
        <f t="shared" ref="BG239:BR239" si="962">+BG237-BG238</f>
        <v>78.602054231122523</v>
      </c>
      <c r="BH239" s="145">
        <f t="shared" si="962"/>
        <v>85.312997760720194</v>
      </c>
      <c r="BI239" s="145">
        <f t="shared" si="962"/>
        <v>60.30095134104824</v>
      </c>
      <c r="BJ239" s="145">
        <f t="shared" si="962"/>
        <v>46.440335522193628</v>
      </c>
      <c r="BK239" s="145">
        <f t="shared" si="962"/>
        <v>65.658878662043577</v>
      </c>
      <c r="BL239" s="145">
        <f t="shared" si="962"/>
        <v>56.069618240378126</v>
      </c>
      <c r="BM239" s="145">
        <f t="shared" si="962"/>
        <v>53.086343659099761</v>
      </c>
      <c r="BN239" s="145">
        <f t="shared" si="962"/>
        <v>65.428230797121088</v>
      </c>
      <c r="BO239" s="145">
        <f t="shared" si="962"/>
        <v>66.984853058514815</v>
      </c>
      <c r="BP239" s="145">
        <f t="shared" si="962"/>
        <v>47.734713985102978</v>
      </c>
      <c r="BQ239" s="145">
        <f t="shared" si="962"/>
        <v>37.948018226860043</v>
      </c>
      <c r="BR239" s="146">
        <f t="shared" si="962"/>
        <v>48.072189229026925</v>
      </c>
      <c r="BS239" s="147">
        <f t="shared" si="879"/>
        <v>711.639184713232</v>
      </c>
      <c r="BT239" s="148">
        <f t="shared" ref="BT239:CE239" si="963">+BT237-BT238</f>
        <v>67.544561703572256</v>
      </c>
      <c r="BU239" s="145">
        <f t="shared" si="963"/>
        <v>86.597091013915573</v>
      </c>
      <c r="BV239" s="145">
        <f t="shared" si="963"/>
        <v>96.698085840605756</v>
      </c>
      <c r="BW239" s="145">
        <f t="shared" si="963"/>
        <v>88.690886768740071</v>
      </c>
      <c r="BX239" s="145">
        <f t="shared" si="963"/>
        <v>80.34268326861438</v>
      </c>
      <c r="BY239" s="145">
        <f t="shared" si="963"/>
        <v>83.596186057221402</v>
      </c>
      <c r="BZ239" s="145">
        <f t="shared" si="963"/>
        <v>63.145909600016189</v>
      </c>
      <c r="CA239" s="145">
        <f t="shared" si="963"/>
        <v>164.58168548790002</v>
      </c>
      <c r="CB239" s="145">
        <f t="shared" si="963"/>
        <v>129.24149458248033</v>
      </c>
      <c r="CC239" s="145">
        <f t="shared" si="963"/>
        <v>133.89553615642259</v>
      </c>
      <c r="CD239" s="145">
        <f t="shared" si="963"/>
        <v>127.5793786611182</v>
      </c>
      <c r="CE239" s="146">
        <f t="shared" si="963"/>
        <v>132.52427740369862</v>
      </c>
      <c r="CF239" s="147">
        <f t="shared" si="880"/>
        <v>1254.4377765443053</v>
      </c>
      <c r="CG239" s="148">
        <f t="shared" ref="CG239:CR239" si="964">+CG237-CG238</f>
        <v>139.71032553465503</v>
      </c>
      <c r="CH239" s="145">
        <f t="shared" si="964"/>
        <v>145.04156577312625</v>
      </c>
      <c r="CI239" s="145">
        <f t="shared" si="964"/>
        <v>127.87078966584552</v>
      </c>
      <c r="CJ239" s="145">
        <f t="shared" si="964"/>
        <v>128.34197678562748</v>
      </c>
      <c r="CK239" s="145">
        <f t="shared" si="964"/>
        <v>133.86902118450283</v>
      </c>
      <c r="CL239" s="145">
        <f t="shared" si="964"/>
        <v>140.2951666704902</v>
      </c>
      <c r="CM239" s="145">
        <f t="shared" si="964"/>
        <v>113.5796022561276</v>
      </c>
      <c r="CN239" s="145">
        <f t="shared" si="964"/>
        <v>120.01036157919953</v>
      </c>
      <c r="CO239" s="145">
        <f t="shared" si="964"/>
        <v>125.93997994602864</v>
      </c>
      <c r="CP239" s="145">
        <f t="shared" si="964"/>
        <v>132.39254503524253</v>
      </c>
      <c r="CQ239" s="145">
        <f t="shared" si="964"/>
        <v>115.05694204392989</v>
      </c>
      <c r="CR239" s="146">
        <f t="shared" si="964"/>
        <v>118.43411884624096</v>
      </c>
      <c r="CS239" s="147">
        <f t="shared" si="881"/>
        <v>1540.5423953210168</v>
      </c>
      <c r="CT239" s="148">
        <f t="shared" ref="CT239:DE239" si="965">+CT237-CT238</f>
        <v>123.87091390829316</v>
      </c>
      <c r="CU239" s="145">
        <f t="shared" si="965"/>
        <v>126.79601092520153</v>
      </c>
      <c r="CV239" s="145">
        <f t="shared" si="965"/>
        <v>129.38359927496916</v>
      </c>
      <c r="CW239" s="145">
        <f t="shared" si="965"/>
        <v>130.3334743014384</v>
      </c>
      <c r="CX239" s="145">
        <f t="shared" si="965"/>
        <v>347.64899369049982</v>
      </c>
      <c r="CY239" s="145">
        <f t="shared" si="965"/>
        <v>351.24924133187716</v>
      </c>
      <c r="CZ239" s="145">
        <f t="shared" si="965"/>
        <v>355.4137259234451</v>
      </c>
      <c r="DA239" s="145">
        <f t="shared" si="965"/>
        <v>374.49824045945871</v>
      </c>
      <c r="DB239" s="145">
        <f t="shared" si="965"/>
        <v>376.58352254388222</v>
      </c>
      <c r="DC239" s="145">
        <f t="shared" si="965"/>
        <v>379.1120325267953</v>
      </c>
      <c r="DD239" s="145">
        <f t="shared" si="965"/>
        <v>379.75444371017358</v>
      </c>
      <c r="DE239" s="146">
        <f t="shared" si="965"/>
        <v>381.54022483249236</v>
      </c>
      <c r="DF239" s="147">
        <f t="shared" si="882"/>
        <v>3456.1844234285263</v>
      </c>
      <c r="DG239" s="146">
        <f>+DG237-DG238</f>
        <v>101.31684255535838</v>
      </c>
      <c r="DH239" s="98">
        <f t="shared" si="814"/>
        <v>14197.781096145573</v>
      </c>
      <c r="DI239" s="99">
        <f t="shared" si="883"/>
        <v>20448.945691439425</v>
      </c>
      <c r="DJ239" s="100">
        <f t="shared" si="884"/>
        <v>6251.1645952938525</v>
      </c>
    </row>
    <row r="240" spans="1:115" ht="15" customHeight="1">
      <c r="A240" s="599"/>
      <c r="B240" s="593" t="s">
        <v>113</v>
      </c>
      <c r="C240" s="152" t="s">
        <v>62</v>
      </c>
      <c r="D240" s="235"/>
      <c r="E240" s="136">
        <f t="shared" si="893"/>
        <v>6899.4857901104378</v>
      </c>
      <c r="F240" s="128"/>
      <c r="G240" s="129">
        <v>0</v>
      </c>
      <c r="H240" s="130"/>
      <c r="I240" s="130"/>
      <c r="J240" s="130"/>
      <c r="K240" s="130"/>
      <c r="L240" s="130"/>
      <c r="M240" s="130"/>
      <c r="N240" s="130"/>
      <c r="O240" s="130"/>
      <c r="P240" s="130"/>
      <c r="Q240" s="130"/>
      <c r="R240" s="131">
        <v>38.616868378797001</v>
      </c>
      <c r="S240" s="132">
        <f t="shared" si="875"/>
        <v>38.616868378797001</v>
      </c>
      <c r="T240" s="385">
        <v>0.76335877862595425</v>
      </c>
      <c r="U240" s="379">
        <v>0.91986917416189695</v>
      </c>
      <c r="V240" s="379">
        <v>0.64987814784727871</v>
      </c>
      <c r="W240" s="379">
        <v>2.0956774167892789</v>
      </c>
      <c r="X240" s="379">
        <v>0.34477292541808668</v>
      </c>
      <c r="Y240" s="379">
        <v>1.78218853484777</v>
      </c>
      <c r="Z240" s="379">
        <v>227.43746579484286</v>
      </c>
      <c r="AA240" s="379">
        <v>1126.48078037707</v>
      </c>
      <c r="AB240" s="379">
        <v>1239.13034884632</v>
      </c>
      <c r="AC240" s="379">
        <v>2.9064019929613667</v>
      </c>
      <c r="AD240" s="379">
        <v>9.8588216736335679E-2</v>
      </c>
      <c r="AE240" s="480">
        <v>0.35718491188130469</v>
      </c>
      <c r="AF240" s="132">
        <f t="shared" si="876"/>
        <v>2602.9665151175022</v>
      </c>
      <c r="AG240" s="496">
        <v>2212.0676949602766</v>
      </c>
      <c r="AH240" s="510"/>
      <c r="AI240" s="510"/>
      <c r="AJ240" s="510">
        <v>1.6914619613270288</v>
      </c>
      <c r="AK240" s="510"/>
      <c r="AL240" s="510"/>
      <c r="AM240" s="510"/>
      <c r="AN240" s="510"/>
      <c r="AO240" s="510"/>
      <c r="AP240" s="510">
        <v>479.96134134208802</v>
      </c>
      <c r="AQ240" s="510">
        <v>2.9828604175349525</v>
      </c>
      <c r="AR240" s="515">
        <v>541.35648645384799</v>
      </c>
      <c r="AS240" s="406">
        <f t="shared" si="877"/>
        <v>3238.0598451350747</v>
      </c>
      <c r="AT240" s="516">
        <v>842.84405055335219</v>
      </c>
      <c r="AU240" s="510">
        <v>0.46891529321579151</v>
      </c>
      <c r="AV240" s="510"/>
      <c r="AW240" s="510">
        <v>21</v>
      </c>
      <c r="AX240" s="510">
        <v>101.38251663845472</v>
      </c>
      <c r="AY240" s="510">
        <v>54.147078994040335</v>
      </c>
      <c r="AZ240" s="130"/>
      <c r="BA240" s="130"/>
      <c r="BB240" s="130"/>
      <c r="BC240" s="130"/>
      <c r="BD240" s="130"/>
      <c r="BE240" s="131"/>
      <c r="BF240" s="132">
        <f t="shared" si="878"/>
        <v>1019.8425614790631</v>
      </c>
      <c r="BG240" s="133"/>
      <c r="BH240" s="130"/>
      <c r="BI240" s="130"/>
      <c r="BJ240" s="130"/>
      <c r="BK240" s="130"/>
      <c r="BL240" s="130"/>
      <c r="BM240" s="130"/>
      <c r="BN240" s="130"/>
      <c r="BO240" s="130"/>
      <c r="BP240" s="130"/>
      <c r="BQ240" s="130"/>
      <c r="BR240" s="131"/>
      <c r="BS240" s="132">
        <f t="shared" si="879"/>
        <v>0</v>
      </c>
      <c r="BT240" s="133"/>
      <c r="BU240" s="130"/>
      <c r="BV240" s="130"/>
      <c r="BW240" s="130"/>
      <c r="BX240" s="130"/>
      <c r="BY240" s="130"/>
      <c r="BZ240" s="130"/>
      <c r="CA240" s="130"/>
      <c r="CB240" s="130"/>
      <c r="CC240" s="130"/>
      <c r="CD240" s="130"/>
      <c r="CE240" s="131"/>
      <c r="CF240" s="132">
        <f t="shared" si="880"/>
        <v>0</v>
      </c>
      <c r="CG240" s="133"/>
      <c r="CH240" s="130"/>
      <c r="CI240" s="130"/>
      <c r="CJ240" s="130"/>
      <c r="CK240" s="130"/>
      <c r="CL240" s="130"/>
      <c r="CM240" s="130"/>
      <c r="CN240" s="130"/>
      <c r="CO240" s="130"/>
      <c r="CP240" s="130"/>
      <c r="CQ240" s="130"/>
      <c r="CR240" s="131"/>
      <c r="CS240" s="132">
        <f t="shared" si="881"/>
        <v>0</v>
      </c>
      <c r="CT240" s="133"/>
      <c r="CU240" s="130"/>
      <c r="CV240" s="130"/>
      <c r="CW240" s="130"/>
      <c r="CX240" s="130"/>
      <c r="CY240" s="130"/>
      <c r="CZ240" s="130"/>
      <c r="DA240" s="130"/>
      <c r="DB240" s="130"/>
      <c r="DC240" s="130"/>
      <c r="DD240" s="130"/>
      <c r="DE240" s="131"/>
      <c r="DF240" s="132">
        <f t="shared" si="882"/>
        <v>0</v>
      </c>
      <c r="DG240" s="278"/>
      <c r="DH240" s="159">
        <f t="shared" si="814"/>
        <v>6899.4857901104369</v>
      </c>
      <c r="DI240" s="160">
        <f t="shared" si="883"/>
        <v>6899.4857901104378</v>
      </c>
      <c r="DJ240" s="161">
        <f t="shared" si="884"/>
        <v>0</v>
      </c>
    </row>
    <row r="241" spans="1:115" ht="15" customHeight="1">
      <c r="A241" s="599"/>
      <c r="B241" s="548"/>
      <c r="C241" s="135" t="s">
        <v>63</v>
      </c>
      <c r="D241" s="233"/>
      <c r="E241" s="136">
        <f t="shared" si="893"/>
        <v>18754.186548489182</v>
      </c>
      <c r="F241" s="136"/>
      <c r="G241" s="137">
        <v>-120.045915808814</v>
      </c>
      <c r="H241" s="138">
        <v>303.87641176887001</v>
      </c>
      <c r="I241" s="138">
        <v>-297.896571884053</v>
      </c>
      <c r="J241" s="138">
        <v>-9.9071555421560298</v>
      </c>
      <c r="K241" s="138">
        <v>30.4</v>
      </c>
      <c r="L241" s="138">
        <v>88.969388530892999</v>
      </c>
      <c r="M241" s="138">
        <v>99.133653049455859</v>
      </c>
      <c r="N241" s="138">
        <v>380.02655681756585</v>
      </c>
      <c r="O241" s="138">
        <v>209.51374501584601</v>
      </c>
      <c r="P241" s="138">
        <v>250.43770151409601</v>
      </c>
      <c r="Q241" s="138">
        <v>-274.094383015186</v>
      </c>
      <c r="R241" s="139"/>
      <c r="S241" s="140">
        <f t="shared" si="875"/>
        <v>660.41343044651762</v>
      </c>
      <c r="T241" s="380">
        <v>366.502647982707</v>
      </c>
      <c r="U241" s="381">
        <v>438.92278399853228</v>
      </c>
      <c r="V241" s="381">
        <v>308.111526794913</v>
      </c>
      <c r="W241" s="381">
        <v>977.12215160282301</v>
      </c>
      <c r="X241" s="381">
        <v>156.41690105916507</v>
      </c>
      <c r="Y241" s="381">
        <v>3.9630642412713498E-3</v>
      </c>
      <c r="Z241" s="381">
        <v>0.54991034070531974</v>
      </c>
      <c r="AA241" s="381">
        <v>1.6287299927612</v>
      </c>
      <c r="AB241" s="381"/>
      <c r="AC241" s="381">
        <v>3313.5185956379701</v>
      </c>
      <c r="AD241" s="381">
        <v>329.900561559506</v>
      </c>
      <c r="AE241" s="392">
        <v>570.88685734243199</v>
      </c>
      <c r="AF241" s="140">
        <f t="shared" si="876"/>
        <v>6463.5646293757563</v>
      </c>
      <c r="AG241" s="497"/>
      <c r="AH241" s="499">
        <v>2490.89002418276</v>
      </c>
      <c r="AI241" s="499">
        <v>390.63988536514398</v>
      </c>
      <c r="AJ241" s="499">
        <v>2368.7443612310008</v>
      </c>
      <c r="AK241" s="499">
        <v>11.988342955068219</v>
      </c>
      <c r="AL241" s="499">
        <v>386.83816352809902</v>
      </c>
      <c r="AM241" s="499">
        <v>540.94355663182796</v>
      </c>
      <c r="AN241" s="499">
        <f>1013.41117815047+2</f>
        <v>1015.4111781504701</v>
      </c>
      <c r="AO241" s="499">
        <v>38.315473341412101</v>
      </c>
      <c r="AP241" s="499"/>
      <c r="AQ241" s="499">
        <v>414</v>
      </c>
      <c r="AR241" s="511"/>
      <c r="AS241" s="407">
        <f t="shared" si="877"/>
        <v>7657.7709853857823</v>
      </c>
      <c r="AT241" s="501"/>
      <c r="AU241" s="499">
        <v>288.79438826178375</v>
      </c>
      <c r="AV241" s="499">
        <v>841.10311501934495</v>
      </c>
      <c r="AW241" s="499"/>
      <c r="AX241" s="499"/>
      <c r="AY241" s="499"/>
      <c r="AZ241" s="138">
        <v>106</v>
      </c>
      <c r="BA241" s="138">
        <v>152.03</v>
      </c>
      <c r="BB241" s="138"/>
      <c r="BC241" s="138"/>
      <c r="BD241" s="138">
        <v>152.03</v>
      </c>
      <c r="BE241" s="139"/>
      <c r="BF241" s="140">
        <f t="shared" si="878"/>
        <v>1539.9575032811285</v>
      </c>
      <c r="BG241" s="141"/>
      <c r="BH241" s="138">
        <v>152.03</v>
      </c>
      <c r="BI241" s="138"/>
      <c r="BJ241" s="138"/>
      <c r="BK241" s="138">
        <v>152.03</v>
      </c>
      <c r="BL241" s="138"/>
      <c r="BM241" s="138"/>
      <c r="BN241" s="138">
        <v>152.03</v>
      </c>
      <c r="BO241" s="138"/>
      <c r="BP241" s="138"/>
      <c r="BQ241" s="138">
        <v>152.03</v>
      </c>
      <c r="BR241" s="139"/>
      <c r="BS241" s="140">
        <f t="shared" si="879"/>
        <v>608.12</v>
      </c>
      <c r="BT241" s="141"/>
      <c r="BU241" s="138">
        <v>152.03</v>
      </c>
      <c r="BV241" s="138"/>
      <c r="BW241" s="138"/>
      <c r="BX241" s="138">
        <v>152.03</v>
      </c>
      <c r="BY241" s="138"/>
      <c r="BZ241" s="138"/>
      <c r="CA241" s="138">
        <v>152.03</v>
      </c>
      <c r="CB241" s="138"/>
      <c r="CC241" s="138"/>
      <c r="CD241" s="138">
        <v>152.03</v>
      </c>
      <c r="CE241" s="139"/>
      <c r="CF241" s="140">
        <f t="shared" si="880"/>
        <v>608.12</v>
      </c>
      <c r="CG241" s="141"/>
      <c r="CH241" s="138">
        <v>152.03</v>
      </c>
      <c r="CI241" s="138"/>
      <c r="CJ241" s="138"/>
      <c r="CK241" s="138">
        <v>152.03</v>
      </c>
      <c r="CL241" s="138"/>
      <c r="CM241" s="138"/>
      <c r="CN241" s="138">
        <v>152.03</v>
      </c>
      <c r="CO241" s="138"/>
      <c r="CP241" s="138"/>
      <c r="CQ241" s="138">
        <v>152.03</v>
      </c>
      <c r="CR241" s="139"/>
      <c r="CS241" s="140">
        <f t="shared" si="881"/>
        <v>608.12</v>
      </c>
      <c r="CT241" s="141"/>
      <c r="CU241" s="138">
        <v>152.03</v>
      </c>
      <c r="CV241" s="138"/>
      <c r="CW241" s="138"/>
      <c r="CX241" s="138">
        <v>152.03</v>
      </c>
      <c r="CY241" s="138"/>
      <c r="CZ241" s="138"/>
      <c r="DA241" s="138">
        <v>152.03</v>
      </c>
      <c r="DB241" s="138"/>
      <c r="DC241" s="138"/>
      <c r="DD241" s="138">
        <v>152.03</v>
      </c>
      <c r="DE241" s="139"/>
      <c r="DF241" s="140">
        <f t="shared" si="882"/>
        <v>608.12</v>
      </c>
      <c r="DG241" s="279"/>
      <c r="DH241" s="90">
        <f t="shared" si="814"/>
        <v>16929.826548489185</v>
      </c>
      <c r="DI241" s="91">
        <f t="shared" si="883"/>
        <v>18754.186548489182</v>
      </c>
      <c r="DJ241" s="92">
        <f t="shared" si="884"/>
        <v>1824.3599999999969</v>
      </c>
      <c r="DK241" s="64">
        <f>+DH241/DH240</f>
        <v>2.4537809140437692</v>
      </c>
    </row>
    <row r="242" spans="1:115" ht="15" customHeight="1">
      <c r="A242" s="599"/>
      <c r="B242" s="549"/>
      <c r="C242" s="286" t="s">
        <v>11</v>
      </c>
      <c r="D242" s="236"/>
      <c r="E242" s="143">
        <f t="shared" ref="E242:R242" si="966">+E240-E241</f>
        <v>-11854.700758378745</v>
      </c>
      <c r="F242" s="144">
        <f t="shared" si="966"/>
        <v>0</v>
      </c>
      <c r="G242" s="145">
        <f t="shared" si="966"/>
        <v>120.045915808814</v>
      </c>
      <c r="H242" s="145">
        <f t="shared" si="966"/>
        <v>-303.87641176887001</v>
      </c>
      <c r="I242" s="145">
        <f t="shared" si="966"/>
        <v>297.896571884053</v>
      </c>
      <c r="J242" s="145">
        <f t="shared" si="966"/>
        <v>9.9071555421560298</v>
      </c>
      <c r="K242" s="145">
        <f t="shared" si="966"/>
        <v>-30.4</v>
      </c>
      <c r="L242" s="145">
        <f t="shared" si="966"/>
        <v>-88.969388530892999</v>
      </c>
      <c r="M242" s="145">
        <f t="shared" si="966"/>
        <v>-99.133653049455859</v>
      </c>
      <c r="N242" s="145">
        <f t="shared" si="966"/>
        <v>-380.02655681756585</v>
      </c>
      <c r="O242" s="145">
        <f t="shared" si="966"/>
        <v>-209.51374501584601</v>
      </c>
      <c r="P242" s="145">
        <f t="shared" si="966"/>
        <v>-250.43770151409601</v>
      </c>
      <c r="Q242" s="145">
        <f t="shared" si="966"/>
        <v>274.094383015186</v>
      </c>
      <c r="R242" s="146">
        <f t="shared" si="966"/>
        <v>38.616868378797001</v>
      </c>
      <c r="S242" s="147">
        <f t="shared" si="875"/>
        <v>-621.79656206772063</v>
      </c>
      <c r="T242" s="148">
        <f t="shared" ref="T242:AE242" si="967">+T240-T241</f>
        <v>-365.73928920408105</v>
      </c>
      <c r="U242" s="145">
        <f t="shared" si="967"/>
        <v>-438.00291482437041</v>
      </c>
      <c r="V242" s="145">
        <f t="shared" si="967"/>
        <v>-307.46164864706572</v>
      </c>
      <c r="W242" s="145">
        <f t="shared" si="967"/>
        <v>-975.02647418603374</v>
      </c>
      <c r="X242" s="145">
        <f t="shared" si="967"/>
        <v>-156.07212813374699</v>
      </c>
      <c r="Y242" s="145">
        <f t="shared" si="967"/>
        <v>1.7782254706064986</v>
      </c>
      <c r="Z242" s="145">
        <f t="shared" si="967"/>
        <v>226.88755545413755</v>
      </c>
      <c r="AA242" s="145">
        <f t="shared" si="967"/>
        <v>1124.8520503843088</v>
      </c>
      <c r="AB242" s="145">
        <f t="shared" si="967"/>
        <v>1239.13034884632</v>
      </c>
      <c r="AC242" s="145">
        <f t="shared" si="967"/>
        <v>-3310.6121936450086</v>
      </c>
      <c r="AD242" s="145">
        <f t="shared" si="967"/>
        <v>-329.80197334276966</v>
      </c>
      <c r="AE242" s="146">
        <f t="shared" si="967"/>
        <v>-570.5296724305507</v>
      </c>
      <c r="AF242" s="147">
        <f t="shared" si="876"/>
        <v>-3860.5981142582536</v>
      </c>
      <c r="AG242" s="148">
        <f t="shared" ref="AG242:AR242" si="968">+AG240-AG241</f>
        <v>2212.0676949602766</v>
      </c>
      <c r="AH242" s="145">
        <f t="shared" si="968"/>
        <v>-2490.89002418276</v>
      </c>
      <c r="AI242" s="145">
        <f t="shared" si="968"/>
        <v>-390.63988536514398</v>
      </c>
      <c r="AJ242" s="145">
        <f t="shared" si="968"/>
        <v>-2367.0528992696736</v>
      </c>
      <c r="AK242" s="145">
        <f t="shared" si="968"/>
        <v>-11.988342955068219</v>
      </c>
      <c r="AL242" s="145">
        <f t="shared" si="968"/>
        <v>-386.83816352809902</v>
      </c>
      <c r="AM242" s="145">
        <f t="shared" si="968"/>
        <v>-540.94355663182796</v>
      </c>
      <c r="AN242" s="145">
        <f t="shared" si="968"/>
        <v>-1015.4111781504701</v>
      </c>
      <c r="AO242" s="145">
        <f t="shared" si="968"/>
        <v>-38.315473341412101</v>
      </c>
      <c r="AP242" s="145">
        <f t="shared" si="968"/>
        <v>479.96134134208802</v>
      </c>
      <c r="AQ242" s="145">
        <f t="shared" si="968"/>
        <v>-411.01713958246506</v>
      </c>
      <c r="AR242" s="146">
        <f t="shared" si="968"/>
        <v>541.35648645384799</v>
      </c>
      <c r="AS242" s="408">
        <f t="shared" si="877"/>
        <v>-4419.7111402507071</v>
      </c>
      <c r="AT242" s="148">
        <f t="shared" ref="AT242:BE242" si="969">+AT240-AT241</f>
        <v>842.84405055335219</v>
      </c>
      <c r="AU242" s="145">
        <f t="shared" si="969"/>
        <v>-288.32547296856796</v>
      </c>
      <c r="AV242" s="145">
        <f t="shared" si="969"/>
        <v>-841.10311501934495</v>
      </c>
      <c r="AW242" s="145">
        <f t="shared" si="969"/>
        <v>21</v>
      </c>
      <c r="AX242" s="145">
        <f t="shared" si="969"/>
        <v>101.38251663845472</v>
      </c>
      <c r="AY242" s="145">
        <f t="shared" si="969"/>
        <v>54.147078994040335</v>
      </c>
      <c r="AZ242" s="145">
        <f t="shared" si="969"/>
        <v>-106</v>
      </c>
      <c r="BA242" s="145">
        <f t="shared" si="969"/>
        <v>-152.03</v>
      </c>
      <c r="BB242" s="145">
        <f t="shared" si="969"/>
        <v>0</v>
      </c>
      <c r="BC242" s="145">
        <f t="shared" si="969"/>
        <v>0</v>
      </c>
      <c r="BD242" s="145">
        <f t="shared" si="969"/>
        <v>-152.03</v>
      </c>
      <c r="BE242" s="146">
        <f t="shared" si="969"/>
        <v>0</v>
      </c>
      <c r="BF242" s="147">
        <f t="shared" si="878"/>
        <v>-520.11494180206569</v>
      </c>
      <c r="BG242" s="148">
        <f t="shared" ref="BG242:BR242" si="970">+BG240-BG241</f>
        <v>0</v>
      </c>
      <c r="BH242" s="145">
        <f t="shared" si="970"/>
        <v>-152.03</v>
      </c>
      <c r="BI242" s="145">
        <f t="shared" si="970"/>
        <v>0</v>
      </c>
      <c r="BJ242" s="145">
        <f t="shared" si="970"/>
        <v>0</v>
      </c>
      <c r="BK242" s="145">
        <f t="shared" si="970"/>
        <v>-152.03</v>
      </c>
      <c r="BL242" s="145">
        <f t="shared" si="970"/>
        <v>0</v>
      </c>
      <c r="BM242" s="145">
        <f t="shared" si="970"/>
        <v>0</v>
      </c>
      <c r="BN242" s="145">
        <f t="shared" si="970"/>
        <v>-152.03</v>
      </c>
      <c r="BO242" s="145">
        <f t="shared" si="970"/>
        <v>0</v>
      </c>
      <c r="BP242" s="145">
        <f t="shared" si="970"/>
        <v>0</v>
      </c>
      <c r="BQ242" s="145">
        <f t="shared" si="970"/>
        <v>-152.03</v>
      </c>
      <c r="BR242" s="146">
        <f t="shared" si="970"/>
        <v>0</v>
      </c>
      <c r="BS242" s="147">
        <f t="shared" si="879"/>
        <v>-608.12</v>
      </c>
      <c r="BT242" s="148">
        <f t="shared" ref="BT242:CE242" si="971">+BT240-BT241</f>
        <v>0</v>
      </c>
      <c r="BU242" s="145">
        <f t="shared" si="971"/>
        <v>-152.03</v>
      </c>
      <c r="BV242" s="145">
        <f t="shared" si="971"/>
        <v>0</v>
      </c>
      <c r="BW242" s="145">
        <f t="shared" si="971"/>
        <v>0</v>
      </c>
      <c r="BX242" s="145">
        <f t="shared" si="971"/>
        <v>-152.03</v>
      </c>
      <c r="BY242" s="145">
        <f t="shared" si="971"/>
        <v>0</v>
      </c>
      <c r="BZ242" s="145">
        <f t="shared" si="971"/>
        <v>0</v>
      </c>
      <c r="CA242" s="145">
        <f t="shared" si="971"/>
        <v>-152.03</v>
      </c>
      <c r="CB242" s="145">
        <f t="shared" si="971"/>
        <v>0</v>
      </c>
      <c r="CC242" s="145">
        <f t="shared" si="971"/>
        <v>0</v>
      </c>
      <c r="CD242" s="145">
        <f t="shared" si="971"/>
        <v>-152.03</v>
      </c>
      <c r="CE242" s="146">
        <f t="shared" si="971"/>
        <v>0</v>
      </c>
      <c r="CF242" s="147">
        <f t="shared" si="880"/>
        <v>-608.12</v>
      </c>
      <c r="CG242" s="148">
        <f t="shared" ref="CG242:CR242" si="972">+CG240-CG241</f>
        <v>0</v>
      </c>
      <c r="CH242" s="145">
        <f t="shared" si="972"/>
        <v>-152.03</v>
      </c>
      <c r="CI242" s="145">
        <f t="shared" si="972"/>
        <v>0</v>
      </c>
      <c r="CJ242" s="145">
        <f t="shared" si="972"/>
        <v>0</v>
      </c>
      <c r="CK242" s="145">
        <f t="shared" si="972"/>
        <v>-152.03</v>
      </c>
      <c r="CL242" s="145">
        <f t="shared" si="972"/>
        <v>0</v>
      </c>
      <c r="CM242" s="145">
        <f t="shared" si="972"/>
        <v>0</v>
      </c>
      <c r="CN242" s="145">
        <f t="shared" si="972"/>
        <v>-152.03</v>
      </c>
      <c r="CO242" s="145">
        <f t="shared" si="972"/>
        <v>0</v>
      </c>
      <c r="CP242" s="145">
        <f t="shared" si="972"/>
        <v>0</v>
      </c>
      <c r="CQ242" s="145">
        <f t="shared" si="972"/>
        <v>-152.03</v>
      </c>
      <c r="CR242" s="146">
        <f t="shared" si="972"/>
        <v>0</v>
      </c>
      <c r="CS242" s="147">
        <f t="shared" si="881"/>
        <v>-608.12</v>
      </c>
      <c r="CT242" s="148">
        <f t="shared" ref="CT242:DE242" si="973">+CT240-CT241</f>
        <v>0</v>
      </c>
      <c r="CU242" s="145">
        <f t="shared" si="973"/>
        <v>-152.03</v>
      </c>
      <c r="CV242" s="145">
        <f t="shared" si="973"/>
        <v>0</v>
      </c>
      <c r="CW242" s="145">
        <f t="shared" si="973"/>
        <v>0</v>
      </c>
      <c r="CX242" s="145">
        <f t="shared" si="973"/>
        <v>-152.03</v>
      </c>
      <c r="CY242" s="145">
        <f t="shared" si="973"/>
        <v>0</v>
      </c>
      <c r="CZ242" s="145">
        <f t="shared" si="973"/>
        <v>0</v>
      </c>
      <c r="DA242" s="145">
        <f t="shared" si="973"/>
        <v>-152.03</v>
      </c>
      <c r="DB242" s="145">
        <f t="shared" si="973"/>
        <v>0</v>
      </c>
      <c r="DC242" s="145">
        <f t="shared" si="973"/>
        <v>0</v>
      </c>
      <c r="DD242" s="145">
        <f t="shared" si="973"/>
        <v>-152.03</v>
      </c>
      <c r="DE242" s="146">
        <f t="shared" si="973"/>
        <v>0</v>
      </c>
      <c r="DF242" s="147">
        <f t="shared" si="882"/>
        <v>-608.12</v>
      </c>
      <c r="DG242" s="146">
        <f>+DG240-DG241</f>
        <v>0</v>
      </c>
      <c r="DH242" s="98">
        <f t="shared" si="814"/>
        <v>-10030.340758378747</v>
      </c>
      <c r="DI242" s="99">
        <f t="shared" si="883"/>
        <v>-11854.700758378745</v>
      </c>
      <c r="DJ242" s="100">
        <f t="shared" si="884"/>
        <v>-1824.3599999999988</v>
      </c>
    </row>
    <row r="243" spans="1:115" ht="15" customHeight="1">
      <c r="A243" s="599"/>
      <c r="B243" s="593" t="s">
        <v>194</v>
      </c>
      <c r="C243" s="152" t="s">
        <v>62</v>
      </c>
      <c r="D243" s="235"/>
      <c r="E243" s="136">
        <f t="shared" si="893"/>
        <v>0</v>
      </c>
      <c r="F243" s="128"/>
      <c r="G243" s="129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1"/>
      <c r="S243" s="132">
        <f>SUM(G243:R243)</f>
        <v>0</v>
      </c>
      <c r="T243" s="385"/>
      <c r="U243" s="379"/>
      <c r="V243" s="379"/>
      <c r="W243" s="379"/>
      <c r="X243" s="379"/>
      <c r="Y243" s="379"/>
      <c r="Z243" s="379"/>
      <c r="AA243" s="379"/>
      <c r="AB243" s="379"/>
      <c r="AC243" s="379"/>
      <c r="AD243" s="379"/>
      <c r="AE243" s="480"/>
      <c r="AF243" s="132">
        <f>SUM(T243:AE243)</f>
        <v>0</v>
      </c>
      <c r="AG243" s="496"/>
      <c r="AH243" s="510"/>
      <c r="AI243" s="510"/>
      <c r="AJ243" s="510"/>
      <c r="AK243" s="510"/>
      <c r="AL243" s="510"/>
      <c r="AM243" s="510"/>
      <c r="AN243" s="510"/>
      <c r="AO243" s="510"/>
      <c r="AP243" s="510"/>
      <c r="AQ243" s="510"/>
      <c r="AR243" s="515"/>
      <c r="AS243" s="406">
        <f>SUM(AG243:AR243)</f>
        <v>0</v>
      </c>
      <c r="AT243" s="516"/>
      <c r="AU243" s="510"/>
      <c r="AV243" s="510"/>
      <c r="AW243" s="510"/>
      <c r="AX243" s="510"/>
      <c r="AY243" s="510"/>
      <c r="AZ243" s="130"/>
      <c r="BA243" s="130"/>
      <c r="BB243" s="130"/>
      <c r="BC243" s="130"/>
      <c r="BD243" s="130"/>
      <c r="BE243" s="131"/>
      <c r="BF243" s="132">
        <f>SUM(AT243:BE243)</f>
        <v>0</v>
      </c>
      <c r="BG243" s="133"/>
      <c r="BH243" s="130"/>
      <c r="BI243" s="130"/>
      <c r="BJ243" s="130"/>
      <c r="BK243" s="130"/>
      <c r="BL243" s="130"/>
      <c r="BM243" s="130"/>
      <c r="BN243" s="130"/>
      <c r="BO243" s="130"/>
      <c r="BP243" s="130"/>
      <c r="BQ243" s="130"/>
      <c r="BR243" s="131"/>
      <c r="BS243" s="132">
        <f>SUM(BG243:BR243)</f>
        <v>0</v>
      </c>
      <c r="BT243" s="133"/>
      <c r="BU243" s="130"/>
      <c r="BV243" s="130"/>
      <c r="BW243" s="130"/>
      <c r="BX243" s="130"/>
      <c r="BY243" s="130"/>
      <c r="BZ243" s="130"/>
      <c r="CA243" s="130"/>
      <c r="CB243" s="130"/>
      <c r="CC243" s="130"/>
      <c r="CD243" s="130"/>
      <c r="CE243" s="131"/>
      <c r="CF243" s="132">
        <f t="shared" si="880"/>
        <v>0</v>
      </c>
      <c r="CG243" s="133"/>
      <c r="CH243" s="130"/>
      <c r="CI243" s="130"/>
      <c r="CJ243" s="130"/>
      <c r="CK243" s="130"/>
      <c r="CL243" s="130"/>
      <c r="CM243" s="130"/>
      <c r="CN243" s="130"/>
      <c r="CO243" s="130"/>
      <c r="CP243" s="130"/>
      <c r="CQ243" s="130"/>
      <c r="CR243" s="131"/>
      <c r="CS243" s="132">
        <f t="shared" si="881"/>
        <v>0</v>
      </c>
      <c r="CT243" s="133"/>
      <c r="CU243" s="130"/>
      <c r="CV243" s="130"/>
      <c r="CW243" s="130"/>
      <c r="CX243" s="130"/>
      <c r="CY243" s="130"/>
      <c r="CZ243" s="130"/>
      <c r="DA243" s="130"/>
      <c r="DB243" s="130"/>
      <c r="DC243" s="130"/>
      <c r="DD243" s="130"/>
      <c r="DE243" s="131"/>
      <c r="DF243" s="132">
        <f t="shared" si="882"/>
        <v>0</v>
      </c>
      <c r="DG243" s="278"/>
      <c r="DH243" s="159">
        <f>+F243+S243+AF243+AS243+BF243+BS243+DG243</f>
        <v>0</v>
      </c>
      <c r="DI243" s="160">
        <f>+E243</f>
        <v>0</v>
      </c>
      <c r="DJ243" s="161">
        <f>+DI243-DH243</f>
        <v>0</v>
      </c>
    </row>
    <row r="244" spans="1:115" ht="15" customHeight="1">
      <c r="A244" s="599"/>
      <c r="B244" s="548"/>
      <c r="C244" s="135" t="s">
        <v>63</v>
      </c>
      <c r="D244" s="233"/>
      <c r="E244" s="136">
        <f t="shared" si="893"/>
        <v>34555.581987620943</v>
      </c>
      <c r="F244" s="136"/>
      <c r="G244" s="137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9"/>
      <c r="S244" s="140">
        <f>SUM(G244:R244)</f>
        <v>0</v>
      </c>
      <c r="T244" s="380">
        <v>279.32077565504437</v>
      </c>
      <c r="U244" s="381"/>
      <c r="V244" s="381">
        <v>150.69456551584076</v>
      </c>
      <c r="W244" s="381">
        <v>56.434657573468009</v>
      </c>
      <c r="X244" s="381"/>
      <c r="Y244" s="381"/>
      <c r="Z244" s="381"/>
      <c r="AA244" s="381"/>
      <c r="AB244" s="381"/>
      <c r="AC244" s="381"/>
      <c r="AD244" s="381"/>
      <c r="AE244" s="392"/>
      <c r="AF244" s="140">
        <f>SUM(T244:AE244)</f>
        <v>486.44999874435314</v>
      </c>
      <c r="AG244" s="497"/>
      <c r="AH244" s="499">
        <v>645.62474969637617</v>
      </c>
      <c r="AI244" s="499">
        <v>203.49039073184073</v>
      </c>
      <c r="AJ244" s="499"/>
      <c r="AK244" s="499"/>
      <c r="AL244" s="499"/>
      <c r="AM244" s="499"/>
      <c r="AN244" s="499"/>
      <c r="AO244" s="499"/>
      <c r="AP244" s="499"/>
      <c r="AQ244" s="499"/>
      <c r="AR244" s="511"/>
      <c r="AS244" s="407">
        <f>SUM(AG244:AR244)</f>
        <v>849.11514042821693</v>
      </c>
      <c r="AT244" s="501">
        <v>3237.6683547493553</v>
      </c>
      <c r="AU244" s="499"/>
      <c r="AV244" s="499">
        <v>763.62990025032241</v>
      </c>
      <c r="AW244" s="499">
        <v>1403.6951325922835</v>
      </c>
      <c r="AX244" s="499">
        <v>157.86309344729344</v>
      </c>
      <c r="AY244" s="499"/>
      <c r="AZ244" s="138">
        <f>847-200-100</f>
        <v>547</v>
      </c>
      <c r="BA244" s="138"/>
      <c r="BB244" s="138"/>
      <c r="BC244" s="138">
        <f>800-200-100</f>
        <v>500</v>
      </c>
      <c r="BD244" s="138"/>
      <c r="BE244" s="139"/>
      <c r="BF244" s="140">
        <f>SUM(AT244:BE244)</f>
        <v>6609.8564810392545</v>
      </c>
      <c r="BG244" s="141">
        <f>869-234</f>
        <v>635</v>
      </c>
      <c r="BH244" s="138"/>
      <c r="BI244" s="138">
        <f>373+398</f>
        <v>771</v>
      </c>
      <c r="BJ244" s="138">
        <v>1823.4197340626658</v>
      </c>
      <c r="BK244" s="138"/>
      <c r="BL244" s="138"/>
      <c r="BM244" s="138">
        <v>2635.2553113213803</v>
      </c>
      <c r="BN244" s="138"/>
      <c r="BO244" s="138"/>
      <c r="BP244" s="138">
        <v>3077.9160317875608</v>
      </c>
      <c r="BQ244" s="138"/>
      <c r="BR244" s="139"/>
      <c r="BS244" s="140">
        <f>SUM(BG244:BR244)</f>
        <v>8942.591077171608</v>
      </c>
      <c r="BT244" s="141">
        <v>1022</v>
      </c>
      <c r="BU244" s="138"/>
      <c r="BV244" s="138">
        <v>2140</v>
      </c>
      <c r="BW244" s="138">
        <v>2848.9146030491652</v>
      </c>
      <c r="BX244" s="138"/>
      <c r="BY244" s="138"/>
      <c r="BZ244" s="138">
        <v>3204.022064492146</v>
      </c>
      <c r="CA244" s="138"/>
      <c r="CB244" s="138"/>
      <c r="CC244" s="138">
        <v>3432.9644611281628</v>
      </c>
      <c r="CD244" s="138"/>
      <c r="CE244" s="139"/>
      <c r="CF244" s="140">
        <f t="shared" si="880"/>
        <v>12647.901128669473</v>
      </c>
      <c r="CG244" s="141">
        <v>83</v>
      </c>
      <c r="CH244" s="138"/>
      <c r="CI244" s="138">
        <v>1735</v>
      </c>
      <c r="CJ244" s="138">
        <v>332.14730752411708</v>
      </c>
      <c r="CK244" s="138"/>
      <c r="CL244" s="138"/>
      <c r="CM244" s="138">
        <v>485.54710138291853</v>
      </c>
      <c r="CN244" s="138"/>
      <c r="CO244" s="138"/>
      <c r="CP244" s="138">
        <v>602.37695768618107</v>
      </c>
      <c r="CQ244" s="138"/>
      <c r="CR244" s="139"/>
      <c r="CS244" s="140">
        <f t="shared" si="881"/>
        <v>3238.0713665932167</v>
      </c>
      <c r="CT244" s="141"/>
      <c r="CU244" s="138"/>
      <c r="CV244" s="138">
        <v>683.16852916509742</v>
      </c>
      <c r="CW244" s="138">
        <v>0</v>
      </c>
      <c r="CX244" s="138"/>
      <c r="CY244" s="138"/>
      <c r="CZ244" s="138">
        <v>561.73362108254696</v>
      </c>
      <c r="DA244" s="138"/>
      <c r="DB244" s="138"/>
      <c r="DC244" s="138">
        <v>536.6946447271697</v>
      </c>
      <c r="DD244" s="138"/>
      <c r="DE244" s="139"/>
      <c r="DF244" s="140">
        <f t="shared" si="882"/>
        <v>1781.5967949748142</v>
      </c>
      <c r="DG244" s="279"/>
      <c r="DH244" s="90">
        <f>+F244+S244+AF244+AS244+BF244+BS244+DG244</f>
        <v>16888.012697383434</v>
      </c>
      <c r="DI244" s="91">
        <f>+E244</f>
        <v>34555.581987620943</v>
      </c>
      <c r="DJ244" s="92">
        <f>+DI244-DH244</f>
        <v>17667.569290237509</v>
      </c>
      <c r="DK244" s="64" t="e">
        <f>+DH244/DH243</f>
        <v>#DIV/0!</v>
      </c>
    </row>
    <row r="245" spans="1:115" ht="15" customHeight="1">
      <c r="A245" s="599"/>
      <c r="B245" s="549"/>
      <c r="C245" s="286" t="s">
        <v>11</v>
      </c>
      <c r="D245" s="236"/>
      <c r="E245" s="143">
        <f t="shared" ref="E245:R245" si="974">+E243-E244</f>
        <v>-34555.581987620943</v>
      </c>
      <c r="F245" s="144">
        <f t="shared" si="974"/>
        <v>0</v>
      </c>
      <c r="G245" s="145">
        <f t="shared" si="974"/>
        <v>0</v>
      </c>
      <c r="H245" s="145">
        <f t="shared" si="974"/>
        <v>0</v>
      </c>
      <c r="I245" s="145">
        <f t="shared" si="974"/>
        <v>0</v>
      </c>
      <c r="J245" s="145">
        <f t="shared" si="974"/>
        <v>0</v>
      </c>
      <c r="K245" s="145">
        <f t="shared" si="974"/>
        <v>0</v>
      </c>
      <c r="L245" s="145">
        <f t="shared" si="974"/>
        <v>0</v>
      </c>
      <c r="M245" s="145">
        <f t="shared" si="974"/>
        <v>0</v>
      </c>
      <c r="N245" s="145">
        <f t="shared" si="974"/>
        <v>0</v>
      </c>
      <c r="O245" s="145">
        <f t="shared" si="974"/>
        <v>0</v>
      </c>
      <c r="P245" s="145">
        <f t="shared" si="974"/>
        <v>0</v>
      </c>
      <c r="Q245" s="145">
        <f t="shared" si="974"/>
        <v>0</v>
      </c>
      <c r="R245" s="146">
        <f t="shared" si="974"/>
        <v>0</v>
      </c>
      <c r="S245" s="147">
        <f>SUM(G245:R245)</f>
        <v>0</v>
      </c>
      <c r="T245" s="148">
        <f t="shared" ref="T245:AE245" si="975">+T243-T244</f>
        <v>-279.32077565504437</v>
      </c>
      <c r="U245" s="145">
        <f t="shared" si="975"/>
        <v>0</v>
      </c>
      <c r="V245" s="145">
        <f t="shared" si="975"/>
        <v>-150.69456551584076</v>
      </c>
      <c r="W245" s="145">
        <f t="shared" si="975"/>
        <v>-56.434657573468009</v>
      </c>
      <c r="X245" s="145">
        <f t="shared" si="975"/>
        <v>0</v>
      </c>
      <c r="Y245" s="145">
        <f t="shared" si="975"/>
        <v>0</v>
      </c>
      <c r="Z245" s="145">
        <f t="shared" si="975"/>
        <v>0</v>
      </c>
      <c r="AA245" s="145">
        <f t="shared" si="975"/>
        <v>0</v>
      </c>
      <c r="AB245" s="145">
        <f t="shared" si="975"/>
        <v>0</v>
      </c>
      <c r="AC245" s="145">
        <f t="shared" si="975"/>
        <v>0</v>
      </c>
      <c r="AD245" s="145">
        <f t="shared" si="975"/>
        <v>0</v>
      </c>
      <c r="AE245" s="146">
        <f t="shared" si="975"/>
        <v>0</v>
      </c>
      <c r="AF245" s="147">
        <f>SUM(T245:AE245)</f>
        <v>-486.44999874435314</v>
      </c>
      <c r="AG245" s="148">
        <f t="shared" ref="AG245:AR245" si="976">+AG243-AG244</f>
        <v>0</v>
      </c>
      <c r="AH245" s="145">
        <f t="shared" si="976"/>
        <v>-645.62474969637617</v>
      </c>
      <c r="AI245" s="145">
        <f t="shared" si="976"/>
        <v>-203.49039073184073</v>
      </c>
      <c r="AJ245" s="145">
        <f t="shared" si="976"/>
        <v>0</v>
      </c>
      <c r="AK245" s="145">
        <f t="shared" si="976"/>
        <v>0</v>
      </c>
      <c r="AL245" s="145">
        <f t="shared" si="976"/>
        <v>0</v>
      </c>
      <c r="AM245" s="145">
        <f t="shared" si="976"/>
        <v>0</v>
      </c>
      <c r="AN245" s="145">
        <f t="shared" si="976"/>
        <v>0</v>
      </c>
      <c r="AO245" s="145">
        <f t="shared" si="976"/>
        <v>0</v>
      </c>
      <c r="AP245" s="145">
        <f t="shared" si="976"/>
        <v>0</v>
      </c>
      <c r="AQ245" s="145">
        <f t="shared" si="976"/>
        <v>0</v>
      </c>
      <c r="AR245" s="146">
        <f t="shared" si="976"/>
        <v>0</v>
      </c>
      <c r="AS245" s="408">
        <f>SUM(AG245:AR245)</f>
        <v>-849.11514042821693</v>
      </c>
      <c r="AT245" s="148">
        <f t="shared" ref="AT245:BE245" si="977">+AT243-AT244</f>
        <v>-3237.6683547493553</v>
      </c>
      <c r="AU245" s="145">
        <f t="shared" si="977"/>
        <v>0</v>
      </c>
      <c r="AV245" s="145">
        <f t="shared" si="977"/>
        <v>-763.62990025032241</v>
      </c>
      <c r="AW245" s="145">
        <f t="shared" si="977"/>
        <v>-1403.6951325922835</v>
      </c>
      <c r="AX245" s="145">
        <f t="shared" si="977"/>
        <v>-157.86309344729344</v>
      </c>
      <c r="AY245" s="145">
        <f t="shared" si="977"/>
        <v>0</v>
      </c>
      <c r="AZ245" s="145">
        <f t="shared" si="977"/>
        <v>-547</v>
      </c>
      <c r="BA245" s="145">
        <f>+BA243-BA244</f>
        <v>0</v>
      </c>
      <c r="BB245" s="145">
        <f>+BB243-BB244</f>
        <v>0</v>
      </c>
      <c r="BC245" s="145">
        <f t="shared" si="977"/>
        <v>-500</v>
      </c>
      <c r="BD245" s="145">
        <f t="shared" si="977"/>
        <v>0</v>
      </c>
      <c r="BE245" s="146">
        <f t="shared" si="977"/>
        <v>0</v>
      </c>
      <c r="BF245" s="147">
        <f>SUM(AT245:BE245)</f>
        <v>-6609.8564810392545</v>
      </c>
      <c r="BG245" s="148">
        <f t="shared" ref="BG245:BR245" si="978">+BG243-BG244</f>
        <v>-635</v>
      </c>
      <c r="BH245" s="145">
        <f>+BH243-BH244</f>
        <v>0</v>
      </c>
      <c r="BI245" s="145">
        <f>+BI243-BI244</f>
        <v>-771</v>
      </c>
      <c r="BJ245" s="145">
        <f t="shared" si="978"/>
        <v>-1823.4197340626658</v>
      </c>
      <c r="BK245" s="145">
        <f t="shared" si="978"/>
        <v>0</v>
      </c>
      <c r="BL245" s="145">
        <f t="shared" si="978"/>
        <v>0</v>
      </c>
      <c r="BM245" s="145">
        <f t="shared" si="978"/>
        <v>-2635.2553113213803</v>
      </c>
      <c r="BN245" s="145">
        <f t="shared" si="978"/>
        <v>0</v>
      </c>
      <c r="BO245" s="145">
        <f t="shared" si="978"/>
        <v>0</v>
      </c>
      <c r="BP245" s="145">
        <f t="shared" si="978"/>
        <v>-3077.9160317875608</v>
      </c>
      <c r="BQ245" s="145">
        <f t="shared" si="978"/>
        <v>0</v>
      </c>
      <c r="BR245" s="146">
        <f t="shared" si="978"/>
        <v>0</v>
      </c>
      <c r="BS245" s="147">
        <f>SUM(BG245:BR245)</f>
        <v>-8942.591077171608</v>
      </c>
      <c r="BT245" s="148">
        <f t="shared" ref="BT245:CE245" si="979">+BT243-BT244</f>
        <v>-1022</v>
      </c>
      <c r="BU245" s="145">
        <f t="shared" si="979"/>
        <v>0</v>
      </c>
      <c r="BV245" s="145">
        <f t="shared" si="979"/>
        <v>-2140</v>
      </c>
      <c r="BW245" s="145">
        <f t="shared" si="979"/>
        <v>-2848.9146030491652</v>
      </c>
      <c r="BX245" s="145">
        <f t="shared" si="979"/>
        <v>0</v>
      </c>
      <c r="BY245" s="145">
        <f t="shared" si="979"/>
        <v>0</v>
      </c>
      <c r="BZ245" s="145">
        <f t="shared" si="979"/>
        <v>-3204.022064492146</v>
      </c>
      <c r="CA245" s="145">
        <f t="shared" si="979"/>
        <v>0</v>
      </c>
      <c r="CB245" s="145">
        <f t="shared" si="979"/>
        <v>0</v>
      </c>
      <c r="CC245" s="145">
        <f t="shared" si="979"/>
        <v>-3432.9644611281628</v>
      </c>
      <c r="CD245" s="145">
        <f t="shared" si="979"/>
        <v>0</v>
      </c>
      <c r="CE245" s="146">
        <f t="shared" si="979"/>
        <v>0</v>
      </c>
      <c r="CF245" s="147">
        <f t="shared" si="880"/>
        <v>-12647.901128669473</v>
      </c>
      <c r="CG245" s="148">
        <f t="shared" ref="CG245:CR245" si="980">+CG243-CG244</f>
        <v>-83</v>
      </c>
      <c r="CH245" s="145">
        <f t="shared" si="980"/>
        <v>0</v>
      </c>
      <c r="CI245" s="145">
        <f t="shared" si="980"/>
        <v>-1735</v>
      </c>
      <c r="CJ245" s="145">
        <f t="shared" si="980"/>
        <v>-332.14730752411708</v>
      </c>
      <c r="CK245" s="145">
        <f t="shared" si="980"/>
        <v>0</v>
      </c>
      <c r="CL245" s="145">
        <f t="shared" si="980"/>
        <v>0</v>
      </c>
      <c r="CM245" s="145">
        <f t="shared" si="980"/>
        <v>-485.54710138291853</v>
      </c>
      <c r="CN245" s="145">
        <f t="shared" si="980"/>
        <v>0</v>
      </c>
      <c r="CO245" s="145">
        <f t="shared" si="980"/>
        <v>0</v>
      </c>
      <c r="CP245" s="145">
        <f t="shared" si="980"/>
        <v>-602.37695768618107</v>
      </c>
      <c r="CQ245" s="145">
        <f t="shared" si="980"/>
        <v>0</v>
      </c>
      <c r="CR245" s="146">
        <f t="shared" si="980"/>
        <v>0</v>
      </c>
      <c r="CS245" s="147">
        <f t="shared" si="881"/>
        <v>-3238.0713665932167</v>
      </c>
      <c r="CT245" s="148">
        <f t="shared" ref="CT245:DE245" si="981">+CT243-CT244</f>
        <v>0</v>
      </c>
      <c r="CU245" s="145">
        <f t="shared" si="981"/>
        <v>0</v>
      </c>
      <c r="CV245" s="145">
        <f t="shared" si="981"/>
        <v>-683.16852916509742</v>
      </c>
      <c r="CW245" s="145">
        <f t="shared" si="981"/>
        <v>0</v>
      </c>
      <c r="CX245" s="145">
        <f t="shared" si="981"/>
        <v>0</v>
      </c>
      <c r="CY245" s="145">
        <f t="shared" si="981"/>
        <v>0</v>
      </c>
      <c r="CZ245" s="145">
        <f t="shared" si="981"/>
        <v>-561.73362108254696</v>
      </c>
      <c r="DA245" s="145">
        <f t="shared" si="981"/>
        <v>0</v>
      </c>
      <c r="DB245" s="145">
        <f t="shared" si="981"/>
        <v>0</v>
      </c>
      <c r="DC245" s="145">
        <f t="shared" si="981"/>
        <v>-536.6946447271697</v>
      </c>
      <c r="DD245" s="145">
        <f t="shared" si="981"/>
        <v>0</v>
      </c>
      <c r="DE245" s="146">
        <f t="shared" si="981"/>
        <v>0</v>
      </c>
      <c r="DF245" s="147">
        <f t="shared" si="882"/>
        <v>-1781.5967949748142</v>
      </c>
      <c r="DG245" s="146">
        <f>+DG243-DG244</f>
        <v>0</v>
      </c>
      <c r="DH245" s="98">
        <f>+F245+S245+AF245+AS245+BF245+BS245+DG245</f>
        <v>-16888.012697383434</v>
      </c>
      <c r="DI245" s="99">
        <f>+E245</f>
        <v>-34555.581987620943</v>
      </c>
      <c r="DJ245" s="100">
        <f>+DI245-DH245</f>
        <v>-17667.569290237509</v>
      </c>
    </row>
    <row r="246" spans="1:115" ht="15" customHeight="1">
      <c r="A246" s="599"/>
      <c r="B246" s="614" t="s">
        <v>65</v>
      </c>
      <c r="C246" s="217" t="s">
        <v>62</v>
      </c>
      <c r="D246" s="240"/>
      <c r="E246" s="128">
        <f t="shared" ref="E246:G247" si="982">E222+E225+E228+E231+E234+E237+E240</f>
        <v>335791.87883088877</v>
      </c>
      <c r="F246" s="128">
        <f t="shared" si="982"/>
        <v>0</v>
      </c>
      <c r="G246" s="154">
        <f t="shared" si="982"/>
        <v>267</v>
      </c>
      <c r="H246" s="133">
        <f t="shared" ref="H246:R246" si="983">H222+H225+H228+H231+H234+H237+H240</f>
        <v>30</v>
      </c>
      <c r="I246" s="130">
        <f t="shared" si="983"/>
        <v>31.690435910652898</v>
      </c>
      <c r="J246" s="130">
        <f t="shared" si="983"/>
        <v>30.818565921787702</v>
      </c>
      <c r="K246" s="130">
        <f t="shared" si="983"/>
        <v>27.487747982832619</v>
      </c>
      <c r="L246" s="130">
        <f t="shared" si="983"/>
        <v>23.602976832656552</v>
      </c>
      <c r="M246" s="130">
        <f t="shared" si="983"/>
        <v>725.21884549904235</v>
      </c>
      <c r="N246" s="130">
        <f t="shared" si="983"/>
        <v>31.23327056113903</v>
      </c>
      <c r="O246" s="130">
        <f t="shared" si="983"/>
        <v>15.518960995850623</v>
      </c>
      <c r="P246" s="130">
        <f t="shared" si="983"/>
        <v>142.02183032416909</v>
      </c>
      <c r="Q246" s="130">
        <f t="shared" si="983"/>
        <v>58.7377421686747</v>
      </c>
      <c r="R246" s="131">
        <f t="shared" si="983"/>
        <v>75.648699522248137</v>
      </c>
      <c r="S246" s="163">
        <f t="shared" si="875"/>
        <v>1458.9790757190538</v>
      </c>
      <c r="T246" s="383">
        <f>T222+T225+T228+T231+T234+T237+T240+T243</f>
        <v>197.63490303280381</v>
      </c>
      <c r="U246" s="385">
        <f t="shared" ref="U246:AE246" si="984">U222+U225+U228+U231+U234+U237+U240+U243</f>
        <v>92.471413573180712</v>
      </c>
      <c r="V246" s="379">
        <f t="shared" si="984"/>
        <v>23.039887571080421</v>
      </c>
      <c r="W246" s="379">
        <f t="shared" si="984"/>
        <v>23.935457151946551</v>
      </c>
      <c r="X246" s="379">
        <f t="shared" si="984"/>
        <v>332.1635538955378</v>
      </c>
      <c r="Y246" s="379">
        <f t="shared" si="984"/>
        <v>21.484912230008867</v>
      </c>
      <c r="Z246" s="379">
        <f t="shared" si="984"/>
        <v>80973.546918275417</v>
      </c>
      <c r="AA246" s="379">
        <f t="shared" si="984"/>
        <v>1224.268959296076</v>
      </c>
      <c r="AB246" s="379">
        <f t="shared" si="984"/>
        <v>1334.5968974876132</v>
      </c>
      <c r="AC246" s="379">
        <f t="shared" si="984"/>
        <v>96.417079955711969</v>
      </c>
      <c r="AD246" s="379">
        <f t="shared" si="984"/>
        <v>354.9658781843994</v>
      </c>
      <c r="AE246" s="480">
        <f t="shared" si="984"/>
        <v>94.817396789260897</v>
      </c>
      <c r="AF246" s="163">
        <f t="shared" si="876"/>
        <v>84769.343257443063</v>
      </c>
      <c r="AG246" s="498">
        <f>AG222+AG225+AG228+AG231+AG234+AG237+AG240+AG243</f>
        <v>2330.398766030311</v>
      </c>
      <c r="AH246" s="516">
        <f t="shared" ref="AH246:AR246" si="985">AH222+AH225+AH228+AH231+AH234+AH237+AH240+AH243</f>
        <v>112.49558687561215</v>
      </c>
      <c r="AI246" s="510">
        <f t="shared" si="985"/>
        <v>170.20269390067597</v>
      </c>
      <c r="AJ246" s="510">
        <f t="shared" si="985"/>
        <v>115.20103974935607</v>
      </c>
      <c r="AK246" s="510">
        <f t="shared" si="985"/>
        <v>2612.5066700749567</v>
      </c>
      <c r="AL246" s="510">
        <f t="shared" si="985"/>
        <v>959.83911872723763</v>
      </c>
      <c r="AM246" s="510">
        <f t="shared" si="985"/>
        <v>704.82279309686521</v>
      </c>
      <c r="AN246" s="510">
        <f t="shared" si="985"/>
        <v>1520.2153672487593</v>
      </c>
      <c r="AO246" s="510">
        <f t="shared" si="985"/>
        <v>562.73911459082831</v>
      </c>
      <c r="AP246" s="510">
        <f t="shared" si="985"/>
        <v>734.00783679957067</v>
      </c>
      <c r="AQ246" s="510">
        <f t="shared" si="985"/>
        <v>771.97608536354335</v>
      </c>
      <c r="AR246" s="515">
        <f t="shared" si="985"/>
        <v>4421.817291933301</v>
      </c>
      <c r="AS246" s="414">
        <f>SUM(AG246:AR246)</f>
        <v>15016.222364391015</v>
      </c>
      <c r="AT246" s="500">
        <f>AT222+AT225+AT228+AT231+AT234+AT237+AT240+AT243</f>
        <v>1019.9235519575764</v>
      </c>
      <c r="AU246" s="516">
        <f t="shared" ref="AU246:BE246" si="986">AU222+AU225+AU228+AU231+AU234+AU237+AU240+AU243</f>
        <v>273.43196469911845</v>
      </c>
      <c r="AV246" s="510">
        <f t="shared" si="986"/>
        <v>521.78919107942045</v>
      </c>
      <c r="AW246" s="510">
        <f t="shared" si="986"/>
        <v>301.78412470124067</v>
      </c>
      <c r="AX246" s="510">
        <f t="shared" si="986"/>
        <v>285.33103975336428</v>
      </c>
      <c r="AY246" s="510">
        <f t="shared" si="986"/>
        <v>516.78927013640839</v>
      </c>
      <c r="AZ246" s="130">
        <f t="shared" si="986"/>
        <v>222.90329023932296</v>
      </c>
      <c r="BA246" s="130">
        <f t="shared" si="986"/>
        <v>125.00048659320299</v>
      </c>
      <c r="BB246" s="130">
        <f t="shared" si="986"/>
        <v>120.77965033895406</v>
      </c>
      <c r="BC246" s="130">
        <f t="shared" si="986"/>
        <v>86.957883017650047</v>
      </c>
      <c r="BD246" s="130">
        <f t="shared" si="986"/>
        <v>82.762901414566997</v>
      </c>
      <c r="BE246" s="131">
        <f t="shared" si="986"/>
        <v>80.760156842386849</v>
      </c>
      <c r="BF246" s="163">
        <f>SUM(AT246:BE246)</f>
        <v>3638.2135107732124</v>
      </c>
      <c r="BG246" s="154">
        <f>BG222+BG225+BG228+BG231+BG234+BG237+BG240+BG243</f>
        <v>78.602054231122523</v>
      </c>
      <c r="BH246" s="133">
        <f t="shared" ref="BH246:BR246" si="987">BH222+BH225+BH228+BH231+BH234+BH237+BH240+BH243</f>
        <v>85.312997760720194</v>
      </c>
      <c r="BI246" s="130">
        <f t="shared" si="987"/>
        <v>60.30095134104824</v>
      </c>
      <c r="BJ246" s="130">
        <f t="shared" si="987"/>
        <v>46.440335522193628</v>
      </c>
      <c r="BK246" s="130">
        <f t="shared" si="987"/>
        <v>65.658878662043577</v>
      </c>
      <c r="BL246" s="130">
        <f t="shared" si="987"/>
        <v>56.069618240378126</v>
      </c>
      <c r="BM246" s="130">
        <f t="shared" si="987"/>
        <v>53.086343659099761</v>
      </c>
      <c r="BN246" s="130">
        <f t="shared" si="987"/>
        <v>65.428230797121088</v>
      </c>
      <c r="BO246" s="130">
        <f t="shared" si="987"/>
        <v>66.984853058514815</v>
      </c>
      <c r="BP246" s="130">
        <f t="shared" si="987"/>
        <v>47.734713985102978</v>
      </c>
      <c r="BQ246" s="130">
        <f t="shared" si="987"/>
        <v>37.948018226860043</v>
      </c>
      <c r="BR246" s="131">
        <f t="shared" si="987"/>
        <v>48.072189229026925</v>
      </c>
      <c r="BS246" s="163">
        <f>SUM(BG246:BR246)</f>
        <v>711.639184713232</v>
      </c>
      <c r="BT246" s="154">
        <f>BT222+BT225+BT228+BT231+BT234+BT237+BT240+BT243</f>
        <v>67.544561703572256</v>
      </c>
      <c r="BU246" s="133">
        <f t="shared" ref="BU246:CE246" si="988">BU222+BU225+BU228+BU231+BU234+BU237+BU240+BU243</f>
        <v>86.597091013915573</v>
      </c>
      <c r="BV246" s="130">
        <f t="shared" si="988"/>
        <v>96.698085840605756</v>
      </c>
      <c r="BW246" s="130">
        <f t="shared" si="988"/>
        <v>88.690886768740071</v>
      </c>
      <c r="BX246" s="130">
        <f t="shared" si="988"/>
        <v>80.34268326861438</v>
      </c>
      <c r="BY246" s="130">
        <f t="shared" si="988"/>
        <v>83.596186057221402</v>
      </c>
      <c r="BZ246" s="130">
        <f t="shared" si="988"/>
        <v>32212.145909600014</v>
      </c>
      <c r="CA246" s="130">
        <f t="shared" si="988"/>
        <v>164.58168548790002</v>
      </c>
      <c r="CB246" s="130">
        <f t="shared" si="988"/>
        <v>129.24149458248033</v>
      </c>
      <c r="CC246" s="130">
        <f t="shared" si="988"/>
        <v>133.89553615642259</v>
      </c>
      <c r="CD246" s="130">
        <f t="shared" si="988"/>
        <v>127.5793786611182</v>
      </c>
      <c r="CE246" s="131">
        <f t="shared" si="988"/>
        <v>132.52427740369862</v>
      </c>
      <c r="CF246" s="163">
        <f t="shared" si="880"/>
        <v>33403.437776544299</v>
      </c>
      <c r="CG246" s="154">
        <f>CG222+CG225+CG228+CG231+CG234+CG237+CG240+CG243</f>
        <v>139.71032553465503</v>
      </c>
      <c r="CH246" s="133">
        <f t="shared" ref="CH246:CR246" si="989">CH222+CH225+CH228+CH231+CH234+CH237+CH240+CH243</f>
        <v>145.04156577312625</v>
      </c>
      <c r="CI246" s="130">
        <f t="shared" si="989"/>
        <v>127.87078966584552</v>
      </c>
      <c r="CJ246" s="130">
        <f t="shared" si="989"/>
        <v>128.34197678562748</v>
      </c>
      <c r="CK246" s="130">
        <f t="shared" si="989"/>
        <v>133.86902118450283</v>
      </c>
      <c r="CL246" s="130">
        <f t="shared" si="989"/>
        <v>140.2951666704902</v>
      </c>
      <c r="CM246" s="130">
        <f t="shared" si="989"/>
        <v>113.5796022561276</v>
      </c>
      <c r="CN246" s="130">
        <f t="shared" si="989"/>
        <v>120.01036157919953</v>
      </c>
      <c r="CO246" s="130">
        <f t="shared" si="989"/>
        <v>125.93997994602864</v>
      </c>
      <c r="CP246" s="130">
        <f t="shared" si="989"/>
        <v>132.39254503524253</v>
      </c>
      <c r="CQ246" s="130">
        <f t="shared" si="989"/>
        <v>115.05694204392989</v>
      </c>
      <c r="CR246" s="131">
        <f t="shared" si="989"/>
        <v>118.43411884624096</v>
      </c>
      <c r="CS246" s="163">
        <f t="shared" si="881"/>
        <v>1540.5423953210168</v>
      </c>
      <c r="CT246" s="154">
        <f>CT222+CT225+CT228+CT231+CT234+CT237+CT240+CT243</f>
        <v>123.87091390829316</v>
      </c>
      <c r="CU246" s="133">
        <f t="shared" ref="CU246:DE246" si="990">CU222+CU225+CU228+CU231+CU234+CU237+CU240+CU243</f>
        <v>126.79601092520153</v>
      </c>
      <c r="CV246" s="130">
        <f t="shared" si="990"/>
        <v>129.38359927496916</v>
      </c>
      <c r="CW246" s="130">
        <f t="shared" si="990"/>
        <v>64330.333474301442</v>
      </c>
      <c r="CX246" s="130">
        <f t="shared" si="990"/>
        <v>347.64899369049982</v>
      </c>
      <c r="CY246" s="130">
        <f t="shared" si="990"/>
        <v>351.24924133187716</v>
      </c>
      <c r="CZ246" s="130">
        <f t="shared" si="990"/>
        <v>355.4137259234451</v>
      </c>
      <c r="DA246" s="130">
        <f t="shared" si="990"/>
        <v>374.49824045945871</v>
      </c>
      <c r="DB246" s="130">
        <f t="shared" si="990"/>
        <v>376.58352254388222</v>
      </c>
      <c r="DC246" s="130">
        <f t="shared" si="990"/>
        <v>379.1120325267953</v>
      </c>
      <c r="DD246" s="130">
        <f t="shared" si="990"/>
        <v>379.75444371017358</v>
      </c>
      <c r="DE246" s="131">
        <f t="shared" si="990"/>
        <v>381.54022483249236</v>
      </c>
      <c r="DF246" s="163">
        <f t="shared" si="882"/>
        <v>67656.184423428538</v>
      </c>
      <c r="DG246" s="278">
        <f>DG222+DG225+DG228+DG231+DG234+DG237+DG240+DG243</f>
        <v>127597.31684255536</v>
      </c>
      <c r="DH246" s="164">
        <f t="shared" si="814"/>
        <v>233191.71423559493</v>
      </c>
      <c r="DI246" s="165">
        <f t="shared" si="883"/>
        <v>335791.87883088877</v>
      </c>
      <c r="DJ246" s="166">
        <f t="shared" si="884"/>
        <v>102600.16459529384</v>
      </c>
    </row>
    <row r="247" spans="1:115" ht="15" customHeight="1">
      <c r="A247" s="599"/>
      <c r="B247" s="615"/>
      <c r="C247" s="218" t="s">
        <v>63</v>
      </c>
      <c r="D247" s="241"/>
      <c r="E247" s="136">
        <f t="shared" si="982"/>
        <v>302290.6274080844</v>
      </c>
      <c r="F247" s="136">
        <f t="shared" si="982"/>
        <v>0</v>
      </c>
      <c r="G247" s="137">
        <f t="shared" si="982"/>
        <v>-120.045915808814</v>
      </c>
      <c r="H247" s="141">
        <f t="shared" ref="H247:R247" si="991">H223+H226+H229+H232+H235+H238+H241</f>
        <v>303.87641176887001</v>
      </c>
      <c r="I247" s="138">
        <f t="shared" si="991"/>
        <v>-297.896571884053</v>
      </c>
      <c r="J247" s="138">
        <f t="shared" si="991"/>
        <v>-9.9071555421560298</v>
      </c>
      <c r="K247" s="138">
        <f t="shared" si="991"/>
        <v>30.4</v>
      </c>
      <c r="L247" s="138">
        <f t="shared" si="991"/>
        <v>88.969388530892999</v>
      </c>
      <c r="M247" s="138">
        <f t="shared" si="991"/>
        <v>99.133653049455859</v>
      </c>
      <c r="N247" s="138">
        <f t="shared" si="991"/>
        <v>380.02655681756585</v>
      </c>
      <c r="O247" s="138">
        <f t="shared" si="991"/>
        <v>209.51374501584601</v>
      </c>
      <c r="P247" s="138">
        <f t="shared" si="991"/>
        <v>250.43770151409601</v>
      </c>
      <c r="Q247" s="138">
        <f t="shared" si="991"/>
        <v>224.45152475382099</v>
      </c>
      <c r="R247" s="139">
        <f t="shared" si="991"/>
        <v>0</v>
      </c>
      <c r="S247" s="162">
        <f t="shared" si="875"/>
        <v>1158.9593382155247</v>
      </c>
      <c r="T247" s="384">
        <f>T223+T226+T229+T232+T235+T238+T241+T244</f>
        <v>646.02973682116385</v>
      </c>
      <c r="U247" s="380">
        <f t="shared" ref="U247:AE247" si="992">U223+U226+U229+U232+U235+U238+U241+U244</f>
        <v>440.89191727735482</v>
      </c>
      <c r="V247" s="381">
        <f t="shared" si="992"/>
        <v>460.41047898825173</v>
      </c>
      <c r="W247" s="381">
        <f t="shared" si="992"/>
        <v>1033.5568091762909</v>
      </c>
      <c r="X247" s="381">
        <f t="shared" si="992"/>
        <v>156.41690105916507</v>
      </c>
      <c r="Y247" s="381">
        <f t="shared" si="992"/>
        <v>3626.0357468394564</v>
      </c>
      <c r="Z247" s="381">
        <f t="shared" si="992"/>
        <v>6.89552102012353</v>
      </c>
      <c r="AA247" s="381">
        <f t="shared" si="992"/>
        <v>-12.877825142765221</v>
      </c>
      <c r="AB247" s="381">
        <f t="shared" si="992"/>
        <v>3.3510703115479914</v>
      </c>
      <c r="AC247" s="381">
        <f t="shared" si="992"/>
        <v>3313.5185956379701</v>
      </c>
      <c r="AD247" s="381">
        <f t="shared" si="992"/>
        <v>331.24924836445905</v>
      </c>
      <c r="AE247" s="392">
        <f t="shared" si="992"/>
        <v>571.69245070114766</v>
      </c>
      <c r="AF247" s="162">
        <f t="shared" si="876"/>
        <v>10577.170651054166</v>
      </c>
      <c r="AG247" s="497">
        <f>AG223+AG226+AG229+AG232+AG235+AG238+AG241+AG244</f>
        <v>4.1316628157118958</v>
      </c>
      <c r="AH247" s="501">
        <f t="shared" ref="AH247:AR247" si="993">AH223+AH226+AH229+AH232+AH235+AH238+AH241+AH244</f>
        <v>3140.9747151132206</v>
      </c>
      <c r="AI247" s="499">
        <f t="shared" si="993"/>
        <v>632.54206838393827</v>
      </c>
      <c r="AJ247" s="499">
        <f t="shared" si="993"/>
        <v>2370.0514000192989</v>
      </c>
      <c r="AK247" s="499">
        <f t="shared" si="993"/>
        <v>4035.1213047079032</v>
      </c>
      <c r="AL247" s="499">
        <f t="shared" si="993"/>
        <v>10412.820912234252</v>
      </c>
      <c r="AM247" s="499">
        <f t="shared" si="993"/>
        <v>6537.0728185920379</v>
      </c>
      <c r="AN247" s="499">
        <f t="shared" si="993"/>
        <v>4979.9857453689247</v>
      </c>
      <c r="AO247" s="499">
        <f t="shared" si="993"/>
        <v>40.217847711844186</v>
      </c>
      <c r="AP247" s="499">
        <f t="shared" si="993"/>
        <v>1.2924316721785076</v>
      </c>
      <c r="AQ247" s="499">
        <f t="shared" si="993"/>
        <v>415.68794756185355</v>
      </c>
      <c r="AR247" s="511">
        <f t="shared" si="993"/>
        <v>57263.763447488578</v>
      </c>
      <c r="AS247" s="410">
        <f>SUM(AG247:AR247)</f>
        <v>89833.662301669741</v>
      </c>
      <c r="AT247" s="501">
        <f>AT223+AT226+AT229+AT232+AT235+AT238+AT241+AT244</f>
        <v>3242.6112990035776</v>
      </c>
      <c r="AU247" s="501">
        <f t="shared" ref="AU247:BE247" si="994">AU223+AU226+AU229+AU232+AU235+AU238+AU241+AU244</f>
        <v>288.79438826178375</v>
      </c>
      <c r="AV247" s="499">
        <f t="shared" si="994"/>
        <v>1604.7330152696672</v>
      </c>
      <c r="AW247" s="499">
        <f t="shared" si="994"/>
        <v>1404.3628362229219</v>
      </c>
      <c r="AX247" s="499">
        <f t="shared" si="994"/>
        <v>160.27929287749288</v>
      </c>
      <c r="AY247" s="499">
        <f t="shared" si="994"/>
        <v>17.935905721345751</v>
      </c>
      <c r="AZ247" s="138">
        <f t="shared" si="994"/>
        <v>19736</v>
      </c>
      <c r="BA247" s="138">
        <f>BA223+BA226+BA229+BA232+BA235+BA238+BA241+BA244</f>
        <v>152.03</v>
      </c>
      <c r="BB247" s="138">
        <f>BB223+BB226+BB229+BB232+BB235+BB238+BB241+BB244</f>
        <v>8875</v>
      </c>
      <c r="BC247" s="138">
        <f t="shared" si="994"/>
        <v>1010</v>
      </c>
      <c r="BD247" s="138">
        <f t="shared" si="994"/>
        <v>152.03</v>
      </c>
      <c r="BE247" s="139">
        <f t="shared" si="994"/>
        <v>0</v>
      </c>
      <c r="BF247" s="162">
        <f>SUM(AT247:BE247)</f>
        <v>36643.776737356791</v>
      </c>
      <c r="BG247" s="137">
        <f>BG223+BG226+BG229+BG232+BG235+BG238+BG241+BG244</f>
        <v>635</v>
      </c>
      <c r="BH247" s="141">
        <f>BH223+BH226+BH229+BH232+BH235+BH238+BH241+BH244</f>
        <v>2864.03</v>
      </c>
      <c r="BI247" s="138">
        <f>BI223+BI226+BI229+BI232+BI235+BI238+BI241+BI244</f>
        <v>771</v>
      </c>
      <c r="BJ247" s="138">
        <f t="shared" ref="BJ247:BR247" si="995">BJ223+BJ226+BJ229+BJ232+BJ235+BJ238+BJ241+BJ244</f>
        <v>1823.4197340626658</v>
      </c>
      <c r="BK247" s="138">
        <f t="shared" si="995"/>
        <v>152.03</v>
      </c>
      <c r="BL247" s="138">
        <f t="shared" si="995"/>
        <v>0</v>
      </c>
      <c r="BM247" s="138">
        <f t="shared" si="995"/>
        <v>57725.25531132138</v>
      </c>
      <c r="BN247" s="138">
        <f t="shared" si="995"/>
        <v>152.03</v>
      </c>
      <c r="BO247" s="138">
        <f t="shared" si="995"/>
        <v>7458</v>
      </c>
      <c r="BP247" s="138">
        <f t="shared" si="995"/>
        <v>3077.9160317875608</v>
      </c>
      <c r="BQ247" s="138">
        <f t="shared" si="995"/>
        <v>152.03</v>
      </c>
      <c r="BR247" s="139">
        <f t="shared" si="995"/>
        <v>0</v>
      </c>
      <c r="BS247" s="162">
        <f>SUM(BG247:BR247)</f>
        <v>74810.711077171611</v>
      </c>
      <c r="BT247" s="137">
        <f>BT223+BT226+BT229+BT232+BT235+BT238+BT241+BT244</f>
        <v>1022</v>
      </c>
      <c r="BU247" s="141">
        <f t="shared" ref="BU247:CE247" si="996">BU223+BU226+BU229+BU232+BU235+BU238+BU241+BU244</f>
        <v>152.03</v>
      </c>
      <c r="BV247" s="138">
        <f t="shared" si="996"/>
        <v>2140</v>
      </c>
      <c r="BW247" s="138">
        <f t="shared" si="996"/>
        <v>2848.9146030491652</v>
      </c>
      <c r="BX247" s="138">
        <f t="shared" si="996"/>
        <v>152.03</v>
      </c>
      <c r="BY247" s="138">
        <f t="shared" si="996"/>
        <v>6780</v>
      </c>
      <c r="BZ247" s="138">
        <f t="shared" si="996"/>
        <v>3204.022064492146</v>
      </c>
      <c r="CA247" s="138">
        <f t="shared" si="996"/>
        <v>152.03</v>
      </c>
      <c r="CB247" s="138">
        <f t="shared" si="996"/>
        <v>0</v>
      </c>
      <c r="CC247" s="138">
        <f t="shared" si="996"/>
        <v>3432.9644611281628</v>
      </c>
      <c r="CD247" s="138">
        <f t="shared" si="996"/>
        <v>152.03</v>
      </c>
      <c r="CE247" s="139">
        <f t="shared" si="996"/>
        <v>0</v>
      </c>
      <c r="CF247" s="162">
        <f t="shared" si="880"/>
        <v>20036.021128669472</v>
      </c>
      <c r="CG247" s="137">
        <f>CG223+CG226+CG229+CG232+CG235+CG238+CG241+CG244</f>
        <v>83</v>
      </c>
      <c r="CH247" s="141">
        <f t="shared" ref="CH247:CR247" si="997">CH223+CH226+CH229+CH232+CH235+CH238+CH241+CH244</f>
        <v>6932.03</v>
      </c>
      <c r="CI247" s="138">
        <f t="shared" si="997"/>
        <v>1735</v>
      </c>
      <c r="CJ247" s="138">
        <f t="shared" si="997"/>
        <v>332.14730752411708</v>
      </c>
      <c r="CK247" s="138">
        <f t="shared" si="997"/>
        <v>152.03</v>
      </c>
      <c r="CL247" s="138">
        <f t="shared" si="997"/>
        <v>10170</v>
      </c>
      <c r="CM247" s="138">
        <f t="shared" si="997"/>
        <v>485.54710138291853</v>
      </c>
      <c r="CN247" s="138">
        <f t="shared" si="997"/>
        <v>152.03</v>
      </c>
      <c r="CO247" s="138">
        <f t="shared" si="997"/>
        <v>0</v>
      </c>
      <c r="CP247" s="138">
        <f t="shared" si="997"/>
        <v>7202.3769576861814</v>
      </c>
      <c r="CQ247" s="138">
        <f t="shared" si="997"/>
        <v>152.03</v>
      </c>
      <c r="CR247" s="139">
        <f t="shared" si="997"/>
        <v>0</v>
      </c>
      <c r="CS247" s="162">
        <f t="shared" si="881"/>
        <v>27396.191366593215</v>
      </c>
      <c r="CT247" s="137">
        <f>CT223+CT226+CT229+CT232+CT235+CT238+CT241+CT244</f>
        <v>0</v>
      </c>
      <c r="CU247" s="141">
        <f t="shared" ref="CU247:DE247" si="998">CU223+CU226+CU229+CU232+CU235+CU238+CU241+CU244</f>
        <v>152.03</v>
      </c>
      <c r="CV247" s="138">
        <f t="shared" si="998"/>
        <v>683.16852916509742</v>
      </c>
      <c r="CW247" s="138">
        <f t="shared" si="998"/>
        <v>0</v>
      </c>
      <c r="CX247" s="138">
        <f t="shared" si="998"/>
        <v>152.03</v>
      </c>
      <c r="CY247" s="138">
        <f t="shared" si="998"/>
        <v>0</v>
      </c>
      <c r="CZ247" s="138">
        <f t="shared" si="998"/>
        <v>561.73362108254696</v>
      </c>
      <c r="DA247" s="138">
        <f t="shared" si="998"/>
        <v>152.03</v>
      </c>
      <c r="DB247" s="138">
        <f t="shared" si="998"/>
        <v>0</v>
      </c>
      <c r="DC247" s="138">
        <f t="shared" si="998"/>
        <v>536.6946447271697</v>
      </c>
      <c r="DD247" s="138">
        <f t="shared" si="998"/>
        <v>152.03</v>
      </c>
      <c r="DE247" s="139">
        <f t="shared" si="998"/>
        <v>0</v>
      </c>
      <c r="DF247" s="162">
        <f t="shared" si="882"/>
        <v>2389.7167949748141</v>
      </c>
      <c r="DG247" s="279">
        <f>DG223+DG226+DG229+DG232+DG235+DG238+DG241+DG244</f>
        <v>74000</v>
      </c>
      <c r="DH247" s="90">
        <f t="shared" si="814"/>
        <v>287024.28010546783</v>
      </c>
      <c r="DI247" s="91">
        <f t="shared" si="883"/>
        <v>302290.6274080844</v>
      </c>
      <c r="DJ247" s="92">
        <f t="shared" si="884"/>
        <v>15266.347302616574</v>
      </c>
      <c r="DK247" s="64">
        <f>+DH247/DH246</f>
        <v>1.2308511091242529</v>
      </c>
    </row>
    <row r="248" spans="1:115" ht="15" customHeight="1">
      <c r="A248" s="600"/>
      <c r="B248" s="616"/>
      <c r="C248" s="219" t="s">
        <v>11</v>
      </c>
      <c r="D248" s="242"/>
      <c r="E248" s="220">
        <f t="shared" ref="E248:R248" si="999">+E246-E247</f>
        <v>33501.251422804373</v>
      </c>
      <c r="F248" s="221">
        <f t="shared" si="999"/>
        <v>0</v>
      </c>
      <c r="G248" s="222">
        <f t="shared" si="999"/>
        <v>387.04591580881402</v>
      </c>
      <c r="H248" s="222">
        <f t="shared" si="999"/>
        <v>-273.87641176887001</v>
      </c>
      <c r="I248" s="222">
        <f t="shared" si="999"/>
        <v>329.58700779470593</v>
      </c>
      <c r="J248" s="222">
        <f t="shared" si="999"/>
        <v>40.725721463943728</v>
      </c>
      <c r="K248" s="222">
        <f t="shared" si="999"/>
        <v>-2.9122520171673791</v>
      </c>
      <c r="L248" s="222">
        <f t="shared" si="999"/>
        <v>-65.366411698236448</v>
      </c>
      <c r="M248" s="222">
        <f t="shared" si="999"/>
        <v>626.08519244958643</v>
      </c>
      <c r="N248" s="222">
        <f t="shared" si="999"/>
        <v>-348.79328625642682</v>
      </c>
      <c r="O248" s="222">
        <f t="shared" si="999"/>
        <v>-193.99478401999539</v>
      </c>
      <c r="P248" s="222">
        <f t="shared" si="999"/>
        <v>-108.41587118992692</v>
      </c>
      <c r="Q248" s="222">
        <f t="shared" si="999"/>
        <v>-165.7137825851463</v>
      </c>
      <c r="R248" s="223">
        <f t="shared" si="999"/>
        <v>75.648699522248137</v>
      </c>
      <c r="S248" s="224">
        <f t="shared" si="875"/>
        <v>300.01973750352892</v>
      </c>
      <c r="T248" s="225">
        <f t="shared" ref="T248:AE248" si="1000">+T246-T247</f>
        <v>-448.39483378836007</v>
      </c>
      <c r="U248" s="222">
        <f t="shared" si="1000"/>
        <v>-348.42050370417411</v>
      </c>
      <c r="V248" s="222">
        <f t="shared" si="1000"/>
        <v>-437.37059141717128</v>
      </c>
      <c r="W248" s="222">
        <f t="shared" si="1000"/>
        <v>-1009.6213520243443</v>
      </c>
      <c r="X248" s="222">
        <f t="shared" si="1000"/>
        <v>175.74665283637273</v>
      </c>
      <c r="Y248" s="222">
        <f t="shared" si="1000"/>
        <v>-3604.5508346094475</v>
      </c>
      <c r="Z248" s="222">
        <f t="shared" si="1000"/>
        <v>80966.651397255293</v>
      </c>
      <c r="AA248" s="222">
        <f t="shared" si="1000"/>
        <v>1237.1467844388412</v>
      </c>
      <c r="AB248" s="222">
        <f t="shared" si="1000"/>
        <v>1331.2458271760652</v>
      </c>
      <c r="AC248" s="222">
        <f t="shared" si="1000"/>
        <v>-3217.1015156822582</v>
      </c>
      <c r="AD248" s="222">
        <f t="shared" si="1000"/>
        <v>23.716629819940351</v>
      </c>
      <c r="AE248" s="223">
        <f t="shared" si="1000"/>
        <v>-476.87505391188677</v>
      </c>
      <c r="AF248" s="224">
        <f t="shared" si="876"/>
        <v>74192.172606388878</v>
      </c>
      <c r="AG248" s="225">
        <f t="shared" ref="AG248:AR248" si="1001">+AG246-AG247</f>
        <v>2326.267103214599</v>
      </c>
      <c r="AH248" s="222">
        <f t="shared" si="1001"/>
        <v>-3028.4791282376086</v>
      </c>
      <c r="AI248" s="222">
        <f t="shared" si="1001"/>
        <v>-462.3393744832623</v>
      </c>
      <c r="AJ248" s="222">
        <f t="shared" si="1001"/>
        <v>-2254.8503602699429</v>
      </c>
      <c r="AK248" s="222">
        <f t="shared" si="1001"/>
        <v>-1422.6146346329465</v>
      </c>
      <c r="AL248" s="222">
        <f t="shared" si="1001"/>
        <v>-9452.981793507015</v>
      </c>
      <c r="AM248" s="222">
        <f t="shared" si="1001"/>
        <v>-5832.2500254951728</v>
      </c>
      <c r="AN248" s="222">
        <f t="shared" si="1001"/>
        <v>-3459.7703781201653</v>
      </c>
      <c r="AO248" s="222">
        <f t="shared" si="1001"/>
        <v>522.52126687898408</v>
      </c>
      <c r="AP248" s="222">
        <f t="shared" si="1001"/>
        <v>732.71540512739216</v>
      </c>
      <c r="AQ248" s="222">
        <f t="shared" si="1001"/>
        <v>356.2881378016898</v>
      </c>
      <c r="AR248" s="223">
        <f t="shared" si="1001"/>
        <v>-52841.946155555277</v>
      </c>
      <c r="AS248" s="418">
        <f t="shared" si="877"/>
        <v>-74817.43993727873</v>
      </c>
      <c r="AT248" s="225">
        <f t="shared" ref="AT248:BE248" si="1002">+AT246-AT247</f>
        <v>-2222.6877470460013</v>
      </c>
      <c r="AU248" s="222">
        <f t="shared" si="1002"/>
        <v>-15.362423562665299</v>
      </c>
      <c r="AV248" s="222">
        <f t="shared" si="1002"/>
        <v>-1082.9438241902467</v>
      </c>
      <c r="AW248" s="222">
        <f t="shared" si="1002"/>
        <v>-1102.5787115216813</v>
      </c>
      <c r="AX248" s="222">
        <f t="shared" si="1002"/>
        <v>125.0517468758714</v>
      </c>
      <c r="AY248" s="222">
        <f t="shared" si="1002"/>
        <v>498.85336441506263</v>
      </c>
      <c r="AZ248" s="222">
        <f t="shared" si="1002"/>
        <v>-19513.096709760677</v>
      </c>
      <c r="BA248" s="222">
        <f t="shared" si="1002"/>
        <v>-27.029513406797008</v>
      </c>
      <c r="BB248" s="222">
        <f t="shared" si="1002"/>
        <v>-8754.2203496610455</v>
      </c>
      <c r="BC248" s="222">
        <f t="shared" si="1002"/>
        <v>-923.04211698234997</v>
      </c>
      <c r="BD248" s="222">
        <f t="shared" si="1002"/>
        <v>-69.267098585433004</v>
      </c>
      <c r="BE248" s="223">
        <f t="shared" si="1002"/>
        <v>80.760156842386849</v>
      </c>
      <c r="BF248" s="224">
        <f t="shared" si="878"/>
        <v>-33005.563226583581</v>
      </c>
      <c r="BG248" s="225">
        <f t="shared" ref="BG248:BR248" si="1003">+BG246-BG247</f>
        <v>-556.39794576887743</v>
      </c>
      <c r="BH248" s="222">
        <f t="shared" si="1003"/>
        <v>-2778.7170022392802</v>
      </c>
      <c r="BI248" s="222">
        <f t="shared" si="1003"/>
        <v>-710.69904865895171</v>
      </c>
      <c r="BJ248" s="222">
        <f t="shared" si="1003"/>
        <v>-1776.9793985404722</v>
      </c>
      <c r="BK248" s="222">
        <f t="shared" si="1003"/>
        <v>-86.371121337956424</v>
      </c>
      <c r="BL248" s="222">
        <f t="shared" si="1003"/>
        <v>56.069618240378126</v>
      </c>
      <c r="BM248" s="222">
        <f t="shared" si="1003"/>
        <v>-57672.168967662277</v>
      </c>
      <c r="BN248" s="222">
        <f t="shared" si="1003"/>
        <v>-86.601769202878913</v>
      </c>
      <c r="BO248" s="222">
        <f t="shared" si="1003"/>
        <v>-7391.015146941485</v>
      </c>
      <c r="BP248" s="222">
        <f t="shared" si="1003"/>
        <v>-3030.1813178024577</v>
      </c>
      <c r="BQ248" s="222">
        <f t="shared" si="1003"/>
        <v>-114.08198177313996</v>
      </c>
      <c r="BR248" s="223">
        <f t="shared" si="1003"/>
        <v>48.072189229026925</v>
      </c>
      <c r="BS248" s="224">
        <f t="shared" si="879"/>
        <v>-74099.071892458378</v>
      </c>
      <c r="BT248" s="225">
        <f t="shared" ref="BT248:CE248" si="1004">+BT246-BT247</f>
        <v>-954.4554382964277</v>
      </c>
      <c r="BU248" s="222">
        <f t="shared" si="1004"/>
        <v>-65.432908986084428</v>
      </c>
      <c r="BV248" s="222">
        <f t="shared" si="1004"/>
        <v>-2043.3019141593943</v>
      </c>
      <c r="BW248" s="222">
        <f t="shared" si="1004"/>
        <v>-2760.2237162804249</v>
      </c>
      <c r="BX248" s="222">
        <f t="shared" si="1004"/>
        <v>-71.687316731385621</v>
      </c>
      <c r="BY248" s="222">
        <f t="shared" si="1004"/>
        <v>-6696.4038139427785</v>
      </c>
      <c r="BZ248" s="222">
        <f t="shared" si="1004"/>
        <v>29008.123845107868</v>
      </c>
      <c r="CA248" s="222">
        <f t="shared" si="1004"/>
        <v>12.551685487900016</v>
      </c>
      <c r="CB248" s="222">
        <f t="shared" si="1004"/>
        <v>129.24149458248033</v>
      </c>
      <c r="CC248" s="222">
        <f t="shared" si="1004"/>
        <v>-3299.0689249717402</v>
      </c>
      <c r="CD248" s="222">
        <f t="shared" si="1004"/>
        <v>-24.450621338881803</v>
      </c>
      <c r="CE248" s="223">
        <f t="shared" si="1004"/>
        <v>132.52427740369862</v>
      </c>
      <c r="CF248" s="224">
        <f t="shared" si="880"/>
        <v>13367.416647874832</v>
      </c>
      <c r="CG248" s="225">
        <f t="shared" ref="CG248:CR248" si="1005">+CG246-CG247</f>
        <v>56.710325534655027</v>
      </c>
      <c r="CH248" s="222">
        <f t="shared" si="1005"/>
        <v>-6786.9884342268733</v>
      </c>
      <c r="CI248" s="222">
        <f t="shared" si="1005"/>
        <v>-1607.1292103341545</v>
      </c>
      <c r="CJ248" s="222">
        <f t="shared" si="1005"/>
        <v>-203.8053307384896</v>
      </c>
      <c r="CK248" s="222">
        <f t="shared" si="1005"/>
        <v>-18.160978815497174</v>
      </c>
      <c r="CL248" s="222">
        <f t="shared" si="1005"/>
        <v>-10029.70483332951</v>
      </c>
      <c r="CM248" s="222">
        <f t="shared" si="1005"/>
        <v>-371.96749912679093</v>
      </c>
      <c r="CN248" s="222">
        <f t="shared" si="1005"/>
        <v>-32.019638420800476</v>
      </c>
      <c r="CO248" s="222">
        <f t="shared" si="1005"/>
        <v>125.93997994602864</v>
      </c>
      <c r="CP248" s="222">
        <f t="shared" si="1005"/>
        <v>-7069.9844126509388</v>
      </c>
      <c r="CQ248" s="222">
        <f t="shared" si="1005"/>
        <v>-36.973057956070107</v>
      </c>
      <c r="CR248" s="223">
        <f t="shared" si="1005"/>
        <v>118.43411884624096</v>
      </c>
      <c r="CS248" s="224">
        <f t="shared" si="881"/>
        <v>-25855.648971272196</v>
      </c>
      <c r="CT248" s="225">
        <f t="shared" ref="CT248:DE248" si="1006">+CT246-CT247</f>
        <v>123.87091390829316</v>
      </c>
      <c r="CU248" s="222">
        <f t="shared" si="1006"/>
        <v>-25.233989074798473</v>
      </c>
      <c r="CV248" s="222">
        <f t="shared" si="1006"/>
        <v>-553.7849298901283</v>
      </c>
      <c r="CW248" s="222">
        <f t="shared" si="1006"/>
        <v>64330.333474301442</v>
      </c>
      <c r="CX248" s="222">
        <f t="shared" si="1006"/>
        <v>195.61899369049982</v>
      </c>
      <c r="CY248" s="222">
        <f t="shared" si="1006"/>
        <v>351.24924133187716</v>
      </c>
      <c r="CZ248" s="222">
        <f t="shared" si="1006"/>
        <v>-206.31989515910186</v>
      </c>
      <c r="DA248" s="222">
        <f t="shared" si="1006"/>
        <v>222.46824045945871</v>
      </c>
      <c r="DB248" s="222">
        <f t="shared" si="1006"/>
        <v>376.58352254388222</v>
      </c>
      <c r="DC248" s="222">
        <f t="shared" si="1006"/>
        <v>-157.5826122003744</v>
      </c>
      <c r="DD248" s="222">
        <f t="shared" si="1006"/>
        <v>227.72444371017357</v>
      </c>
      <c r="DE248" s="223">
        <f t="shared" si="1006"/>
        <v>381.54022483249236</v>
      </c>
      <c r="DF248" s="224">
        <f t="shared" si="882"/>
        <v>65266.467628453713</v>
      </c>
      <c r="DG248" s="223">
        <f>+DG246-DG247</f>
        <v>53597.316842555359</v>
      </c>
      <c r="DH248" s="98">
        <f t="shared" si="814"/>
        <v>-53832.565869872924</v>
      </c>
      <c r="DI248" s="99">
        <f t="shared" si="883"/>
        <v>33501.251422804373</v>
      </c>
      <c r="DJ248" s="100">
        <f t="shared" si="884"/>
        <v>87333.817292677297</v>
      </c>
    </row>
    <row r="249" spans="1:115">
      <c r="A249" s="207"/>
      <c r="B249" s="208"/>
      <c r="C249" s="209"/>
      <c r="D249" s="209"/>
      <c r="E249" s="210"/>
      <c r="F249" s="211"/>
      <c r="G249" s="212"/>
      <c r="H249" s="212"/>
      <c r="I249" s="212"/>
      <c r="J249" s="212"/>
      <c r="K249" s="212"/>
      <c r="L249" s="212"/>
      <c r="M249" s="212"/>
      <c r="N249" s="212"/>
      <c r="O249" s="212"/>
      <c r="P249" s="212"/>
      <c r="Q249" s="212"/>
      <c r="R249" s="212"/>
      <c r="S249" s="211"/>
      <c r="T249" s="212"/>
      <c r="U249" s="212"/>
      <c r="V249" s="212"/>
      <c r="W249" s="212"/>
      <c r="X249" s="212"/>
      <c r="Y249" s="212"/>
      <c r="Z249" s="212"/>
      <c r="AA249" s="212"/>
      <c r="AB249" s="212"/>
      <c r="AC249" s="212"/>
      <c r="AD249" s="212"/>
      <c r="AE249" s="212"/>
      <c r="AF249" s="211"/>
      <c r="AG249" s="212"/>
      <c r="AH249" s="212"/>
      <c r="AI249" s="212"/>
      <c r="AJ249" s="212"/>
      <c r="AK249" s="212"/>
      <c r="AL249" s="212"/>
      <c r="AM249" s="212"/>
      <c r="AN249" s="212"/>
      <c r="AO249" s="212"/>
      <c r="AP249" s="212"/>
      <c r="AQ249" s="212"/>
      <c r="AR249" s="212"/>
      <c r="AS249" s="211"/>
      <c r="AT249" s="212"/>
      <c r="AU249" s="212"/>
      <c r="AV249" s="212"/>
      <c r="AW249" s="212"/>
      <c r="AX249" s="212"/>
      <c r="AY249" s="212"/>
      <c r="AZ249" s="212"/>
      <c r="BA249" s="212"/>
      <c r="BB249" s="212"/>
      <c r="BC249" s="212"/>
      <c r="BD249" s="212"/>
      <c r="BE249" s="212"/>
      <c r="BF249" s="211"/>
      <c r="BG249" s="212"/>
      <c r="BH249" s="212"/>
      <c r="BI249" s="212"/>
      <c r="BJ249" s="212"/>
      <c r="BK249" s="212"/>
      <c r="BL249" s="212"/>
      <c r="BM249" s="212"/>
      <c r="BN249" s="212"/>
      <c r="BO249" s="212"/>
      <c r="BP249" s="212"/>
      <c r="BQ249" s="212"/>
      <c r="BR249" s="212"/>
      <c r="BS249" s="211"/>
      <c r="BT249" s="212"/>
      <c r="BU249" s="212"/>
      <c r="BV249" s="212"/>
      <c r="BW249" s="212"/>
      <c r="BX249" s="212"/>
      <c r="BY249" s="212"/>
      <c r="BZ249" s="212"/>
      <c r="CA249" s="212"/>
      <c r="CB249" s="212"/>
      <c r="CC249" s="212"/>
      <c r="CD249" s="212"/>
      <c r="CE249" s="212"/>
      <c r="CF249" s="211"/>
      <c r="CG249" s="212"/>
      <c r="CH249" s="212"/>
      <c r="CI249" s="212"/>
      <c r="CJ249" s="212"/>
      <c r="CK249" s="212"/>
      <c r="CL249" s="212"/>
      <c r="CM249" s="212"/>
      <c r="CN249" s="212"/>
      <c r="CO249" s="212"/>
      <c r="CP249" s="212"/>
      <c r="CQ249" s="212"/>
      <c r="CR249" s="212"/>
      <c r="CS249" s="211"/>
      <c r="CT249" s="212"/>
      <c r="CU249" s="212"/>
      <c r="CV249" s="212"/>
      <c r="CW249" s="212"/>
      <c r="CX249" s="212"/>
      <c r="CY249" s="212"/>
      <c r="CZ249" s="212"/>
      <c r="DA249" s="212"/>
      <c r="DB249" s="212"/>
      <c r="DC249" s="212"/>
      <c r="DD249" s="212"/>
      <c r="DE249" s="212"/>
      <c r="DF249" s="211"/>
      <c r="DG249" s="212"/>
      <c r="DH249" s="213"/>
      <c r="DI249" s="213"/>
      <c r="DJ249" s="213"/>
    </row>
    <row r="250" spans="1:115" hidden="1">
      <c r="E250" s="604" t="s">
        <v>85</v>
      </c>
      <c r="F250" s="66" t="s">
        <v>87</v>
      </c>
      <c r="G250" s="214">
        <f t="shared" ref="G250:AL250" si="1007">+F13</f>
        <v>21579</v>
      </c>
      <c r="H250" s="214">
        <f t="shared" si="1007"/>
        <v>22491.933616797636</v>
      </c>
      <c r="I250" s="214">
        <f t="shared" si="1007"/>
        <v>23217.746883456341</v>
      </c>
      <c r="J250" s="214">
        <f t="shared" si="1007"/>
        <v>23154.823851861012</v>
      </c>
      <c r="K250" s="214">
        <f t="shared" si="1007"/>
        <v>23136.326162495563</v>
      </c>
      <c r="L250" s="214">
        <f t="shared" si="1007"/>
        <v>22010.014862710155</v>
      </c>
      <c r="M250" s="214">
        <f t="shared" si="1007"/>
        <v>23391.584071101683</v>
      </c>
      <c r="N250" s="214">
        <f t="shared" si="1007"/>
        <v>23644.140975915601</v>
      </c>
      <c r="O250" s="214">
        <f t="shared" si="1007"/>
        <v>23051.324554818304</v>
      </c>
      <c r="P250" s="214">
        <f t="shared" si="1007"/>
        <v>22704.367552790009</v>
      </c>
      <c r="Q250" s="214">
        <f t="shared" si="1007"/>
        <v>22091.552120787608</v>
      </c>
      <c r="R250" s="214">
        <f t="shared" si="1007"/>
        <v>46536.934192086963</v>
      </c>
      <c r="S250" s="214">
        <f t="shared" si="1007"/>
        <v>48011.996852316071</v>
      </c>
      <c r="T250" s="214">
        <f t="shared" si="1007"/>
        <v>48011.996852316071</v>
      </c>
      <c r="U250" s="214">
        <f t="shared" si="1007"/>
        <v>47718.721507036069</v>
      </c>
      <c r="V250" s="214">
        <f t="shared" si="1007"/>
        <v>47410.811152146285</v>
      </c>
      <c r="W250" s="214">
        <f t="shared" si="1007"/>
        <v>46625.749105773793</v>
      </c>
      <c r="X250" s="214">
        <f t="shared" si="1007"/>
        <v>45368.242855391793</v>
      </c>
      <c r="Y250" s="214">
        <f t="shared" si="1007"/>
        <v>45170.113266411572</v>
      </c>
      <c r="Z250" s="214">
        <f t="shared" si="1007"/>
        <v>41359.150765967701</v>
      </c>
      <c r="AA250" s="214">
        <f t="shared" si="1007"/>
        <v>122319.16130125846</v>
      </c>
      <c r="AB250" s="214">
        <f t="shared" si="1007"/>
        <v>124104.71114312511</v>
      </c>
      <c r="AC250" s="214">
        <f t="shared" si="1007"/>
        <v>125094.48755566208</v>
      </c>
      <c r="AD250" s="214">
        <f t="shared" si="1007"/>
        <v>121242.03484965992</v>
      </c>
      <c r="AE250" s="214">
        <f t="shared" si="1007"/>
        <v>122529.60941792137</v>
      </c>
      <c r="AF250" s="214">
        <f t="shared" si="1007"/>
        <v>148173.73408940886</v>
      </c>
      <c r="AG250" s="214">
        <f t="shared" si="1007"/>
        <v>148173.73408940886</v>
      </c>
      <c r="AH250" s="214">
        <f t="shared" si="1007"/>
        <v>150386.14541678884</v>
      </c>
      <c r="AI250" s="214">
        <f t="shared" si="1007"/>
        <v>147124.72227491756</v>
      </c>
      <c r="AJ250" s="214">
        <f t="shared" si="1007"/>
        <v>146706.0875546757</v>
      </c>
      <c r="AK250" s="214">
        <f t="shared" si="1007"/>
        <v>144289.35410948668</v>
      </c>
      <c r="AL250" s="214">
        <f t="shared" si="1007"/>
        <v>143244.75162949529</v>
      </c>
      <c r="AM250" s="214">
        <f t="shared" ref="AM250:BR250" si="1008">+AL13</f>
        <v>133660.12401927367</v>
      </c>
      <c r="AN250" s="214">
        <f t="shared" si="1008"/>
        <v>128477.40220323976</v>
      </c>
      <c r="AO250" s="214">
        <f t="shared" si="1008"/>
        <v>126474.65329631169</v>
      </c>
      <c r="AP250" s="214">
        <f t="shared" si="1008"/>
        <v>126263.95718806286</v>
      </c>
      <c r="AQ250" s="214">
        <f t="shared" si="1008"/>
        <v>126542.14612301122</v>
      </c>
      <c r="AR250" s="214">
        <f t="shared" si="1008"/>
        <v>126093.84640782159</v>
      </c>
      <c r="AS250" s="214">
        <f t="shared" si="1008"/>
        <v>76334.820286512899</v>
      </c>
      <c r="AT250" s="214">
        <f t="shared" si="1008"/>
        <v>76334.820286512899</v>
      </c>
      <c r="AU250" s="214">
        <f t="shared" si="1008"/>
        <v>77676.155997551759</v>
      </c>
      <c r="AV250" s="214">
        <f t="shared" si="1008"/>
        <v>80349.124625119803</v>
      </c>
      <c r="AW250" s="214">
        <f t="shared" si="1008"/>
        <v>79981.206032136412</v>
      </c>
      <c r="AX250" s="214">
        <f t="shared" si="1008"/>
        <v>78169.621979782372</v>
      </c>
      <c r="AY250" s="214">
        <f t="shared" si="1008"/>
        <v>71219.619929963083</v>
      </c>
      <c r="AZ250" s="214">
        <f t="shared" si="1008"/>
        <v>66870.987071796888</v>
      </c>
      <c r="BA250" s="214">
        <f t="shared" si="1008"/>
        <v>37500.145977960899</v>
      </c>
      <c r="BB250" s="214">
        <f t="shared" si="1008"/>
        <v>36233.895101686212</v>
      </c>
      <c r="BC250" s="214">
        <f t="shared" si="1008"/>
        <v>26087.364905295013</v>
      </c>
      <c r="BD250" s="214">
        <f t="shared" si="1008"/>
        <v>24828.870424370096</v>
      </c>
      <c r="BE250" s="214">
        <f t="shared" si="1008"/>
        <v>24228.047052716054</v>
      </c>
      <c r="BF250" s="214">
        <f t="shared" si="1008"/>
        <v>23580.616269336759</v>
      </c>
      <c r="BG250" s="214">
        <f t="shared" si="1008"/>
        <v>23580.616269336759</v>
      </c>
      <c r="BH250" s="214">
        <f t="shared" si="1008"/>
        <v>25593.899328216055</v>
      </c>
      <c r="BI250" s="214">
        <f t="shared" si="1008"/>
        <v>18090.285402314472</v>
      </c>
      <c r="BJ250" s="214">
        <f t="shared" si="1008"/>
        <v>13932.100656658087</v>
      </c>
      <c r="BK250" s="214">
        <f t="shared" si="1008"/>
        <v>19697.663598613071</v>
      </c>
      <c r="BL250" s="214">
        <f t="shared" si="1008"/>
        <v>16820.885472113438</v>
      </c>
      <c r="BM250" s="214">
        <f t="shared" si="1008"/>
        <v>15925.90309772993</v>
      </c>
      <c r="BN250" s="214">
        <f t="shared" si="1008"/>
        <v>19628.469239136324</v>
      </c>
      <c r="BO250" s="214">
        <f t="shared" si="1008"/>
        <v>20095.455917554442</v>
      </c>
      <c r="BP250" s="214">
        <f t="shared" si="1008"/>
        <v>14320.414195530891</v>
      </c>
      <c r="BQ250" s="214">
        <f t="shared" si="1008"/>
        <v>11384.405468058012</v>
      </c>
      <c r="BR250" s="214">
        <f t="shared" si="1008"/>
        <v>14421.656768708079</v>
      </c>
      <c r="BS250" s="214">
        <f t="shared" ref="BS250:CX250" si="1009">+BR13</f>
        <v>20263.368511071676</v>
      </c>
      <c r="BT250" s="214">
        <f t="shared" si="1009"/>
        <v>20263.368511071676</v>
      </c>
      <c r="BU250" s="214">
        <f t="shared" si="1009"/>
        <v>25979.127304174668</v>
      </c>
      <c r="BV250" s="214">
        <f t="shared" si="1009"/>
        <v>29009.425752181727</v>
      </c>
      <c r="BW250" s="214">
        <f t="shared" si="1009"/>
        <v>26607.26603062202</v>
      </c>
      <c r="BX250" s="214">
        <f t="shared" si="1009"/>
        <v>24102.804980584315</v>
      </c>
      <c r="BY250" s="214">
        <f t="shared" si="1009"/>
        <v>25078.855817166419</v>
      </c>
      <c r="BZ250" s="214">
        <f t="shared" si="1009"/>
        <v>18943.772880004857</v>
      </c>
      <c r="CA250" s="214">
        <f t="shared" si="1009"/>
        <v>49374.505646370002</v>
      </c>
      <c r="CB250" s="214">
        <f t="shared" si="1009"/>
        <v>38772.448374744097</v>
      </c>
      <c r="CC250" s="214">
        <f t="shared" si="1009"/>
        <v>40168.660846926781</v>
      </c>
      <c r="CD250" s="214">
        <f t="shared" si="1009"/>
        <v>38273.813598335459</v>
      </c>
      <c r="CE250" s="214">
        <f t="shared" si="1009"/>
        <v>39757.283221109581</v>
      </c>
      <c r="CF250" s="214">
        <f t="shared" si="1009"/>
        <v>41913.09766039651</v>
      </c>
      <c r="CG250" s="214">
        <f t="shared" si="1009"/>
        <v>41913.09766039651</v>
      </c>
      <c r="CH250" s="214">
        <f t="shared" si="1009"/>
        <v>43512.469731937876</v>
      </c>
      <c r="CI250" s="214">
        <f t="shared" si="1009"/>
        <v>38361.236899753654</v>
      </c>
      <c r="CJ250" s="214">
        <f t="shared" si="1009"/>
        <v>38502.593035688245</v>
      </c>
      <c r="CK250" s="214">
        <f t="shared" si="1009"/>
        <v>40160.706355350849</v>
      </c>
      <c r="CL250" s="214">
        <f t="shared" si="1009"/>
        <v>42088.550001147058</v>
      </c>
      <c r="CM250" s="214">
        <f t="shared" si="1009"/>
        <v>34073.880676838278</v>
      </c>
      <c r="CN250" s="214">
        <f t="shared" si="1009"/>
        <v>36003.108473759858</v>
      </c>
      <c r="CO250" s="214">
        <f t="shared" si="1009"/>
        <v>37781.993983808592</v>
      </c>
      <c r="CP250" s="214">
        <f t="shared" si="1009"/>
        <v>39717.76351057276</v>
      </c>
      <c r="CQ250" s="214">
        <f t="shared" si="1009"/>
        <v>34517.082613178965</v>
      </c>
      <c r="CR250" s="214">
        <f t="shared" si="1009"/>
        <v>35530.235653872289</v>
      </c>
      <c r="CS250" s="214">
        <f t="shared" si="1009"/>
        <v>37161.274172487945</v>
      </c>
      <c r="CT250" s="214">
        <f t="shared" si="1009"/>
        <v>37161.274172487945</v>
      </c>
      <c r="CU250" s="214">
        <f t="shared" si="1009"/>
        <v>38038.803277560459</v>
      </c>
      <c r="CV250" s="214">
        <f t="shared" si="1009"/>
        <v>38815.079782490749</v>
      </c>
      <c r="CW250" s="214">
        <f t="shared" si="1009"/>
        <v>39100.04229043152</v>
      </c>
      <c r="CX250" s="214">
        <f t="shared" si="1009"/>
        <v>104294.69810714995</v>
      </c>
      <c r="CY250" s="214">
        <f t="shared" ref="CY250:DF250" si="1010">+CX13</f>
        <v>105374.77239956315</v>
      </c>
      <c r="CZ250" s="214">
        <f t="shared" si="1010"/>
        <v>106624.11777703352</v>
      </c>
      <c r="DA250" s="214">
        <f t="shared" si="1010"/>
        <v>112349.47213783763</v>
      </c>
      <c r="DB250" s="214">
        <f t="shared" si="1010"/>
        <v>112975.05676316467</v>
      </c>
      <c r="DC250" s="214">
        <f t="shared" si="1010"/>
        <v>113733.60975803858</v>
      </c>
      <c r="DD250" s="214">
        <f t="shared" si="1010"/>
        <v>113926.33311305207</v>
      </c>
      <c r="DE250" s="214">
        <f t="shared" si="1010"/>
        <v>114462.0674497477</v>
      </c>
      <c r="DF250" s="214">
        <f t="shared" si="1010"/>
        <v>121384.65334414403</v>
      </c>
      <c r="DG250" s="214">
        <f>+BS13</f>
        <v>20263.368511071676</v>
      </c>
    </row>
    <row r="251" spans="1:115" hidden="1">
      <c r="E251" s="604"/>
      <c r="F251" s="66" t="s">
        <v>86</v>
      </c>
      <c r="G251" s="215">
        <f>+G250*4%/12</f>
        <v>71.929999999999993</v>
      </c>
      <c r="H251" s="215">
        <f>+H250*4%/12</f>
        <v>74.973112055992118</v>
      </c>
      <c r="I251" s="215">
        <f t="shared" ref="I251:O251" si="1011">+I250*6%/12</f>
        <v>116.08873441728169</v>
      </c>
      <c r="J251" s="215">
        <f t="shared" si="1011"/>
        <v>115.77411925930505</v>
      </c>
      <c r="K251" s="215">
        <f t="shared" si="1011"/>
        <v>115.68163081247781</v>
      </c>
      <c r="L251" s="215">
        <f t="shared" si="1011"/>
        <v>110.05007431355078</v>
      </c>
      <c r="M251" s="215">
        <f t="shared" si="1011"/>
        <v>116.95792035550841</v>
      </c>
      <c r="N251" s="215">
        <f t="shared" si="1011"/>
        <v>118.22070487957801</v>
      </c>
      <c r="O251" s="215">
        <f t="shared" si="1011"/>
        <v>115.25662277409151</v>
      </c>
      <c r="P251" s="215">
        <f>+P250*4%/12</f>
        <v>75.681225175966702</v>
      </c>
      <c r="Q251" s="215">
        <f t="shared" ref="Q251:BR251" si="1012">+Q250*4%/12</f>
        <v>73.638507069292032</v>
      </c>
      <c r="R251" s="215">
        <f t="shared" si="1012"/>
        <v>155.12311397362322</v>
      </c>
      <c r="S251" s="215">
        <f t="shared" si="1012"/>
        <v>160.03998950772024</v>
      </c>
      <c r="T251" s="215">
        <f t="shared" si="1012"/>
        <v>160.03998950772024</v>
      </c>
      <c r="U251" s="215">
        <f t="shared" si="1012"/>
        <v>159.06240502345358</v>
      </c>
      <c r="V251" s="215">
        <f t="shared" si="1012"/>
        <v>158.03603717382097</v>
      </c>
      <c r="W251" s="215">
        <f t="shared" si="1012"/>
        <v>155.41916368591265</v>
      </c>
      <c r="X251" s="215">
        <f t="shared" si="1012"/>
        <v>151.2274761846393</v>
      </c>
      <c r="Y251" s="215">
        <f t="shared" si="1012"/>
        <v>150.5670442213719</v>
      </c>
      <c r="Z251" s="215">
        <f t="shared" si="1012"/>
        <v>137.863835886559</v>
      </c>
      <c r="AA251" s="215">
        <f t="shared" si="1012"/>
        <v>407.73053767086157</v>
      </c>
      <c r="AB251" s="215">
        <f t="shared" si="1012"/>
        <v>413.68237047708368</v>
      </c>
      <c r="AC251" s="215">
        <f t="shared" si="1012"/>
        <v>416.98162518554028</v>
      </c>
      <c r="AD251" s="215">
        <f t="shared" si="1012"/>
        <v>404.14011616553307</v>
      </c>
      <c r="AE251" s="215">
        <f t="shared" si="1012"/>
        <v>408.43203139307121</v>
      </c>
      <c r="AF251" s="215">
        <f t="shared" si="1012"/>
        <v>493.91244696469624</v>
      </c>
      <c r="AG251" s="215">
        <f t="shared" si="1012"/>
        <v>493.91244696469624</v>
      </c>
      <c r="AH251" s="215">
        <f t="shared" si="1012"/>
        <v>501.28715138929618</v>
      </c>
      <c r="AI251" s="215">
        <f t="shared" si="1012"/>
        <v>490.41574091639183</v>
      </c>
      <c r="AJ251" s="215">
        <f t="shared" si="1012"/>
        <v>489.02029184891899</v>
      </c>
      <c r="AK251" s="215">
        <f t="shared" si="1012"/>
        <v>480.96451369828895</v>
      </c>
      <c r="AL251" s="215">
        <f t="shared" si="1012"/>
        <v>477.48250543165096</v>
      </c>
      <c r="AM251" s="215">
        <f t="shared" si="1012"/>
        <v>445.53374673091224</v>
      </c>
      <c r="AN251" s="215">
        <f t="shared" si="1012"/>
        <v>428.25800734413252</v>
      </c>
      <c r="AO251" s="215">
        <f t="shared" si="1012"/>
        <v>421.58217765437234</v>
      </c>
      <c r="AP251" s="215">
        <f t="shared" si="1012"/>
        <v>420.8798572935429</v>
      </c>
      <c r="AQ251" s="215">
        <f t="shared" si="1012"/>
        <v>421.80715374337075</v>
      </c>
      <c r="AR251" s="215">
        <f t="shared" si="1012"/>
        <v>420.31282135940529</v>
      </c>
      <c r="AS251" s="215">
        <f t="shared" si="1012"/>
        <v>254.44940095504299</v>
      </c>
      <c r="AT251" s="215">
        <f t="shared" si="1012"/>
        <v>254.44940095504299</v>
      </c>
      <c r="AU251" s="215">
        <f t="shared" si="1012"/>
        <v>258.92051999183917</v>
      </c>
      <c r="AV251" s="215">
        <f t="shared" si="1012"/>
        <v>267.83041541706604</v>
      </c>
      <c r="AW251" s="215">
        <f t="shared" si="1012"/>
        <v>266.60402010712136</v>
      </c>
      <c r="AX251" s="215">
        <f t="shared" si="1012"/>
        <v>260.56540659927458</v>
      </c>
      <c r="AY251" s="215">
        <f t="shared" si="1012"/>
        <v>237.39873309987695</v>
      </c>
      <c r="AZ251" s="215">
        <f t="shared" si="1012"/>
        <v>222.90329023932296</v>
      </c>
      <c r="BA251" s="215">
        <f t="shared" si="1012"/>
        <v>125.00048659320299</v>
      </c>
      <c r="BB251" s="215">
        <f t="shared" si="1012"/>
        <v>120.77965033895406</v>
      </c>
      <c r="BC251" s="215">
        <f t="shared" si="1012"/>
        <v>86.957883017650047</v>
      </c>
      <c r="BD251" s="215">
        <f t="shared" si="1012"/>
        <v>82.762901414566997</v>
      </c>
      <c r="BE251" s="215">
        <f t="shared" si="1012"/>
        <v>80.760156842386849</v>
      </c>
      <c r="BF251" s="215">
        <f t="shared" si="1012"/>
        <v>78.602054231122523</v>
      </c>
      <c r="BG251" s="215">
        <f t="shared" si="1012"/>
        <v>78.602054231122523</v>
      </c>
      <c r="BH251" s="215">
        <f t="shared" si="1012"/>
        <v>85.312997760720194</v>
      </c>
      <c r="BI251" s="215">
        <f t="shared" si="1012"/>
        <v>60.30095134104824</v>
      </c>
      <c r="BJ251" s="215">
        <f t="shared" si="1012"/>
        <v>46.440335522193628</v>
      </c>
      <c r="BK251" s="215">
        <f t="shared" si="1012"/>
        <v>65.658878662043577</v>
      </c>
      <c r="BL251" s="215">
        <f t="shared" si="1012"/>
        <v>56.069618240378126</v>
      </c>
      <c r="BM251" s="215">
        <f t="shared" si="1012"/>
        <v>53.086343659099761</v>
      </c>
      <c r="BN251" s="215">
        <f t="shared" si="1012"/>
        <v>65.428230797121088</v>
      </c>
      <c r="BO251" s="215">
        <f t="shared" si="1012"/>
        <v>66.984853058514815</v>
      </c>
      <c r="BP251" s="215">
        <f t="shared" si="1012"/>
        <v>47.734713985102978</v>
      </c>
      <c r="BQ251" s="215">
        <f t="shared" si="1012"/>
        <v>37.948018226860043</v>
      </c>
      <c r="BR251" s="215">
        <f t="shared" si="1012"/>
        <v>48.072189229026925</v>
      </c>
      <c r="BS251" s="215"/>
      <c r="BT251" s="215">
        <f t="shared" ref="BT251:CE251" si="1013">+BT250*4%/12</f>
        <v>67.544561703572256</v>
      </c>
      <c r="BU251" s="215">
        <f t="shared" si="1013"/>
        <v>86.597091013915573</v>
      </c>
      <c r="BV251" s="215">
        <f t="shared" si="1013"/>
        <v>96.698085840605756</v>
      </c>
      <c r="BW251" s="215">
        <f t="shared" si="1013"/>
        <v>88.690886768740071</v>
      </c>
      <c r="BX251" s="215">
        <f t="shared" si="1013"/>
        <v>80.34268326861438</v>
      </c>
      <c r="BY251" s="215">
        <f t="shared" si="1013"/>
        <v>83.596186057221402</v>
      </c>
      <c r="BZ251" s="215">
        <f t="shared" si="1013"/>
        <v>63.145909600016189</v>
      </c>
      <c r="CA251" s="215">
        <f t="shared" si="1013"/>
        <v>164.58168548790002</v>
      </c>
      <c r="CB251" s="215">
        <f t="shared" si="1013"/>
        <v>129.24149458248033</v>
      </c>
      <c r="CC251" s="215">
        <f t="shared" si="1013"/>
        <v>133.89553615642259</v>
      </c>
      <c r="CD251" s="215">
        <f t="shared" si="1013"/>
        <v>127.5793786611182</v>
      </c>
      <c r="CE251" s="215">
        <f t="shared" si="1013"/>
        <v>132.52427740369862</v>
      </c>
      <c r="CF251" s="215"/>
      <c r="CG251" s="215">
        <f t="shared" ref="CG251:CR251" si="1014">+CG250*4%/12</f>
        <v>139.71032553465503</v>
      </c>
      <c r="CH251" s="215">
        <f t="shared" si="1014"/>
        <v>145.04156577312625</v>
      </c>
      <c r="CI251" s="215">
        <f t="shared" si="1014"/>
        <v>127.87078966584552</v>
      </c>
      <c r="CJ251" s="215">
        <f t="shared" si="1014"/>
        <v>128.34197678562748</v>
      </c>
      <c r="CK251" s="215">
        <f t="shared" si="1014"/>
        <v>133.86902118450283</v>
      </c>
      <c r="CL251" s="215">
        <f t="shared" si="1014"/>
        <v>140.2951666704902</v>
      </c>
      <c r="CM251" s="215">
        <f t="shared" si="1014"/>
        <v>113.5796022561276</v>
      </c>
      <c r="CN251" s="215">
        <f t="shared" si="1014"/>
        <v>120.01036157919953</v>
      </c>
      <c r="CO251" s="215">
        <f t="shared" si="1014"/>
        <v>125.93997994602864</v>
      </c>
      <c r="CP251" s="215">
        <f t="shared" si="1014"/>
        <v>132.39254503524253</v>
      </c>
      <c r="CQ251" s="215">
        <f t="shared" si="1014"/>
        <v>115.05694204392989</v>
      </c>
      <c r="CR251" s="215">
        <f t="shared" si="1014"/>
        <v>118.43411884624096</v>
      </c>
      <c r="CS251" s="215"/>
      <c r="CT251" s="215">
        <f t="shared" ref="CT251:DE251" si="1015">+CT250*4%/12</f>
        <v>123.87091390829316</v>
      </c>
      <c r="CU251" s="215">
        <f t="shared" si="1015"/>
        <v>126.79601092520153</v>
      </c>
      <c r="CV251" s="215">
        <f t="shared" si="1015"/>
        <v>129.38359927496916</v>
      </c>
      <c r="CW251" s="215">
        <f t="shared" si="1015"/>
        <v>130.3334743014384</v>
      </c>
      <c r="CX251" s="215">
        <f t="shared" si="1015"/>
        <v>347.64899369049982</v>
      </c>
      <c r="CY251" s="215">
        <f t="shared" si="1015"/>
        <v>351.24924133187716</v>
      </c>
      <c r="CZ251" s="215">
        <f t="shared" si="1015"/>
        <v>355.4137259234451</v>
      </c>
      <c r="DA251" s="215">
        <f t="shared" si="1015"/>
        <v>374.49824045945871</v>
      </c>
      <c r="DB251" s="215">
        <f t="shared" si="1015"/>
        <v>376.58352254388222</v>
      </c>
      <c r="DC251" s="215">
        <f t="shared" si="1015"/>
        <v>379.1120325267953</v>
      </c>
      <c r="DD251" s="215">
        <f t="shared" si="1015"/>
        <v>379.75444371017358</v>
      </c>
      <c r="DE251" s="215">
        <f t="shared" si="1015"/>
        <v>381.54022483249236</v>
      </c>
      <c r="DF251" s="215"/>
      <c r="DG251" s="215">
        <f>+DG250*6%/12</f>
        <v>101.31684255535838</v>
      </c>
      <c r="DH251" s="196"/>
      <c r="DI251" s="197"/>
      <c r="DJ251" s="198"/>
    </row>
    <row r="252" spans="1:115" hidden="1">
      <c r="E252" s="65" t="s">
        <v>162</v>
      </c>
      <c r="F252" s="66" t="s">
        <v>90</v>
      </c>
      <c r="G252" s="214">
        <f t="shared" ref="G252:AL252" si="1016">+G228</f>
        <v>0</v>
      </c>
      <c r="H252" s="214">
        <f t="shared" si="1016"/>
        <v>0</v>
      </c>
      <c r="I252" s="214">
        <f t="shared" si="1016"/>
        <v>0</v>
      </c>
      <c r="J252" s="214">
        <f t="shared" si="1016"/>
        <v>0</v>
      </c>
      <c r="K252" s="214">
        <f t="shared" si="1016"/>
        <v>0</v>
      </c>
      <c r="L252" s="214">
        <f t="shared" si="1016"/>
        <v>0</v>
      </c>
      <c r="M252" s="214">
        <f t="shared" si="1016"/>
        <v>0</v>
      </c>
      <c r="N252" s="214">
        <f t="shared" si="1016"/>
        <v>0</v>
      </c>
      <c r="O252" s="214">
        <f t="shared" si="1016"/>
        <v>0</v>
      </c>
      <c r="P252" s="214">
        <f t="shared" si="1016"/>
        <v>0</v>
      </c>
      <c r="Q252" s="214">
        <f t="shared" si="1016"/>
        <v>0</v>
      </c>
      <c r="R252" s="214">
        <f t="shared" si="1016"/>
        <v>0</v>
      </c>
      <c r="S252" s="214">
        <f t="shared" si="1016"/>
        <v>0</v>
      </c>
      <c r="T252" s="214">
        <f t="shared" si="1016"/>
        <v>0</v>
      </c>
      <c r="U252" s="214">
        <f t="shared" si="1016"/>
        <v>0</v>
      </c>
      <c r="V252" s="214">
        <f t="shared" si="1016"/>
        <v>0</v>
      </c>
      <c r="W252" s="214">
        <f t="shared" si="1016"/>
        <v>0</v>
      </c>
      <c r="X252" s="214">
        <f t="shared" si="1016"/>
        <v>0</v>
      </c>
      <c r="Y252" s="214">
        <f t="shared" si="1016"/>
        <v>0</v>
      </c>
      <c r="Z252" s="214">
        <f t="shared" si="1016"/>
        <v>0</v>
      </c>
      <c r="AA252" s="214">
        <f t="shared" si="1016"/>
        <v>0</v>
      </c>
      <c r="AB252" s="214">
        <f t="shared" si="1016"/>
        <v>0</v>
      </c>
      <c r="AC252" s="214">
        <f t="shared" si="1016"/>
        <v>0</v>
      </c>
      <c r="AD252" s="214">
        <f t="shared" si="1016"/>
        <v>0</v>
      </c>
      <c r="AE252" s="214">
        <f t="shared" si="1016"/>
        <v>0</v>
      </c>
      <c r="AF252" s="214">
        <f t="shared" si="1016"/>
        <v>0</v>
      </c>
      <c r="AG252" s="214">
        <f t="shared" si="1016"/>
        <v>0</v>
      </c>
      <c r="AH252" s="214">
        <f t="shared" si="1016"/>
        <v>0</v>
      </c>
      <c r="AI252" s="214">
        <f t="shared" si="1016"/>
        <v>0</v>
      </c>
      <c r="AJ252" s="214">
        <f t="shared" si="1016"/>
        <v>0</v>
      </c>
      <c r="AK252" s="214">
        <f t="shared" si="1016"/>
        <v>0</v>
      </c>
      <c r="AL252" s="214">
        <f t="shared" si="1016"/>
        <v>0</v>
      </c>
      <c r="AM252" s="214">
        <f t="shared" ref="AM252:BS252" si="1017">+AM228</f>
        <v>0</v>
      </c>
      <c r="AN252" s="214">
        <f t="shared" si="1017"/>
        <v>0</v>
      </c>
      <c r="AO252" s="214">
        <f t="shared" si="1017"/>
        <v>0</v>
      </c>
      <c r="AP252" s="214">
        <f t="shared" si="1017"/>
        <v>0</v>
      </c>
      <c r="AQ252" s="214">
        <f t="shared" si="1017"/>
        <v>0</v>
      </c>
      <c r="AR252" s="214">
        <f t="shared" si="1017"/>
        <v>0</v>
      </c>
      <c r="AS252" s="214">
        <f t="shared" si="1017"/>
        <v>0</v>
      </c>
      <c r="AT252" s="214">
        <f t="shared" si="1017"/>
        <v>0</v>
      </c>
      <c r="AU252" s="214">
        <f t="shared" si="1017"/>
        <v>0</v>
      </c>
      <c r="AV252" s="214">
        <f t="shared" si="1017"/>
        <v>0</v>
      </c>
      <c r="AW252" s="214">
        <f t="shared" si="1017"/>
        <v>0</v>
      </c>
      <c r="AX252" s="214">
        <f t="shared" si="1017"/>
        <v>0</v>
      </c>
      <c r="AY252" s="214">
        <f t="shared" si="1017"/>
        <v>0</v>
      </c>
      <c r="AZ252" s="214">
        <f t="shared" si="1017"/>
        <v>0</v>
      </c>
      <c r="BA252" s="214">
        <f t="shared" si="1017"/>
        <v>0</v>
      </c>
      <c r="BB252" s="214">
        <f t="shared" si="1017"/>
        <v>0</v>
      </c>
      <c r="BC252" s="214">
        <f t="shared" si="1017"/>
        <v>0</v>
      </c>
      <c r="BD252" s="214">
        <f t="shared" si="1017"/>
        <v>0</v>
      </c>
      <c r="BE252" s="214">
        <f t="shared" si="1017"/>
        <v>0</v>
      </c>
      <c r="BF252" s="214">
        <f t="shared" si="1017"/>
        <v>0</v>
      </c>
      <c r="BG252" s="214">
        <f t="shared" si="1017"/>
        <v>0</v>
      </c>
      <c r="BH252" s="214">
        <f t="shared" si="1017"/>
        <v>0</v>
      </c>
      <c r="BI252" s="214">
        <f t="shared" si="1017"/>
        <v>0</v>
      </c>
      <c r="BJ252" s="214">
        <f t="shared" si="1017"/>
        <v>0</v>
      </c>
      <c r="BK252" s="214">
        <f t="shared" si="1017"/>
        <v>0</v>
      </c>
      <c r="BL252" s="214">
        <f t="shared" si="1017"/>
        <v>0</v>
      </c>
      <c r="BM252" s="214">
        <f t="shared" si="1017"/>
        <v>0</v>
      </c>
      <c r="BN252" s="214">
        <f t="shared" si="1017"/>
        <v>0</v>
      </c>
      <c r="BO252" s="214">
        <f t="shared" si="1017"/>
        <v>0</v>
      </c>
      <c r="BP252" s="214">
        <f t="shared" si="1017"/>
        <v>0</v>
      </c>
      <c r="BQ252" s="214">
        <f t="shared" si="1017"/>
        <v>0</v>
      </c>
      <c r="BR252" s="214">
        <f t="shared" si="1017"/>
        <v>0</v>
      </c>
      <c r="BS252" s="214">
        <f t="shared" si="1017"/>
        <v>0</v>
      </c>
      <c r="BT252" s="214">
        <f t="shared" ref="BT252:CF252" si="1018">+BT228</f>
        <v>0</v>
      </c>
      <c r="BU252" s="214">
        <f t="shared" si="1018"/>
        <v>0</v>
      </c>
      <c r="BV252" s="214">
        <f t="shared" si="1018"/>
        <v>0</v>
      </c>
      <c r="BW252" s="214">
        <f t="shared" si="1018"/>
        <v>0</v>
      </c>
      <c r="BX252" s="214">
        <f t="shared" si="1018"/>
        <v>0</v>
      </c>
      <c r="BY252" s="214">
        <f t="shared" si="1018"/>
        <v>0</v>
      </c>
      <c r="BZ252" s="214">
        <f t="shared" si="1018"/>
        <v>0</v>
      </c>
      <c r="CA252" s="214">
        <f t="shared" si="1018"/>
        <v>0</v>
      </c>
      <c r="CB252" s="214">
        <f t="shared" si="1018"/>
        <v>0</v>
      </c>
      <c r="CC252" s="214">
        <f t="shared" si="1018"/>
        <v>0</v>
      </c>
      <c r="CD252" s="214">
        <f t="shared" si="1018"/>
        <v>0</v>
      </c>
      <c r="CE252" s="214">
        <f t="shared" si="1018"/>
        <v>0</v>
      </c>
      <c r="CF252" s="214">
        <f t="shared" si="1018"/>
        <v>0</v>
      </c>
      <c r="CG252" s="214">
        <f t="shared" ref="CG252:CS252" si="1019">+CG228</f>
        <v>0</v>
      </c>
      <c r="CH252" s="214">
        <f t="shared" si="1019"/>
        <v>0</v>
      </c>
      <c r="CI252" s="214">
        <f t="shared" si="1019"/>
        <v>0</v>
      </c>
      <c r="CJ252" s="214">
        <f t="shared" si="1019"/>
        <v>0</v>
      </c>
      <c r="CK252" s="214">
        <f t="shared" si="1019"/>
        <v>0</v>
      </c>
      <c r="CL252" s="214">
        <f t="shared" si="1019"/>
        <v>0</v>
      </c>
      <c r="CM252" s="214">
        <f t="shared" si="1019"/>
        <v>0</v>
      </c>
      <c r="CN252" s="214">
        <f t="shared" si="1019"/>
        <v>0</v>
      </c>
      <c r="CO252" s="214">
        <f t="shared" si="1019"/>
        <v>0</v>
      </c>
      <c r="CP252" s="214">
        <f t="shared" si="1019"/>
        <v>0</v>
      </c>
      <c r="CQ252" s="214">
        <f t="shared" si="1019"/>
        <v>0</v>
      </c>
      <c r="CR252" s="214">
        <f t="shared" si="1019"/>
        <v>0</v>
      </c>
      <c r="CS252" s="214">
        <f t="shared" si="1019"/>
        <v>0</v>
      </c>
      <c r="CT252" s="214">
        <f t="shared" ref="CT252:DF252" si="1020">+CT228</f>
        <v>0</v>
      </c>
      <c r="CU252" s="214">
        <f t="shared" si="1020"/>
        <v>0</v>
      </c>
      <c r="CV252" s="214">
        <f t="shared" si="1020"/>
        <v>0</v>
      </c>
      <c r="CW252" s="214">
        <f t="shared" si="1020"/>
        <v>0</v>
      </c>
      <c r="CX252" s="214">
        <f t="shared" si="1020"/>
        <v>0</v>
      </c>
      <c r="CY252" s="214">
        <f t="shared" si="1020"/>
        <v>0</v>
      </c>
      <c r="CZ252" s="214">
        <f t="shared" si="1020"/>
        <v>0</v>
      </c>
      <c r="DA252" s="214">
        <f t="shared" si="1020"/>
        <v>0</v>
      </c>
      <c r="DB252" s="214">
        <f t="shared" si="1020"/>
        <v>0</v>
      </c>
      <c r="DC252" s="214">
        <f t="shared" si="1020"/>
        <v>0</v>
      </c>
      <c r="DD252" s="214">
        <f t="shared" si="1020"/>
        <v>0</v>
      </c>
      <c r="DE252" s="214">
        <f t="shared" si="1020"/>
        <v>0</v>
      </c>
      <c r="DF252" s="214">
        <f t="shared" si="1020"/>
        <v>0</v>
      </c>
      <c r="DG252" s="214">
        <f>+DG228</f>
        <v>0</v>
      </c>
    </row>
    <row r="253" spans="1:115" hidden="1">
      <c r="E253" s="65" t="s">
        <v>361</v>
      </c>
      <c r="F253" s="66" t="s">
        <v>89</v>
      </c>
      <c r="G253" s="214">
        <f>+G252</f>
        <v>0</v>
      </c>
      <c r="H253" s="214">
        <f>+G253+H252</f>
        <v>0</v>
      </c>
      <c r="I253" s="214">
        <f t="shared" ref="I253:BE253" si="1021">+H253+I252</f>
        <v>0</v>
      </c>
      <c r="J253" s="214">
        <f t="shared" si="1021"/>
        <v>0</v>
      </c>
      <c r="K253" s="214">
        <f t="shared" si="1021"/>
        <v>0</v>
      </c>
      <c r="L253" s="214">
        <f t="shared" si="1021"/>
        <v>0</v>
      </c>
      <c r="M253" s="214">
        <f t="shared" si="1021"/>
        <v>0</v>
      </c>
      <c r="N253" s="214">
        <f t="shared" si="1021"/>
        <v>0</v>
      </c>
      <c r="O253" s="214">
        <f t="shared" si="1021"/>
        <v>0</v>
      </c>
      <c r="P253" s="214">
        <f t="shared" si="1021"/>
        <v>0</v>
      </c>
      <c r="Q253" s="214">
        <f t="shared" si="1021"/>
        <v>0</v>
      </c>
      <c r="R253" s="214">
        <f t="shared" si="1021"/>
        <v>0</v>
      </c>
      <c r="S253" s="214">
        <f>+R253</f>
        <v>0</v>
      </c>
      <c r="T253" s="214">
        <f t="shared" si="1021"/>
        <v>0</v>
      </c>
      <c r="U253" s="214">
        <f t="shared" si="1021"/>
        <v>0</v>
      </c>
      <c r="V253" s="214">
        <f t="shared" si="1021"/>
        <v>0</v>
      </c>
      <c r="W253" s="214">
        <f t="shared" si="1021"/>
        <v>0</v>
      </c>
      <c r="X253" s="214">
        <f t="shared" si="1021"/>
        <v>0</v>
      </c>
      <c r="Y253" s="214">
        <f t="shared" si="1021"/>
        <v>0</v>
      </c>
      <c r="Z253" s="214">
        <f t="shared" si="1021"/>
        <v>0</v>
      </c>
      <c r="AA253" s="214">
        <f t="shared" si="1021"/>
        <v>0</v>
      </c>
      <c r="AB253" s="214">
        <f t="shared" si="1021"/>
        <v>0</v>
      </c>
      <c r="AC253" s="214">
        <f t="shared" si="1021"/>
        <v>0</v>
      </c>
      <c r="AD253" s="214">
        <f t="shared" si="1021"/>
        <v>0</v>
      </c>
      <c r="AE253" s="214">
        <f t="shared" si="1021"/>
        <v>0</v>
      </c>
      <c r="AF253" s="214">
        <f>+AE253</f>
        <v>0</v>
      </c>
      <c r="AG253" s="214">
        <f t="shared" si="1021"/>
        <v>0</v>
      </c>
      <c r="AH253" s="214">
        <f t="shared" si="1021"/>
        <v>0</v>
      </c>
      <c r="AI253" s="214">
        <f t="shared" si="1021"/>
        <v>0</v>
      </c>
      <c r="AJ253" s="214">
        <f t="shared" si="1021"/>
        <v>0</v>
      </c>
      <c r="AK253" s="214">
        <f t="shared" si="1021"/>
        <v>0</v>
      </c>
      <c r="AL253" s="214">
        <f t="shared" si="1021"/>
        <v>0</v>
      </c>
      <c r="AM253" s="214">
        <f t="shared" si="1021"/>
        <v>0</v>
      </c>
      <c r="AN253" s="214">
        <f t="shared" si="1021"/>
        <v>0</v>
      </c>
      <c r="AO253" s="214">
        <f t="shared" si="1021"/>
        <v>0</v>
      </c>
      <c r="AP253" s="214">
        <f t="shared" si="1021"/>
        <v>0</v>
      </c>
      <c r="AQ253" s="214">
        <f t="shared" si="1021"/>
        <v>0</v>
      </c>
      <c r="AR253" s="214">
        <f t="shared" si="1021"/>
        <v>0</v>
      </c>
      <c r="AS253" s="214">
        <f>+AR253</f>
        <v>0</v>
      </c>
      <c r="AT253" s="214">
        <f t="shared" si="1021"/>
        <v>0</v>
      </c>
      <c r="AU253" s="214">
        <f t="shared" si="1021"/>
        <v>0</v>
      </c>
      <c r="AV253" s="214">
        <f t="shared" si="1021"/>
        <v>0</v>
      </c>
      <c r="AW253" s="214">
        <f t="shared" si="1021"/>
        <v>0</v>
      </c>
      <c r="AX253" s="214">
        <f t="shared" si="1021"/>
        <v>0</v>
      </c>
      <c r="AY253" s="214">
        <f t="shared" si="1021"/>
        <v>0</v>
      </c>
      <c r="AZ253" s="214">
        <f t="shared" si="1021"/>
        <v>0</v>
      </c>
      <c r="BA253" s="214">
        <f t="shared" si="1021"/>
        <v>0</v>
      </c>
      <c r="BB253" s="214">
        <f t="shared" si="1021"/>
        <v>0</v>
      </c>
      <c r="BC253" s="214">
        <f t="shared" si="1021"/>
        <v>0</v>
      </c>
      <c r="BD253" s="214">
        <f t="shared" si="1021"/>
        <v>0</v>
      </c>
      <c r="BE253" s="214">
        <f t="shared" si="1021"/>
        <v>0</v>
      </c>
      <c r="BF253" s="214">
        <f>+BE253</f>
        <v>0</v>
      </c>
      <c r="BG253" s="214">
        <f t="shared" ref="BG253:BR253" si="1022">+BF253+BG252</f>
        <v>0</v>
      </c>
      <c r="BH253" s="214">
        <f t="shared" si="1022"/>
        <v>0</v>
      </c>
      <c r="BI253" s="214">
        <f t="shared" si="1022"/>
        <v>0</v>
      </c>
      <c r="BJ253" s="214">
        <f t="shared" si="1022"/>
        <v>0</v>
      </c>
      <c r="BK253" s="214">
        <f t="shared" si="1022"/>
        <v>0</v>
      </c>
      <c r="BL253" s="214">
        <f t="shared" si="1022"/>
        <v>0</v>
      </c>
      <c r="BM253" s="214">
        <f t="shared" si="1022"/>
        <v>0</v>
      </c>
      <c r="BN253" s="214">
        <f t="shared" si="1022"/>
        <v>0</v>
      </c>
      <c r="BO253" s="214">
        <f t="shared" si="1022"/>
        <v>0</v>
      </c>
      <c r="BP253" s="214">
        <f t="shared" si="1022"/>
        <v>0</v>
      </c>
      <c r="BQ253" s="214">
        <f t="shared" si="1022"/>
        <v>0</v>
      </c>
      <c r="BR253" s="214">
        <f t="shared" si="1022"/>
        <v>0</v>
      </c>
      <c r="BS253" s="214">
        <f>+BR253</f>
        <v>0</v>
      </c>
      <c r="BT253" s="214">
        <f>+BS253+BT252</f>
        <v>0</v>
      </c>
      <c r="BU253" s="214">
        <f>+BT253+BU252</f>
        <v>0</v>
      </c>
      <c r="BV253" s="214">
        <f>+BU253+BV252</f>
        <v>0</v>
      </c>
      <c r="BW253" s="214">
        <v>0</v>
      </c>
      <c r="BX253" s="214">
        <f t="shared" ref="BX253:CE253" si="1023">+BW253+BX252</f>
        <v>0</v>
      </c>
      <c r="BY253" s="214">
        <f t="shared" si="1023"/>
        <v>0</v>
      </c>
      <c r="BZ253" s="214">
        <f t="shared" si="1023"/>
        <v>0</v>
      </c>
      <c r="CA253" s="214">
        <f t="shared" si="1023"/>
        <v>0</v>
      </c>
      <c r="CB253" s="214">
        <f t="shared" si="1023"/>
        <v>0</v>
      </c>
      <c r="CC253" s="214">
        <f t="shared" si="1023"/>
        <v>0</v>
      </c>
      <c r="CD253" s="214">
        <f t="shared" si="1023"/>
        <v>0</v>
      </c>
      <c r="CE253" s="214">
        <f t="shared" si="1023"/>
        <v>0</v>
      </c>
      <c r="CF253" s="214">
        <f>+CE253</f>
        <v>0</v>
      </c>
      <c r="CG253" s="214">
        <f t="shared" ref="CG253:CR253" si="1024">+CF253+CG252</f>
        <v>0</v>
      </c>
      <c r="CH253" s="214">
        <f t="shared" si="1024"/>
        <v>0</v>
      </c>
      <c r="CI253" s="214">
        <f t="shared" si="1024"/>
        <v>0</v>
      </c>
      <c r="CJ253" s="214">
        <f t="shared" si="1024"/>
        <v>0</v>
      </c>
      <c r="CK253" s="214">
        <f t="shared" si="1024"/>
        <v>0</v>
      </c>
      <c r="CL253" s="214">
        <f t="shared" si="1024"/>
        <v>0</v>
      </c>
      <c r="CM253" s="214">
        <f t="shared" si="1024"/>
        <v>0</v>
      </c>
      <c r="CN253" s="214">
        <f t="shared" si="1024"/>
        <v>0</v>
      </c>
      <c r="CO253" s="214">
        <f t="shared" si="1024"/>
        <v>0</v>
      </c>
      <c r="CP253" s="214">
        <f t="shared" si="1024"/>
        <v>0</v>
      </c>
      <c r="CQ253" s="214">
        <f t="shared" si="1024"/>
        <v>0</v>
      </c>
      <c r="CR253" s="214">
        <f t="shared" si="1024"/>
        <v>0</v>
      </c>
      <c r="CS253" s="214">
        <f>+CR253</f>
        <v>0</v>
      </c>
      <c r="CT253" s="214">
        <f t="shared" ref="CT253:DE253" si="1025">+CS253+CT252</f>
        <v>0</v>
      </c>
      <c r="CU253" s="214">
        <f t="shared" si="1025"/>
        <v>0</v>
      </c>
      <c r="CV253" s="214">
        <f t="shared" si="1025"/>
        <v>0</v>
      </c>
      <c r="CW253" s="214">
        <f t="shared" si="1025"/>
        <v>0</v>
      </c>
      <c r="CX253" s="214">
        <f t="shared" si="1025"/>
        <v>0</v>
      </c>
      <c r="CY253" s="214">
        <f t="shared" si="1025"/>
        <v>0</v>
      </c>
      <c r="CZ253" s="214">
        <f t="shared" si="1025"/>
        <v>0</v>
      </c>
      <c r="DA253" s="214">
        <f t="shared" si="1025"/>
        <v>0</v>
      </c>
      <c r="DB253" s="214">
        <f t="shared" si="1025"/>
        <v>0</v>
      </c>
      <c r="DC253" s="214">
        <f t="shared" si="1025"/>
        <v>0</v>
      </c>
      <c r="DD253" s="214">
        <f t="shared" si="1025"/>
        <v>0</v>
      </c>
      <c r="DE253" s="214">
        <f t="shared" si="1025"/>
        <v>0</v>
      </c>
      <c r="DF253" s="214">
        <f>+DE253</f>
        <v>0</v>
      </c>
      <c r="DG253" s="214">
        <f>+BS253+DG252</f>
        <v>0</v>
      </c>
    </row>
    <row r="254" spans="1:115" hidden="1">
      <c r="E254" s="65" t="s">
        <v>360</v>
      </c>
      <c r="F254" s="66" t="s">
        <v>88</v>
      </c>
      <c r="G254" s="214">
        <f>+G253*12%/12</f>
        <v>0</v>
      </c>
      <c r="H254" s="214">
        <f t="shared" ref="H254:AL255" si="1026">+H253*12%/12</f>
        <v>0</v>
      </c>
      <c r="I254" s="214">
        <f t="shared" si="1026"/>
        <v>0</v>
      </c>
      <c r="J254" s="214">
        <f t="shared" si="1026"/>
        <v>0</v>
      </c>
      <c r="K254" s="214">
        <f t="shared" si="1026"/>
        <v>0</v>
      </c>
      <c r="L254" s="214">
        <f t="shared" si="1026"/>
        <v>0</v>
      </c>
      <c r="M254" s="214">
        <f t="shared" si="1026"/>
        <v>0</v>
      </c>
      <c r="N254" s="214">
        <f t="shared" si="1026"/>
        <v>0</v>
      </c>
      <c r="O254" s="214">
        <f t="shared" si="1026"/>
        <v>0</v>
      </c>
      <c r="P254" s="214">
        <f t="shared" si="1026"/>
        <v>0</v>
      </c>
      <c r="Q254" s="214">
        <f t="shared" si="1026"/>
        <v>0</v>
      </c>
      <c r="R254" s="214">
        <f t="shared" si="1026"/>
        <v>0</v>
      </c>
      <c r="S254" s="214"/>
      <c r="T254" s="214">
        <f t="shared" si="1026"/>
        <v>0</v>
      </c>
      <c r="U254" s="214">
        <f t="shared" si="1026"/>
        <v>0</v>
      </c>
      <c r="V254" s="214">
        <f t="shared" si="1026"/>
        <v>0</v>
      </c>
      <c r="W254" s="214">
        <f t="shared" si="1026"/>
        <v>0</v>
      </c>
      <c r="X254" s="214">
        <f t="shared" si="1026"/>
        <v>0</v>
      </c>
      <c r="Y254" s="214">
        <f t="shared" si="1026"/>
        <v>0</v>
      </c>
      <c r="Z254" s="214">
        <f t="shared" si="1026"/>
        <v>0</v>
      </c>
      <c r="AA254" s="214">
        <f t="shared" si="1026"/>
        <v>0</v>
      </c>
      <c r="AB254" s="214">
        <f t="shared" si="1026"/>
        <v>0</v>
      </c>
      <c r="AC254" s="214">
        <f t="shared" si="1026"/>
        <v>0</v>
      </c>
      <c r="AD254" s="214">
        <f t="shared" si="1026"/>
        <v>0</v>
      </c>
      <c r="AE254" s="214">
        <f t="shared" si="1026"/>
        <v>0</v>
      </c>
      <c r="AF254" s="214">
        <f t="shared" si="1026"/>
        <v>0</v>
      </c>
      <c r="AG254" s="214">
        <f t="shared" si="1026"/>
        <v>0</v>
      </c>
      <c r="AH254" s="214">
        <f t="shared" si="1026"/>
        <v>0</v>
      </c>
      <c r="AI254" s="214">
        <f t="shared" si="1026"/>
        <v>0</v>
      </c>
      <c r="AJ254" s="214">
        <f t="shared" si="1026"/>
        <v>0</v>
      </c>
      <c r="AK254" s="214">
        <f t="shared" si="1026"/>
        <v>0</v>
      </c>
      <c r="AL254" s="214">
        <f t="shared" si="1026"/>
        <v>0</v>
      </c>
      <c r="AM254" s="214">
        <f t="shared" ref="AM254:AR254" si="1027">+AM253*6%/12</f>
        <v>0</v>
      </c>
      <c r="AN254" s="214">
        <f t="shared" si="1027"/>
        <v>0</v>
      </c>
      <c r="AO254" s="214">
        <f t="shared" si="1027"/>
        <v>0</v>
      </c>
      <c r="AP254" s="214">
        <f t="shared" si="1027"/>
        <v>0</v>
      </c>
      <c r="AQ254" s="214">
        <f t="shared" si="1027"/>
        <v>0</v>
      </c>
      <c r="AR254" s="214">
        <f t="shared" si="1027"/>
        <v>0</v>
      </c>
      <c r="AS254" s="214"/>
      <c r="AT254" s="214">
        <f t="shared" ref="AT254:BE254" si="1028">+AT253*6%/12</f>
        <v>0</v>
      </c>
      <c r="AU254" s="214">
        <f t="shared" si="1028"/>
        <v>0</v>
      </c>
      <c r="AV254" s="214">
        <f t="shared" si="1028"/>
        <v>0</v>
      </c>
      <c r="AW254" s="214">
        <f t="shared" si="1028"/>
        <v>0</v>
      </c>
      <c r="AX254" s="214">
        <f t="shared" si="1028"/>
        <v>0</v>
      </c>
      <c r="AY254" s="214">
        <f t="shared" si="1028"/>
        <v>0</v>
      </c>
      <c r="AZ254" s="214">
        <f t="shared" si="1028"/>
        <v>0</v>
      </c>
      <c r="BA254" s="214">
        <f t="shared" si="1028"/>
        <v>0</v>
      </c>
      <c r="BB254" s="214">
        <f t="shared" si="1028"/>
        <v>0</v>
      </c>
      <c r="BC254" s="214">
        <f t="shared" si="1028"/>
        <v>0</v>
      </c>
      <c r="BD254" s="214">
        <f t="shared" si="1028"/>
        <v>0</v>
      </c>
      <c r="BE254" s="214">
        <f t="shared" si="1028"/>
        <v>0</v>
      </c>
      <c r="BF254" s="214"/>
      <c r="BG254" s="214">
        <f t="shared" ref="BG254:BR254" si="1029">+BG253*6%/12</f>
        <v>0</v>
      </c>
      <c r="BH254" s="214">
        <f t="shared" si="1029"/>
        <v>0</v>
      </c>
      <c r="BI254" s="214">
        <f t="shared" si="1029"/>
        <v>0</v>
      </c>
      <c r="BJ254" s="214">
        <f t="shared" si="1029"/>
        <v>0</v>
      </c>
      <c r="BK254" s="214">
        <f t="shared" si="1029"/>
        <v>0</v>
      </c>
      <c r="BL254" s="214">
        <f t="shared" si="1029"/>
        <v>0</v>
      </c>
      <c r="BM254" s="214">
        <f t="shared" si="1029"/>
        <v>0</v>
      </c>
      <c r="BN254" s="214">
        <f t="shared" si="1029"/>
        <v>0</v>
      </c>
      <c r="BO254" s="214">
        <f t="shared" si="1029"/>
        <v>0</v>
      </c>
      <c r="BP254" s="214">
        <f t="shared" si="1029"/>
        <v>0</v>
      </c>
      <c r="BQ254" s="214">
        <f t="shared" si="1029"/>
        <v>0</v>
      </c>
      <c r="BR254" s="214">
        <f t="shared" si="1029"/>
        <v>0</v>
      </c>
      <c r="BS254" s="214"/>
      <c r="BT254" s="214">
        <f t="shared" ref="BT254:CE254" si="1030">+BT253*6%/12</f>
        <v>0</v>
      </c>
      <c r="BU254" s="214">
        <f t="shared" si="1030"/>
        <v>0</v>
      </c>
      <c r="BV254" s="214">
        <f t="shared" si="1030"/>
        <v>0</v>
      </c>
      <c r="BW254" s="214">
        <f t="shared" si="1030"/>
        <v>0</v>
      </c>
      <c r="BX254" s="214">
        <f t="shared" si="1030"/>
        <v>0</v>
      </c>
      <c r="BY254" s="214">
        <f t="shared" si="1030"/>
        <v>0</v>
      </c>
      <c r="BZ254" s="214">
        <f t="shared" si="1030"/>
        <v>0</v>
      </c>
      <c r="CA254" s="214">
        <f t="shared" si="1030"/>
        <v>0</v>
      </c>
      <c r="CB254" s="214">
        <f t="shared" si="1030"/>
        <v>0</v>
      </c>
      <c r="CC254" s="214">
        <f t="shared" si="1030"/>
        <v>0</v>
      </c>
      <c r="CD254" s="214">
        <f t="shared" si="1030"/>
        <v>0</v>
      </c>
      <c r="CE254" s="214">
        <f t="shared" si="1030"/>
        <v>0</v>
      </c>
      <c r="CF254" s="214"/>
      <c r="CG254" s="214">
        <f t="shared" ref="CG254:CR254" si="1031">+CG253*6%/12</f>
        <v>0</v>
      </c>
      <c r="CH254" s="214">
        <f t="shared" si="1031"/>
        <v>0</v>
      </c>
      <c r="CI254" s="214">
        <f t="shared" si="1031"/>
        <v>0</v>
      </c>
      <c r="CJ254" s="214">
        <f t="shared" si="1031"/>
        <v>0</v>
      </c>
      <c r="CK254" s="214">
        <f t="shared" si="1031"/>
        <v>0</v>
      </c>
      <c r="CL254" s="214">
        <f t="shared" si="1031"/>
        <v>0</v>
      </c>
      <c r="CM254" s="214">
        <f t="shared" si="1031"/>
        <v>0</v>
      </c>
      <c r="CN254" s="214">
        <f t="shared" si="1031"/>
        <v>0</v>
      </c>
      <c r="CO254" s="214">
        <f t="shared" si="1031"/>
        <v>0</v>
      </c>
      <c r="CP254" s="214">
        <f t="shared" si="1031"/>
        <v>0</v>
      </c>
      <c r="CQ254" s="214">
        <f t="shared" si="1031"/>
        <v>0</v>
      </c>
      <c r="CR254" s="214">
        <f t="shared" si="1031"/>
        <v>0</v>
      </c>
      <c r="CS254" s="214"/>
      <c r="CT254" s="214">
        <f t="shared" ref="CT254:DE254" si="1032">+CT253*6%/12</f>
        <v>0</v>
      </c>
      <c r="CU254" s="214">
        <f t="shared" si="1032"/>
        <v>0</v>
      </c>
      <c r="CV254" s="214">
        <f t="shared" si="1032"/>
        <v>0</v>
      </c>
      <c r="CW254" s="214">
        <f t="shared" si="1032"/>
        <v>0</v>
      </c>
      <c r="CX254" s="214">
        <f t="shared" si="1032"/>
        <v>0</v>
      </c>
      <c r="CY254" s="214">
        <f t="shared" si="1032"/>
        <v>0</v>
      </c>
      <c r="CZ254" s="214">
        <f t="shared" si="1032"/>
        <v>0</v>
      </c>
      <c r="DA254" s="214">
        <f t="shared" si="1032"/>
        <v>0</v>
      </c>
      <c r="DB254" s="214">
        <f t="shared" si="1032"/>
        <v>0</v>
      </c>
      <c r="DC254" s="214">
        <f t="shared" si="1032"/>
        <v>0</v>
      </c>
      <c r="DD254" s="214">
        <f t="shared" si="1032"/>
        <v>0</v>
      </c>
      <c r="DE254" s="214">
        <f t="shared" si="1032"/>
        <v>0</v>
      </c>
      <c r="DF254" s="214"/>
      <c r="DG254" s="214">
        <f>+DG253*12%/12</f>
        <v>0</v>
      </c>
    </row>
    <row r="255" spans="1:115" hidden="1">
      <c r="F255" s="66" t="s">
        <v>91</v>
      </c>
      <c r="G255" s="214">
        <f t="shared" ref="G255:R255" si="1033">+G222</f>
        <v>0</v>
      </c>
      <c r="H255" s="214">
        <f t="shared" si="1033"/>
        <v>0</v>
      </c>
      <c r="I255" s="214">
        <f t="shared" si="1033"/>
        <v>0</v>
      </c>
      <c r="J255" s="214">
        <f t="shared" si="1033"/>
        <v>0</v>
      </c>
      <c r="K255" s="214">
        <f t="shared" si="1033"/>
        <v>0</v>
      </c>
      <c r="L255" s="214">
        <f t="shared" si="1033"/>
        <v>0</v>
      </c>
      <c r="M255" s="214">
        <f t="shared" si="1033"/>
        <v>0</v>
      </c>
      <c r="N255" s="214">
        <f t="shared" si="1033"/>
        <v>0</v>
      </c>
      <c r="O255" s="214">
        <f t="shared" si="1033"/>
        <v>0</v>
      </c>
      <c r="P255" s="214">
        <f t="shared" si="1033"/>
        <v>0</v>
      </c>
      <c r="Q255" s="214">
        <f t="shared" si="1033"/>
        <v>0</v>
      </c>
      <c r="R255" s="214">
        <f t="shared" si="1033"/>
        <v>0</v>
      </c>
      <c r="S255" s="214"/>
      <c r="T255" s="214">
        <f t="shared" ref="T255:AE255" si="1034">+T222</f>
        <v>0</v>
      </c>
      <c r="U255" s="214">
        <f t="shared" si="1034"/>
        <v>0</v>
      </c>
      <c r="V255" s="214">
        <f t="shared" si="1034"/>
        <v>0</v>
      </c>
      <c r="W255" s="214">
        <f t="shared" si="1034"/>
        <v>0</v>
      </c>
      <c r="X255" s="214">
        <f t="shared" si="1034"/>
        <v>0</v>
      </c>
      <c r="Y255" s="214">
        <f t="shared" si="1034"/>
        <v>0</v>
      </c>
      <c r="Z255" s="214">
        <f t="shared" si="1034"/>
        <v>0</v>
      </c>
      <c r="AA255" s="214">
        <f t="shared" si="1034"/>
        <v>0</v>
      </c>
      <c r="AB255" s="214">
        <f t="shared" si="1034"/>
        <v>0</v>
      </c>
      <c r="AC255" s="214">
        <f t="shared" si="1034"/>
        <v>0</v>
      </c>
      <c r="AD255" s="214">
        <f t="shared" si="1034"/>
        <v>0</v>
      </c>
      <c r="AE255" s="214">
        <f t="shared" si="1034"/>
        <v>0</v>
      </c>
      <c r="AF255" s="214">
        <f t="shared" si="1026"/>
        <v>0</v>
      </c>
      <c r="AG255" s="214">
        <f>+AG222</f>
        <v>0</v>
      </c>
      <c r="AH255" s="214">
        <f t="shared" ref="AH255:AR255" si="1035">+AH222</f>
        <v>0</v>
      </c>
      <c r="AI255" s="214">
        <f t="shared" si="1035"/>
        <v>0</v>
      </c>
      <c r="AJ255" s="214">
        <f t="shared" si="1035"/>
        <v>0</v>
      </c>
      <c r="AK255" s="214">
        <f t="shared" si="1035"/>
        <v>0</v>
      </c>
      <c r="AL255" s="214">
        <f t="shared" si="1035"/>
        <v>0</v>
      </c>
      <c r="AM255" s="214">
        <f t="shared" si="1035"/>
        <v>0</v>
      </c>
      <c r="AN255" s="214">
        <f t="shared" si="1035"/>
        <v>0</v>
      </c>
      <c r="AO255" s="214">
        <f t="shared" si="1035"/>
        <v>0</v>
      </c>
      <c r="AP255" s="214">
        <f t="shared" si="1035"/>
        <v>0</v>
      </c>
      <c r="AQ255" s="214">
        <f t="shared" si="1035"/>
        <v>0</v>
      </c>
      <c r="AR255" s="214">
        <f t="shared" si="1035"/>
        <v>0</v>
      </c>
      <c r="AS255" s="214"/>
      <c r="AT255" s="214">
        <f t="shared" ref="AT255:BE255" si="1036">+AT222</f>
        <v>0</v>
      </c>
      <c r="AU255" s="214">
        <v>0</v>
      </c>
      <c r="AV255" s="214">
        <f t="shared" si="1036"/>
        <v>0</v>
      </c>
      <c r="AW255" s="214">
        <f t="shared" si="1036"/>
        <v>0</v>
      </c>
      <c r="AX255" s="214">
        <f t="shared" si="1036"/>
        <v>0</v>
      </c>
      <c r="AY255" s="214">
        <f t="shared" si="1036"/>
        <v>0</v>
      </c>
      <c r="AZ255" s="214">
        <f t="shared" si="1036"/>
        <v>0</v>
      </c>
      <c r="BA255" s="214">
        <f t="shared" si="1036"/>
        <v>0</v>
      </c>
      <c r="BB255" s="214">
        <f t="shared" si="1036"/>
        <v>0</v>
      </c>
      <c r="BC255" s="214">
        <f t="shared" si="1036"/>
        <v>0</v>
      </c>
      <c r="BD255" s="214">
        <f t="shared" si="1036"/>
        <v>0</v>
      </c>
      <c r="BE255" s="214">
        <f t="shared" si="1036"/>
        <v>0</v>
      </c>
      <c r="BF255" s="214"/>
      <c r="BG255" s="214">
        <f t="shared" ref="BG255:BR255" si="1037">+BG222</f>
        <v>0</v>
      </c>
      <c r="BH255" s="214">
        <f t="shared" si="1037"/>
        <v>0</v>
      </c>
      <c r="BI255" s="214">
        <f t="shared" si="1037"/>
        <v>0</v>
      </c>
      <c r="BJ255" s="214">
        <f t="shared" si="1037"/>
        <v>0</v>
      </c>
      <c r="BK255" s="214">
        <f t="shared" si="1037"/>
        <v>0</v>
      </c>
      <c r="BL255" s="214">
        <f t="shared" si="1037"/>
        <v>0</v>
      </c>
      <c r="BM255" s="214">
        <f t="shared" si="1037"/>
        <v>0</v>
      </c>
      <c r="BN255" s="214">
        <f t="shared" si="1037"/>
        <v>0</v>
      </c>
      <c r="BO255" s="214">
        <f t="shared" si="1037"/>
        <v>0</v>
      </c>
      <c r="BP255" s="214">
        <f t="shared" si="1037"/>
        <v>0</v>
      </c>
      <c r="BQ255" s="214">
        <f t="shared" si="1037"/>
        <v>0</v>
      </c>
      <c r="BR255" s="214">
        <f t="shared" si="1037"/>
        <v>0</v>
      </c>
      <c r="BS255" s="214"/>
      <c r="BT255" s="214">
        <f t="shared" ref="BT255:CE255" si="1038">+BT222</f>
        <v>0</v>
      </c>
      <c r="BU255" s="214">
        <f t="shared" si="1038"/>
        <v>0</v>
      </c>
      <c r="BV255" s="214">
        <f t="shared" si="1038"/>
        <v>0</v>
      </c>
      <c r="BW255" s="214">
        <f t="shared" si="1038"/>
        <v>0</v>
      </c>
      <c r="BX255" s="214">
        <f t="shared" si="1038"/>
        <v>0</v>
      </c>
      <c r="BY255" s="214">
        <f t="shared" si="1038"/>
        <v>0</v>
      </c>
      <c r="BZ255" s="214">
        <f t="shared" si="1038"/>
        <v>0</v>
      </c>
      <c r="CA255" s="214">
        <f t="shared" si="1038"/>
        <v>0</v>
      </c>
      <c r="CB255" s="214">
        <f t="shared" si="1038"/>
        <v>0</v>
      </c>
      <c r="CC255" s="214">
        <f t="shared" si="1038"/>
        <v>0</v>
      </c>
      <c r="CD255" s="214">
        <f t="shared" si="1038"/>
        <v>0</v>
      </c>
      <c r="CE255" s="214">
        <f t="shared" si="1038"/>
        <v>0</v>
      </c>
      <c r="CF255" s="214"/>
      <c r="CG255" s="214">
        <f t="shared" ref="CG255:CR255" si="1039">+CG222</f>
        <v>0</v>
      </c>
      <c r="CH255" s="214">
        <f t="shared" si="1039"/>
        <v>0</v>
      </c>
      <c r="CI255" s="214">
        <f t="shared" si="1039"/>
        <v>0</v>
      </c>
      <c r="CJ255" s="214">
        <f t="shared" si="1039"/>
        <v>0</v>
      </c>
      <c r="CK255" s="214">
        <f t="shared" si="1039"/>
        <v>0</v>
      </c>
      <c r="CL255" s="214">
        <f t="shared" si="1039"/>
        <v>0</v>
      </c>
      <c r="CM255" s="214">
        <f t="shared" si="1039"/>
        <v>0</v>
      </c>
      <c r="CN255" s="214">
        <f t="shared" si="1039"/>
        <v>0</v>
      </c>
      <c r="CO255" s="214">
        <f t="shared" si="1039"/>
        <v>0</v>
      </c>
      <c r="CP255" s="214">
        <f t="shared" si="1039"/>
        <v>0</v>
      </c>
      <c r="CQ255" s="214">
        <f t="shared" si="1039"/>
        <v>0</v>
      </c>
      <c r="CR255" s="214">
        <f t="shared" si="1039"/>
        <v>0</v>
      </c>
      <c r="CS255" s="214"/>
      <c r="CT255" s="214">
        <f t="shared" ref="CT255:DE255" si="1040">+CT222</f>
        <v>0</v>
      </c>
      <c r="CU255" s="214">
        <f t="shared" si="1040"/>
        <v>0</v>
      </c>
      <c r="CV255" s="214">
        <f t="shared" si="1040"/>
        <v>0</v>
      </c>
      <c r="CW255" s="214">
        <f t="shared" si="1040"/>
        <v>0</v>
      </c>
      <c r="CX255" s="214">
        <f t="shared" si="1040"/>
        <v>0</v>
      </c>
      <c r="CY255" s="214">
        <f t="shared" si="1040"/>
        <v>0</v>
      </c>
      <c r="CZ255" s="214">
        <f t="shared" si="1040"/>
        <v>0</v>
      </c>
      <c r="DA255" s="214">
        <f t="shared" si="1040"/>
        <v>0</v>
      </c>
      <c r="DB255" s="214">
        <f t="shared" si="1040"/>
        <v>0</v>
      </c>
      <c r="DC255" s="214">
        <f t="shared" si="1040"/>
        <v>0</v>
      </c>
      <c r="DD255" s="214">
        <f t="shared" si="1040"/>
        <v>0</v>
      </c>
      <c r="DE255" s="214">
        <f t="shared" si="1040"/>
        <v>0</v>
      </c>
      <c r="DF255" s="214"/>
      <c r="DG255" s="214">
        <f>+DG222</f>
        <v>0</v>
      </c>
    </row>
    <row r="256" spans="1:115" hidden="1">
      <c r="E256" s="65" t="s">
        <v>82</v>
      </c>
      <c r="F256" s="66" t="s">
        <v>92</v>
      </c>
      <c r="G256" s="214">
        <f>+G255</f>
        <v>0</v>
      </c>
      <c r="H256" s="214">
        <f>+G256+H255</f>
        <v>0</v>
      </c>
      <c r="I256" s="214">
        <f t="shared" ref="I256:T256" si="1041">+H256+I255</f>
        <v>0</v>
      </c>
      <c r="J256" s="214">
        <f t="shared" si="1041"/>
        <v>0</v>
      </c>
      <c r="K256" s="214">
        <f t="shared" si="1041"/>
        <v>0</v>
      </c>
      <c r="L256" s="214">
        <f t="shared" si="1041"/>
        <v>0</v>
      </c>
      <c r="M256" s="214">
        <f t="shared" si="1041"/>
        <v>0</v>
      </c>
      <c r="N256" s="214">
        <f t="shared" si="1041"/>
        <v>0</v>
      </c>
      <c r="O256" s="214">
        <f t="shared" si="1041"/>
        <v>0</v>
      </c>
      <c r="P256" s="214">
        <f t="shared" si="1041"/>
        <v>0</v>
      </c>
      <c r="Q256" s="214">
        <f t="shared" si="1041"/>
        <v>0</v>
      </c>
      <c r="R256" s="214">
        <f t="shared" si="1041"/>
        <v>0</v>
      </c>
      <c r="S256" s="214">
        <f t="shared" si="1041"/>
        <v>0</v>
      </c>
      <c r="T256" s="214">
        <f t="shared" si="1041"/>
        <v>0</v>
      </c>
      <c r="U256" s="214">
        <f>+U255</f>
        <v>0</v>
      </c>
      <c r="V256" s="214">
        <f>+U256+V255</f>
        <v>0</v>
      </c>
      <c r="W256" s="214">
        <f>+W255</f>
        <v>0</v>
      </c>
      <c r="X256" s="214">
        <f>+W256+X255</f>
        <v>0</v>
      </c>
      <c r="Y256" s="214">
        <f>+Y255</f>
        <v>0</v>
      </c>
      <c r="Z256" s="214">
        <f>+Y256+Z255</f>
        <v>0</v>
      </c>
      <c r="AA256" s="214">
        <f>+AA255</f>
        <v>0</v>
      </c>
      <c r="AB256" s="214">
        <f>+AA256+AB255</f>
        <v>0</v>
      </c>
      <c r="AC256" s="214">
        <f>+AC255</f>
        <v>0</v>
      </c>
      <c r="AD256" s="214">
        <f>+AC256+AD255</f>
        <v>0</v>
      </c>
      <c r="AE256" s="214">
        <f>+AE255</f>
        <v>0</v>
      </c>
      <c r="AF256" s="214">
        <f t="shared" ref="AF256:BF256" si="1042">+AE256+AF255</f>
        <v>0</v>
      </c>
      <c r="AG256" s="214">
        <f t="shared" si="1042"/>
        <v>0</v>
      </c>
      <c r="AH256" s="214">
        <f t="shared" si="1042"/>
        <v>0</v>
      </c>
      <c r="AI256" s="214">
        <f t="shared" si="1042"/>
        <v>0</v>
      </c>
      <c r="AJ256" s="214">
        <f t="shared" si="1042"/>
        <v>0</v>
      </c>
      <c r="AK256" s="214">
        <f t="shared" si="1042"/>
        <v>0</v>
      </c>
      <c r="AL256" s="214">
        <f t="shared" si="1042"/>
        <v>0</v>
      </c>
      <c r="AM256" s="214">
        <f t="shared" si="1042"/>
        <v>0</v>
      </c>
      <c r="AN256" s="214">
        <f t="shared" si="1042"/>
        <v>0</v>
      </c>
      <c r="AO256" s="214">
        <f t="shared" si="1042"/>
        <v>0</v>
      </c>
      <c r="AP256" s="214">
        <f t="shared" si="1042"/>
        <v>0</v>
      </c>
      <c r="AQ256" s="214">
        <f t="shared" si="1042"/>
        <v>0</v>
      </c>
      <c r="AR256" s="214">
        <f t="shared" si="1042"/>
        <v>0</v>
      </c>
      <c r="AS256" s="214">
        <f t="shared" si="1042"/>
        <v>0</v>
      </c>
      <c r="AT256" s="214">
        <f t="shared" si="1042"/>
        <v>0</v>
      </c>
      <c r="AU256" s="214">
        <f t="shared" si="1042"/>
        <v>0</v>
      </c>
      <c r="AV256" s="214">
        <f t="shared" si="1042"/>
        <v>0</v>
      </c>
      <c r="AW256" s="214">
        <f t="shared" si="1042"/>
        <v>0</v>
      </c>
      <c r="AX256" s="214">
        <f>AX188</f>
        <v>0</v>
      </c>
      <c r="AY256" s="214">
        <f>AY188</f>
        <v>0</v>
      </c>
      <c r="AZ256" s="214">
        <f t="shared" ref="AZ256:BE256" si="1043">AZ188</f>
        <v>19083</v>
      </c>
      <c r="BA256" s="214">
        <f t="shared" si="1043"/>
        <v>0</v>
      </c>
      <c r="BB256" s="214">
        <f t="shared" si="1043"/>
        <v>8875</v>
      </c>
      <c r="BC256" s="214">
        <f t="shared" si="1043"/>
        <v>0</v>
      </c>
      <c r="BD256" s="214">
        <f t="shared" si="1043"/>
        <v>0</v>
      </c>
      <c r="BE256" s="214">
        <f t="shared" si="1043"/>
        <v>0</v>
      </c>
      <c r="BF256" s="214">
        <f t="shared" si="1042"/>
        <v>0</v>
      </c>
      <c r="BG256" s="214">
        <f t="shared" ref="BG256:BR256" si="1044">BG188</f>
        <v>0</v>
      </c>
      <c r="BH256" s="214">
        <f t="shared" si="1044"/>
        <v>0</v>
      </c>
      <c r="BI256" s="214">
        <f t="shared" si="1044"/>
        <v>0</v>
      </c>
      <c r="BJ256" s="214">
        <f t="shared" si="1044"/>
        <v>0</v>
      </c>
      <c r="BK256" s="214">
        <f t="shared" si="1044"/>
        <v>0</v>
      </c>
      <c r="BL256" s="214">
        <f t="shared" si="1044"/>
        <v>0</v>
      </c>
      <c r="BM256" s="214">
        <f t="shared" si="1044"/>
        <v>0</v>
      </c>
      <c r="BN256" s="214">
        <f t="shared" si="1044"/>
        <v>0</v>
      </c>
      <c r="BO256" s="214">
        <f t="shared" si="1044"/>
        <v>0</v>
      </c>
      <c r="BP256" s="214">
        <f t="shared" si="1044"/>
        <v>0</v>
      </c>
      <c r="BQ256" s="214">
        <f t="shared" si="1044"/>
        <v>0</v>
      </c>
      <c r="BR256" s="214">
        <f t="shared" si="1044"/>
        <v>0</v>
      </c>
      <c r="BS256" s="214">
        <f t="shared" ref="BS256:CL256" si="1045">+BR256+BS255</f>
        <v>0</v>
      </c>
      <c r="BT256" s="214">
        <f t="shared" si="1045"/>
        <v>0</v>
      </c>
      <c r="BU256" s="214">
        <f t="shared" si="1045"/>
        <v>0</v>
      </c>
      <c r="BV256" s="214">
        <f t="shared" si="1045"/>
        <v>0</v>
      </c>
      <c r="BW256" s="214">
        <f t="shared" si="1045"/>
        <v>0</v>
      </c>
      <c r="BX256" s="214">
        <f t="shared" si="1045"/>
        <v>0</v>
      </c>
      <c r="BY256" s="214">
        <f t="shared" si="1045"/>
        <v>0</v>
      </c>
      <c r="BZ256" s="214">
        <f t="shared" si="1045"/>
        <v>0</v>
      </c>
      <c r="CA256" s="214">
        <f t="shared" si="1045"/>
        <v>0</v>
      </c>
      <c r="CB256" s="214">
        <f t="shared" si="1045"/>
        <v>0</v>
      </c>
      <c r="CC256" s="214">
        <f t="shared" si="1045"/>
        <v>0</v>
      </c>
      <c r="CD256" s="214">
        <f t="shared" si="1045"/>
        <v>0</v>
      </c>
      <c r="CE256" s="214">
        <f t="shared" si="1045"/>
        <v>0</v>
      </c>
      <c r="CF256" s="214">
        <f t="shared" si="1045"/>
        <v>0</v>
      </c>
      <c r="CG256" s="214">
        <f t="shared" si="1045"/>
        <v>0</v>
      </c>
      <c r="CH256" s="214">
        <f t="shared" si="1045"/>
        <v>0</v>
      </c>
      <c r="CI256" s="214">
        <f t="shared" si="1045"/>
        <v>0</v>
      </c>
      <c r="CJ256" s="214">
        <f t="shared" si="1045"/>
        <v>0</v>
      </c>
      <c r="CK256" s="214">
        <f t="shared" si="1045"/>
        <v>0</v>
      </c>
      <c r="CL256" s="214">
        <f t="shared" si="1045"/>
        <v>0</v>
      </c>
      <c r="CM256" s="214">
        <f t="shared" ref="CM256:DF256" si="1046">+CL256+CM255</f>
        <v>0</v>
      </c>
      <c r="CN256" s="214">
        <f t="shared" si="1046"/>
        <v>0</v>
      </c>
      <c r="CO256" s="214">
        <f t="shared" si="1046"/>
        <v>0</v>
      </c>
      <c r="CP256" s="214">
        <f t="shared" si="1046"/>
        <v>0</v>
      </c>
      <c r="CQ256" s="214">
        <f t="shared" si="1046"/>
        <v>0</v>
      </c>
      <c r="CR256" s="214">
        <f t="shared" si="1046"/>
        <v>0</v>
      </c>
      <c r="CS256" s="214">
        <f t="shared" si="1046"/>
        <v>0</v>
      </c>
      <c r="CT256" s="214">
        <f t="shared" si="1046"/>
        <v>0</v>
      </c>
      <c r="CU256" s="214">
        <f t="shared" si="1046"/>
        <v>0</v>
      </c>
      <c r="CV256" s="214">
        <f t="shared" si="1046"/>
        <v>0</v>
      </c>
      <c r="CW256" s="214">
        <f t="shared" si="1046"/>
        <v>0</v>
      </c>
      <c r="CX256" s="214">
        <f t="shared" si="1046"/>
        <v>0</v>
      </c>
      <c r="CY256" s="214">
        <f t="shared" si="1046"/>
        <v>0</v>
      </c>
      <c r="CZ256" s="214">
        <f t="shared" si="1046"/>
        <v>0</v>
      </c>
      <c r="DA256" s="214">
        <f t="shared" si="1046"/>
        <v>0</v>
      </c>
      <c r="DB256" s="214">
        <f t="shared" si="1046"/>
        <v>0</v>
      </c>
      <c r="DC256" s="214">
        <f t="shared" si="1046"/>
        <v>0</v>
      </c>
      <c r="DD256" s="214">
        <f t="shared" si="1046"/>
        <v>0</v>
      </c>
      <c r="DE256" s="214">
        <f t="shared" si="1046"/>
        <v>0</v>
      </c>
      <c r="DF256" s="214">
        <f t="shared" si="1046"/>
        <v>0</v>
      </c>
      <c r="DG256" s="214">
        <f>+BS256+DG255</f>
        <v>0</v>
      </c>
    </row>
    <row r="257" spans="5:111" hidden="1">
      <c r="E257" s="65" t="s">
        <v>92</v>
      </c>
      <c r="F257" s="66" t="s">
        <v>83</v>
      </c>
      <c r="G257" s="214">
        <f>+G256*12%/12</f>
        <v>0</v>
      </c>
      <c r="H257" s="214">
        <f t="shared" ref="H257:O257" si="1047">+H256*12%/12</f>
        <v>0</v>
      </c>
      <c r="I257" s="214">
        <f t="shared" si="1047"/>
        <v>0</v>
      </c>
      <c r="J257" s="214">
        <f t="shared" si="1047"/>
        <v>0</v>
      </c>
      <c r="K257" s="214">
        <f t="shared" si="1047"/>
        <v>0</v>
      </c>
      <c r="L257" s="214">
        <f t="shared" si="1047"/>
        <v>0</v>
      </c>
      <c r="M257" s="214">
        <f t="shared" si="1047"/>
        <v>0</v>
      </c>
      <c r="N257" s="214">
        <f t="shared" si="1047"/>
        <v>0</v>
      </c>
      <c r="O257" s="214">
        <f t="shared" si="1047"/>
        <v>0</v>
      </c>
      <c r="P257" s="214">
        <f>+O256*12%/12</f>
        <v>0</v>
      </c>
      <c r="Q257" s="214">
        <f t="shared" ref="Q257:AD257" si="1048">+P256*12%/12</f>
        <v>0</v>
      </c>
      <c r="R257" s="214">
        <f t="shared" si="1048"/>
        <v>0</v>
      </c>
      <c r="S257" s="214">
        <f t="shared" si="1048"/>
        <v>0</v>
      </c>
      <c r="T257" s="214">
        <f t="shared" si="1048"/>
        <v>0</v>
      </c>
      <c r="U257" s="214">
        <f t="shared" si="1048"/>
        <v>0</v>
      </c>
      <c r="V257" s="214">
        <f t="shared" si="1048"/>
        <v>0</v>
      </c>
      <c r="W257" s="214">
        <f t="shared" si="1048"/>
        <v>0</v>
      </c>
      <c r="X257" s="214">
        <f t="shared" si="1048"/>
        <v>0</v>
      </c>
      <c r="Y257" s="214">
        <f t="shared" si="1048"/>
        <v>0</v>
      </c>
      <c r="Z257" s="214">
        <f t="shared" si="1048"/>
        <v>0</v>
      </c>
      <c r="AA257" s="214">
        <f t="shared" si="1048"/>
        <v>0</v>
      </c>
      <c r="AB257" s="214">
        <f t="shared" si="1048"/>
        <v>0</v>
      </c>
      <c r="AC257" s="214">
        <f t="shared" si="1048"/>
        <v>0</v>
      </c>
      <c r="AD257" s="214">
        <f t="shared" si="1048"/>
        <v>0</v>
      </c>
      <c r="AE257" s="214">
        <f>+AD256*12%/12</f>
        <v>0</v>
      </c>
      <c r="AF257" s="214">
        <f>+AE256*12%/12</f>
        <v>0</v>
      </c>
      <c r="AG257" s="214">
        <f t="shared" ref="AG257:AW257" si="1049">+AF256*12%/12</f>
        <v>0</v>
      </c>
      <c r="AH257" s="214">
        <f t="shared" si="1049"/>
        <v>0</v>
      </c>
      <c r="AI257" s="214">
        <f t="shared" si="1049"/>
        <v>0</v>
      </c>
      <c r="AJ257" s="214">
        <f t="shared" si="1049"/>
        <v>0</v>
      </c>
      <c r="AK257" s="214">
        <f t="shared" si="1049"/>
        <v>0</v>
      </c>
      <c r="AL257" s="214">
        <f t="shared" si="1049"/>
        <v>0</v>
      </c>
      <c r="AM257" s="214">
        <f t="shared" si="1049"/>
        <v>0</v>
      </c>
      <c r="AN257" s="214">
        <f t="shared" si="1049"/>
        <v>0</v>
      </c>
      <c r="AO257" s="214">
        <f t="shared" si="1049"/>
        <v>0</v>
      </c>
      <c r="AP257" s="214">
        <f t="shared" si="1049"/>
        <v>0</v>
      </c>
      <c r="AQ257" s="214">
        <f t="shared" si="1049"/>
        <v>0</v>
      </c>
      <c r="AR257" s="214">
        <f t="shared" si="1049"/>
        <v>0</v>
      </c>
      <c r="AS257" s="214">
        <f t="shared" si="1049"/>
        <v>0</v>
      </c>
      <c r="AT257" s="214">
        <f t="shared" si="1049"/>
        <v>0</v>
      </c>
      <c r="AU257" s="214">
        <f t="shared" si="1049"/>
        <v>0</v>
      </c>
      <c r="AV257" s="214">
        <f t="shared" si="1049"/>
        <v>0</v>
      </c>
      <c r="AW257" s="214">
        <f t="shared" si="1049"/>
        <v>0</v>
      </c>
      <c r="AX257" s="214">
        <f>AX256</f>
        <v>0</v>
      </c>
      <c r="AY257" s="214">
        <f>AX257+AY256</f>
        <v>0</v>
      </c>
      <c r="AZ257" s="214">
        <f t="shared" ref="AZ257:BE257" si="1050">AY257+AZ256</f>
        <v>19083</v>
      </c>
      <c r="BA257" s="214">
        <f t="shared" si="1050"/>
        <v>19083</v>
      </c>
      <c r="BB257" s="214">
        <f t="shared" si="1050"/>
        <v>27958</v>
      </c>
      <c r="BC257" s="214">
        <f t="shared" si="1050"/>
        <v>27958</v>
      </c>
      <c r="BD257" s="214">
        <f t="shared" si="1050"/>
        <v>27958</v>
      </c>
      <c r="BE257" s="214">
        <f t="shared" si="1050"/>
        <v>27958</v>
      </c>
      <c r="BF257" s="214"/>
      <c r="BG257" s="214">
        <f>BE257</f>
        <v>27958</v>
      </c>
      <c r="BH257" s="214">
        <f t="shared" ref="BH257" si="1051">BG257+BH256</f>
        <v>27958</v>
      </c>
      <c r="BI257" s="214">
        <f t="shared" ref="BI257" si="1052">BH257+BI256</f>
        <v>27958</v>
      </c>
      <c r="BJ257" s="214">
        <f t="shared" ref="BJ257" si="1053">BI257+BJ256</f>
        <v>27958</v>
      </c>
      <c r="BK257" s="214">
        <f t="shared" ref="BK257" si="1054">BJ257+BK256</f>
        <v>27958</v>
      </c>
      <c r="BL257" s="214">
        <f t="shared" ref="BL257" si="1055">BK257+BL256</f>
        <v>27958</v>
      </c>
      <c r="BM257" s="214">
        <f t="shared" ref="BM257" si="1056">BL257+BM256</f>
        <v>27958</v>
      </c>
      <c r="BN257" s="214">
        <f t="shared" ref="BN257" si="1057">BM257+BN256</f>
        <v>27958</v>
      </c>
      <c r="BO257" s="214">
        <f t="shared" ref="BO257" si="1058">BN257+BO256</f>
        <v>27958</v>
      </c>
      <c r="BP257" s="214">
        <f t="shared" ref="BP257" si="1059">BO257+BP256</f>
        <v>27958</v>
      </c>
      <c r="BQ257" s="214">
        <f t="shared" ref="BQ257" si="1060">BP257+BQ256</f>
        <v>27958</v>
      </c>
      <c r="BR257" s="214">
        <f t="shared" ref="BR257" si="1061">BQ257+BR256</f>
        <v>27958</v>
      </c>
      <c r="BS257" s="214"/>
      <c r="BT257" s="214">
        <f>BR257</f>
        <v>27958</v>
      </c>
      <c r="BU257" s="214">
        <f t="shared" ref="BU257" si="1062">BT257+BU256</f>
        <v>27958</v>
      </c>
      <c r="BV257" s="214">
        <f t="shared" ref="BV257" si="1063">BU257+BV256</f>
        <v>27958</v>
      </c>
      <c r="BW257" s="214">
        <f t="shared" ref="BW257" si="1064">BV257+BW256</f>
        <v>27958</v>
      </c>
      <c r="BX257" s="214">
        <f t="shared" ref="BX257" si="1065">BW257+BX256</f>
        <v>27958</v>
      </c>
      <c r="BY257" s="214">
        <f t="shared" ref="BY257" si="1066">BX257+BY256</f>
        <v>27958</v>
      </c>
      <c r="BZ257" s="214">
        <v>0</v>
      </c>
      <c r="CA257" s="214">
        <v>0</v>
      </c>
      <c r="CB257" s="214">
        <f t="shared" ref="CB257" si="1067">CA257+CB256</f>
        <v>0</v>
      </c>
      <c r="CC257" s="214">
        <f t="shared" ref="CC257" si="1068">CB257+CC256</f>
        <v>0</v>
      </c>
      <c r="CD257" s="214">
        <f t="shared" ref="CD257" si="1069">CC257+CD256</f>
        <v>0</v>
      </c>
      <c r="CE257" s="214">
        <f t="shared" ref="CE257" si="1070">CD257+CE256</f>
        <v>0</v>
      </c>
      <c r="CF257" s="214"/>
      <c r="CG257" s="214">
        <f>CE257</f>
        <v>0</v>
      </c>
      <c r="CH257" s="214">
        <f t="shared" ref="CH257" si="1071">CG257+CH256</f>
        <v>0</v>
      </c>
      <c r="CI257" s="214">
        <f t="shared" ref="CI257" si="1072">CH257+CI256</f>
        <v>0</v>
      </c>
      <c r="CJ257" s="214">
        <f t="shared" ref="CJ257" si="1073">CI257+CJ256</f>
        <v>0</v>
      </c>
      <c r="CK257" s="214">
        <f t="shared" ref="CK257" si="1074">CJ257+CK256</f>
        <v>0</v>
      </c>
      <c r="CL257" s="214">
        <f t="shared" ref="CL257" si="1075">CK257+CL256</f>
        <v>0</v>
      </c>
      <c r="CM257" s="214">
        <f t="shared" ref="CM257" si="1076">CL257+CM256</f>
        <v>0</v>
      </c>
      <c r="CN257" s="214">
        <f t="shared" ref="CN257" si="1077">CM257+CN256</f>
        <v>0</v>
      </c>
      <c r="CO257" s="214">
        <f t="shared" ref="CO257" si="1078">CN257+CO256</f>
        <v>0</v>
      </c>
      <c r="CP257" s="214">
        <f t="shared" ref="CP257" si="1079">CO257+CP256</f>
        <v>0</v>
      </c>
      <c r="CQ257" s="214">
        <f t="shared" ref="CQ257" si="1080">CP257+CQ256</f>
        <v>0</v>
      </c>
      <c r="CR257" s="214">
        <f t="shared" ref="CR257" si="1081">CQ257+CR256</f>
        <v>0</v>
      </c>
      <c r="CS257" s="214"/>
      <c r="CT257" s="214">
        <f>CR257</f>
        <v>0</v>
      </c>
      <c r="CU257" s="214">
        <f t="shared" ref="CU257" si="1082">CT257+CU256</f>
        <v>0</v>
      </c>
      <c r="CV257" s="214">
        <f t="shared" ref="CV257" si="1083">CU257+CV256</f>
        <v>0</v>
      </c>
      <c r="CW257" s="214">
        <f t="shared" ref="CW257" si="1084">CV257+CW256</f>
        <v>0</v>
      </c>
      <c r="CX257" s="214">
        <f t="shared" ref="CX257" si="1085">CW257+CX256</f>
        <v>0</v>
      </c>
      <c r="CY257" s="214">
        <f t="shared" ref="CY257" si="1086">CX257+CY256</f>
        <v>0</v>
      </c>
      <c r="CZ257" s="214">
        <f t="shared" ref="CZ257" si="1087">CY257+CZ256</f>
        <v>0</v>
      </c>
      <c r="DA257" s="214">
        <f t="shared" ref="DA257" si="1088">CZ257+DA256</f>
        <v>0</v>
      </c>
      <c r="DB257" s="214">
        <f t="shared" ref="DB257" si="1089">DA257+DB256</f>
        <v>0</v>
      </c>
      <c r="DC257" s="214">
        <f t="shared" ref="DC257" si="1090">DB257+DC256</f>
        <v>0</v>
      </c>
      <c r="DD257" s="214">
        <f t="shared" ref="DD257" si="1091">DC257+DD256</f>
        <v>0</v>
      </c>
      <c r="DE257" s="214">
        <f t="shared" ref="DE257" si="1092">DD257+DE256</f>
        <v>0</v>
      </c>
      <c r="DF257" s="214"/>
      <c r="DG257" s="214">
        <v>0</v>
      </c>
    </row>
    <row r="258" spans="5:111" hidden="1">
      <c r="E258" s="583" t="s">
        <v>83</v>
      </c>
      <c r="F258" s="583"/>
      <c r="G258" s="134">
        <f t="shared" ref="G258:AW258" si="1093">+G253+G256</f>
        <v>0</v>
      </c>
      <c r="H258" s="134">
        <f t="shared" si="1093"/>
        <v>0</v>
      </c>
      <c r="I258" s="134">
        <f t="shared" si="1093"/>
        <v>0</v>
      </c>
      <c r="J258" s="134">
        <f t="shared" si="1093"/>
        <v>0</v>
      </c>
      <c r="K258" s="134">
        <f t="shared" si="1093"/>
        <v>0</v>
      </c>
      <c r="L258" s="134">
        <f t="shared" si="1093"/>
        <v>0</v>
      </c>
      <c r="M258" s="134">
        <f t="shared" si="1093"/>
        <v>0</v>
      </c>
      <c r="N258" s="134">
        <f t="shared" si="1093"/>
        <v>0</v>
      </c>
      <c r="O258" s="134">
        <f t="shared" si="1093"/>
        <v>0</v>
      </c>
      <c r="P258" s="134">
        <f t="shared" si="1093"/>
        <v>0</v>
      </c>
      <c r="Q258" s="134">
        <f t="shared" si="1093"/>
        <v>0</v>
      </c>
      <c r="R258" s="134">
        <f t="shared" si="1093"/>
        <v>0</v>
      </c>
      <c r="S258" s="134">
        <f t="shared" si="1093"/>
        <v>0</v>
      </c>
      <c r="T258" s="134">
        <f t="shared" si="1093"/>
        <v>0</v>
      </c>
      <c r="U258" s="134">
        <f t="shared" si="1093"/>
        <v>0</v>
      </c>
      <c r="V258" s="134">
        <f t="shared" si="1093"/>
        <v>0</v>
      </c>
      <c r="W258" s="134">
        <f t="shared" si="1093"/>
        <v>0</v>
      </c>
      <c r="X258" s="134">
        <f t="shared" si="1093"/>
        <v>0</v>
      </c>
      <c r="Y258" s="134">
        <f t="shared" si="1093"/>
        <v>0</v>
      </c>
      <c r="Z258" s="134">
        <f t="shared" si="1093"/>
        <v>0</v>
      </c>
      <c r="AA258" s="134">
        <f t="shared" si="1093"/>
        <v>0</v>
      </c>
      <c r="AB258" s="134">
        <f t="shared" si="1093"/>
        <v>0</v>
      </c>
      <c r="AC258" s="134">
        <f t="shared" si="1093"/>
        <v>0</v>
      </c>
      <c r="AD258" s="134">
        <f t="shared" si="1093"/>
        <v>0</v>
      </c>
      <c r="AE258" s="134">
        <f t="shared" si="1093"/>
        <v>0</v>
      </c>
      <c r="AF258" s="134">
        <f t="shared" si="1093"/>
        <v>0</v>
      </c>
      <c r="AG258" s="134">
        <f t="shared" si="1093"/>
        <v>0</v>
      </c>
      <c r="AH258" s="134">
        <f t="shared" si="1093"/>
        <v>0</v>
      </c>
      <c r="AI258" s="134">
        <f t="shared" si="1093"/>
        <v>0</v>
      </c>
      <c r="AJ258" s="134">
        <f t="shared" si="1093"/>
        <v>0</v>
      </c>
      <c r="AK258" s="134">
        <f t="shared" si="1093"/>
        <v>0</v>
      </c>
      <c r="AL258" s="134">
        <f t="shared" si="1093"/>
        <v>0</v>
      </c>
      <c r="AM258" s="134">
        <f t="shared" si="1093"/>
        <v>0</v>
      </c>
      <c r="AN258" s="134">
        <f t="shared" si="1093"/>
        <v>0</v>
      </c>
      <c r="AO258" s="134">
        <f t="shared" si="1093"/>
        <v>0</v>
      </c>
      <c r="AP258" s="134">
        <f t="shared" si="1093"/>
        <v>0</v>
      </c>
      <c r="AQ258" s="134">
        <f t="shared" si="1093"/>
        <v>0</v>
      </c>
      <c r="AR258" s="134">
        <f t="shared" si="1093"/>
        <v>0</v>
      </c>
      <c r="AS258" s="134">
        <f t="shared" si="1093"/>
        <v>0</v>
      </c>
      <c r="AT258" s="134">
        <f t="shared" si="1093"/>
        <v>0</v>
      </c>
      <c r="AU258" s="134">
        <f t="shared" si="1093"/>
        <v>0</v>
      </c>
      <c r="AV258" s="134">
        <f t="shared" si="1093"/>
        <v>0</v>
      </c>
      <c r="AW258" s="134">
        <f t="shared" si="1093"/>
        <v>0</v>
      </c>
      <c r="AX258" s="134"/>
      <c r="AY258" s="134">
        <f>AX257*7%/12</f>
        <v>0</v>
      </c>
      <c r="AZ258" s="134">
        <f t="shared" ref="AZ258:BY258" si="1094">AY257*7%/12</f>
        <v>0</v>
      </c>
      <c r="BA258" s="134">
        <f t="shared" si="1094"/>
        <v>111.31750000000001</v>
      </c>
      <c r="BB258" s="134">
        <f t="shared" si="1094"/>
        <v>111.31750000000001</v>
      </c>
      <c r="BC258" s="134">
        <f t="shared" si="1094"/>
        <v>163.08833333333334</v>
      </c>
      <c r="BD258" s="134">
        <f t="shared" si="1094"/>
        <v>163.08833333333334</v>
      </c>
      <c r="BE258" s="134">
        <f t="shared" si="1094"/>
        <v>163.08833333333334</v>
      </c>
      <c r="BF258" s="134">
        <f>SUM(AT258:BE258)</f>
        <v>711.90000000000009</v>
      </c>
      <c r="BG258" s="134">
        <f>BE257*7%/12</f>
        <v>163.08833333333334</v>
      </c>
      <c r="BH258" s="134">
        <f t="shared" si="1094"/>
        <v>163.08833333333334</v>
      </c>
      <c r="BI258" s="134">
        <f t="shared" si="1094"/>
        <v>163.08833333333334</v>
      </c>
      <c r="BJ258" s="134">
        <f t="shared" si="1094"/>
        <v>163.08833333333334</v>
      </c>
      <c r="BK258" s="134">
        <f t="shared" si="1094"/>
        <v>163.08833333333334</v>
      </c>
      <c r="BL258" s="134">
        <f t="shared" si="1094"/>
        <v>163.08833333333334</v>
      </c>
      <c r="BM258" s="134">
        <f t="shared" si="1094"/>
        <v>163.08833333333334</v>
      </c>
      <c r="BN258" s="134">
        <f t="shared" si="1094"/>
        <v>163.08833333333334</v>
      </c>
      <c r="BO258" s="134">
        <f t="shared" si="1094"/>
        <v>163.08833333333334</v>
      </c>
      <c r="BP258" s="134">
        <f t="shared" si="1094"/>
        <v>163.08833333333334</v>
      </c>
      <c r="BQ258" s="134">
        <f t="shared" si="1094"/>
        <v>163.08833333333334</v>
      </c>
      <c r="BR258" s="134">
        <f t="shared" si="1094"/>
        <v>163.08833333333334</v>
      </c>
      <c r="BS258" s="134">
        <f>SUM(BG258:BR258)</f>
        <v>1957.0600000000002</v>
      </c>
      <c r="BT258" s="134">
        <f>BR257*7%/12</f>
        <v>163.08833333333334</v>
      </c>
      <c r="BU258" s="134">
        <f t="shared" si="1094"/>
        <v>163.08833333333334</v>
      </c>
      <c r="BV258" s="134">
        <f t="shared" si="1094"/>
        <v>163.08833333333334</v>
      </c>
      <c r="BW258" s="134">
        <f t="shared" si="1094"/>
        <v>163.08833333333334</v>
      </c>
      <c r="BX258" s="134">
        <f t="shared" si="1094"/>
        <v>163.08833333333334</v>
      </c>
      <c r="BY258" s="134">
        <f t="shared" si="1094"/>
        <v>163.08833333333334</v>
      </c>
      <c r="BZ258" s="134"/>
      <c r="CA258" s="134">
        <f t="shared" ref="CA258:CE258" si="1095">BZ257*12%/12</f>
        <v>0</v>
      </c>
      <c r="CB258" s="134">
        <f t="shared" si="1095"/>
        <v>0</v>
      </c>
      <c r="CC258" s="134">
        <f t="shared" si="1095"/>
        <v>0</v>
      </c>
      <c r="CD258" s="134">
        <f t="shared" si="1095"/>
        <v>0</v>
      </c>
      <c r="CE258" s="134">
        <f t="shared" si="1095"/>
        <v>0</v>
      </c>
      <c r="CF258" s="134">
        <f>SUM(BT258:CE258)</f>
        <v>978.53000000000009</v>
      </c>
      <c r="CG258" s="134">
        <f>CE257*12%/12</f>
        <v>0</v>
      </c>
      <c r="CH258" s="134">
        <f t="shared" ref="CH258:CR258" si="1096">CG257*12%/12</f>
        <v>0</v>
      </c>
      <c r="CI258" s="134">
        <f t="shared" si="1096"/>
        <v>0</v>
      </c>
      <c r="CJ258" s="134">
        <f t="shared" si="1096"/>
        <v>0</v>
      </c>
      <c r="CK258" s="134">
        <f t="shared" si="1096"/>
        <v>0</v>
      </c>
      <c r="CL258" s="134">
        <f t="shared" si="1096"/>
        <v>0</v>
      </c>
      <c r="CM258" s="134">
        <f t="shared" si="1096"/>
        <v>0</v>
      </c>
      <c r="CN258" s="134">
        <f t="shared" si="1096"/>
        <v>0</v>
      </c>
      <c r="CO258" s="134">
        <f t="shared" si="1096"/>
        <v>0</v>
      </c>
      <c r="CP258" s="134">
        <f t="shared" si="1096"/>
        <v>0</v>
      </c>
      <c r="CQ258" s="134">
        <f t="shared" si="1096"/>
        <v>0</v>
      </c>
      <c r="CR258" s="134">
        <f t="shared" si="1096"/>
        <v>0</v>
      </c>
      <c r="CS258" s="134">
        <f>+CS253+CS256</f>
        <v>0</v>
      </c>
      <c r="CT258" s="134">
        <f>CR257*12%/12</f>
        <v>0</v>
      </c>
      <c r="CU258" s="134">
        <f t="shared" ref="CU258:DE258" si="1097">CT257*12%/12</f>
        <v>0</v>
      </c>
      <c r="CV258" s="134">
        <f t="shared" si="1097"/>
        <v>0</v>
      </c>
      <c r="CW258" s="134">
        <f t="shared" si="1097"/>
        <v>0</v>
      </c>
      <c r="CX258" s="134">
        <f t="shared" si="1097"/>
        <v>0</v>
      </c>
      <c r="CY258" s="134">
        <f t="shared" si="1097"/>
        <v>0</v>
      </c>
      <c r="CZ258" s="134">
        <f t="shared" si="1097"/>
        <v>0</v>
      </c>
      <c r="DA258" s="134">
        <f t="shared" si="1097"/>
        <v>0</v>
      </c>
      <c r="DB258" s="134">
        <f t="shared" si="1097"/>
        <v>0</v>
      </c>
      <c r="DC258" s="134">
        <f t="shared" si="1097"/>
        <v>0</v>
      </c>
      <c r="DD258" s="134">
        <f t="shared" si="1097"/>
        <v>0</v>
      </c>
      <c r="DE258" s="134">
        <f t="shared" si="1097"/>
        <v>0</v>
      </c>
      <c r="DF258" s="134">
        <f>+DF253+DF256</f>
        <v>0</v>
      </c>
      <c r="DG258" s="134">
        <f>+DG253+DG256</f>
        <v>0</v>
      </c>
    </row>
    <row r="259" spans="5:111" hidden="1"/>
    <row r="260" spans="5:111" hidden="1">
      <c r="G260" s="227"/>
    </row>
    <row r="261" spans="5:111" hidden="1">
      <c r="G261" s="227"/>
    </row>
    <row r="262" spans="5:111" hidden="1">
      <c r="G262" s="227"/>
    </row>
    <row r="263" spans="5:111" hidden="1">
      <c r="E263" s="65" t="s">
        <v>353</v>
      </c>
      <c r="AT263" s="227">
        <f>51991010612/9*12/26000/1000</f>
        <v>2666.2056724102567</v>
      </c>
      <c r="AW263" s="227">
        <f>(SUM(AT6:AV6)/1.08+SUM(AT237:AV237))*20%</f>
        <v>1483.6312110393958</v>
      </c>
      <c r="AZ263" s="227">
        <f>((SUM(AW6:AY6)-AY46)/1.08+SUM(AW237:AY237))*20%</f>
        <v>-2153.7456241426489</v>
      </c>
      <c r="BC263" s="227">
        <f>((SUM(AZ6:BB6)-BA37-BB55)/1.08+SUM(AZ237:BB237))*20%</f>
        <v>-2219.092128208918</v>
      </c>
      <c r="BF263" s="227"/>
      <c r="BG263" s="227">
        <f>((SUM(BC6:BE6))/1.08+SUM(BC237:BE237))*20%-200</f>
        <v>-445.31114086227473</v>
      </c>
      <c r="BI263" s="227">
        <v>200</v>
      </c>
      <c r="BJ263" s="227">
        <f>((SUM(BG6:BI6)-BG40)/1.08+SUM(BG237:BI237))*20%</f>
        <v>-992.69413563185935</v>
      </c>
      <c r="BM263" s="227">
        <f>((SUM(BJ6:BL6)-BL28)/1.08+SUM(BJ237:BL237))*20%</f>
        <v>-159.12304147107002</v>
      </c>
      <c r="BP263" s="227">
        <f>((SUM(BM6:BO6))/1.08+SUM(BM237:BO237))*20%</f>
        <v>11804.562289504353</v>
      </c>
      <c r="BS263" s="227">
        <f>((SUM(BP6:BR6))/1.08+SUM(BP237:BR237))*20%</f>
        <v>1700.6668038969672</v>
      </c>
      <c r="BW263" s="227">
        <f>((SUM(BT6:BV6))/1.08+SUM(BT237:BV237))*20%</f>
        <v>1792.221240487961</v>
      </c>
      <c r="BZ263" s="227">
        <f>((SUM(BW6:BY6))/1.08+SUM(BW237:BY237))*20%</f>
        <v>395.86330239251242</v>
      </c>
      <c r="CC263" s="227">
        <f>((SUM(BZ6:CB6))/1.08+SUM(BZ237:CB237))*20%</f>
        <v>-1396.2041558170931</v>
      </c>
      <c r="CF263" s="227">
        <f>((SUM(CC6:CE6))/1.08+SUM(CC237:CE237))*20%</f>
        <v>992.76874258807334</v>
      </c>
      <c r="CG263" s="521"/>
      <c r="CH263" s="521"/>
      <c r="CJ263" s="227">
        <f>((SUM(CG6:CI6))/1.08+SUM(CG237:CI237))*20%</f>
        <v>994.91392403141219</v>
      </c>
      <c r="CM263" s="227">
        <f>((SUM(CJ6:CL6))/1.08+SUM(CJ237:CL237))*20%</f>
        <v>1158.8269336750725</v>
      </c>
      <c r="CP263" s="227">
        <f>((SUM(CM6:CO6))/1.08+SUM(CM237:CO237))*20%</f>
        <v>1168.5596908555378</v>
      </c>
      <c r="CS263" s="227">
        <f>((SUM(CP6:CR6))/1.08+SUM(CP237:CR237))*20%</f>
        <v>893.9237607547044</v>
      </c>
      <c r="CT263" s="521"/>
      <c r="CU263" s="521">
        <f>SUM(CJ263:CS263)-SUM(CJ263:CP263)-CT263</f>
        <v>893.92376075470474</v>
      </c>
      <c r="CW263" s="227">
        <f>((SUM(CT6:CV6))/1.08+SUM(CT237:CV237))*20%</f>
        <v>519.32790537728749</v>
      </c>
      <c r="CZ263" s="227">
        <f>((SUM(CW6:CY6))/1.08+SUM(CW237:CY237))*20%</f>
        <v>656.00815247183482</v>
      </c>
      <c r="DC263" s="227">
        <f>((SUM(CZ6:DB6))/1.08+SUM(CZ237:DB237))*20%</f>
        <v>1465.1435631855104</v>
      </c>
      <c r="DF263" s="227">
        <f>((SUM(DC6:DE6))/1.08+SUM(DC237:DE237))*20%</f>
        <v>1561.2964383181798</v>
      </c>
    </row>
    <row r="264" spans="5:111" hidden="1">
      <c r="BS264" s="227">
        <f>((SUM(BG6:BR6)-BL28-BG40)/1.08+SUM(BG237:BR237))*20%</f>
        <v>12353.411916298392</v>
      </c>
      <c r="CF264" s="227">
        <f>((SUM(BT6:CE6)-BY28-BT40)/1.08+SUM(BT237:CE237))*20%</f>
        <v>1449.9280966524557</v>
      </c>
      <c r="CS264" s="227">
        <f>((SUM(CG6:CR6)-CL28-CG40)/1.08+SUM(CG237:CR237))*20%</f>
        <v>3660.2351613393753</v>
      </c>
    </row>
    <row r="265" spans="5:111" hidden="1">
      <c r="CS265" s="527">
        <f>CS264*0.8</f>
        <v>2928.1881290715005</v>
      </c>
    </row>
    <row r="266" spans="5:111" hidden="1">
      <c r="BG266" t="s">
        <v>363</v>
      </c>
      <c r="BH266" s="134">
        <f>SUM(BG4:BI4)</f>
        <v>51049.589911065457</v>
      </c>
      <c r="BI266" s="227">
        <f>$BI$270*(BH266/$BH$270)</f>
        <v>1046.8601170279237</v>
      </c>
      <c r="BT266" t="s">
        <v>363</v>
      </c>
      <c r="BU266" s="134">
        <f>SUM(BT4:BV4)</f>
        <v>88349.684700440019</v>
      </c>
      <c r="BV266" s="227">
        <f>$BV$270*(BU266/$BU$270)</f>
        <v>2294.3037312474498</v>
      </c>
    </row>
    <row r="267" spans="5:111" hidden="1">
      <c r="BG267" t="s">
        <v>364</v>
      </c>
      <c r="BH267" s="134">
        <f>SUM(BJ4:BL4)</f>
        <v>85453.037938174297</v>
      </c>
      <c r="BI267" s="227">
        <f>$BI$270*(BH267/$BH$270)</f>
        <v>1752.3623099067843</v>
      </c>
      <c r="BT267" t="s">
        <v>364</v>
      </c>
      <c r="BU267" s="134">
        <f>SUM(BW4:BY4)</f>
        <v>79981.018959127439</v>
      </c>
      <c r="BV267" s="227">
        <f>$BV$270*(BU267/$BU$270)</f>
        <v>2076.9825138491437</v>
      </c>
    </row>
    <row r="268" spans="5:111" hidden="1">
      <c r="BG268" t="s">
        <v>365</v>
      </c>
      <c r="BH268" s="134">
        <f>SUM(BM4:BO4)</f>
        <v>158091.71405184822</v>
      </c>
      <c r="BI268" s="227">
        <f>$BI$270*(BH268/$BH$270)</f>
        <v>3241.9439717690911</v>
      </c>
      <c r="BT268" t="s">
        <v>365</v>
      </c>
      <c r="BU268" s="134">
        <f>SUM(BZ4:CB4)</f>
        <v>82249.734013149311</v>
      </c>
      <c r="BV268" s="227">
        <f>$BV$270*(BU268/$BU$270)</f>
        <v>2135.897510900103</v>
      </c>
    </row>
    <row r="269" spans="5:111" hidden="1">
      <c r="BG269" t="s">
        <v>366</v>
      </c>
      <c r="BH269" s="134">
        <f>SUM(BP4:BR4)</f>
        <v>83184.089627864043</v>
      </c>
      <c r="BI269" s="227">
        <f>$BI$270*(BH269/$BH$270)</f>
        <v>1705.8336012962018</v>
      </c>
      <c r="BT269" t="s">
        <v>366</v>
      </c>
      <c r="BU269" s="134">
        <f>SUM(CC4:CE4)</f>
        <v>83401.852889261281</v>
      </c>
      <c r="BV269" s="227">
        <f>$BV$270*(BU269/$BU$270)</f>
        <v>2165.8162440033029</v>
      </c>
    </row>
    <row r="270" spans="5:111" hidden="1">
      <c r="BH270" s="134">
        <f>SUM(BH266:BH269)</f>
        <v>377778.43152895197</v>
      </c>
      <c r="BI270" s="227">
        <v>7747</v>
      </c>
      <c r="BU270" s="134">
        <f>SUM(BU266:BU269)</f>
        <v>333982.29056197806</v>
      </c>
      <c r="BV270" s="227">
        <v>8673</v>
      </c>
    </row>
    <row r="271" spans="5:111" hidden="1"/>
    <row r="272" spans="5:111" hidden="1">
      <c r="AT272" s="134">
        <f>AT225+AT237+AT240</f>
        <v>1019.9235519575764</v>
      </c>
      <c r="AU272" s="134">
        <f t="shared" ref="AU272:BR272" si="1098">AU225+AU237+AU240</f>
        <v>273.43196469911845</v>
      </c>
      <c r="AV272" s="134">
        <f t="shared" si="1098"/>
        <v>521.78919107942045</v>
      </c>
      <c r="AW272" s="134">
        <f t="shared" si="1098"/>
        <v>301.78412470124067</v>
      </c>
      <c r="AX272" s="134">
        <f t="shared" si="1098"/>
        <v>285.33103975336428</v>
      </c>
      <c r="AY272" s="134">
        <f t="shared" si="1098"/>
        <v>516.78927013640839</v>
      </c>
      <c r="AZ272" s="134">
        <f t="shared" si="1098"/>
        <v>222.90329023932296</v>
      </c>
      <c r="BA272" s="134">
        <f t="shared" si="1098"/>
        <v>125.00048659320299</v>
      </c>
      <c r="BB272" s="134">
        <f t="shared" si="1098"/>
        <v>120.77965033895406</v>
      </c>
      <c r="BC272" s="134">
        <f t="shared" si="1098"/>
        <v>86.957883017650047</v>
      </c>
      <c r="BD272" s="134">
        <f t="shared" si="1098"/>
        <v>82.762901414566997</v>
      </c>
      <c r="BE272" s="134">
        <f t="shared" si="1098"/>
        <v>80.760156842386849</v>
      </c>
      <c r="BG272" s="134">
        <f t="shared" si="1098"/>
        <v>78.602054231122523</v>
      </c>
      <c r="BH272" s="134">
        <f t="shared" si="1098"/>
        <v>85.312997760720194</v>
      </c>
      <c r="BI272" s="134">
        <f t="shared" si="1098"/>
        <v>60.30095134104824</v>
      </c>
      <c r="BJ272" s="134">
        <f t="shared" si="1098"/>
        <v>46.440335522193628</v>
      </c>
      <c r="BK272" s="134">
        <f t="shared" si="1098"/>
        <v>65.658878662043577</v>
      </c>
      <c r="BL272" s="134">
        <f t="shared" si="1098"/>
        <v>56.069618240378126</v>
      </c>
      <c r="BM272" s="134">
        <f t="shared" si="1098"/>
        <v>53.086343659099761</v>
      </c>
      <c r="BN272" s="134">
        <f t="shared" si="1098"/>
        <v>65.428230797121088</v>
      </c>
      <c r="BO272" s="134">
        <f t="shared" si="1098"/>
        <v>66.984853058514815</v>
      </c>
      <c r="BP272" s="134">
        <f t="shared" si="1098"/>
        <v>47.734713985102978</v>
      </c>
      <c r="BQ272" s="134">
        <f t="shared" si="1098"/>
        <v>37.948018226860043</v>
      </c>
      <c r="BR272" s="134">
        <f t="shared" si="1098"/>
        <v>48.072189229026925</v>
      </c>
    </row>
    <row r="273" spans="5:5" hidden="1"/>
    <row r="274" spans="5:5" hidden="1"/>
    <row r="275" spans="5:5" hidden="1"/>
    <row r="276" spans="5:5" hidden="1"/>
    <row r="277" spans="5:5" hidden="1">
      <c r="E277" s="65" t="s">
        <v>368</v>
      </c>
    </row>
    <row r="278" spans="5:5" hidden="1"/>
    <row r="290" spans="42:42">
      <c r="AP290">
        <v>1E+100</v>
      </c>
    </row>
    <row r="291" spans="42:42">
      <c r="AP291">
        <v>2.2222222222222198E+109</v>
      </c>
    </row>
  </sheetData>
  <mergeCells count="149">
    <mergeCell ref="B43:B45"/>
    <mergeCell ref="B58:B60"/>
    <mergeCell ref="B61:B63"/>
    <mergeCell ref="B70:B72"/>
    <mergeCell ref="B73:B75"/>
    <mergeCell ref="B76:B78"/>
    <mergeCell ref="B49:B51"/>
    <mergeCell ref="B52:B54"/>
    <mergeCell ref="B64:B66"/>
    <mergeCell ref="B67:B69"/>
    <mergeCell ref="B246:B248"/>
    <mergeCell ref="B243:B245"/>
    <mergeCell ref="B187:B190"/>
    <mergeCell ref="C18:D18"/>
    <mergeCell ref="C105:D105"/>
    <mergeCell ref="C24:D24"/>
    <mergeCell ref="C21:D21"/>
    <mergeCell ref="C109:D109"/>
    <mergeCell ref="C112:D112"/>
    <mergeCell ref="C183:D183"/>
    <mergeCell ref="C145:D145"/>
    <mergeCell ref="C148:D148"/>
    <mergeCell ref="C181:D181"/>
    <mergeCell ref="C121:D121"/>
    <mergeCell ref="C139:D139"/>
    <mergeCell ref="C142:D142"/>
    <mergeCell ref="C169:D169"/>
    <mergeCell ref="B25:B27"/>
    <mergeCell ref="C210:D210"/>
    <mergeCell ref="C212:D212"/>
    <mergeCell ref="C190:D190"/>
    <mergeCell ref="B85:B87"/>
    <mergeCell ref="B37:B39"/>
    <mergeCell ref="B28:B30"/>
    <mergeCell ref="C198:D198"/>
    <mergeCell ref="C184:C185"/>
    <mergeCell ref="C188:C189"/>
    <mergeCell ref="C192:C193"/>
    <mergeCell ref="C187:D187"/>
    <mergeCell ref="C186:D186"/>
    <mergeCell ref="B158:B160"/>
    <mergeCell ref="C160:D160"/>
    <mergeCell ref="B176:B178"/>
    <mergeCell ref="B173:B175"/>
    <mergeCell ref="B170:B172"/>
    <mergeCell ref="B161:B163"/>
    <mergeCell ref="C163:D163"/>
    <mergeCell ref="B164:B166"/>
    <mergeCell ref="C166:D166"/>
    <mergeCell ref="C93:D93"/>
    <mergeCell ref="B100:B102"/>
    <mergeCell ref="C102:D102"/>
    <mergeCell ref="B167:B169"/>
    <mergeCell ref="B103:B105"/>
    <mergeCell ref="B94:B96"/>
    <mergeCell ref="C96:D96"/>
    <mergeCell ref="B97:B99"/>
    <mergeCell ref="C99:D99"/>
    <mergeCell ref="B134:B136"/>
    <mergeCell ref="C136:D136"/>
    <mergeCell ref="A16:A105"/>
    <mergeCell ref="B16:B18"/>
    <mergeCell ref="B19:B21"/>
    <mergeCell ref="A107:A181"/>
    <mergeCell ref="B107:B109"/>
    <mergeCell ref="B110:B112"/>
    <mergeCell ref="B113:B115"/>
    <mergeCell ref="B116:B118"/>
    <mergeCell ref="B119:B121"/>
    <mergeCell ref="B137:B139"/>
    <mergeCell ref="B140:B142"/>
    <mergeCell ref="B143:B145"/>
    <mergeCell ref="B146:B148"/>
    <mergeCell ref="B149:B151"/>
    <mergeCell ref="B179:B181"/>
    <mergeCell ref="B152:B154"/>
    <mergeCell ref="B155:B157"/>
    <mergeCell ref="B22:B24"/>
    <mergeCell ref="B88:B90"/>
    <mergeCell ref="B34:B36"/>
    <mergeCell ref="B40:B42"/>
    <mergeCell ref="B91:B93"/>
    <mergeCell ref="B31:B33"/>
    <mergeCell ref="B55:B57"/>
    <mergeCell ref="E258:F258"/>
    <mergeCell ref="B207:B210"/>
    <mergeCell ref="B191:B194"/>
    <mergeCell ref="B195:B198"/>
    <mergeCell ref="A218:B220"/>
    <mergeCell ref="B231:B233"/>
    <mergeCell ref="C208:C209"/>
    <mergeCell ref="A212:B212"/>
    <mergeCell ref="A214:B216"/>
    <mergeCell ref="A222:A248"/>
    <mergeCell ref="B222:B224"/>
    <mergeCell ref="B225:B227"/>
    <mergeCell ref="B228:B230"/>
    <mergeCell ref="B234:B236"/>
    <mergeCell ref="B237:B239"/>
    <mergeCell ref="B240:B242"/>
    <mergeCell ref="A183:A210"/>
    <mergeCell ref="B183:B186"/>
    <mergeCell ref="E250:E251"/>
    <mergeCell ref="C196:C197"/>
    <mergeCell ref="C195:D195"/>
    <mergeCell ref="C207:D207"/>
    <mergeCell ref="C191:D191"/>
    <mergeCell ref="C194:D194"/>
    <mergeCell ref="A15:B15"/>
    <mergeCell ref="DH2:DJ2"/>
    <mergeCell ref="A3:B3"/>
    <mergeCell ref="A4:B6"/>
    <mergeCell ref="A7:B9"/>
    <mergeCell ref="A10:B13"/>
    <mergeCell ref="C3:D3"/>
    <mergeCell ref="C4:D4"/>
    <mergeCell ref="C6:D6"/>
    <mergeCell ref="C5:D5"/>
    <mergeCell ref="C8:D8"/>
    <mergeCell ref="C7:D7"/>
    <mergeCell ref="C9:D9"/>
    <mergeCell ref="C10:D10"/>
    <mergeCell ref="C11:D11"/>
    <mergeCell ref="C12:D12"/>
    <mergeCell ref="C13:D13"/>
    <mergeCell ref="B199:B202"/>
    <mergeCell ref="C199:D199"/>
    <mergeCell ref="C200:C201"/>
    <mergeCell ref="C202:D202"/>
    <mergeCell ref="B203:B206"/>
    <mergeCell ref="C203:D203"/>
    <mergeCell ref="C204:C205"/>
    <mergeCell ref="C206:D206"/>
    <mergeCell ref="C45:D45"/>
    <mergeCell ref="B46:B48"/>
    <mergeCell ref="C48:D48"/>
    <mergeCell ref="B122:B124"/>
    <mergeCell ref="B125:B127"/>
    <mergeCell ref="B128:B130"/>
    <mergeCell ref="C130:D130"/>
    <mergeCell ref="B131:B133"/>
    <mergeCell ref="C133:D133"/>
    <mergeCell ref="C118:D118"/>
    <mergeCell ref="B79:B81"/>
    <mergeCell ref="B82:B84"/>
    <mergeCell ref="C115:D115"/>
    <mergeCell ref="C157:D157"/>
    <mergeCell ref="C151:D151"/>
    <mergeCell ref="C154:D154"/>
  </mergeCells>
  <phoneticPr fontId="18" type="noConversion"/>
  <printOptions horizontalCentered="1"/>
  <pageMargins left="0.19685039370078741" right="0.19685039370078741" top="0.19685039370078741" bottom="0.19685039370078741" header="0.31496062992125984" footer="0.31496062992125984"/>
  <pageSetup paperSize="8" scale="38" fitToWidth="0" orientation="portrait" r:id="rId1"/>
  <colBreaks count="1" manualBreakCount="1">
    <brk id="71" max="247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A98A0-3FA8-4A4E-A195-9F072C024375}">
  <sheetPr>
    <tabColor rgb="FFC00000"/>
    <pageSetUpPr fitToPage="1"/>
  </sheetPr>
  <dimension ref="A1:DN300"/>
  <sheetViews>
    <sheetView view="pageBreakPreview" zoomScale="70" zoomScaleNormal="100" zoomScaleSheetLayoutView="70" workbookViewId="0">
      <pane xSplit="6" ySplit="15" topLeftCell="BW16" activePane="bottomRight" state="frozen"/>
      <selection pane="topRight" activeCell="F1" sqref="F1"/>
      <selection pane="bottomLeft" activeCell="A9" sqref="A9"/>
      <selection pane="bottomRight" activeCell="CI37" sqref="CI37"/>
    </sheetView>
  </sheetViews>
  <sheetFormatPr defaultColWidth="8.75" defaultRowHeight="16.5" outlineLevelRow="1" outlineLevelCol="1"/>
  <cols>
    <col min="1" max="1" width="6.125" customWidth="1"/>
    <col min="2" max="2" width="17.125" customWidth="1"/>
    <col min="3" max="4" width="12.375" customWidth="1"/>
    <col min="5" max="5" width="12" style="65" customWidth="1"/>
    <col min="6" max="6" width="12.375" style="66" hidden="1" customWidth="1"/>
    <col min="7" max="18" width="8.75" hidden="1" customWidth="1" outlineLevel="1"/>
    <col min="19" max="19" width="8.75" style="65" hidden="1" customWidth="1" outlineLevel="1"/>
    <col min="20" max="22" width="8.75" hidden="1" customWidth="1" outlineLevel="1"/>
    <col min="23" max="23" width="8.75" hidden="1" customWidth="1" collapsed="1"/>
    <col min="24" max="31" width="8.75" hidden="1" customWidth="1"/>
    <col min="32" max="32" width="10.25" style="65" customWidth="1"/>
    <col min="33" max="44" width="8.75" hidden="1" customWidth="1"/>
    <col min="45" max="45" width="10.625" style="65" customWidth="1"/>
    <col min="46" max="57" width="10.75" customWidth="1"/>
    <col min="58" max="58" width="10.25" style="65" customWidth="1"/>
    <col min="59" max="70" width="10.75" customWidth="1"/>
    <col min="71" max="71" width="10.25" style="65" customWidth="1"/>
    <col min="72" max="83" width="10.75" customWidth="1"/>
    <col min="84" max="84" width="10.25" style="65" customWidth="1"/>
    <col min="85" max="96" width="10.75" customWidth="1"/>
    <col min="97" max="97" width="10.25" style="65" customWidth="1"/>
    <col min="98" max="109" width="10.75" customWidth="1"/>
    <col min="110" max="110" width="10.25" style="65" customWidth="1"/>
    <col min="111" max="111" width="10.75" customWidth="1"/>
    <col min="112" max="112" width="13.875" hidden="1" customWidth="1"/>
    <col min="113" max="113" width="11.375" hidden="1" customWidth="1"/>
    <col min="114" max="114" width="9.625" hidden="1" customWidth="1"/>
    <col min="115" max="115" width="8.875" hidden="1" customWidth="1"/>
  </cols>
  <sheetData>
    <row r="1" spans="1:117" ht="39">
      <c r="A1" s="216" t="s">
        <v>104</v>
      </c>
      <c r="H1" s="271"/>
      <c r="I1" s="257"/>
      <c r="AZ1">
        <v>1.08</v>
      </c>
    </row>
    <row r="2" spans="1:117">
      <c r="A2" s="252" t="s">
        <v>71</v>
      </c>
      <c r="BE2" s="57"/>
      <c r="BF2" s="57"/>
      <c r="BR2" s="57"/>
      <c r="BS2" s="57"/>
      <c r="CE2" s="57"/>
      <c r="CF2" s="57"/>
      <c r="CR2" s="57"/>
      <c r="CS2" s="57"/>
      <c r="DE2" s="57"/>
      <c r="DF2" s="57"/>
      <c r="DG2" s="57"/>
      <c r="DH2" s="564" t="s">
        <v>73</v>
      </c>
      <c r="DI2" s="564"/>
      <c r="DJ2" s="564"/>
    </row>
    <row r="3" spans="1:117" s="54" customFormat="1" ht="19.899999999999999" customHeight="1">
      <c r="A3" s="565" t="s">
        <v>4</v>
      </c>
      <c r="B3" s="566"/>
      <c r="C3" s="573" t="s">
        <v>51</v>
      </c>
      <c r="D3" s="574"/>
      <c r="E3" s="76" t="s">
        <v>66</v>
      </c>
      <c r="F3" s="265" t="s">
        <v>61</v>
      </c>
      <c r="G3" s="77">
        <v>44927</v>
      </c>
      <c r="H3" s="77">
        <v>44958</v>
      </c>
      <c r="I3" s="77">
        <v>44986</v>
      </c>
      <c r="J3" s="77">
        <v>45017</v>
      </c>
      <c r="K3" s="77">
        <v>45047</v>
      </c>
      <c r="L3" s="77">
        <v>45078</v>
      </c>
      <c r="M3" s="77">
        <v>45108</v>
      </c>
      <c r="N3" s="77">
        <v>45139</v>
      </c>
      <c r="O3" s="77">
        <v>45170</v>
      </c>
      <c r="P3" s="77">
        <v>45200</v>
      </c>
      <c r="Q3" s="77">
        <v>45231</v>
      </c>
      <c r="R3" s="78">
        <v>45261</v>
      </c>
      <c r="S3" s="79" t="s">
        <v>67</v>
      </c>
      <c r="T3" s="80">
        <v>45292</v>
      </c>
      <c r="U3" s="81">
        <v>45323</v>
      </c>
      <c r="V3" s="81">
        <v>45352</v>
      </c>
      <c r="W3" s="81">
        <v>45383</v>
      </c>
      <c r="X3" s="81">
        <v>45413</v>
      </c>
      <c r="Y3" s="81">
        <v>45444</v>
      </c>
      <c r="Z3" s="81">
        <v>45474</v>
      </c>
      <c r="AA3" s="81">
        <v>45505</v>
      </c>
      <c r="AB3" s="81">
        <v>45536</v>
      </c>
      <c r="AC3" s="81">
        <v>45566</v>
      </c>
      <c r="AD3" s="81">
        <v>45597</v>
      </c>
      <c r="AE3" s="78">
        <v>45627</v>
      </c>
      <c r="AF3" s="79" t="s">
        <v>68</v>
      </c>
      <c r="AG3" s="80">
        <v>45658</v>
      </c>
      <c r="AH3" s="81">
        <v>45689</v>
      </c>
      <c r="AI3" s="81">
        <v>45717</v>
      </c>
      <c r="AJ3" s="81">
        <v>45748</v>
      </c>
      <c r="AK3" s="81">
        <v>45778</v>
      </c>
      <c r="AL3" s="81">
        <v>45809</v>
      </c>
      <c r="AM3" s="81">
        <v>45839</v>
      </c>
      <c r="AN3" s="81">
        <v>45870</v>
      </c>
      <c r="AO3" s="81">
        <v>45901</v>
      </c>
      <c r="AP3" s="81">
        <v>45931</v>
      </c>
      <c r="AQ3" s="81">
        <v>45962</v>
      </c>
      <c r="AR3" s="78">
        <v>45992</v>
      </c>
      <c r="AS3" s="397" t="s">
        <v>69</v>
      </c>
      <c r="AT3" s="80">
        <v>46023</v>
      </c>
      <c r="AU3" s="81">
        <v>46054</v>
      </c>
      <c r="AV3" s="81">
        <v>46082</v>
      </c>
      <c r="AW3" s="81">
        <v>46113</v>
      </c>
      <c r="AX3" s="81">
        <v>46143</v>
      </c>
      <c r="AY3" s="81">
        <v>46174</v>
      </c>
      <c r="AZ3" s="81">
        <v>46204</v>
      </c>
      <c r="BA3" s="81">
        <v>46235</v>
      </c>
      <c r="BB3" s="81">
        <v>46266</v>
      </c>
      <c r="BC3" s="81">
        <v>46296</v>
      </c>
      <c r="BD3" s="81">
        <v>46327</v>
      </c>
      <c r="BE3" s="78">
        <v>46357</v>
      </c>
      <c r="BF3" s="79" t="s">
        <v>70</v>
      </c>
      <c r="BG3" s="80">
        <v>46388</v>
      </c>
      <c r="BH3" s="81">
        <v>46419</v>
      </c>
      <c r="BI3" s="80">
        <v>46447</v>
      </c>
      <c r="BJ3" s="81">
        <v>46478</v>
      </c>
      <c r="BK3" s="80">
        <v>46508</v>
      </c>
      <c r="BL3" s="81">
        <v>46539</v>
      </c>
      <c r="BM3" s="80">
        <v>46569</v>
      </c>
      <c r="BN3" s="81">
        <v>46600</v>
      </c>
      <c r="BO3" s="80">
        <v>46631</v>
      </c>
      <c r="BP3" s="81">
        <v>46661</v>
      </c>
      <c r="BQ3" s="80">
        <v>46692</v>
      </c>
      <c r="BR3" s="81">
        <v>46722</v>
      </c>
      <c r="BS3" s="79" t="s">
        <v>116</v>
      </c>
      <c r="BT3" s="80">
        <v>46753</v>
      </c>
      <c r="BU3" s="81">
        <v>46784</v>
      </c>
      <c r="BV3" s="80">
        <v>46813</v>
      </c>
      <c r="BW3" s="81">
        <v>46844</v>
      </c>
      <c r="BX3" s="80">
        <v>46874</v>
      </c>
      <c r="BY3" s="81">
        <v>46905</v>
      </c>
      <c r="BZ3" s="80">
        <v>46935</v>
      </c>
      <c r="CA3" s="81">
        <v>46966</v>
      </c>
      <c r="CB3" s="80">
        <v>46997</v>
      </c>
      <c r="CC3" s="81">
        <v>47027</v>
      </c>
      <c r="CD3" s="80">
        <v>47058</v>
      </c>
      <c r="CE3" s="81">
        <v>47088</v>
      </c>
      <c r="CF3" s="79" t="s">
        <v>213</v>
      </c>
      <c r="CG3" s="80">
        <v>47119</v>
      </c>
      <c r="CH3" s="81">
        <v>47150</v>
      </c>
      <c r="CI3" s="80">
        <v>47178</v>
      </c>
      <c r="CJ3" s="81">
        <v>47209</v>
      </c>
      <c r="CK3" s="80">
        <v>47239</v>
      </c>
      <c r="CL3" s="81">
        <v>47270</v>
      </c>
      <c r="CM3" s="80">
        <v>47300</v>
      </c>
      <c r="CN3" s="81">
        <v>47331</v>
      </c>
      <c r="CO3" s="80">
        <v>47362</v>
      </c>
      <c r="CP3" s="81">
        <v>47392</v>
      </c>
      <c r="CQ3" s="80">
        <v>47423</v>
      </c>
      <c r="CR3" s="81">
        <v>47453</v>
      </c>
      <c r="CS3" s="79" t="s">
        <v>214</v>
      </c>
      <c r="CT3" s="80">
        <v>47484</v>
      </c>
      <c r="CU3" s="81">
        <v>47515</v>
      </c>
      <c r="CV3" s="80">
        <v>47543</v>
      </c>
      <c r="CW3" s="81">
        <v>47574</v>
      </c>
      <c r="CX3" s="80">
        <v>47604</v>
      </c>
      <c r="CY3" s="81">
        <v>47635</v>
      </c>
      <c r="CZ3" s="80">
        <v>47665</v>
      </c>
      <c r="DA3" s="81">
        <v>47696</v>
      </c>
      <c r="DB3" s="80">
        <v>47727</v>
      </c>
      <c r="DC3" s="81">
        <v>47757</v>
      </c>
      <c r="DD3" s="80">
        <v>47788</v>
      </c>
      <c r="DE3" s="81">
        <v>47818</v>
      </c>
      <c r="DF3" s="79" t="s">
        <v>347</v>
      </c>
      <c r="DG3" s="273" t="s">
        <v>348</v>
      </c>
      <c r="DH3" s="82" t="s">
        <v>65</v>
      </c>
      <c r="DI3" s="83" t="s">
        <v>74</v>
      </c>
      <c r="DJ3" s="84" t="s">
        <v>76</v>
      </c>
    </row>
    <row r="4" spans="1:117" s="54" customFormat="1" ht="19.899999999999999" customHeight="1">
      <c r="A4" s="567" t="s">
        <v>175</v>
      </c>
      <c r="B4" s="568"/>
      <c r="C4" s="575" t="s">
        <v>62</v>
      </c>
      <c r="D4" s="576"/>
      <c r="E4" s="85">
        <f t="shared" ref="E4:R5" si="0">+E227</f>
        <v>1573629.1362935002</v>
      </c>
      <c r="F4" s="86">
        <f t="shared" si="0"/>
        <v>4518.8</v>
      </c>
      <c r="G4" s="87">
        <f t="shared" si="0"/>
        <v>2410.7997037403265</v>
      </c>
      <c r="H4" s="87">
        <f t="shared" si="0"/>
        <v>2585.0402174300257</v>
      </c>
      <c r="I4" s="87">
        <f t="shared" si="0"/>
        <v>1643.8650660652925</v>
      </c>
      <c r="J4" s="87">
        <f t="shared" si="0"/>
        <v>1095.5899310270734</v>
      </c>
      <c r="K4" s="87">
        <f t="shared" si="0"/>
        <v>938.78216480686694</v>
      </c>
      <c r="L4" s="87">
        <f t="shared" si="0"/>
        <v>2572.7344891643515</v>
      </c>
      <c r="M4" s="87">
        <f t="shared" si="0"/>
        <v>1109.6345537773993</v>
      </c>
      <c r="N4" s="87">
        <f t="shared" si="0"/>
        <v>640.46318077889441</v>
      </c>
      <c r="O4" s="87">
        <f t="shared" si="0"/>
        <v>824.97447008298764</v>
      </c>
      <c r="P4" s="87">
        <f t="shared" si="0"/>
        <v>856.31660008206813</v>
      </c>
      <c r="Q4" s="87">
        <f t="shared" si="0"/>
        <v>25858.929654424592</v>
      </c>
      <c r="R4" s="87">
        <f t="shared" si="0"/>
        <v>2951.7028231185031</v>
      </c>
      <c r="S4" s="88">
        <f>SUM(G4:R4)</f>
        <v>43488.832854498381</v>
      </c>
      <c r="T4" s="373">
        <f>+T227</f>
        <v>2477.2539852692398</v>
      </c>
      <c r="U4" s="374">
        <f t="shared" ref="U4:AE5" si="1">+U227</f>
        <v>1158.4478215862637</v>
      </c>
      <c r="V4" s="374">
        <f t="shared" si="1"/>
        <v>607.71864951259136</v>
      </c>
      <c r="W4" s="374">
        <f t="shared" si="1"/>
        <v>727.13063275937486</v>
      </c>
      <c r="X4" s="374">
        <f t="shared" si="1"/>
        <v>647.41927986050564</v>
      </c>
      <c r="Y4" s="374">
        <f t="shared" si="1"/>
        <v>849.28849815717513</v>
      </c>
      <c r="Z4" s="374">
        <f t="shared" si="1"/>
        <v>1210.0057627814306</v>
      </c>
      <c r="AA4" s="374">
        <f t="shared" si="1"/>
        <v>1798.5851877664281</v>
      </c>
      <c r="AB4" s="374">
        <f t="shared" si="1"/>
        <v>765.5901729152281</v>
      </c>
      <c r="AC4" s="374">
        <f t="shared" si="1"/>
        <v>793.43747415872508</v>
      </c>
      <c r="AD4" s="374">
        <f t="shared" si="1"/>
        <v>4877.8477255698399</v>
      </c>
      <c r="AE4" s="374">
        <f t="shared" si="1"/>
        <v>32193.420957294813</v>
      </c>
      <c r="AF4" s="88">
        <f>SUM(T4:AE4)</f>
        <v>48106.146147631618</v>
      </c>
      <c r="AG4" s="491">
        <f>+AG227</f>
        <v>5306.9557683451512</v>
      </c>
      <c r="AH4" s="491">
        <f t="shared" ref="AH4:AR5" si="2">+AH227</f>
        <v>1009.4704036434869</v>
      </c>
      <c r="AI4" s="491">
        <f t="shared" si="2"/>
        <v>1334.4751844645016</v>
      </c>
      <c r="AJ4" s="491">
        <f t="shared" si="2"/>
        <v>2825.3249903125361</v>
      </c>
      <c r="AK4" s="491">
        <f t="shared" si="2"/>
        <v>4332.9033734384011</v>
      </c>
      <c r="AL4" s="491">
        <f t="shared" si="2"/>
        <v>3324.7458981023528</v>
      </c>
      <c r="AM4" s="491">
        <f t="shared" si="2"/>
        <v>3227.9172305372076</v>
      </c>
      <c r="AN4" s="491">
        <f t="shared" si="2"/>
        <v>4322.3224102428121</v>
      </c>
      <c r="AO4" s="491">
        <f t="shared" si="2"/>
        <v>2190.8426183208999</v>
      </c>
      <c r="AP4" s="491">
        <f t="shared" si="2"/>
        <v>1668.3271846656787</v>
      </c>
      <c r="AQ4" s="491">
        <f t="shared" si="2"/>
        <v>3289.4399878376844</v>
      </c>
      <c r="AR4" s="491">
        <f t="shared" si="2"/>
        <v>13048.982696689496</v>
      </c>
      <c r="AS4" s="398">
        <f>SUM(AG4:AR4)</f>
        <v>45881.707746600216</v>
      </c>
      <c r="AT4" s="529">
        <f>+AT227</f>
        <v>13475.459768014465</v>
      </c>
      <c r="AU4" s="491">
        <f t="shared" ref="AU4:BE5" si="3">+AU227</f>
        <v>8369.8133273668082</v>
      </c>
      <c r="AV4" s="491">
        <f t="shared" si="3"/>
        <v>4229.9637588181758</v>
      </c>
      <c r="AW4" s="87">
        <f t="shared" si="3"/>
        <v>2679.6836426153195</v>
      </c>
      <c r="AX4" s="87">
        <f t="shared" si="3"/>
        <v>99.000000000000014</v>
      </c>
      <c r="AY4" s="87">
        <f t="shared" si="3"/>
        <v>836.94117647058829</v>
      </c>
      <c r="AZ4" s="87">
        <f t="shared" si="3"/>
        <v>0</v>
      </c>
      <c r="BA4" s="87">
        <f t="shared" si="3"/>
        <v>0</v>
      </c>
      <c r="BB4" s="87">
        <f t="shared" si="3"/>
        <v>2665.751115562929</v>
      </c>
      <c r="BC4" s="87">
        <f t="shared" si="3"/>
        <v>8290.3354088466767</v>
      </c>
      <c r="BD4" s="87">
        <f t="shared" si="3"/>
        <v>11620.68617163222</v>
      </c>
      <c r="BE4" s="87">
        <f t="shared" si="3"/>
        <v>14257.545940587494</v>
      </c>
      <c r="BF4" s="88">
        <f>SUM(AT4:BE4)</f>
        <v>66525.180309914664</v>
      </c>
      <c r="BG4" s="87">
        <f>+BG227</f>
        <v>20478.434448497235</v>
      </c>
      <c r="BH4" s="87">
        <f t="shared" ref="BH4:BR5" si="4">+BH227</f>
        <v>17658.779579084567</v>
      </c>
      <c r="BI4" s="87">
        <f t="shared" si="4"/>
        <v>20701.208086375984</v>
      </c>
      <c r="BJ4" s="87">
        <f t="shared" si="4"/>
        <v>24399.170057249295</v>
      </c>
      <c r="BK4" s="87">
        <f t="shared" si="4"/>
        <v>25797.072884271383</v>
      </c>
      <c r="BL4" s="87">
        <f t="shared" si="4"/>
        <v>26881.921563766529</v>
      </c>
      <c r="BM4" s="87">
        <f t="shared" si="4"/>
        <v>123963.88362426954</v>
      </c>
      <c r="BN4" s="87">
        <f t="shared" si="4"/>
        <v>27769.311171196863</v>
      </c>
      <c r="BO4" s="87">
        <f t="shared" si="4"/>
        <v>28015.070536418643</v>
      </c>
      <c r="BP4" s="87">
        <f t="shared" si="4"/>
        <v>26126.703438766461</v>
      </c>
      <c r="BQ4" s="87">
        <f t="shared" si="4"/>
        <v>30356.665755009177</v>
      </c>
      <c r="BR4" s="87">
        <f t="shared" si="4"/>
        <v>33892.832891512771</v>
      </c>
      <c r="BS4" s="88">
        <f>SUM(BG4:BR4)</f>
        <v>406041.05403641844</v>
      </c>
      <c r="BT4" s="87">
        <f>+BT227</f>
        <v>35909.920094243265</v>
      </c>
      <c r="BU4" s="87">
        <f t="shared" ref="BU4:CE5" si="5">+BU227</f>
        <v>35344.952921680575</v>
      </c>
      <c r="BV4" s="87">
        <f t="shared" si="5"/>
        <v>32084.862304208975</v>
      </c>
      <c r="BW4" s="87">
        <f t="shared" si="5"/>
        <v>33113.241249329876</v>
      </c>
      <c r="BX4" s="87">
        <f t="shared" si="5"/>
        <v>32718.641783423307</v>
      </c>
      <c r="BY4" s="87">
        <f t="shared" si="5"/>
        <v>33600.976013920888</v>
      </c>
      <c r="BZ4" s="87">
        <f t="shared" si="5"/>
        <v>35214.335923110564</v>
      </c>
      <c r="CA4" s="87">
        <f t="shared" si="5"/>
        <v>37106.992172835467</v>
      </c>
      <c r="CB4" s="87">
        <f t="shared" si="5"/>
        <v>34388.988521437321</v>
      </c>
      <c r="CC4" s="87">
        <f t="shared" si="5"/>
        <v>35266.140093910959</v>
      </c>
      <c r="CD4" s="87">
        <f t="shared" si="5"/>
        <v>35805.868591200058</v>
      </c>
      <c r="CE4" s="87">
        <f t="shared" si="5"/>
        <v>35995.319982108733</v>
      </c>
      <c r="CF4" s="88">
        <f>SUM(BT4:CE4)</f>
        <v>416550.23965140997</v>
      </c>
      <c r="CG4" s="87">
        <f>+CG227</f>
        <v>34181.189974393637</v>
      </c>
      <c r="CH4" s="87">
        <f t="shared" ref="CH4:CR5" si="6">+CH227</f>
        <v>34693.557681554536</v>
      </c>
      <c r="CI4" s="87">
        <f t="shared" si="6"/>
        <v>35224.997333278152</v>
      </c>
      <c r="CJ4" s="87">
        <f t="shared" si="6"/>
        <v>33013.630851999558</v>
      </c>
      <c r="CK4" s="87">
        <f t="shared" si="6"/>
        <v>32899.272787808746</v>
      </c>
      <c r="CL4" s="87">
        <f t="shared" si="6"/>
        <v>32459.90678768721</v>
      </c>
      <c r="CM4" s="87">
        <f t="shared" si="6"/>
        <v>29196.18328785769</v>
      </c>
      <c r="CN4" s="87">
        <f t="shared" si="6"/>
        <v>27908.371370133638</v>
      </c>
      <c r="CO4" s="87">
        <f t="shared" si="6"/>
        <v>26537.045405370558</v>
      </c>
      <c r="CP4" s="87">
        <f t="shared" si="6"/>
        <v>23563.79560237236</v>
      </c>
      <c r="CQ4" s="87">
        <f t="shared" si="6"/>
        <v>14376.687762513902</v>
      </c>
      <c r="CR4" s="87">
        <f t="shared" si="6"/>
        <v>13443.112677745361</v>
      </c>
      <c r="CS4" s="88">
        <f>SUM(CG4:CR4)</f>
        <v>337497.75152271538</v>
      </c>
      <c r="CT4" s="87">
        <f>+CT227</f>
        <v>12131.076395350083</v>
      </c>
      <c r="CU4" s="87">
        <f t="shared" ref="CU4:DE5" si="7">+CU227</f>
        <v>11120.574647499436</v>
      </c>
      <c r="CV4" s="87">
        <f t="shared" si="7"/>
        <v>9988.7294377680719</v>
      </c>
      <c r="CW4" s="87">
        <f t="shared" si="7"/>
        <v>9046.4852726452082</v>
      </c>
      <c r="CX4" s="87">
        <f t="shared" si="7"/>
        <v>8374.7635937188315</v>
      </c>
      <c r="CY4" s="87">
        <f t="shared" si="7"/>
        <v>7678.9695695081919</v>
      </c>
      <c r="CZ4" s="87">
        <f t="shared" si="7"/>
        <v>6892.8569956916172</v>
      </c>
      <c r="DA4" s="87">
        <f t="shared" si="7"/>
        <v>6023.5648036737075</v>
      </c>
      <c r="DB4" s="87">
        <f t="shared" si="7"/>
        <v>5366.81550185162</v>
      </c>
      <c r="DC4" s="87">
        <f t="shared" si="7"/>
        <v>4929.6161372494525</v>
      </c>
      <c r="DD4" s="87">
        <f t="shared" si="7"/>
        <v>4430.1731299810317</v>
      </c>
      <c r="DE4" s="87">
        <f t="shared" si="7"/>
        <v>3875.0220955471141</v>
      </c>
      <c r="DF4" s="88">
        <f>SUM(CT4:DE4)</f>
        <v>89858.647580484379</v>
      </c>
      <c r="DG4" s="274">
        <f>+DG227</f>
        <v>119679.57644382701</v>
      </c>
      <c r="DH4" s="263">
        <f>+F4+S4+AF4+AS4+BF4+BS4+DG4</f>
        <v>734241.29753889027</v>
      </c>
      <c r="DI4" s="91">
        <f t="shared" ref="DI4:DI12" si="8">+E4</f>
        <v>1573629.1362935002</v>
      </c>
      <c r="DJ4" s="92">
        <f t="shared" ref="DJ4:DJ12" si="9">+DI4-DH4</f>
        <v>839387.83875460993</v>
      </c>
    </row>
    <row r="5" spans="1:117" s="54" customFormat="1" ht="19.899999999999999" customHeight="1">
      <c r="A5" s="569"/>
      <c r="B5" s="570"/>
      <c r="C5" s="579" t="s">
        <v>63</v>
      </c>
      <c r="D5" s="580"/>
      <c r="E5" s="93">
        <f t="shared" si="0"/>
        <v>1379456.1636752659</v>
      </c>
      <c r="F5" s="94">
        <f t="shared" si="0"/>
        <v>764.56299999999999</v>
      </c>
      <c r="G5" s="95">
        <f t="shared" si="0"/>
        <v>1884.9120027515046</v>
      </c>
      <c r="H5" s="95">
        <f t="shared" si="0"/>
        <v>1585.3505390024525</v>
      </c>
      <c r="I5" s="95">
        <f t="shared" si="0"/>
        <v>2036.3751054553261</v>
      </c>
      <c r="J5" s="95">
        <f t="shared" si="0"/>
        <v>1154.8133418564673</v>
      </c>
      <c r="K5" s="95">
        <f t="shared" si="0"/>
        <v>2062.1812125751076</v>
      </c>
      <c r="L5" s="95">
        <f t="shared" si="0"/>
        <v>1125.7988690745888</v>
      </c>
      <c r="M5" s="95">
        <f t="shared" si="0"/>
        <v>1483.1628414130669</v>
      </c>
      <c r="N5" s="95">
        <f t="shared" si="0"/>
        <v>884.48631561976549</v>
      </c>
      <c r="O5" s="95">
        <f t="shared" si="0"/>
        <v>977.93668809128633</v>
      </c>
      <c r="P5" s="95">
        <f t="shared" si="0"/>
        <v>1360.7161608945426</v>
      </c>
      <c r="Q5" s="95">
        <f t="shared" si="0"/>
        <v>1247.8338005400913</v>
      </c>
      <c r="R5" s="95">
        <f t="shared" si="0"/>
        <v>1552.2888624116426</v>
      </c>
      <c r="S5" s="88">
        <f t="shared" ref="S5:S12" si="10">SUM(G5:R5)</f>
        <v>17355.855739685841</v>
      </c>
      <c r="T5" s="375">
        <f>+T228</f>
        <v>2322.1344967608825</v>
      </c>
      <c r="U5" s="376">
        <f t="shared" si="1"/>
        <v>1117.9376727718725</v>
      </c>
      <c r="V5" s="376">
        <f t="shared" si="1"/>
        <v>955.41010446791233</v>
      </c>
      <c r="W5" s="376">
        <f t="shared" si="1"/>
        <v>975.01553111703208</v>
      </c>
      <c r="X5" s="376">
        <f t="shared" si="1"/>
        <v>1021.295521677102</v>
      </c>
      <c r="Y5" s="376">
        <f t="shared" si="1"/>
        <v>1055.7001639915989</v>
      </c>
      <c r="Z5" s="376">
        <f t="shared" si="1"/>
        <v>1216.6466247459653</v>
      </c>
      <c r="AA5" s="376">
        <f t="shared" si="1"/>
        <v>1250.182130338615</v>
      </c>
      <c r="AB5" s="376">
        <f t="shared" si="1"/>
        <v>1107.0595875543279</v>
      </c>
      <c r="AC5" s="376">
        <f t="shared" si="1"/>
        <v>1428.7886644786272</v>
      </c>
      <c r="AD5" s="376">
        <f t="shared" si="1"/>
        <v>3613.989787128322</v>
      </c>
      <c r="AE5" s="376">
        <f t="shared" si="1"/>
        <v>6072.4212318954351</v>
      </c>
      <c r="AF5" s="88">
        <f t="shared" ref="AF5:AF12" si="11">SUM(T5:AE5)</f>
        <v>22136.58151692769</v>
      </c>
      <c r="AG5" s="492">
        <f>+AG228</f>
        <v>5420.811544179749</v>
      </c>
      <c r="AH5" s="492">
        <f t="shared" si="2"/>
        <v>1242.4144172771794</v>
      </c>
      <c r="AI5" s="492">
        <f t="shared" si="2"/>
        <v>1290.7705302231079</v>
      </c>
      <c r="AJ5" s="492">
        <f t="shared" si="2"/>
        <v>2987.208075231616</v>
      </c>
      <c r="AK5" s="492">
        <f t="shared" si="2"/>
        <v>3954.8912187968476</v>
      </c>
      <c r="AL5" s="492">
        <f t="shared" si="2"/>
        <v>3456.3917148169458</v>
      </c>
      <c r="AM5" s="492">
        <f t="shared" si="2"/>
        <v>2578.3890210759419</v>
      </c>
      <c r="AN5" s="492">
        <f t="shared" si="2"/>
        <v>2865.3009390507214</v>
      </c>
      <c r="AO5" s="492">
        <f t="shared" si="2"/>
        <v>2924.0599934487068</v>
      </c>
      <c r="AP5" s="492">
        <f t="shared" si="2"/>
        <v>2122.8536548447187</v>
      </c>
      <c r="AQ5" s="492">
        <f t="shared" si="2"/>
        <v>4094.0278408290073</v>
      </c>
      <c r="AR5" s="492">
        <f t="shared" si="2"/>
        <v>9966.0626624429206</v>
      </c>
      <c r="AS5" s="398">
        <f t="shared" ref="AS5:AS12" si="12">SUM(AG5:AR5)</f>
        <v>42903.181612217464</v>
      </c>
      <c r="AT5" s="530">
        <f>+AT228</f>
        <v>9911.436309929597</v>
      </c>
      <c r="AU5" s="492">
        <f t="shared" si="3"/>
        <v>5681.4822762361064</v>
      </c>
      <c r="AV5" s="492">
        <f t="shared" si="3"/>
        <v>3514.9385276113176</v>
      </c>
      <c r="AW5" s="95">
        <f t="shared" si="3"/>
        <v>6734.3936494079408</v>
      </c>
      <c r="AX5" s="95">
        <f t="shared" si="3"/>
        <v>8134.6300809596469</v>
      </c>
      <c r="AY5" s="95">
        <f t="shared" si="3"/>
        <v>11666.976511226992</v>
      </c>
      <c r="AZ5" s="95">
        <f t="shared" si="3"/>
        <v>9416.8673532625035</v>
      </c>
      <c r="BA5" s="95">
        <f t="shared" si="3"/>
        <v>10785.17032080737</v>
      </c>
      <c r="BB5" s="95">
        <f t="shared" si="3"/>
        <v>8439.9663942223233</v>
      </c>
      <c r="BC5" s="95">
        <f t="shared" si="3"/>
        <v>9170.1918302658596</v>
      </c>
      <c r="BD5" s="95">
        <f t="shared" si="3"/>
        <v>11760.803832705948</v>
      </c>
      <c r="BE5" s="95">
        <f t="shared" si="3"/>
        <v>12056.81435187257</v>
      </c>
      <c r="BF5" s="88">
        <f t="shared" ref="BF5:BF12" si="13">SUM(AT5:BE5)</f>
        <v>107273.67143850817</v>
      </c>
      <c r="BG5" s="95">
        <f>+BG228</f>
        <v>12725.388757474519</v>
      </c>
      <c r="BH5" s="95">
        <f t="shared" si="4"/>
        <v>18656.700196508449</v>
      </c>
      <c r="BI5" s="95">
        <f t="shared" si="4"/>
        <v>22886.224573094052</v>
      </c>
      <c r="BJ5" s="95">
        <f t="shared" si="4"/>
        <v>25648.221716753844</v>
      </c>
      <c r="BK5" s="95">
        <f t="shared" si="4"/>
        <v>29092.987122863055</v>
      </c>
      <c r="BL5" s="95">
        <f t="shared" si="4"/>
        <v>29309.102089084154</v>
      </c>
      <c r="BM5" s="95">
        <f t="shared" si="4"/>
        <v>39477.285825329483</v>
      </c>
      <c r="BN5" s="95">
        <f t="shared" si="4"/>
        <v>25783.329601670295</v>
      </c>
      <c r="BO5" s="95">
        <f t="shared" si="4"/>
        <v>25424.795428911817</v>
      </c>
      <c r="BP5" s="95">
        <f t="shared" si="4"/>
        <v>24200.54630735351</v>
      </c>
      <c r="BQ5" s="95">
        <f t="shared" si="4"/>
        <v>25604.53151284494</v>
      </c>
      <c r="BR5" s="95">
        <f t="shared" si="4"/>
        <v>26989.875089227924</v>
      </c>
      <c r="BS5" s="226">
        <f t="shared" ref="BS5:BS12" si="14">SUM(BG5:BR5)</f>
        <v>305798.98822111601</v>
      </c>
      <c r="BT5" s="95">
        <f>+BT228</f>
        <v>27357.720928406859</v>
      </c>
      <c r="BU5" s="95">
        <f t="shared" si="5"/>
        <v>30238.91792509428</v>
      </c>
      <c r="BV5" s="95">
        <f t="shared" si="5"/>
        <v>30388.727200013342</v>
      </c>
      <c r="BW5" s="95">
        <f t="shared" si="5"/>
        <v>30740.277389175426</v>
      </c>
      <c r="BX5" s="95">
        <f t="shared" si="5"/>
        <v>29516.858730461565</v>
      </c>
      <c r="BY5" s="95">
        <f t="shared" si="5"/>
        <v>30858.055235545402</v>
      </c>
      <c r="BZ5" s="95">
        <f t="shared" si="5"/>
        <v>31595.953091203017</v>
      </c>
      <c r="CA5" s="95">
        <f t="shared" si="5"/>
        <v>43133.376739615778</v>
      </c>
      <c r="CB5" s="95">
        <f t="shared" si="5"/>
        <v>30951.586948296499</v>
      </c>
      <c r="CC5" s="95">
        <f t="shared" si="5"/>
        <v>31756.390119667158</v>
      </c>
      <c r="CD5" s="95">
        <f t="shared" si="5"/>
        <v>32261.491296454566</v>
      </c>
      <c r="CE5" s="95">
        <f t="shared" si="5"/>
        <v>32455.159728616043</v>
      </c>
      <c r="CF5" s="226">
        <f t="shared" ref="CF5:CF12" si="15">SUM(BT5:CE5)</f>
        <v>381254.51533254999</v>
      </c>
      <c r="CG5" s="95">
        <f>+CG228</f>
        <v>30931.494055747804</v>
      </c>
      <c r="CH5" s="95">
        <f t="shared" si="6"/>
        <v>31387.226690202624</v>
      </c>
      <c r="CI5" s="95">
        <f t="shared" si="6"/>
        <v>31860.658497737913</v>
      </c>
      <c r="CJ5" s="95">
        <f t="shared" si="6"/>
        <v>29987.256233196018</v>
      </c>
      <c r="CK5" s="95">
        <f t="shared" si="6"/>
        <v>29880.691479090703</v>
      </c>
      <c r="CL5" s="95">
        <f t="shared" si="6"/>
        <v>29482.305287561634</v>
      </c>
      <c r="CM5" s="95">
        <f t="shared" si="6"/>
        <v>26484.322717009476</v>
      </c>
      <c r="CN5" s="95">
        <f t="shared" si="6"/>
        <v>25512.248844565285</v>
      </c>
      <c r="CO5" s="95">
        <f t="shared" si="6"/>
        <v>24277.435130147991</v>
      </c>
      <c r="CP5" s="95">
        <f t="shared" si="6"/>
        <v>21672.289869388889</v>
      </c>
      <c r="CQ5" s="95">
        <f t="shared" si="6"/>
        <v>13405.031815191212</v>
      </c>
      <c r="CR5" s="95">
        <f t="shared" si="6"/>
        <v>12178.080316284935</v>
      </c>
      <c r="CS5" s="226">
        <f t="shared" ref="CS5:CS12" si="16">SUM(CG5:CR5)</f>
        <v>307059.04093612451</v>
      </c>
      <c r="CT5" s="95">
        <f>+CT228</f>
        <v>11417.648227741169</v>
      </c>
      <c r="CU5" s="95">
        <f t="shared" si="7"/>
        <v>10512.182601170383</v>
      </c>
      <c r="CV5" s="95">
        <f t="shared" si="7"/>
        <v>9498.4869475435225</v>
      </c>
      <c r="CW5" s="95">
        <f t="shared" si="7"/>
        <v>8665.4233140428005</v>
      </c>
      <c r="CX5" s="95">
        <f t="shared" si="7"/>
        <v>8085.7164876038432</v>
      </c>
      <c r="CY5" s="95">
        <f t="shared" si="7"/>
        <v>7485.0106904226868</v>
      </c>
      <c r="CZ5" s="95">
        <f t="shared" si="7"/>
        <v>6803.4672730049297</v>
      </c>
      <c r="DA5" s="95">
        <f t="shared" si="7"/>
        <v>6047.289929232772</v>
      </c>
      <c r="DB5" s="95">
        <f t="shared" si="7"/>
        <v>5468.0327110336175</v>
      </c>
      <c r="DC5" s="95">
        <f t="shared" si="7"/>
        <v>5071.8932463766487</v>
      </c>
      <c r="DD5" s="95">
        <f t="shared" si="7"/>
        <v>4619.6370027866287</v>
      </c>
      <c r="DE5" s="95">
        <f t="shared" si="7"/>
        <v>4117.1535924316177</v>
      </c>
      <c r="DF5" s="226">
        <f t="shared" ref="DF5:DF12" si="17">SUM(CT5:DE5)</f>
        <v>87791.942023390628</v>
      </c>
      <c r="DG5" s="204">
        <f>+DG228</f>
        <v>107882.38685474546</v>
      </c>
      <c r="DH5" s="98">
        <f>+F5+S5+AF5+AS5+BF5+BS5+DG5</f>
        <v>604115.22838320059</v>
      </c>
      <c r="DI5" s="99">
        <f t="shared" si="8"/>
        <v>1379456.1636752659</v>
      </c>
      <c r="DJ5" s="100">
        <f t="shared" si="9"/>
        <v>775340.93529206526</v>
      </c>
      <c r="DK5" s="64">
        <f>+DH5/DH4</f>
        <v>0.82277478862621811</v>
      </c>
    </row>
    <row r="6" spans="1:117" s="54" customFormat="1" ht="19.899999999999999" customHeight="1">
      <c r="A6" s="569"/>
      <c r="B6" s="570"/>
      <c r="C6" s="577" t="s">
        <v>11</v>
      </c>
      <c r="D6" s="578"/>
      <c r="E6" s="113">
        <f>+E4-E5</f>
        <v>194172.97261823434</v>
      </c>
      <c r="F6" s="114"/>
      <c r="G6" s="115">
        <f t="shared" ref="G6:R6" si="18">+G4-G5</f>
        <v>525.88770098882196</v>
      </c>
      <c r="H6" s="115">
        <f t="shared" si="18"/>
        <v>999.6896784275732</v>
      </c>
      <c r="I6" s="115">
        <f t="shared" si="18"/>
        <v>-392.51003939003363</v>
      </c>
      <c r="J6" s="115">
        <f t="shared" si="18"/>
        <v>-59.22341082939397</v>
      </c>
      <c r="K6" s="115">
        <f t="shared" si="18"/>
        <v>-1123.3990477682405</v>
      </c>
      <c r="L6" s="115">
        <f t="shared" si="18"/>
        <v>1446.9356200897628</v>
      </c>
      <c r="M6" s="115">
        <f t="shared" si="18"/>
        <v>-373.52828763566754</v>
      </c>
      <c r="N6" s="115">
        <f t="shared" si="18"/>
        <v>-244.02313484087108</v>
      </c>
      <c r="O6" s="115">
        <f t="shared" si="18"/>
        <v>-152.96221800829869</v>
      </c>
      <c r="P6" s="115">
        <f t="shared" si="18"/>
        <v>-504.39956081247442</v>
      </c>
      <c r="Q6" s="115">
        <f t="shared" si="18"/>
        <v>24611.095853884501</v>
      </c>
      <c r="R6" s="116">
        <f t="shared" si="18"/>
        <v>1399.4139607068605</v>
      </c>
      <c r="S6" s="226">
        <f t="shared" si="10"/>
        <v>26132.97711481254</v>
      </c>
      <c r="T6" s="118">
        <f t="shared" ref="T6:AE6" si="19">+T4-T5</f>
        <v>155.11948850835734</v>
      </c>
      <c r="U6" s="115">
        <f t="shared" si="19"/>
        <v>40.510148814391187</v>
      </c>
      <c r="V6" s="115">
        <f t="shared" si="19"/>
        <v>-347.69145495532098</v>
      </c>
      <c r="W6" s="115">
        <f t="shared" si="19"/>
        <v>-247.88489835765722</v>
      </c>
      <c r="X6" s="115">
        <f t="shared" si="19"/>
        <v>-373.87624181659635</v>
      </c>
      <c r="Y6" s="115">
        <f t="shared" si="19"/>
        <v>-206.41166583442373</v>
      </c>
      <c r="Z6" s="115">
        <f t="shared" si="19"/>
        <v>-6.6408619645346789</v>
      </c>
      <c r="AA6" s="115">
        <f t="shared" si="19"/>
        <v>548.40305742781311</v>
      </c>
      <c r="AB6" s="115">
        <f t="shared" si="19"/>
        <v>-341.4694146390998</v>
      </c>
      <c r="AC6" s="115">
        <f t="shared" si="19"/>
        <v>-635.35119031990212</v>
      </c>
      <c r="AD6" s="115">
        <f t="shared" si="19"/>
        <v>1263.8579384415179</v>
      </c>
      <c r="AE6" s="116">
        <f t="shared" si="19"/>
        <v>26120.999725399379</v>
      </c>
      <c r="AF6" s="226">
        <f t="shared" si="11"/>
        <v>25969.564630703924</v>
      </c>
      <c r="AG6" s="493">
        <f t="shared" ref="AG6:AR6" si="20">+AG4-AG5</f>
        <v>-113.85577583459781</v>
      </c>
      <c r="AH6" s="517">
        <f t="shared" si="20"/>
        <v>-232.94401363369252</v>
      </c>
      <c r="AI6" s="517">
        <f t="shared" si="20"/>
        <v>43.704654241393655</v>
      </c>
      <c r="AJ6" s="517">
        <f t="shared" si="20"/>
        <v>-161.88308491907992</v>
      </c>
      <c r="AK6" s="517">
        <f t="shared" si="20"/>
        <v>378.01215464155348</v>
      </c>
      <c r="AL6" s="517">
        <f t="shared" si="20"/>
        <v>-131.64581671459291</v>
      </c>
      <c r="AM6" s="517">
        <f t="shared" si="20"/>
        <v>649.52820946126576</v>
      </c>
      <c r="AN6" s="517">
        <f t="shared" si="20"/>
        <v>1457.0214711920908</v>
      </c>
      <c r="AO6" s="517">
        <f t="shared" si="20"/>
        <v>-733.21737512780692</v>
      </c>
      <c r="AP6" s="517">
        <f t="shared" si="20"/>
        <v>-454.52647017903996</v>
      </c>
      <c r="AQ6" s="517">
        <f t="shared" si="20"/>
        <v>-804.58785299132296</v>
      </c>
      <c r="AR6" s="522">
        <f t="shared" si="20"/>
        <v>3082.9200342465756</v>
      </c>
      <c r="AS6" s="399">
        <f t="shared" si="12"/>
        <v>2978.526134382746</v>
      </c>
      <c r="AT6" s="493">
        <f t="shared" ref="AT6:BE6" si="21">+AT4-AT5</f>
        <v>3564.0234580848683</v>
      </c>
      <c r="AU6" s="517">
        <f t="shared" si="21"/>
        <v>2688.3310511307018</v>
      </c>
      <c r="AV6" s="517">
        <f t="shared" si="21"/>
        <v>715.02523120685828</v>
      </c>
      <c r="AW6" s="115">
        <f t="shared" si="21"/>
        <v>-4054.7100067926212</v>
      </c>
      <c r="AX6" s="115">
        <f t="shared" si="21"/>
        <v>-8035.6300809596469</v>
      </c>
      <c r="AY6" s="115">
        <f t="shared" si="21"/>
        <v>-10830.035334756405</v>
      </c>
      <c r="AZ6" s="115">
        <f t="shared" si="21"/>
        <v>-9416.8673532625035</v>
      </c>
      <c r="BA6" s="115">
        <f t="shared" si="21"/>
        <v>-10785.17032080737</v>
      </c>
      <c r="BB6" s="115">
        <f t="shared" si="21"/>
        <v>-5774.2152786593942</v>
      </c>
      <c r="BC6" s="115">
        <f t="shared" si="21"/>
        <v>-879.85642141918288</v>
      </c>
      <c r="BD6" s="115">
        <f t="shared" si="21"/>
        <v>-140.1176610737275</v>
      </c>
      <c r="BE6" s="116">
        <f t="shared" si="21"/>
        <v>2200.7315887149234</v>
      </c>
      <c r="BF6" s="226">
        <f t="shared" si="13"/>
        <v>-40748.491128593501</v>
      </c>
      <c r="BG6" s="118">
        <f t="shared" ref="BG6:BR6" si="22">+BG4-BG5</f>
        <v>7753.0456910227167</v>
      </c>
      <c r="BH6" s="115">
        <f t="shared" si="22"/>
        <v>-997.9206174238825</v>
      </c>
      <c r="BI6" s="115">
        <f t="shared" si="22"/>
        <v>-2185.0164867180683</v>
      </c>
      <c r="BJ6" s="115">
        <f t="shared" si="22"/>
        <v>-1249.0516595045483</v>
      </c>
      <c r="BK6" s="115">
        <f t="shared" si="22"/>
        <v>-3295.9142385916712</v>
      </c>
      <c r="BL6" s="115">
        <f t="shared" si="22"/>
        <v>-2427.1805253176244</v>
      </c>
      <c r="BM6" s="115">
        <f t="shared" si="22"/>
        <v>84486.597798940056</v>
      </c>
      <c r="BN6" s="115">
        <f t="shared" si="22"/>
        <v>1985.9815695265679</v>
      </c>
      <c r="BO6" s="115">
        <f t="shared" si="22"/>
        <v>2590.2751075068263</v>
      </c>
      <c r="BP6" s="115">
        <f t="shared" si="22"/>
        <v>1926.1571314129505</v>
      </c>
      <c r="BQ6" s="115">
        <f t="shared" si="22"/>
        <v>4752.1342421642366</v>
      </c>
      <c r="BR6" s="116">
        <f t="shared" si="22"/>
        <v>6902.9578022848473</v>
      </c>
      <c r="BS6" s="287">
        <f t="shared" si="14"/>
        <v>100242.0658153024</v>
      </c>
      <c r="BT6" s="118">
        <f t="shared" ref="BT6:CE6" si="23">+BT4-BT5</f>
        <v>8552.1991658364059</v>
      </c>
      <c r="BU6" s="115">
        <f t="shared" si="23"/>
        <v>5106.0349965862952</v>
      </c>
      <c r="BV6" s="115">
        <f t="shared" si="23"/>
        <v>1696.1351041956332</v>
      </c>
      <c r="BW6" s="115">
        <f t="shared" si="23"/>
        <v>2372.9638601544502</v>
      </c>
      <c r="BX6" s="115">
        <f t="shared" si="23"/>
        <v>3201.7830529617422</v>
      </c>
      <c r="BY6" s="115">
        <f t="shared" si="23"/>
        <v>2742.9207783754864</v>
      </c>
      <c r="BZ6" s="115">
        <f t="shared" si="23"/>
        <v>3618.3828319075474</v>
      </c>
      <c r="CA6" s="115">
        <f t="shared" si="23"/>
        <v>-6026.3845667803107</v>
      </c>
      <c r="CB6" s="115">
        <f t="shared" si="23"/>
        <v>3437.4015731408217</v>
      </c>
      <c r="CC6" s="115">
        <f t="shared" si="23"/>
        <v>3509.7499742438013</v>
      </c>
      <c r="CD6" s="115">
        <f t="shared" si="23"/>
        <v>3544.3772947454927</v>
      </c>
      <c r="CE6" s="116">
        <f t="shared" si="23"/>
        <v>3540.1602534926897</v>
      </c>
      <c r="CF6" s="287">
        <f t="shared" si="15"/>
        <v>35295.724318860055</v>
      </c>
      <c r="CG6" s="118">
        <f t="shared" ref="CG6:CR6" si="24">+CG4-CG5</f>
        <v>3249.6959186458334</v>
      </c>
      <c r="CH6" s="115">
        <f t="shared" si="24"/>
        <v>3306.3309913519115</v>
      </c>
      <c r="CI6" s="115">
        <f t="shared" si="24"/>
        <v>3364.3388355402385</v>
      </c>
      <c r="CJ6" s="115">
        <f t="shared" si="24"/>
        <v>3026.3746188035402</v>
      </c>
      <c r="CK6" s="115">
        <f t="shared" si="24"/>
        <v>3018.5813087180431</v>
      </c>
      <c r="CL6" s="115">
        <f t="shared" si="24"/>
        <v>2977.6015001255764</v>
      </c>
      <c r="CM6" s="115">
        <f t="shared" si="24"/>
        <v>2711.8605708482137</v>
      </c>
      <c r="CN6" s="115">
        <f t="shared" si="24"/>
        <v>2396.122525568353</v>
      </c>
      <c r="CO6" s="115">
        <f t="shared" si="24"/>
        <v>2259.610275222567</v>
      </c>
      <c r="CP6" s="115">
        <f t="shared" si="24"/>
        <v>1891.5057329834708</v>
      </c>
      <c r="CQ6" s="115">
        <f t="shared" si="24"/>
        <v>971.65594732268983</v>
      </c>
      <c r="CR6" s="116">
        <f t="shared" si="24"/>
        <v>1265.0323614604258</v>
      </c>
      <c r="CS6" s="287">
        <f t="shared" si="16"/>
        <v>30438.710586590867</v>
      </c>
      <c r="CT6" s="118">
        <f t="shared" ref="CT6:DE6" si="25">+CT4-CT5</f>
        <v>713.42816760891401</v>
      </c>
      <c r="CU6" s="115">
        <f t="shared" si="25"/>
        <v>608.39204632905239</v>
      </c>
      <c r="CV6" s="115">
        <f t="shared" si="25"/>
        <v>490.24249022454933</v>
      </c>
      <c r="CW6" s="115">
        <f t="shared" si="25"/>
        <v>381.06195860240769</v>
      </c>
      <c r="CX6" s="115">
        <f t="shared" si="25"/>
        <v>289.04710611498831</v>
      </c>
      <c r="CY6" s="115">
        <f t="shared" si="25"/>
        <v>193.95887908550503</v>
      </c>
      <c r="CZ6" s="115">
        <f t="shared" si="25"/>
        <v>89.389722686687492</v>
      </c>
      <c r="DA6" s="115">
        <f t="shared" si="25"/>
        <v>-23.725125559064509</v>
      </c>
      <c r="DB6" s="115">
        <f t="shared" si="25"/>
        <v>-101.21720918199753</v>
      </c>
      <c r="DC6" s="115">
        <f t="shared" si="25"/>
        <v>-142.27710912719613</v>
      </c>
      <c r="DD6" s="115">
        <f t="shared" si="25"/>
        <v>-189.46387280559702</v>
      </c>
      <c r="DE6" s="116">
        <f t="shared" si="25"/>
        <v>-242.13149688450358</v>
      </c>
      <c r="DF6" s="287">
        <f t="shared" si="17"/>
        <v>2066.7055570937455</v>
      </c>
      <c r="DG6" s="275">
        <f>+DG4-DG5</f>
        <v>11797.18958908155</v>
      </c>
      <c r="DH6" s="98">
        <f>+DH4-DH5</f>
        <v>130126.06915568968</v>
      </c>
      <c r="DI6" s="99">
        <f t="shared" si="8"/>
        <v>194172.97261823434</v>
      </c>
      <c r="DJ6" s="100">
        <f t="shared" si="9"/>
        <v>64046.903462544666</v>
      </c>
    </row>
    <row r="7" spans="1:117" s="54" customFormat="1" ht="19.899999999999999" customHeight="1">
      <c r="A7" s="567" t="s">
        <v>357</v>
      </c>
      <c r="B7" s="568"/>
      <c r="C7" s="575" t="s">
        <v>62</v>
      </c>
      <c r="D7" s="576"/>
      <c r="E7" s="101">
        <f t="shared" ref="E7:R8" si="26">+E255</f>
        <v>337616.93073070492</v>
      </c>
      <c r="F7" s="102">
        <f t="shared" si="26"/>
        <v>0</v>
      </c>
      <c r="G7" s="103">
        <f t="shared" si="26"/>
        <v>267</v>
      </c>
      <c r="H7" s="103">
        <f t="shared" si="26"/>
        <v>30</v>
      </c>
      <c r="I7" s="103">
        <f t="shared" si="26"/>
        <v>31.690435910652898</v>
      </c>
      <c r="J7" s="103">
        <f t="shared" si="26"/>
        <v>30.818565921787702</v>
      </c>
      <c r="K7" s="103">
        <f t="shared" si="26"/>
        <v>27.487747982832619</v>
      </c>
      <c r="L7" s="103">
        <f t="shared" si="26"/>
        <v>23.602976832656552</v>
      </c>
      <c r="M7" s="103">
        <f t="shared" si="26"/>
        <v>725.21884549904235</v>
      </c>
      <c r="N7" s="103">
        <f t="shared" si="26"/>
        <v>31.23327056113903</v>
      </c>
      <c r="O7" s="103">
        <f t="shared" si="26"/>
        <v>15.518960995850623</v>
      </c>
      <c r="P7" s="103">
        <f t="shared" si="26"/>
        <v>142.02183032416909</v>
      </c>
      <c r="Q7" s="103">
        <f t="shared" si="26"/>
        <v>58.7377421686747</v>
      </c>
      <c r="R7" s="104">
        <f t="shared" si="26"/>
        <v>75.648699522248137</v>
      </c>
      <c r="S7" s="119">
        <f t="shared" si="10"/>
        <v>1458.9790757190538</v>
      </c>
      <c r="T7" s="377">
        <f>+T255</f>
        <v>197.63490303280381</v>
      </c>
      <c r="U7" s="377">
        <f t="shared" ref="U7:AE8" si="27">+U255</f>
        <v>92.471413573180712</v>
      </c>
      <c r="V7" s="377">
        <f t="shared" si="27"/>
        <v>23.039887571080421</v>
      </c>
      <c r="W7" s="377">
        <f t="shared" si="27"/>
        <v>23.935457151946551</v>
      </c>
      <c r="X7" s="377">
        <f t="shared" si="27"/>
        <v>332.1635538955378</v>
      </c>
      <c r="Y7" s="377">
        <f t="shared" si="27"/>
        <v>21.484912230008867</v>
      </c>
      <c r="Z7" s="377">
        <f t="shared" si="27"/>
        <v>80973.546918275417</v>
      </c>
      <c r="AA7" s="377">
        <f t="shared" si="27"/>
        <v>1224.268959296076</v>
      </c>
      <c r="AB7" s="377">
        <f t="shared" si="27"/>
        <v>1334.5968974876132</v>
      </c>
      <c r="AC7" s="377">
        <f t="shared" si="27"/>
        <v>96.417079955711969</v>
      </c>
      <c r="AD7" s="377">
        <f t="shared" si="27"/>
        <v>354.9658781843994</v>
      </c>
      <c r="AE7" s="478">
        <f t="shared" si="27"/>
        <v>94.817396789260897</v>
      </c>
      <c r="AF7" s="119">
        <f t="shared" si="11"/>
        <v>84769.343257443063</v>
      </c>
      <c r="AG7" s="494">
        <f>+AG255</f>
        <v>2330.398766030311</v>
      </c>
      <c r="AH7" s="494">
        <f t="shared" ref="AH7:AR8" si="28">+AH255</f>
        <v>112.49558687561215</v>
      </c>
      <c r="AI7" s="494">
        <f t="shared" si="28"/>
        <v>170.20269390067597</v>
      </c>
      <c r="AJ7" s="494">
        <f t="shared" si="28"/>
        <v>115.20103974935607</v>
      </c>
      <c r="AK7" s="494">
        <f t="shared" si="28"/>
        <v>2612.5066700749567</v>
      </c>
      <c r="AL7" s="494">
        <f t="shared" si="28"/>
        <v>959.83911872723763</v>
      </c>
      <c r="AM7" s="494">
        <f t="shared" si="28"/>
        <v>704.82279309686521</v>
      </c>
      <c r="AN7" s="494">
        <f t="shared" si="28"/>
        <v>1520.2153672487593</v>
      </c>
      <c r="AO7" s="494">
        <f t="shared" si="28"/>
        <v>562.73911459082831</v>
      </c>
      <c r="AP7" s="494">
        <f t="shared" si="28"/>
        <v>734.00783679957067</v>
      </c>
      <c r="AQ7" s="494">
        <f t="shared" si="28"/>
        <v>771.97608536354335</v>
      </c>
      <c r="AR7" s="523">
        <f t="shared" si="28"/>
        <v>4421.817291933301</v>
      </c>
      <c r="AS7" s="400">
        <f t="shared" si="12"/>
        <v>15016.222364391015</v>
      </c>
      <c r="AT7" s="495">
        <f>+AT255</f>
        <v>1019.9235519575764</v>
      </c>
      <c r="AU7" s="494">
        <f t="shared" ref="AU7:BE8" si="29">+AU255</f>
        <v>273.43196469911845</v>
      </c>
      <c r="AV7" s="494">
        <f t="shared" si="29"/>
        <v>521.78919107942045</v>
      </c>
      <c r="AW7" s="103">
        <f t="shared" si="29"/>
        <v>266.60402010712136</v>
      </c>
      <c r="AX7" s="103">
        <f t="shared" si="29"/>
        <v>253.01033348483634</v>
      </c>
      <c r="AY7" s="103">
        <f t="shared" si="29"/>
        <v>162.95150099325366</v>
      </c>
      <c r="AZ7" s="103">
        <f t="shared" si="29"/>
        <v>97.811221547376476</v>
      </c>
      <c r="BA7" s="103">
        <f t="shared" si="29"/>
        <v>63.92436777499271</v>
      </c>
      <c r="BB7" s="103">
        <f t="shared" si="29"/>
        <v>27.680114598218122</v>
      </c>
      <c r="BC7" s="103">
        <f t="shared" si="29"/>
        <v>8.5249973846808675</v>
      </c>
      <c r="BD7" s="103">
        <f t="shared" si="29"/>
        <v>-17.046107362100809</v>
      </c>
      <c r="BE7" s="104">
        <f t="shared" si="29"/>
        <v>-18.076753256886906</v>
      </c>
      <c r="BF7" s="119">
        <f t="shared" si="13"/>
        <v>2660.5284030076073</v>
      </c>
      <c r="BG7" s="103">
        <f>+BG255</f>
        <v>-10.801237138693446</v>
      </c>
      <c r="BH7" s="103">
        <f t="shared" ref="BH7:BR8" si="30">+BH255</f>
        <v>12.109577707586629</v>
      </c>
      <c r="BI7" s="103">
        <f t="shared" si="30"/>
        <v>8.3167742418656445</v>
      </c>
      <c r="BJ7" s="103">
        <f t="shared" si="30"/>
        <v>-0.18222479972169517</v>
      </c>
      <c r="BK7" s="103">
        <f t="shared" si="30"/>
        <v>-10.424403527611487</v>
      </c>
      <c r="BL7" s="103">
        <f t="shared" si="30"/>
        <v>-21.952299001342421</v>
      </c>
      <c r="BM7" s="103">
        <f t="shared" si="30"/>
        <v>-30.116075082405647</v>
      </c>
      <c r="BN7" s="103">
        <f t="shared" si="30"/>
        <v>242.62134629271529</v>
      </c>
      <c r="BO7" s="103">
        <f t="shared" si="30"/>
        <v>-7.1234106545537843</v>
      </c>
      <c r="BP7" s="103">
        <f t="shared" si="30"/>
        <v>-18.51290499837954</v>
      </c>
      <c r="BQ7" s="103">
        <f t="shared" si="30"/>
        <v>-22.413811016289511</v>
      </c>
      <c r="BR7" s="104">
        <f t="shared" si="30"/>
        <v>-7.1548429124630148</v>
      </c>
      <c r="BS7" s="119">
        <f t="shared" si="14"/>
        <v>134.36648911070702</v>
      </c>
      <c r="BT7" s="103">
        <f>+BT255</f>
        <v>15.831166952111611</v>
      </c>
      <c r="BU7" s="103">
        <f t="shared" ref="BU7:CE8" si="31">+BU255</f>
        <v>40.984601394740011</v>
      </c>
      <c r="BV7" s="103">
        <f t="shared" si="31"/>
        <v>57.634566721343454</v>
      </c>
      <c r="BW7" s="103">
        <f t="shared" si="31"/>
        <v>56.347132291066714</v>
      </c>
      <c r="BX7" s="103">
        <f t="shared" si="31"/>
        <v>54.948453589054559</v>
      </c>
      <c r="BY7" s="103">
        <f t="shared" si="31"/>
        <v>65.29745861089053</v>
      </c>
      <c r="BZ7" s="103">
        <f t="shared" si="31"/>
        <v>32223.658186067511</v>
      </c>
      <c r="CA7" s="103">
        <f t="shared" si="31"/>
        <v>183.45158257912149</v>
      </c>
      <c r="CB7" s="103">
        <f t="shared" si="31"/>
        <v>163.46837263178423</v>
      </c>
      <c r="CC7" s="103">
        <f t="shared" si="31"/>
        <v>175.47127245102624</v>
      </c>
      <c r="CD7" s="103">
        <f t="shared" si="31"/>
        <v>176.31212840291514</v>
      </c>
      <c r="CE7" s="104">
        <f t="shared" si="31"/>
        <v>188.20765981340983</v>
      </c>
      <c r="CF7" s="119">
        <f t="shared" si="15"/>
        <v>33401.612581504975</v>
      </c>
      <c r="CG7" s="103">
        <f>+CG255</f>
        <v>200.63555285776351</v>
      </c>
      <c r="CH7" s="103">
        <f t="shared" ref="CH7:CR8" si="32">+CH255</f>
        <v>211.85999109610881</v>
      </c>
      <c r="CI7" s="103">
        <f t="shared" si="32"/>
        <v>223.08052770426886</v>
      </c>
      <c r="CJ7" s="103">
        <f t="shared" si="32"/>
        <v>229.25525891508389</v>
      </c>
      <c r="CK7" s="103">
        <f t="shared" si="32"/>
        <v>239.00020081573223</v>
      </c>
      <c r="CL7" s="103">
        <f t="shared" si="32"/>
        <v>249.35203918084483</v>
      </c>
      <c r="CM7" s="103">
        <f t="shared" si="32"/>
        <v>260.10855097853289</v>
      </c>
      <c r="CN7" s="103">
        <f t="shared" si="32"/>
        <v>268.39662438001233</v>
      </c>
      <c r="CO7" s="103">
        <f t="shared" si="32"/>
        <v>276.77158821317352</v>
      </c>
      <c r="CP7" s="103">
        <f t="shared" si="32"/>
        <v>285.22619442462604</v>
      </c>
      <c r="CQ7" s="103">
        <f t="shared" si="32"/>
        <v>290.47404432369905</v>
      </c>
      <c r="CR7" s="104">
        <f t="shared" si="32"/>
        <v>294.17437762918706</v>
      </c>
      <c r="CS7" s="119">
        <f t="shared" si="16"/>
        <v>3028.3349505190331</v>
      </c>
      <c r="CT7" s="103">
        <f>+CT255</f>
        <v>299.37173342615239</v>
      </c>
      <c r="CU7" s="103">
        <f t="shared" ref="CU7:DE8" si="33">+CU255</f>
        <v>302.74773309626926</v>
      </c>
      <c r="CV7" s="103">
        <f t="shared" si="33"/>
        <v>305.27809902768701</v>
      </c>
      <c r="CW7" s="103">
        <f t="shared" si="33"/>
        <v>64505.652605894647</v>
      </c>
      <c r="CX7" s="103">
        <f t="shared" si="33"/>
        <v>521.94165444296766</v>
      </c>
      <c r="CY7" s="103">
        <f t="shared" si="33"/>
        <v>524.13818364482756</v>
      </c>
      <c r="CZ7" s="103">
        <f t="shared" si="33"/>
        <v>526.53184052059521</v>
      </c>
      <c r="DA7" s="103">
        <f t="shared" si="33"/>
        <v>526.71246699434437</v>
      </c>
      <c r="DB7" s="103">
        <f t="shared" si="33"/>
        <v>527.88232479912858</v>
      </c>
      <c r="DC7" s="103">
        <f t="shared" si="33"/>
        <v>529.30454185118572</v>
      </c>
      <c r="DD7" s="103">
        <f t="shared" si="33"/>
        <v>528.80565114450849</v>
      </c>
      <c r="DE7" s="104">
        <f t="shared" si="33"/>
        <v>529.4300237389715</v>
      </c>
      <c r="DF7" s="119">
        <f t="shared" si="17"/>
        <v>69627.796858581263</v>
      </c>
      <c r="DG7" s="276">
        <f>+DG255</f>
        <v>127519.74675042817</v>
      </c>
      <c r="DH7" s="159">
        <f t="shared" ref="DH7:DH12" si="34">+F7+S7+AF7+AS7+BF7+BS7+DG7</f>
        <v>231559.18634009961</v>
      </c>
      <c r="DI7" s="160">
        <f t="shared" si="8"/>
        <v>337616.93073070492</v>
      </c>
      <c r="DJ7" s="161">
        <f t="shared" si="9"/>
        <v>106057.74439060531</v>
      </c>
    </row>
    <row r="8" spans="1:117" s="54" customFormat="1" ht="19.899999999999999" customHeight="1">
      <c r="A8" s="569"/>
      <c r="B8" s="570"/>
      <c r="C8" s="579" t="s">
        <v>63</v>
      </c>
      <c r="D8" s="580"/>
      <c r="E8" s="93">
        <f t="shared" si="26"/>
        <v>295215.63759930222</v>
      </c>
      <c r="F8" s="94">
        <f t="shared" si="26"/>
        <v>0</v>
      </c>
      <c r="G8" s="95">
        <f t="shared" si="26"/>
        <v>-120.045915808814</v>
      </c>
      <c r="H8" s="95">
        <f t="shared" si="26"/>
        <v>303.87641176887001</v>
      </c>
      <c r="I8" s="95">
        <f t="shared" si="26"/>
        <v>-297.896571884053</v>
      </c>
      <c r="J8" s="95">
        <f t="shared" si="26"/>
        <v>-9.9071555421560298</v>
      </c>
      <c r="K8" s="95">
        <f t="shared" si="26"/>
        <v>30.4</v>
      </c>
      <c r="L8" s="95">
        <f t="shared" si="26"/>
        <v>88.969388530892999</v>
      </c>
      <c r="M8" s="95">
        <f t="shared" si="26"/>
        <v>99.133653049455859</v>
      </c>
      <c r="N8" s="95">
        <f t="shared" si="26"/>
        <v>380.02655681756585</v>
      </c>
      <c r="O8" s="95">
        <f t="shared" si="26"/>
        <v>209.51374501584601</v>
      </c>
      <c r="P8" s="95">
        <f t="shared" si="26"/>
        <v>250.43770151409601</v>
      </c>
      <c r="Q8" s="95">
        <f t="shared" si="26"/>
        <v>224.45152475382099</v>
      </c>
      <c r="R8" s="96">
        <f t="shared" si="26"/>
        <v>0</v>
      </c>
      <c r="S8" s="112">
        <f t="shared" si="10"/>
        <v>1158.9593382155247</v>
      </c>
      <c r="T8" s="376">
        <f>+T256</f>
        <v>646.02973682116385</v>
      </c>
      <c r="U8" s="376">
        <f t="shared" si="27"/>
        <v>440.89191727735482</v>
      </c>
      <c r="V8" s="376">
        <f t="shared" si="27"/>
        <v>460.41047898825173</v>
      </c>
      <c r="W8" s="376">
        <f t="shared" si="27"/>
        <v>1033.5568091762909</v>
      </c>
      <c r="X8" s="376">
        <f t="shared" si="27"/>
        <v>156.41690105916507</v>
      </c>
      <c r="Y8" s="376">
        <f t="shared" si="27"/>
        <v>3626.0357468394564</v>
      </c>
      <c r="Z8" s="376">
        <f t="shared" si="27"/>
        <v>6.89552102012353</v>
      </c>
      <c r="AA8" s="376">
        <f t="shared" si="27"/>
        <v>-12.877825142765221</v>
      </c>
      <c r="AB8" s="376">
        <f t="shared" si="27"/>
        <v>3.3510703115479914</v>
      </c>
      <c r="AC8" s="376">
        <f t="shared" si="27"/>
        <v>3313.5185956379701</v>
      </c>
      <c r="AD8" s="376">
        <f t="shared" si="27"/>
        <v>331.24924836445905</v>
      </c>
      <c r="AE8" s="479">
        <f t="shared" si="27"/>
        <v>571.69245070114766</v>
      </c>
      <c r="AF8" s="112">
        <f t="shared" si="11"/>
        <v>10577.170651054166</v>
      </c>
      <c r="AG8" s="492">
        <f>+AG256</f>
        <v>4.1316628157118958</v>
      </c>
      <c r="AH8" s="492">
        <f t="shared" si="28"/>
        <v>3140.9747151132206</v>
      </c>
      <c r="AI8" s="492">
        <f t="shared" si="28"/>
        <v>632.54206838393827</v>
      </c>
      <c r="AJ8" s="492">
        <f t="shared" si="28"/>
        <v>2370.0514000192989</v>
      </c>
      <c r="AK8" s="492">
        <f t="shared" si="28"/>
        <v>4035.1213047079032</v>
      </c>
      <c r="AL8" s="492">
        <f t="shared" si="28"/>
        <v>10412.820912234252</v>
      </c>
      <c r="AM8" s="492">
        <f t="shared" si="28"/>
        <v>6537.0728185920379</v>
      </c>
      <c r="AN8" s="492">
        <f t="shared" si="28"/>
        <v>4979.9857453689247</v>
      </c>
      <c r="AO8" s="492">
        <f t="shared" si="28"/>
        <v>40.217847711844186</v>
      </c>
      <c r="AP8" s="492">
        <f t="shared" si="28"/>
        <v>1.2924316721785076</v>
      </c>
      <c r="AQ8" s="492">
        <f t="shared" si="28"/>
        <v>415.68794756185355</v>
      </c>
      <c r="AR8" s="524">
        <f t="shared" si="28"/>
        <v>57263.763447488578</v>
      </c>
      <c r="AS8" s="401">
        <f t="shared" si="12"/>
        <v>89833.662301669741</v>
      </c>
      <c r="AT8" s="530">
        <f>+AT256</f>
        <v>3242.6112990035776</v>
      </c>
      <c r="AU8" s="492">
        <f t="shared" si="29"/>
        <v>288.79438826178375</v>
      </c>
      <c r="AV8" s="492">
        <f t="shared" si="29"/>
        <v>1604.7330152696672</v>
      </c>
      <c r="AW8" s="95">
        <f t="shared" si="29"/>
        <v>290</v>
      </c>
      <c r="AX8" s="95">
        <f t="shared" si="29"/>
        <v>19235.03</v>
      </c>
      <c r="AY8" s="95">
        <f t="shared" si="29"/>
        <v>8875</v>
      </c>
      <c r="AZ8" s="95">
        <f t="shared" si="29"/>
        <v>847</v>
      </c>
      <c r="BA8" s="95">
        <f t="shared" si="29"/>
        <v>152.03</v>
      </c>
      <c r="BB8" s="95">
        <f t="shared" si="29"/>
        <v>0</v>
      </c>
      <c r="BC8" s="95">
        <f t="shared" si="29"/>
        <v>6800</v>
      </c>
      <c r="BD8" s="95">
        <f t="shared" si="29"/>
        <v>152.03</v>
      </c>
      <c r="BE8" s="96">
        <f t="shared" si="29"/>
        <v>0</v>
      </c>
      <c r="BF8" s="112">
        <f t="shared" si="13"/>
        <v>41487.228702535023</v>
      </c>
      <c r="BG8" s="95">
        <f>+BG256</f>
        <v>869</v>
      </c>
      <c r="BH8" s="95">
        <f t="shared" si="30"/>
        <v>152.03</v>
      </c>
      <c r="BI8" s="95">
        <f t="shared" si="30"/>
        <v>373</v>
      </c>
      <c r="BJ8" s="95">
        <f t="shared" si="30"/>
        <v>1823.4197340626658</v>
      </c>
      <c r="BK8" s="95">
        <f t="shared" si="30"/>
        <v>152.03</v>
      </c>
      <c r="BL8" s="95">
        <f t="shared" si="30"/>
        <v>0</v>
      </c>
      <c r="BM8" s="95">
        <f t="shared" si="30"/>
        <v>2635.2553113213803</v>
      </c>
      <c r="BN8" s="95">
        <f t="shared" si="30"/>
        <v>77152.03</v>
      </c>
      <c r="BO8" s="95">
        <f t="shared" si="30"/>
        <v>6000</v>
      </c>
      <c r="BP8" s="95">
        <f t="shared" si="30"/>
        <v>3077.9160317875608</v>
      </c>
      <c r="BQ8" s="95">
        <f t="shared" si="30"/>
        <v>152.03</v>
      </c>
      <c r="BR8" s="96">
        <f t="shared" si="30"/>
        <v>0</v>
      </c>
      <c r="BS8" s="112">
        <f t="shared" si="14"/>
        <v>92386.711077171611</v>
      </c>
      <c r="BT8" s="95">
        <f>+BT256</f>
        <v>1022</v>
      </c>
      <c r="BU8" s="95">
        <f t="shared" si="31"/>
        <v>152.03</v>
      </c>
      <c r="BV8" s="95">
        <f t="shared" si="31"/>
        <v>2140</v>
      </c>
      <c r="BW8" s="95">
        <f t="shared" si="31"/>
        <v>2848.9146030491652</v>
      </c>
      <c r="BX8" s="95">
        <f t="shared" si="31"/>
        <v>152.03</v>
      </c>
      <c r="BY8" s="95">
        <f t="shared" si="31"/>
        <v>0</v>
      </c>
      <c r="BZ8" s="95">
        <f t="shared" si="31"/>
        <v>3204.022064492146</v>
      </c>
      <c r="CA8" s="95">
        <f t="shared" si="31"/>
        <v>152.03</v>
      </c>
      <c r="CB8" s="95">
        <f t="shared" si="31"/>
        <v>0</v>
      </c>
      <c r="CC8" s="95">
        <f t="shared" si="31"/>
        <v>3432.9644611281628</v>
      </c>
      <c r="CD8" s="95">
        <f t="shared" si="31"/>
        <v>152.03</v>
      </c>
      <c r="CE8" s="96">
        <f t="shared" si="31"/>
        <v>0</v>
      </c>
      <c r="CF8" s="112">
        <f t="shared" si="15"/>
        <v>13256.021128669474</v>
      </c>
      <c r="CG8" s="95">
        <f>+CG256</f>
        <v>83</v>
      </c>
      <c r="CH8" s="95">
        <f t="shared" si="32"/>
        <v>152.03</v>
      </c>
      <c r="CI8" s="95">
        <f t="shared" si="32"/>
        <v>1735</v>
      </c>
      <c r="CJ8" s="95">
        <f t="shared" si="32"/>
        <v>332.14730752411708</v>
      </c>
      <c r="CK8" s="95">
        <f t="shared" si="32"/>
        <v>152.03</v>
      </c>
      <c r="CL8" s="95">
        <f t="shared" si="32"/>
        <v>0</v>
      </c>
      <c r="CM8" s="95">
        <f t="shared" si="32"/>
        <v>485.54710138291853</v>
      </c>
      <c r="CN8" s="95">
        <f t="shared" si="32"/>
        <v>152.03</v>
      </c>
      <c r="CO8" s="95">
        <f t="shared" si="32"/>
        <v>0</v>
      </c>
      <c r="CP8" s="95">
        <f t="shared" si="32"/>
        <v>602.37695768618107</v>
      </c>
      <c r="CQ8" s="95">
        <f t="shared" si="32"/>
        <v>152.03</v>
      </c>
      <c r="CR8" s="96">
        <f t="shared" si="32"/>
        <v>0</v>
      </c>
      <c r="CS8" s="112">
        <f t="shared" si="16"/>
        <v>3846.1913665932175</v>
      </c>
      <c r="CT8" s="95">
        <f>+CT256</f>
        <v>0</v>
      </c>
      <c r="CU8" s="95">
        <f t="shared" si="33"/>
        <v>152.03</v>
      </c>
      <c r="CV8" s="95">
        <f t="shared" si="33"/>
        <v>683.16852916509742</v>
      </c>
      <c r="CW8" s="95">
        <f t="shared" si="33"/>
        <v>0</v>
      </c>
      <c r="CX8" s="95">
        <f t="shared" si="33"/>
        <v>152.03</v>
      </c>
      <c r="CY8" s="95">
        <f t="shared" si="33"/>
        <v>0</v>
      </c>
      <c r="CZ8" s="95">
        <f t="shared" si="33"/>
        <v>561.73362108254696</v>
      </c>
      <c r="DA8" s="95">
        <f t="shared" si="33"/>
        <v>152.03</v>
      </c>
      <c r="DB8" s="95">
        <f t="shared" si="33"/>
        <v>0</v>
      </c>
      <c r="DC8" s="95">
        <f t="shared" si="33"/>
        <v>536.6946447271697</v>
      </c>
      <c r="DD8" s="95">
        <f t="shared" si="33"/>
        <v>152.03</v>
      </c>
      <c r="DE8" s="96">
        <f t="shared" si="33"/>
        <v>0</v>
      </c>
      <c r="DF8" s="112">
        <f t="shared" si="17"/>
        <v>2389.7167949748141</v>
      </c>
      <c r="DG8" s="205">
        <f>+DG256</f>
        <v>74000</v>
      </c>
      <c r="DH8" s="98">
        <f t="shared" si="34"/>
        <v>309443.73207064607</v>
      </c>
      <c r="DI8" s="99">
        <f t="shared" si="8"/>
        <v>295215.63759930222</v>
      </c>
      <c r="DJ8" s="100">
        <f t="shared" si="9"/>
        <v>-14228.094471343851</v>
      </c>
      <c r="DK8" s="64">
        <f>+DH8/DH7</f>
        <v>1.3363483304702692</v>
      </c>
    </row>
    <row r="9" spans="1:117" s="54" customFormat="1" ht="19.899999999999999" customHeight="1">
      <c r="A9" s="569"/>
      <c r="B9" s="570"/>
      <c r="C9" s="577" t="s">
        <v>11</v>
      </c>
      <c r="D9" s="578"/>
      <c r="E9" s="113">
        <f>+E7-E8</f>
        <v>42401.293131402694</v>
      </c>
      <c r="F9" s="114"/>
      <c r="G9" s="115">
        <f t="shared" ref="G9:R9" si="35">+G7-G8</f>
        <v>387.04591580881402</v>
      </c>
      <c r="H9" s="115">
        <f t="shared" si="35"/>
        <v>-273.87641176887001</v>
      </c>
      <c r="I9" s="115">
        <f t="shared" si="35"/>
        <v>329.58700779470593</v>
      </c>
      <c r="J9" s="115">
        <f t="shared" si="35"/>
        <v>40.725721463943728</v>
      </c>
      <c r="K9" s="115">
        <f t="shared" si="35"/>
        <v>-2.9122520171673791</v>
      </c>
      <c r="L9" s="115">
        <f t="shared" si="35"/>
        <v>-65.366411698236448</v>
      </c>
      <c r="M9" s="115">
        <f t="shared" si="35"/>
        <v>626.08519244958643</v>
      </c>
      <c r="N9" s="115">
        <f t="shared" si="35"/>
        <v>-348.79328625642682</v>
      </c>
      <c r="O9" s="115">
        <f t="shared" si="35"/>
        <v>-193.99478401999539</v>
      </c>
      <c r="P9" s="115">
        <f t="shared" si="35"/>
        <v>-108.41587118992692</v>
      </c>
      <c r="Q9" s="115">
        <f t="shared" si="35"/>
        <v>-165.7137825851463</v>
      </c>
      <c r="R9" s="116">
        <f t="shared" si="35"/>
        <v>75.648699522248137</v>
      </c>
      <c r="S9" s="117">
        <f t="shared" si="10"/>
        <v>300.01973750352892</v>
      </c>
      <c r="T9" s="118">
        <f t="shared" ref="T9:AE9" si="36">+T7-T8</f>
        <v>-448.39483378836007</v>
      </c>
      <c r="U9" s="115">
        <f t="shared" si="36"/>
        <v>-348.42050370417411</v>
      </c>
      <c r="V9" s="115">
        <f t="shared" si="36"/>
        <v>-437.37059141717128</v>
      </c>
      <c r="W9" s="115">
        <f t="shared" si="36"/>
        <v>-1009.6213520243443</v>
      </c>
      <c r="X9" s="115">
        <f t="shared" si="36"/>
        <v>175.74665283637273</v>
      </c>
      <c r="Y9" s="115">
        <f t="shared" si="36"/>
        <v>-3604.5508346094475</v>
      </c>
      <c r="Z9" s="115">
        <f t="shared" si="36"/>
        <v>80966.651397255293</v>
      </c>
      <c r="AA9" s="115">
        <f t="shared" si="36"/>
        <v>1237.1467844388412</v>
      </c>
      <c r="AB9" s="115">
        <f t="shared" si="36"/>
        <v>1331.2458271760652</v>
      </c>
      <c r="AC9" s="115">
        <f t="shared" si="36"/>
        <v>-3217.1015156822582</v>
      </c>
      <c r="AD9" s="115">
        <f t="shared" si="36"/>
        <v>23.716629819940351</v>
      </c>
      <c r="AE9" s="116">
        <f t="shared" si="36"/>
        <v>-476.87505391188677</v>
      </c>
      <c r="AF9" s="117">
        <f t="shared" si="11"/>
        <v>74192.172606388878</v>
      </c>
      <c r="AG9" s="493">
        <f t="shared" ref="AG9:AR9" si="37">+AG7-AG8</f>
        <v>2326.267103214599</v>
      </c>
      <c r="AH9" s="517">
        <f t="shared" si="37"/>
        <v>-3028.4791282376086</v>
      </c>
      <c r="AI9" s="517">
        <f t="shared" si="37"/>
        <v>-462.3393744832623</v>
      </c>
      <c r="AJ9" s="517">
        <f t="shared" si="37"/>
        <v>-2254.8503602699429</v>
      </c>
      <c r="AK9" s="517">
        <f t="shared" si="37"/>
        <v>-1422.6146346329465</v>
      </c>
      <c r="AL9" s="517">
        <f t="shared" si="37"/>
        <v>-9452.981793507015</v>
      </c>
      <c r="AM9" s="517">
        <f t="shared" si="37"/>
        <v>-5832.2500254951728</v>
      </c>
      <c r="AN9" s="517">
        <f t="shared" si="37"/>
        <v>-3459.7703781201653</v>
      </c>
      <c r="AO9" s="517">
        <f t="shared" si="37"/>
        <v>522.52126687898408</v>
      </c>
      <c r="AP9" s="517">
        <f t="shared" si="37"/>
        <v>732.71540512739216</v>
      </c>
      <c r="AQ9" s="517">
        <f t="shared" si="37"/>
        <v>356.2881378016898</v>
      </c>
      <c r="AR9" s="522">
        <f t="shared" si="37"/>
        <v>-52841.946155555277</v>
      </c>
      <c r="AS9" s="402">
        <f t="shared" si="12"/>
        <v>-74817.43993727873</v>
      </c>
      <c r="AT9" s="493">
        <f t="shared" ref="AT9:BE9" si="38">+AT7-AT8</f>
        <v>-2222.6877470460013</v>
      </c>
      <c r="AU9" s="517">
        <f t="shared" si="38"/>
        <v>-15.362423562665299</v>
      </c>
      <c r="AV9" s="517">
        <f t="shared" si="38"/>
        <v>-1082.9438241902467</v>
      </c>
      <c r="AW9" s="115">
        <f t="shared" si="38"/>
        <v>-23.395979892878643</v>
      </c>
      <c r="AX9" s="115">
        <f t="shared" si="38"/>
        <v>-18982.019666515163</v>
      </c>
      <c r="AY9" s="115">
        <f t="shared" si="38"/>
        <v>-8712.0484990067471</v>
      </c>
      <c r="AZ9" s="115">
        <f t="shared" si="38"/>
        <v>-749.18877845262352</v>
      </c>
      <c r="BA9" s="115">
        <f t="shared" si="38"/>
        <v>-88.105632225007298</v>
      </c>
      <c r="BB9" s="115">
        <f t="shared" si="38"/>
        <v>27.680114598218122</v>
      </c>
      <c r="BC9" s="115">
        <f t="shared" si="38"/>
        <v>-6791.4750026153188</v>
      </c>
      <c r="BD9" s="115">
        <f t="shared" si="38"/>
        <v>-169.0761073621008</v>
      </c>
      <c r="BE9" s="116">
        <f t="shared" si="38"/>
        <v>-18.076753256886906</v>
      </c>
      <c r="BF9" s="117">
        <f t="shared" si="13"/>
        <v>-38826.700299527423</v>
      </c>
      <c r="BG9" s="118">
        <f t="shared" ref="BG9:BR9" si="39">+BG7-BG8</f>
        <v>-879.80123713869341</v>
      </c>
      <c r="BH9" s="115">
        <f t="shared" si="39"/>
        <v>-139.92042229241338</v>
      </c>
      <c r="BI9" s="115">
        <f t="shared" si="39"/>
        <v>-364.68322575813437</v>
      </c>
      <c r="BJ9" s="115">
        <f t="shared" si="39"/>
        <v>-1823.6019588623876</v>
      </c>
      <c r="BK9" s="115">
        <f t="shared" si="39"/>
        <v>-162.45440352761148</v>
      </c>
      <c r="BL9" s="115">
        <f t="shared" si="39"/>
        <v>-21.952299001342421</v>
      </c>
      <c r="BM9" s="115">
        <f t="shared" si="39"/>
        <v>-2665.3713864037859</v>
      </c>
      <c r="BN9" s="115">
        <f t="shared" si="39"/>
        <v>-76909.408653707287</v>
      </c>
      <c r="BO9" s="115">
        <f t="shared" si="39"/>
        <v>-6007.1234106545535</v>
      </c>
      <c r="BP9" s="115">
        <f t="shared" si="39"/>
        <v>-3096.4289367859401</v>
      </c>
      <c r="BQ9" s="115">
        <f t="shared" si="39"/>
        <v>-174.44381101628952</v>
      </c>
      <c r="BR9" s="116">
        <f t="shared" si="39"/>
        <v>-7.1548429124630148</v>
      </c>
      <c r="BS9" s="117">
        <f t="shared" si="14"/>
        <v>-92252.344588060922</v>
      </c>
      <c r="BT9" s="118">
        <f t="shared" ref="BT9:CE9" si="40">+BT7-BT8</f>
        <v>-1006.1688330478884</v>
      </c>
      <c r="BU9" s="115">
        <f t="shared" si="40"/>
        <v>-111.04539860525999</v>
      </c>
      <c r="BV9" s="115">
        <f t="shared" si="40"/>
        <v>-2082.3654332786564</v>
      </c>
      <c r="BW9" s="115">
        <f t="shared" si="40"/>
        <v>-2792.5674707580984</v>
      </c>
      <c r="BX9" s="115">
        <f t="shared" si="40"/>
        <v>-97.081546410945435</v>
      </c>
      <c r="BY9" s="115">
        <f t="shared" si="40"/>
        <v>65.29745861089053</v>
      </c>
      <c r="BZ9" s="115">
        <f t="shared" si="40"/>
        <v>29019.636121575364</v>
      </c>
      <c r="CA9" s="115">
        <f t="shared" si="40"/>
        <v>31.421582579121491</v>
      </c>
      <c r="CB9" s="115">
        <f t="shared" si="40"/>
        <v>163.46837263178423</v>
      </c>
      <c r="CC9" s="115">
        <f t="shared" si="40"/>
        <v>-3257.4931886771365</v>
      </c>
      <c r="CD9" s="115">
        <f t="shared" si="40"/>
        <v>24.282128402915134</v>
      </c>
      <c r="CE9" s="116">
        <f t="shared" si="40"/>
        <v>188.20765981340983</v>
      </c>
      <c r="CF9" s="117">
        <f t="shared" si="15"/>
        <v>20145.591452835499</v>
      </c>
      <c r="CG9" s="118">
        <f t="shared" ref="CG9:CR9" si="41">+CG7-CG8</f>
        <v>117.63555285776351</v>
      </c>
      <c r="CH9" s="115">
        <f t="shared" si="41"/>
        <v>59.829991096108813</v>
      </c>
      <c r="CI9" s="115">
        <f t="shared" si="41"/>
        <v>-1511.9194722957311</v>
      </c>
      <c r="CJ9" s="115">
        <f t="shared" si="41"/>
        <v>-102.8920486090332</v>
      </c>
      <c r="CK9" s="115">
        <f t="shared" si="41"/>
        <v>86.970200815732227</v>
      </c>
      <c r="CL9" s="115">
        <f t="shared" si="41"/>
        <v>249.35203918084483</v>
      </c>
      <c r="CM9" s="115">
        <f t="shared" si="41"/>
        <v>-225.43855040438564</v>
      </c>
      <c r="CN9" s="115">
        <f t="shared" si="41"/>
        <v>116.36662438001233</v>
      </c>
      <c r="CO9" s="115">
        <f t="shared" si="41"/>
        <v>276.77158821317352</v>
      </c>
      <c r="CP9" s="115">
        <f t="shared" si="41"/>
        <v>-317.15076326155503</v>
      </c>
      <c r="CQ9" s="115">
        <f t="shared" si="41"/>
        <v>138.44404432369905</v>
      </c>
      <c r="CR9" s="116">
        <f t="shared" si="41"/>
        <v>294.17437762918706</v>
      </c>
      <c r="CS9" s="117">
        <f t="shared" si="16"/>
        <v>-817.85641607418393</v>
      </c>
      <c r="CT9" s="118">
        <f t="shared" ref="CT9:DE9" si="42">+CT7-CT8</f>
        <v>299.37173342615239</v>
      </c>
      <c r="CU9" s="115">
        <f t="shared" si="42"/>
        <v>150.71773309626926</v>
      </c>
      <c r="CV9" s="115">
        <f t="shared" si="42"/>
        <v>-377.89043013741042</v>
      </c>
      <c r="CW9" s="115">
        <f t="shared" si="42"/>
        <v>64505.652605894647</v>
      </c>
      <c r="CX9" s="115">
        <f t="shared" si="42"/>
        <v>369.91165444296769</v>
      </c>
      <c r="CY9" s="115">
        <f t="shared" si="42"/>
        <v>524.13818364482756</v>
      </c>
      <c r="CZ9" s="115">
        <f t="shared" si="42"/>
        <v>-35.20178056195175</v>
      </c>
      <c r="DA9" s="115">
        <f t="shared" si="42"/>
        <v>374.6824669943444</v>
      </c>
      <c r="DB9" s="115">
        <f t="shared" si="42"/>
        <v>527.88232479912858</v>
      </c>
      <c r="DC9" s="115">
        <f t="shared" si="42"/>
        <v>-7.3901028759839846</v>
      </c>
      <c r="DD9" s="115">
        <f t="shared" si="42"/>
        <v>376.77565114450852</v>
      </c>
      <c r="DE9" s="116">
        <f t="shared" si="42"/>
        <v>529.4300237389715</v>
      </c>
      <c r="DF9" s="117">
        <f t="shared" si="17"/>
        <v>67238.080063606452</v>
      </c>
      <c r="DG9" s="275">
        <f>+DG7-DG8</f>
        <v>53519.746750428167</v>
      </c>
      <c r="DH9" s="98">
        <f t="shared" si="34"/>
        <v>-77884.545730546495</v>
      </c>
      <c r="DI9" s="99">
        <f t="shared" si="8"/>
        <v>42401.293131402694</v>
      </c>
      <c r="DJ9" s="100">
        <f t="shared" si="9"/>
        <v>120285.83886194919</v>
      </c>
    </row>
    <row r="10" spans="1:117" s="54" customFormat="1" ht="19.899999999999999" customHeight="1">
      <c r="A10" s="567" t="s">
        <v>103</v>
      </c>
      <c r="B10" s="568"/>
      <c r="C10" s="575" t="s">
        <v>62</v>
      </c>
      <c r="D10" s="576"/>
      <c r="E10" s="101">
        <f t="shared" ref="E10:R11" si="43">+E4+E7</f>
        <v>1911246.0670242051</v>
      </c>
      <c r="F10" s="102">
        <f t="shared" si="43"/>
        <v>4518.8</v>
      </c>
      <c r="G10" s="103">
        <f t="shared" si="43"/>
        <v>2677.7997037403265</v>
      </c>
      <c r="H10" s="103">
        <f t="shared" si="43"/>
        <v>2615.0402174300257</v>
      </c>
      <c r="I10" s="103">
        <f t="shared" si="43"/>
        <v>1675.5555019759454</v>
      </c>
      <c r="J10" s="103">
        <f t="shared" si="43"/>
        <v>1126.4084969488611</v>
      </c>
      <c r="K10" s="103">
        <f t="shared" si="43"/>
        <v>966.26991278969956</v>
      </c>
      <c r="L10" s="103">
        <f t="shared" si="43"/>
        <v>2596.3374659970082</v>
      </c>
      <c r="M10" s="103">
        <f t="shared" si="43"/>
        <v>1834.8533992764417</v>
      </c>
      <c r="N10" s="103">
        <f t="shared" si="43"/>
        <v>671.69645134003349</v>
      </c>
      <c r="O10" s="103">
        <f t="shared" si="43"/>
        <v>840.49343107883828</v>
      </c>
      <c r="P10" s="103">
        <f t="shared" si="43"/>
        <v>998.33843040623719</v>
      </c>
      <c r="Q10" s="103">
        <f t="shared" si="43"/>
        <v>25917.667396593268</v>
      </c>
      <c r="R10" s="104">
        <f t="shared" si="43"/>
        <v>3027.3515226407512</v>
      </c>
      <c r="S10" s="119">
        <f t="shared" si="10"/>
        <v>44947.811930217438</v>
      </c>
      <c r="T10" s="377">
        <f t="shared" ref="T10:AE11" si="44">+T4+T7</f>
        <v>2674.8888883020436</v>
      </c>
      <c r="U10" s="377">
        <f t="shared" si="44"/>
        <v>1250.9192351594443</v>
      </c>
      <c r="V10" s="377">
        <f t="shared" si="44"/>
        <v>630.75853708367174</v>
      </c>
      <c r="W10" s="377">
        <f t="shared" si="44"/>
        <v>751.06608991132146</v>
      </c>
      <c r="X10" s="377">
        <f t="shared" si="44"/>
        <v>979.58283375604344</v>
      </c>
      <c r="Y10" s="377">
        <f t="shared" si="44"/>
        <v>870.77341038718396</v>
      </c>
      <c r="Z10" s="377">
        <f t="shared" si="44"/>
        <v>82183.552681056841</v>
      </c>
      <c r="AA10" s="377">
        <f t="shared" si="44"/>
        <v>3022.8541470625041</v>
      </c>
      <c r="AB10" s="377">
        <f t="shared" si="44"/>
        <v>2100.1870704028415</v>
      </c>
      <c r="AC10" s="377">
        <f t="shared" si="44"/>
        <v>889.85455411443706</v>
      </c>
      <c r="AD10" s="377">
        <f t="shared" si="44"/>
        <v>5232.813603754239</v>
      </c>
      <c r="AE10" s="478">
        <f t="shared" si="44"/>
        <v>32288.238354084075</v>
      </c>
      <c r="AF10" s="119">
        <f t="shared" si="11"/>
        <v>132875.48940507465</v>
      </c>
      <c r="AG10" s="494">
        <f t="shared" ref="AG10:AR11" si="45">+AG4+AG7</f>
        <v>7637.3545343754622</v>
      </c>
      <c r="AH10" s="494">
        <f t="shared" si="45"/>
        <v>1121.965990519099</v>
      </c>
      <c r="AI10" s="494">
        <f t="shared" si="45"/>
        <v>1504.6778783651775</v>
      </c>
      <c r="AJ10" s="494">
        <f t="shared" si="45"/>
        <v>2940.526030061892</v>
      </c>
      <c r="AK10" s="494">
        <f t="shared" si="45"/>
        <v>6945.4100435133578</v>
      </c>
      <c r="AL10" s="494">
        <f t="shared" si="45"/>
        <v>4284.5850168295901</v>
      </c>
      <c r="AM10" s="494">
        <f t="shared" si="45"/>
        <v>3932.7400236340727</v>
      </c>
      <c r="AN10" s="494">
        <f t="shared" si="45"/>
        <v>5842.5377774915714</v>
      </c>
      <c r="AO10" s="494">
        <f t="shared" si="45"/>
        <v>2753.5817329117281</v>
      </c>
      <c r="AP10" s="494">
        <f t="shared" si="45"/>
        <v>2402.3350214652492</v>
      </c>
      <c r="AQ10" s="494">
        <f t="shared" si="45"/>
        <v>4061.4160732012278</v>
      </c>
      <c r="AR10" s="523">
        <f t="shared" si="45"/>
        <v>17470.799988622799</v>
      </c>
      <c r="AS10" s="400">
        <f t="shared" si="12"/>
        <v>60897.930110991227</v>
      </c>
      <c r="AT10" s="495">
        <f t="shared" ref="AT10:BE11" si="46">+AT4+AT7</f>
        <v>14495.383319972041</v>
      </c>
      <c r="AU10" s="494">
        <f t="shared" si="46"/>
        <v>8643.2452920659271</v>
      </c>
      <c r="AV10" s="494">
        <f t="shared" si="46"/>
        <v>4751.7529498975964</v>
      </c>
      <c r="AW10" s="103">
        <f t="shared" si="46"/>
        <v>2946.2876627224409</v>
      </c>
      <c r="AX10" s="103">
        <f t="shared" si="46"/>
        <v>352.01033348483634</v>
      </c>
      <c r="AY10" s="103">
        <f t="shared" si="46"/>
        <v>999.89267746384189</v>
      </c>
      <c r="AZ10" s="103">
        <f t="shared" si="46"/>
        <v>97.811221547376476</v>
      </c>
      <c r="BA10" s="103">
        <f t="shared" si="46"/>
        <v>63.92436777499271</v>
      </c>
      <c r="BB10" s="103">
        <f t="shared" si="46"/>
        <v>2693.4312301611471</v>
      </c>
      <c r="BC10" s="103">
        <f t="shared" si="46"/>
        <v>8298.860406231357</v>
      </c>
      <c r="BD10" s="103">
        <f t="shared" si="46"/>
        <v>11603.640064270119</v>
      </c>
      <c r="BE10" s="104">
        <f t="shared" si="46"/>
        <v>14239.469187330607</v>
      </c>
      <c r="BF10" s="119">
        <f t="shared" si="13"/>
        <v>69185.708712922293</v>
      </c>
      <c r="BG10" s="103">
        <f t="shared" ref="BG10:BR11" si="47">+BG4+BG7</f>
        <v>20467.633211358541</v>
      </c>
      <c r="BH10" s="103">
        <f t="shared" si="47"/>
        <v>17670.889156792153</v>
      </c>
      <c r="BI10" s="103">
        <f t="shared" si="47"/>
        <v>20709.52486061785</v>
      </c>
      <c r="BJ10" s="103">
        <f t="shared" si="47"/>
        <v>24398.987832449573</v>
      </c>
      <c r="BK10" s="103">
        <f t="shared" si="47"/>
        <v>25786.648480743774</v>
      </c>
      <c r="BL10" s="103">
        <f t="shared" si="47"/>
        <v>26859.969264765186</v>
      </c>
      <c r="BM10" s="103">
        <f t="shared" si="47"/>
        <v>123933.76754918713</v>
      </c>
      <c r="BN10" s="103">
        <f t="shared" si="47"/>
        <v>28011.932517489578</v>
      </c>
      <c r="BO10" s="103">
        <f t="shared" si="47"/>
        <v>28007.947125764091</v>
      </c>
      <c r="BP10" s="103">
        <f t="shared" si="47"/>
        <v>26108.19053376808</v>
      </c>
      <c r="BQ10" s="103">
        <f t="shared" si="47"/>
        <v>30334.251943992887</v>
      </c>
      <c r="BR10" s="104">
        <f t="shared" si="47"/>
        <v>33885.678048600312</v>
      </c>
      <c r="BS10" s="119">
        <f t="shared" si="14"/>
        <v>406175.42052552919</v>
      </c>
      <c r="BT10" s="103">
        <f t="shared" ref="BT10:CE11" si="48">+BT4+BT7</f>
        <v>35925.751261195379</v>
      </c>
      <c r="BU10" s="103">
        <f t="shared" si="48"/>
        <v>35385.937523075314</v>
      </c>
      <c r="BV10" s="103">
        <f t="shared" si="48"/>
        <v>32142.496870930318</v>
      </c>
      <c r="BW10" s="103">
        <f t="shared" si="48"/>
        <v>33169.588381620946</v>
      </c>
      <c r="BX10" s="103">
        <f t="shared" si="48"/>
        <v>32773.590237012359</v>
      </c>
      <c r="BY10" s="103">
        <f t="shared" si="48"/>
        <v>33666.273472531779</v>
      </c>
      <c r="BZ10" s="103">
        <f t="shared" si="48"/>
        <v>67437.994109178078</v>
      </c>
      <c r="CA10" s="103">
        <f t="shared" si="48"/>
        <v>37290.443755414592</v>
      </c>
      <c r="CB10" s="103">
        <f t="shared" si="48"/>
        <v>34552.456894069102</v>
      </c>
      <c r="CC10" s="103">
        <f t="shared" si="48"/>
        <v>35441.611366361984</v>
      </c>
      <c r="CD10" s="103">
        <f t="shared" si="48"/>
        <v>35982.180719602977</v>
      </c>
      <c r="CE10" s="104">
        <f t="shared" si="48"/>
        <v>36183.527641922141</v>
      </c>
      <c r="CF10" s="119">
        <f t="shared" si="15"/>
        <v>449951.85223291488</v>
      </c>
      <c r="CG10" s="103">
        <f t="shared" ref="CG10:CR11" si="49">+CG4+CG7</f>
        <v>34381.8255272514</v>
      </c>
      <c r="CH10" s="103">
        <f t="shared" si="49"/>
        <v>34905.417672650641</v>
      </c>
      <c r="CI10" s="103">
        <f t="shared" si="49"/>
        <v>35448.077860982419</v>
      </c>
      <c r="CJ10" s="103">
        <f t="shared" si="49"/>
        <v>33242.886110914646</v>
      </c>
      <c r="CK10" s="103">
        <f t="shared" si="49"/>
        <v>33138.272988624478</v>
      </c>
      <c r="CL10" s="103">
        <f t="shared" si="49"/>
        <v>32709.258826868056</v>
      </c>
      <c r="CM10" s="103">
        <f t="shared" si="49"/>
        <v>29456.291838836223</v>
      </c>
      <c r="CN10" s="103">
        <f t="shared" si="49"/>
        <v>28176.767994513652</v>
      </c>
      <c r="CO10" s="103">
        <f t="shared" si="49"/>
        <v>26813.816993583732</v>
      </c>
      <c r="CP10" s="103">
        <f t="shared" si="49"/>
        <v>23849.021796796987</v>
      </c>
      <c r="CQ10" s="103">
        <f t="shared" si="49"/>
        <v>14667.161806837601</v>
      </c>
      <c r="CR10" s="104">
        <f t="shared" si="49"/>
        <v>13737.287055374549</v>
      </c>
      <c r="CS10" s="119">
        <f t="shared" si="16"/>
        <v>340526.08647323435</v>
      </c>
      <c r="CT10" s="103">
        <f t="shared" ref="CT10:DE11" si="50">+CT4+CT7</f>
        <v>12430.448128776236</v>
      </c>
      <c r="CU10" s="103">
        <f t="shared" si="50"/>
        <v>11423.322380595706</v>
      </c>
      <c r="CV10" s="103">
        <f t="shared" si="50"/>
        <v>10294.00753679576</v>
      </c>
      <c r="CW10" s="103">
        <f t="shared" si="50"/>
        <v>73552.137878539856</v>
      </c>
      <c r="CX10" s="103">
        <f t="shared" si="50"/>
        <v>8896.7052481617993</v>
      </c>
      <c r="CY10" s="103">
        <f t="shared" si="50"/>
        <v>8203.1077531530191</v>
      </c>
      <c r="CZ10" s="103">
        <f t="shared" si="50"/>
        <v>7419.3888362122125</v>
      </c>
      <c r="DA10" s="103">
        <f t="shared" si="50"/>
        <v>6550.2772706680516</v>
      </c>
      <c r="DB10" s="103">
        <f t="shared" si="50"/>
        <v>5894.6978266507485</v>
      </c>
      <c r="DC10" s="103">
        <f t="shared" si="50"/>
        <v>5458.9206791006382</v>
      </c>
      <c r="DD10" s="103">
        <f t="shared" si="50"/>
        <v>4958.9787811255401</v>
      </c>
      <c r="DE10" s="104">
        <f t="shared" si="50"/>
        <v>4404.4521192860857</v>
      </c>
      <c r="DF10" s="119">
        <f t="shared" si="17"/>
        <v>159486.44443906564</v>
      </c>
      <c r="DG10" s="276">
        <f>+DG4+DG7</f>
        <v>247199.32319425518</v>
      </c>
      <c r="DH10" s="90">
        <f t="shared" si="34"/>
        <v>965800.48387898994</v>
      </c>
      <c r="DI10" s="91">
        <f t="shared" si="8"/>
        <v>1911246.0670242051</v>
      </c>
      <c r="DJ10" s="92">
        <f t="shared" si="9"/>
        <v>945445.58314521518</v>
      </c>
    </row>
    <row r="11" spans="1:117" s="54" customFormat="1" ht="19.899999999999999" customHeight="1">
      <c r="A11" s="569"/>
      <c r="B11" s="570"/>
      <c r="C11" s="579" t="s">
        <v>63</v>
      </c>
      <c r="D11" s="580"/>
      <c r="E11" s="93">
        <f t="shared" si="43"/>
        <v>1674671.8012745681</v>
      </c>
      <c r="F11" s="94">
        <f t="shared" si="43"/>
        <v>764.56299999999999</v>
      </c>
      <c r="G11" s="95">
        <f t="shared" si="43"/>
        <v>1764.8660869426906</v>
      </c>
      <c r="H11" s="95">
        <f t="shared" si="43"/>
        <v>1889.2269507713224</v>
      </c>
      <c r="I11" s="95">
        <f t="shared" si="43"/>
        <v>1738.4785335712731</v>
      </c>
      <c r="J11" s="95">
        <f t="shared" si="43"/>
        <v>1144.9061863143113</v>
      </c>
      <c r="K11" s="95">
        <f t="shared" si="43"/>
        <v>2092.5812125751077</v>
      </c>
      <c r="L11" s="95">
        <f t="shared" si="43"/>
        <v>1214.7682576054817</v>
      </c>
      <c r="M11" s="95">
        <f t="shared" si="43"/>
        <v>1582.2964944625228</v>
      </c>
      <c r="N11" s="95">
        <f t="shared" si="43"/>
        <v>1264.5128724373312</v>
      </c>
      <c r="O11" s="95">
        <f t="shared" si="43"/>
        <v>1187.4504331071323</v>
      </c>
      <c r="P11" s="95">
        <f t="shared" si="43"/>
        <v>1611.1538624086386</v>
      </c>
      <c r="Q11" s="95">
        <f t="shared" si="43"/>
        <v>1472.2853252939121</v>
      </c>
      <c r="R11" s="96">
        <f t="shared" si="43"/>
        <v>1552.2888624116426</v>
      </c>
      <c r="S11" s="112">
        <f t="shared" si="10"/>
        <v>18514.815077901367</v>
      </c>
      <c r="T11" s="376">
        <f t="shared" si="44"/>
        <v>2968.1642335820461</v>
      </c>
      <c r="U11" s="376">
        <f t="shared" si="44"/>
        <v>1558.8295900492274</v>
      </c>
      <c r="V11" s="376">
        <f t="shared" si="44"/>
        <v>1415.8205834561641</v>
      </c>
      <c r="W11" s="376">
        <f t="shared" si="44"/>
        <v>2008.5723402933231</v>
      </c>
      <c r="X11" s="376">
        <f t="shared" si="44"/>
        <v>1177.7124227362669</v>
      </c>
      <c r="Y11" s="376">
        <f t="shared" si="44"/>
        <v>4681.7359108310557</v>
      </c>
      <c r="Z11" s="376">
        <f t="shared" si="44"/>
        <v>1223.5421457660889</v>
      </c>
      <c r="AA11" s="376">
        <f t="shared" si="44"/>
        <v>1237.3043051958498</v>
      </c>
      <c r="AB11" s="376">
        <f t="shared" si="44"/>
        <v>1110.4106578658759</v>
      </c>
      <c r="AC11" s="376">
        <f t="shared" si="44"/>
        <v>4742.3072601165968</v>
      </c>
      <c r="AD11" s="376">
        <f t="shared" si="44"/>
        <v>3945.2390354927811</v>
      </c>
      <c r="AE11" s="479">
        <f t="shared" si="44"/>
        <v>6644.1136825965823</v>
      </c>
      <c r="AF11" s="112">
        <f t="shared" si="11"/>
        <v>32713.75216798186</v>
      </c>
      <c r="AG11" s="492">
        <f t="shared" si="45"/>
        <v>5424.943206995461</v>
      </c>
      <c r="AH11" s="492">
        <f t="shared" si="45"/>
        <v>4383.3891323903999</v>
      </c>
      <c r="AI11" s="492">
        <f t="shared" si="45"/>
        <v>1923.3125986070463</v>
      </c>
      <c r="AJ11" s="492">
        <f t="shared" si="45"/>
        <v>5357.2594752509149</v>
      </c>
      <c r="AK11" s="492">
        <f t="shared" si="45"/>
        <v>7990.0125235047508</v>
      </c>
      <c r="AL11" s="492">
        <f t="shared" si="45"/>
        <v>13869.212627051198</v>
      </c>
      <c r="AM11" s="492">
        <f t="shared" si="45"/>
        <v>9115.4618396679798</v>
      </c>
      <c r="AN11" s="492">
        <f t="shared" si="45"/>
        <v>7845.286684419646</v>
      </c>
      <c r="AO11" s="492">
        <f t="shared" si="45"/>
        <v>2964.2778411605509</v>
      </c>
      <c r="AP11" s="492">
        <f t="shared" si="45"/>
        <v>2124.146086516897</v>
      </c>
      <c r="AQ11" s="492">
        <f t="shared" si="45"/>
        <v>4509.7157883908612</v>
      </c>
      <c r="AR11" s="524">
        <f t="shared" si="45"/>
        <v>67229.826109931499</v>
      </c>
      <c r="AS11" s="401">
        <f t="shared" si="12"/>
        <v>132736.84391388722</v>
      </c>
      <c r="AT11" s="530">
        <f t="shared" si="46"/>
        <v>13154.047608933175</v>
      </c>
      <c r="AU11" s="492">
        <f t="shared" si="46"/>
        <v>5970.2766644978901</v>
      </c>
      <c r="AV11" s="492">
        <f t="shared" si="46"/>
        <v>5119.6715428809848</v>
      </c>
      <c r="AW11" s="95">
        <f t="shared" si="46"/>
        <v>7024.3936494079408</v>
      </c>
      <c r="AX11" s="95">
        <f t="shared" si="46"/>
        <v>27369.660080959646</v>
      </c>
      <c r="AY11" s="95">
        <f t="shared" si="46"/>
        <v>20541.976511226992</v>
      </c>
      <c r="AZ11" s="95">
        <f t="shared" si="46"/>
        <v>10263.867353262503</v>
      </c>
      <c r="BA11" s="95">
        <f t="shared" si="46"/>
        <v>10937.200320807371</v>
      </c>
      <c r="BB11" s="95">
        <f t="shared" si="46"/>
        <v>8439.9663942223233</v>
      </c>
      <c r="BC11" s="95">
        <f t="shared" si="46"/>
        <v>15970.19183026586</v>
      </c>
      <c r="BD11" s="95">
        <f t="shared" si="46"/>
        <v>11912.833832705948</v>
      </c>
      <c r="BE11" s="96">
        <f t="shared" si="46"/>
        <v>12056.81435187257</v>
      </c>
      <c r="BF11" s="112">
        <f t="shared" si="13"/>
        <v>148760.90014104324</v>
      </c>
      <c r="BG11" s="95">
        <f t="shared" si="47"/>
        <v>13594.388757474519</v>
      </c>
      <c r="BH11" s="95">
        <f t="shared" si="47"/>
        <v>18808.730196508448</v>
      </c>
      <c r="BI11" s="95">
        <f t="shared" si="47"/>
        <v>23259.224573094052</v>
      </c>
      <c r="BJ11" s="95">
        <f t="shared" si="47"/>
        <v>27471.641450816511</v>
      </c>
      <c r="BK11" s="95">
        <f t="shared" si="47"/>
        <v>29245.017122863053</v>
      </c>
      <c r="BL11" s="95">
        <f t="shared" si="47"/>
        <v>29309.102089084154</v>
      </c>
      <c r="BM11" s="95">
        <f t="shared" si="47"/>
        <v>42112.541136650863</v>
      </c>
      <c r="BN11" s="95">
        <f t="shared" si="47"/>
        <v>102935.35960167029</v>
      </c>
      <c r="BO11" s="95">
        <f t="shared" si="47"/>
        <v>31424.795428911817</v>
      </c>
      <c r="BP11" s="95">
        <f t="shared" si="47"/>
        <v>27278.462339141071</v>
      </c>
      <c r="BQ11" s="95">
        <f t="shared" si="47"/>
        <v>25756.561512844939</v>
      </c>
      <c r="BR11" s="96">
        <f t="shared" si="47"/>
        <v>26989.875089227924</v>
      </c>
      <c r="BS11" s="112">
        <f t="shared" si="14"/>
        <v>398185.69929828757</v>
      </c>
      <c r="BT11" s="95">
        <f t="shared" si="48"/>
        <v>28379.720928406859</v>
      </c>
      <c r="BU11" s="95">
        <f t="shared" si="48"/>
        <v>30390.947925094279</v>
      </c>
      <c r="BV11" s="95">
        <f t="shared" si="48"/>
        <v>32528.727200013342</v>
      </c>
      <c r="BW11" s="95">
        <f t="shared" si="48"/>
        <v>33589.191992224594</v>
      </c>
      <c r="BX11" s="95">
        <f t="shared" si="48"/>
        <v>29668.888730461564</v>
      </c>
      <c r="BY11" s="95">
        <f t="shared" si="48"/>
        <v>30858.055235545402</v>
      </c>
      <c r="BZ11" s="95">
        <f t="shared" si="48"/>
        <v>34799.97515569516</v>
      </c>
      <c r="CA11" s="95">
        <f t="shared" si="48"/>
        <v>43285.406739615777</v>
      </c>
      <c r="CB11" s="95">
        <f t="shared" si="48"/>
        <v>30951.586948296499</v>
      </c>
      <c r="CC11" s="95">
        <f t="shared" si="48"/>
        <v>35189.35458079532</v>
      </c>
      <c r="CD11" s="95">
        <f t="shared" si="48"/>
        <v>32413.521296454564</v>
      </c>
      <c r="CE11" s="96">
        <f t="shared" si="48"/>
        <v>32455.159728616043</v>
      </c>
      <c r="CF11" s="112">
        <f t="shared" si="15"/>
        <v>394510.53646121948</v>
      </c>
      <c r="CG11" s="95">
        <f t="shared" si="49"/>
        <v>31014.494055747804</v>
      </c>
      <c r="CH11" s="95">
        <f t="shared" si="49"/>
        <v>31539.256690202623</v>
      </c>
      <c r="CI11" s="95">
        <f t="shared" si="49"/>
        <v>33595.65849773791</v>
      </c>
      <c r="CJ11" s="95">
        <f t="shared" si="49"/>
        <v>30319.403540720134</v>
      </c>
      <c r="CK11" s="95">
        <f t="shared" si="49"/>
        <v>30032.721479090702</v>
      </c>
      <c r="CL11" s="95">
        <f t="shared" si="49"/>
        <v>29482.305287561634</v>
      </c>
      <c r="CM11" s="95">
        <f t="shared" si="49"/>
        <v>26969.869818392395</v>
      </c>
      <c r="CN11" s="95">
        <f t="shared" si="49"/>
        <v>25664.278844565284</v>
      </c>
      <c r="CO11" s="95">
        <f t="shared" si="49"/>
        <v>24277.435130147991</v>
      </c>
      <c r="CP11" s="95">
        <f t="shared" si="49"/>
        <v>22274.666827075071</v>
      </c>
      <c r="CQ11" s="95">
        <f t="shared" si="49"/>
        <v>13557.061815191213</v>
      </c>
      <c r="CR11" s="96">
        <f t="shared" si="49"/>
        <v>12178.080316284935</v>
      </c>
      <c r="CS11" s="112">
        <f t="shared" si="16"/>
        <v>310905.23230271775</v>
      </c>
      <c r="CT11" s="95">
        <f t="shared" si="50"/>
        <v>11417.648227741169</v>
      </c>
      <c r="CU11" s="95">
        <f t="shared" si="50"/>
        <v>10664.212601170384</v>
      </c>
      <c r="CV11" s="95">
        <f t="shared" si="50"/>
        <v>10181.65547670862</v>
      </c>
      <c r="CW11" s="95">
        <f t="shared" si="50"/>
        <v>8665.4233140428005</v>
      </c>
      <c r="CX11" s="95">
        <f t="shared" si="50"/>
        <v>8237.746487603843</v>
      </c>
      <c r="CY11" s="95">
        <f t="shared" si="50"/>
        <v>7485.0106904226868</v>
      </c>
      <c r="CZ11" s="95">
        <f t="shared" si="50"/>
        <v>7365.2008940874766</v>
      </c>
      <c r="DA11" s="95">
        <f t="shared" si="50"/>
        <v>6199.3199292327718</v>
      </c>
      <c r="DB11" s="95">
        <f t="shared" si="50"/>
        <v>5468.0327110336175</v>
      </c>
      <c r="DC11" s="95">
        <f t="shared" si="50"/>
        <v>5608.587891103818</v>
      </c>
      <c r="DD11" s="95">
        <f t="shared" si="50"/>
        <v>4771.6670027866285</v>
      </c>
      <c r="DE11" s="96">
        <f t="shared" si="50"/>
        <v>4117.1535924316177</v>
      </c>
      <c r="DF11" s="112">
        <f t="shared" si="17"/>
        <v>90181.658818365438</v>
      </c>
      <c r="DG11" s="205">
        <f>+DG5+DG8</f>
        <v>181882.38685474545</v>
      </c>
      <c r="DH11" s="98">
        <f t="shared" si="34"/>
        <v>913558.96045384672</v>
      </c>
      <c r="DI11" s="99">
        <f t="shared" si="8"/>
        <v>1674671.8012745681</v>
      </c>
      <c r="DJ11" s="100">
        <f t="shared" si="9"/>
        <v>761112.84082072135</v>
      </c>
      <c r="DK11" s="64">
        <f>+DH11/DH10</f>
        <v>0.94590857604945167</v>
      </c>
    </row>
    <row r="12" spans="1:117" s="54" customFormat="1" ht="19.899999999999999" customHeight="1">
      <c r="A12" s="569"/>
      <c r="B12" s="570"/>
      <c r="C12" s="575" t="s">
        <v>11</v>
      </c>
      <c r="D12" s="576"/>
      <c r="E12" s="101">
        <f>+E10-E11</f>
        <v>236574.26574963704</v>
      </c>
      <c r="F12" s="102"/>
      <c r="G12" s="103">
        <f t="shared" ref="G12:R12" si="51">+G10-G11</f>
        <v>912.93361679763598</v>
      </c>
      <c r="H12" s="103">
        <f t="shared" si="51"/>
        <v>725.81326665870324</v>
      </c>
      <c r="I12" s="103">
        <f t="shared" si="51"/>
        <v>-62.923031595327757</v>
      </c>
      <c r="J12" s="103">
        <f t="shared" si="51"/>
        <v>-18.497689365450242</v>
      </c>
      <c r="K12" s="103">
        <f t="shared" si="51"/>
        <v>-1126.3112997854082</v>
      </c>
      <c r="L12" s="103">
        <f t="shared" si="51"/>
        <v>1381.5692083915264</v>
      </c>
      <c r="M12" s="103">
        <f t="shared" si="51"/>
        <v>252.55690481391889</v>
      </c>
      <c r="N12" s="103">
        <f t="shared" si="51"/>
        <v>-592.81642109729773</v>
      </c>
      <c r="O12" s="103">
        <f t="shared" si="51"/>
        <v>-346.95700202829403</v>
      </c>
      <c r="P12" s="103">
        <f t="shared" si="51"/>
        <v>-612.81543200240139</v>
      </c>
      <c r="Q12" s="103">
        <f t="shared" si="51"/>
        <v>24445.382071299355</v>
      </c>
      <c r="R12" s="104">
        <f t="shared" si="51"/>
        <v>1475.0626602291086</v>
      </c>
      <c r="S12" s="119">
        <f t="shared" si="10"/>
        <v>26432.996852316068</v>
      </c>
      <c r="T12" s="105">
        <f t="shared" ref="T12:AE12" si="52">+T10-T11</f>
        <v>-293.27534528000251</v>
      </c>
      <c r="U12" s="103">
        <f t="shared" si="52"/>
        <v>-307.91035488978309</v>
      </c>
      <c r="V12" s="103">
        <f t="shared" si="52"/>
        <v>-785.06204637249232</v>
      </c>
      <c r="W12" s="103">
        <f t="shared" si="52"/>
        <v>-1257.5062503820018</v>
      </c>
      <c r="X12" s="103">
        <f t="shared" si="52"/>
        <v>-198.1295889802235</v>
      </c>
      <c r="Y12" s="103">
        <f t="shared" si="52"/>
        <v>-3810.9625004438717</v>
      </c>
      <c r="Z12" s="103">
        <f t="shared" si="52"/>
        <v>80960.010535290756</v>
      </c>
      <c r="AA12" s="103">
        <f t="shared" si="52"/>
        <v>1785.5498418666543</v>
      </c>
      <c r="AB12" s="103">
        <f t="shared" si="52"/>
        <v>989.77641253696561</v>
      </c>
      <c r="AC12" s="103">
        <f t="shared" si="52"/>
        <v>-3852.4527060021596</v>
      </c>
      <c r="AD12" s="103">
        <f t="shared" si="52"/>
        <v>1287.5745682614579</v>
      </c>
      <c r="AE12" s="104">
        <f t="shared" si="52"/>
        <v>25644.124671487494</v>
      </c>
      <c r="AF12" s="119">
        <f t="shared" si="11"/>
        <v>100161.73723709278</v>
      </c>
      <c r="AG12" s="495">
        <f t="shared" ref="AG12:AR12" si="53">+AG10-AG11</f>
        <v>2212.4113273800012</v>
      </c>
      <c r="AH12" s="494">
        <f t="shared" si="53"/>
        <v>-3261.4231418713007</v>
      </c>
      <c r="AI12" s="494">
        <f t="shared" si="53"/>
        <v>-418.63472024186876</v>
      </c>
      <c r="AJ12" s="494">
        <f t="shared" si="53"/>
        <v>-2416.7334451890229</v>
      </c>
      <c r="AK12" s="494">
        <f t="shared" si="53"/>
        <v>-1044.602479991393</v>
      </c>
      <c r="AL12" s="494">
        <f t="shared" si="53"/>
        <v>-9584.627610221607</v>
      </c>
      <c r="AM12" s="494">
        <f t="shared" si="53"/>
        <v>-5182.7218160339071</v>
      </c>
      <c r="AN12" s="494">
        <f t="shared" si="53"/>
        <v>-2002.7489069280746</v>
      </c>
      <c r="AO12" s="494">
        <f t="shared" si="53"/>
        <v>-210.69610824882284</v>
      </c>
      <c r="AP12" s="494">
        <f t="shared" si="53"/>
        <v>278.1889349483522</v>
      </c>
      <c r="AQ12" s="494">
        <f t="shared" si="53"/>
        <v>-448.29971518963339</v>
      </c>
      <c r="AR12" s="523">
        <f t="shared" si="53"/>
        <v>-49759.0261213087</v>
      </c>
      <c r="AS12" s="400">
        <f t="shared" si="12"/>
        <v>-71838.913802895986</v>
      </c>
      <c r="AT12" s="495">
        <f t="shared" ref="AT12:BE12" si="54">+AT10-AT11</f>
        <v>1341.3357110388661</v>
      </c>
      <c r="AU12" s="494">
        <f t="shared" si="54"/>
        <v>2672.9686275680369</v>
      </c>
      <c r="AV12" s="494">
        <f t="shared" si="54"/>
        <v>-367.91859298338841</v>
      </c>
      <c r="AW12" s="103">
        <f t="shared" si="54"/>
        <v>-4078.1059866854998</v>
      </c>
      <c r="AX12" s="103">
        <f t="shared" si="54"/>
        <v>-27017.64974747481</v>
      </c>
      <c r="AY12" s="103">
        <f t="shared" si="54"/>
        <v>-19542.08383376315</v>
      </c>
      <c r="AZ12" s="103">
        <f t="shared" si="54"/>
        <v>-10166.056131715128</v>
      </c>
      <c r="BA12" s="103">
        <f t="shared" si="54"/>
        <v>-10873.275953032378</v>
      </c>
      <c r="BB12" s="103">
        <f t="shared" si="54"/>
        <v>-5746.5351640611761</v>
      </c>
      <c r="BC12" s="103">
        <f t="shared" si="54"/>
        <v>-7671.3314240345026</v>
      </c>
      <c r="BD12" s="103">
        <f t="shared" si="54"/>
        <v>-309.19376843582904</v>
      </c>
      <c r="BE12" s="104">
        <f t="shared" si="54"/>
        <v>2182.6548354580373</v>
      </c>
      <c r="BF12" s="119">
        <f t="shared" si="13"/>
        <v>-79575.191428120917</v>
      </c>
      <c r="BG12" s="105">
        <f t="shared" ref="BG12:BR12" si="55">+BG10-BG11</f>
        <v>6873.2444538840227</v>
      </c>
      <c r="BH12" s="103">
        <f t="shared" si="55"/>
        <v>-1137.8410397162952</v>
      </c>
      <c r="BI12" s="103">
        <f t="shared" si="55"/>
        <v>-2549.699712476202</v>
      </c>
      <c r="BJ12" s="103">
        <f t="shared" si="55"/>
        <v>-3072.6536183669377</v>
      </c>
      <c r="BK12" s="103">
        <f t="shared" si="55"/>
        <v>-3458.3686421192797</v>
      </c>
      <c r="BL12" s="103">
        <f t="shared" si="55"/>
        <v>-2449.1328243189673</v>
      </c>
      <c r="BM12" s="103">
        <f t="shared" si="55"/>
        <v>81821.226412536271</v>
      </c>
      <c r="BN12" s="103">
        <f t="shared" si="55"/>
        <v>-74923.427084180716</v>
      </c>
      <c r="BO12" s="103">
        <f t="shared" si="55"/>
        <v>-3416.8483031477263</v>
      </c>
      <c r="BP12" s="103">
        <f t="shared" si="55"/>
        <v>-1170.2718053729914</v>
      </c>
      <c r="BQ12" s="103">
        <f t="shared" si="55"/>
        <v>4577.6904311479484</v>
      </c>
      <c r="BR12" s="104">
        <f t="shared" si="55"/>
        <v>6895.8029593723877</v>
      </c>
      <c r="BS12" s="119">
        <f t="shared" si="14"/>
        <v>7989.7212272415163</v>
      </c>
      <c r="BT12" s="105">
        <f t="shared" ref="BT12:CE12" si="56">+BT10-BT11</f>
        <v>7546.0303327885194</v>
      </c>
      <c r="BU12" s="103">
        <f t="shared" si="56"/>
        <v>4994.9895979810353</v>
      </c>
      <c r="BV12" s="103">
        <f t="shared" si="56"/>
        <v>-386.23032908302412</v>
      </c>
      <c r="BW12" s="103">
        <f t="shared" si="56"/>
        <v>-419.60361060364812</v>
      </c>
      <c r="BX12" s="103">
        <f t="shared" si="56"/>
        <v>3104.7015065507949</v>
      </c>
      <c r="BY12" s="103">
        <f t="shared" si="56"/>
        <v>2808.2182369863767</v>
      </c>
      <c r="BZ12" s="103">
        <f t="shared" si="56"/>
        <v>32638.018953482919</v>
      </c>
      <c r="CA12" s="103">
        <f t="shared" si="56"/>
        <v>-5994.9629842011855</v>
      </c>
      <c r="CB12" s="103">
        <f t="shared" si="56"/>
        <v>3600.8699457726034</v>
      </c>
      <c r="CC12" s="103">
        <f t="shared" si="56"/>
        <v>252.25678556666389</v>
      </c>
      <c r="CD12" s="103">
        <f t="shared" si="56"/>
        <v>3568.6594231484123</v>
      </c>
      <c r="CE12" s="104">
        <f t="shared" si="56"/>
        <v>3728.3679133060978</v>
      </c>
      <c r="CF12" s="119">
        <f t="shared" si="15"/>
        <v>55441.315771695561</v>
      </c>
      <c r="CG12" s="105">
        <f t="shared" ref="CG12:CR12" si="57">+CG10-CG11</f>
        <v>3367.3314715035958</v>
      </c>
      <c r="CH12" s="103">
        <f t="shared" si="57"/>
        <v>3366.1609824480183</v>
      </c>
      <c r="CI12" s="103">
        <f t="shared" si="57"/>
        <v>1852.4193632445094</v>
      </c>
      <c r="CJ12" s="103">
        <f t="shared" si="57"/>
        <v>2923.4825701945119</v>
      </c>
      <c r="CK12" s="103">
        <f t="shared" si="57"/>
        <v>3105.551509533776</v>
      </c>
      <c r="CL12" s="103">
        <f t="shared" si="57"/>
        <v>3226.9535393064216</v>
      </c>
      <c r="CM12" s="103">
        <f t="shared" si="57"/>
        <v>2486.4220204438279</v>
      </c>
      <c r="CN12" s="103">
        <f t="shared" si="57"/>
        <v>2512.4891499483674</v>
      </c>
      <c r="CO12" s="103">
        <f t="shared" si="57"/>
        <v>2536.3818634357413</v>
      </c>
      <c r="CP12" s="103">
        <f t="shared" si="57"/>
        <v>1574.3549697219169</v>
      </c>
      <c r="CQ12" s="103">
        <f t="shared" si="57"/>
        <v>1110.0999916463879</v>
      </c>
      <c r="CR12" s="104">
        <f t="shared" si="57"/>
        <v>1559.2067390896136</v>
      </c>
      <c r="CS12" s="119">
        <f t="shared" si="16"/>
        <v>29620.854170516686</v>
      </c>
      <c r="CT12" s="105">
        <f t="shared" ref="CT12:DE12" si="58">+CT10-CT11</f>
        <v>1012.7999010350668</v>
      </c>
      <c r="CU12" s="103">
        <f t="shared" si="58"/>
        <v>759.1097794253219</v>
      </c>
      <c r="CV12" s="103">
        <f t="shared" si="58"/>
        <v>112.35206008713976</v>
      </c>
      <c r="CW12" s="103">
        <f t="shared" si="58"/>
        <v>64886.714564497059</v>
      </c>
      <c r="CX12" s="103">
        <f t="shared" si="58"/>
        <v>658.95876055795634</v>
      </c>
      <c r="CY12" s="103">
        <f t="shared" si="58"/>
        <v>718.09706273033225</v>
      </c>
      <c r="CZ12" s="103">
        <f t="shared" si="58"/>
        <v>54.187942124735855</v>
      </c>
      <c r="DA12" s="103">
        <f t="shared" si="58"/>
        <v>350.95734143527989</v>
      </c>
      <c r="DB12" s="103">
        <f t="shared" si="58"/>
        <v>426.66511561713105</v>
      </c>
      <c r="DC12" s="103">
        <f t="shared" si="58"/>
        <v>-149.66721200317988</v>
      </c>
      <c r="DD12" s="103">
        <f t="shared" si="58"/>
        <v>187.31177833891161</v>
      </c>
      <c r="DE12" s="104">
        <f t="shared" si="58"/>
        <v>287.29852685446804</v>
      </c>
      <c r="DF12" s="119">
        <f t="shared" si="17"/>
        <v>69304.785620700233</v>
      </c>
      <c r="DG12" s="276">
        <f>+DG10-DG11</f>
        <v>65316.936339509732</v>
      </c>
      <c r="DH12" s="98">
        <f t="shared" si="34"/>
        <v>48487.286425143189</v>
      </c>
      <c r="DI12" s="99">
        <f t="shared" si="8"/>
        <v>236574.26574963704</v>
      </c>
      <c r="DJ12" s="100">
        <f t="shared" si="9"/>
        <v>188086.97932449385</v>
      </c>
    </row>
    <row r="13" spans="1:117" s="54" customFormat="1" ht="19.899999999999999" customHeight="1">
      <c r="A13" s="571"/>
      <c r="B13" s="572"/>
      <c r="C13" s="581" t="s">
        <v>12</v>
      </c>
      <c r="D13" s="582"/>
      <c r="E13" s="243"/>
      <c r="F13" s="106">
        <v>21579</v>
      </c>
      <c r="G13" s="107">
        <f t="shared" ref="G13:R13" si="59">+F13+G12</f>
        <v>22491.933616797636</v>
      </c>
      <c r="H13" s="107">
        <f t="shared" si="59"/>
        <v>23217.746883456341</v>
      </c>
      <c r="I13" s="107">
        <f t="shared" si="59"/>
        <v>23154.823851861012</v>
      </c>
      <c r="J13" s="107">
        <f t="shared" si="59"/>
        <v>23136.326162495563</v>
      </c>
      <c r="K13" s="107">
        <f t="shared" si="59"/>
        <v>22010.014862710155</v>
      </c>
      <c r="L13" s="107">
        <f t="shared" si="59"/>
        <v>23391.584071101683</v>
      </c>
      <c r="M13" s="107">
        <f t="shared" si="59"/>
        <v>23644.140975915601</v>
      </c>
      <c r="N13" s="107">
        <f>+M13+N12</f>
        <v>23051.324554818304</v>
      </c>
      <c r="O13" s="107">
        <f t="shared" si="59"/>
        <v>22704.367552790009</v>
      </c>
      <c r="P13" s="107">
        <f t="shared" si="59"/>
        <v>22091.552120787608</v>
      </c>
      <c r="Q13" s="107">
        <f t="shared" si="59"/>
        <v>46536.934192086963</v>
      </c>
      <c r="R13" s="108">
        <f t="shared" si="59"/>
        <v>48011.996852316071</v>
      </c>
      <c r="S13" s="109">
        <f>+R13</f>
        <v>48011.996852316071</v>
      </c>
      <c r="T13" s="110">
        <f t="shared" ref="T13:AE13" si="60">+S13+T12</f>
        <v>47718.721507036069</v>
      </c>
      <c r="U13" s="107">
        <f t="shared" si="60"/>
        <v>47410.811152146285</v>
      </c>
      <c r="V13" s="107">
        <f t="shared" si="60"/>
        <v>46625.749105773793</v>
      </c>
      <c r="W13" s="107">
        <f t="shared" si="60"/>
        <v>45368.242855391793</v>
      </c>
      <c r="X13" s="107">
        <f t="shared" si="60"/>
        <v>45170.113266411572</v>
      </c>
      <c r="Y13" s="107">
        <f t="shared" si="60"/>
        <v>41359.150765967701</v>
      </c>
      <c r="Z13" s="107">
        <f t="shared" si="60"/>
        <v>122319.16130125846</v>
      </c>
      <c r="AA13" s="107">
        <f t="shared" si="60"/>
        <v>124104.71114312511</v>
      </c>
      <c r="AB13" s="107">
        <f t="shared" si="60"/>
        <v>125094.48755566208</v>
      </c>
      <c r="AC13" s="107">
        <f t="shared" si="60"/>
        <v>121242.03484965992</v>
      </c>
      <c r="AD13" s="107">
        <f t="shared" si="60"/>
        <v>122529.60941792137</v>
      </c>
      <c r="AE13" s="108">
        <f t="shared" si="60"/>
        <v>148173.73408940886</v>
      </c>
      <c r="AF13" s="109">
        <f>+AE13</f>
        <v>148173.73408940886</v>
      </c>
      <c r="AG13" s="110">
        <f t="shared" ref="AG13:AR13" si="61">+AF13+AG12</f>
        <v>150386.14541678884</v>
      </c>
      <c r="AH13" s="107">
        <f t="shared" si="61"/>
        <v>147124.72227491756</v>
      </c>
      <c r="AI13" s="107">
        <f t="shared" si="61"/>
        <v>146706.0875546757</v>
      </c>
      <c r="AJ13" s="107">
        <f t="shared" si="61"/>
        <v>144289.35410948668</v>
      </c>
      <c r="AK13" s="107">
        <f t="shared" si="61"/>
        <v>143244.75162949529</v>
      </c>
      <c r="AL13" s="107">
        <f t="shared" si="61"/>
        <v>133660.12401927367</v>
      </c>
      <c r="AM13" s="107">
        <f t="shared" si="61"/>
        <v>128477.40220323976</v>
      </c>
      <c r="AN13" s="107">
        <f t="shared" si="61"/>
        <v>126474.65329631169</v>
      </c>
      <c r="AO13" s="107">
        <f t="shared" si="61"/>
        <v>126263.95718806286</v>
      </c>
      <c r="AP13" s="107">
        <f t="shared" si="61"/>
        <v>126542.14612301122</v>
      </c>
      <c r="AQ13" s="107">
        <f t="shared" si="61"/>
        <v>126093.84640782159</v>
      </c>
      <c r="AR13" s="108">
        <f t="shared" si="61"/>
        <v>76334.820286512899</v>
      </c>
      <c r="AS13" s="403">
        <f>+AR13</f>
        <v>76334.820286512899</v>
      </c>
      <c r="AT13" s="110">
        <f t="shared" ref="AT13:BE13" si="62">+AS13+AT12</f>
        <v>77676.155997551759</v>
      </c>
      <c r="AU13" s="171">
        <f t="shared" si="62"/>
        <v>80349.124625119803</v>
      </c>
      <c r="AV13" s="107">
        <f t="shared" si="62"/>
        <v>79981.206032136412</v>
      </c>
      <c r="AW13" s="107">
        <f t="shared" si="62"/>
        <v>75903.100045450905</v>
      </c>
      <c r="AX13" s="107">
        <f t="shared" si="62"/>
        <v>48885.450297976095</v>
      </c>
      <c r="AY13" s="107">
        <f t="shared" si="62"/>
        <v>29343.366464212944</v>
      </c>
      <c r="AZ13" s="107">
        <f t="shared" si="62"/>
        <v>19177.310332497815</v>
      </c>
      <c r="BA13" s="107">
        <f t="shared" si="62"/>
        <v>8304.0343794654364</v>
      </c>
      <c r="BB13" s="107">
        <f t="shared" si="62"/>
        <v>2557.4992154042602</v>
      </c>
      <c r="BC13" s="107">
        <f t="shared" si="62"/>
        <v>-5113.8322086302423</v>
      </c>
      <c r="BD13" s="107">
        <f t="shared" si="62"/>
        <v>-5423.0259770660714</v>
      </c>
      <c r="BE13" s="107">
        <f t="shared" si="62"/>
        <v>-3240.3711416080341</v>
      </c>
      <c r="BF13" s="109">
        <f>+BE13</f>
        <v>-3240.3711416080341</v>
      </c>
      <c r="BG13" s="110">
        <f t="shared" ref="BG13:BR13" si="63">+BF13+BG12</f>
        <v>3632.8733122759886</v>
      </c>
      <c r="BH13" s="107">
        <f t="shared" si="63"/>
        <v>2495.0322725596934</v>
      </c>
      <c r="BI13" s="107">
        <f t="shared" si="63"/>
        <v>-54.667439916508556</v>
      </c>
      <c r="BJ13" s="107">
        <f t="shared" si="63"/>
        <v>-3127.3210582834463</v>
      </c>
      <c r="BK13" s="107">
        <f t="shared" si="63"/>
        <v>-6585.689700402726</v>
      </c>
      <c r="BL13" s="107">
        <f t="shared" si="63"/>
        <v>-9034.8225247216942</v>
      </c>
      <c r="BM13" s="107">
        <f t="shared" si="63"/>
        <v>72786.40388781458</v>
      </c>
      <c r="BN13" s="107">
        <f t="shared" si="63"/>
        <v>-2137.0231963661354</v>
      </c>
      <c r="BO13" s="107">
        <f t="shared" si="63"/>
        <v>-5553.8714995138616</v>
      </c>
      <c r="BP13" s="107">
        <f t="shared" si="63"/>
        <v>-6724.143304886853</v>
      </c>
      <c r="BQ13" s="107">
        <f t="shared" si="63"/>
        <v>-2146.4528737389046</v>
      </c>
      <c r="BR13" s="107">
        <f t="shared" si="63"/>
        <v>4749.3500856334831</v>
      </c>
      <c r="BS13" s="109">
        <f>+BR13</f>
        <v>4749.3500856334831</v>
      </c>
      <c r="BT13" s="110">
        <f t="shared" ref="BT13:CE13" si="64">+BS13+BT12</f>
        <v>12295.380418422003</v>
      </c>
      <c r="BU13" s="107">
        <f t="shared" si="64"/>
        <v>17290.370016403038</v>
      </c>
      <c r="BV13" s="107">
        <f t="shared" si="64"/>
        <v>16904.139687320014</v>
      </c>
      <c r="BW13" s="107">
        <f t="shared" si="64"/>
        <v>16484.536076716366</v>
      </c>
      <c r="BX13" s="107">
        <f t="shared" si="64"/>
        <v>19589.237583267161</v>
      </c>
      <c r="BY13" s="107">
        <f t="shared" si="64"/>
        <v>22397.455820253537</v>
      </c>
      <c r="BZ13" s="107">
        <f t="shared" si="64"/>
        <v>55035.474773736452</v>
      </c>
      <c r="CA13" s="107">
        <f t="shared" si="64"/>
        <v>49040.511789535267</v>
      </c>
      <c r="CB13" s="107">
        <f t="shared" si="64"/>
        <v>52641.38173530787</v>
      </c>
      <c r="CC13" s="107">
        <f t="shared" si="64"/>
        <v>52893.638520874534</v>
      </c>
      <c r="CD13" s="107">
        <f t="shared" si="64"/>
        <v>56462.297944022946</v>
      </c>
      <c r="CE13" s="107">
        <f t="shared" si="64"/>
        <v>60190.665857329048</v>
      </c>
      <c r="CF13" s="109">
        <f>+CE13</f>
        <v>60190.665857329048</v>
      </c>
      <c r="CG13" s="110">
        <f t="shared" ref="CG13:CR13" si="65">+CF13+CG12</f>
        <v>63557.997328832644</v>
      </c>
      <c r="CH13" s="107">
        <f t="shared" si="65"/>
        <v>66924.158311280655</v>
      </c>
      <c r="CI13" s="107">
        <f t="shared" si="65"/>
        <v>68776.577674525164</v>
      </c>
      <c r="CJ13" s="107">
        <f t="shared" si="65"/>
        <v>71700.060244719672</v>
      </c>
      <c r="CK13" s="107">
        <f t="shared" si="65"/>
        <v>74805.611754253448</v>
      </c>
      <c r="CL13" s="107">
        <f t="shared" si="65"/>
        <v>78032.565293559863</v>
      </c>
      <c r="CM13" s="107">
        <f t="shared" si="65"/>
        <v>80518.987314003694</v>
      </c>
      <c r="CN13" s="107">
        <f t="shared" si="65"/>
        <v>83031.476463952058</v>
      </c>
      <c r="CO13" s="107">
        <f t="shared" si="65"/>
        <v>85567.858327387803</v>
      </c>
      <c r="CP13" s="107">
        <f t="shared" si="65"/>
        <v>87142.213297109716</v>
      </c>
      <c r="CQ13" s="107">
        <f t="shared" si="65"/>
        <v>88252.313288756108</v>
      </c>
      <c r="CR13" s="107">
        <f t="shared" si="65"/>
        <v>89811.52002784572</v>
      </c>
      <c r="CS13" s="109">
        <f>+CR13</f>
        <v>89811.52002784572</v>
      </c>
      <c r="CT13" s="110">
        <f t="shared" ref="CT13:DE13" si="66">+CS13+CT12</f>
        <v>90824.319928880781</v>
      </c>
      <c r="CU13" s="107">
        <f t="shared" si="66"/>
        <v>91583.429708306096</v>
      </c>
      <c r="CV13" s="107">
        <f t="shared" si="66"/>
        <v>91695.781768393237</v>
      </c>
      <c r="CW13" s="107">
        <f t="shared" si="66"/>
        <v>156582.4963328903</v>
      </c>
      <c r="CX13" s="107">
        <f t="shared" si="66"/>
        <v>157241.45509344825</v>
      </c>
      <c r="CY13" s="107">
        <f t="shared" si="66"/>
        <v>157959.55215617857</v>
      </c>
      <c r="CZ13" s="107">
        <f t="shared" si="66"/>
        <v>158013.7400983033</v>
      </c>
      <c r="DA13" s="107">
        <f t="shared" si="66"/>
        <v>158364.69743973858</v>
      </c>
      <c r="DB13" s="107">
        <f t="shared" si="66"/>
        <v>158791.36255535571</v>
      </c>
      <c r="DC13" s="107">
        <f t="shared" si="66"/>
        <v>158641.69534335253</v>
      </c>
      <c r="DD13" s="107">
        <f t="shared" si="66"/>
        <v>158829.00712169145</v>
      </c>
      <c r="DE13" s="107">
        <f t="shared" si="66"/>
        <v>159116.30564854591</v>
      </c>
      <c r="DF13" s="109">
        <f>+DE13</f>
        <v>159116.30564854591</v>
      </c>
      <c r="DG13" s="107">
        <f>+BS13+DG12</f>
        <v>70066.286425143218</v>
      </c>
      <c r="DH13" s="111"/>
      <c r="DI13" s="111"/>
      <c r="DJ13" s="111"/>
    </row>
    <row r="14" spans="1:117" ht="6" customHeight="1">
      <c r="AS14" s="404"/>
      <c r="DH14" s="120"/>
      <c r="DI14" s="120"/>
      <c r="DJ14" s="120"/>
    </row>
    <row r="15" spans="1:117" s="65" customFormat="1" ht="15" customHeight="1" outlineLevel="1">
      <c r="A15" s="562" t="s">
        <v>4</v>
      </c>
      <c r="B15" s="563"/>
      <c r="C15" s="121" t="s">
        <v>51</v>
      </c>
      <c r="D15" s="228"/>
      <c r="E15" s="122" t="s">
        <v>66</v>
      </c>
      <c r="F15" s="122" t="s">
        <v>61</v>
      </c>
      <c r="G15" s="123">
        <v>44927</v>
      </c>
      <c r="H15" s="77">
        <v>44958</v>
      </c>
      <c r="I15" s="77">
        <v>44986</v>
      </c>
      <c r="J15" s="77">
        <v>45017</v>
      </c>
      <c r="K15" s="77">
        <v>45047</v>
      </c>
      <c r="L15" s="77">
        <v>45078</v>
      </c>
      <c r="M15" s="77">
        <v>45108</v>
      </c>
      <c r="N15" s="77">
        <v>45139</v>
      </c>
      <c r="O15" s="77">
        <v>45170</v>
      </c>
      <c r="P15" s="77">
        <v>45200</v>
      </c>
      <c r="Q15" s="77">
        <v>45231</v>
      </c>
      <c r="R15" s="78">
        <v>45261</v>
      </c>
      <c r="S15" s="124" t="s">
        <v>67</v>
      </c>
      <c r="T15" s="80">
        <v>45292</v>
      </c>
      <c r="U15" s="81">
        <v>45323</v>
      </c>
      <c r="V15" s="81">
        <v>45352</v>
      </c>
      <c r="W15" s="81">
        <v>45383</v>
      </c>
      <c r="X15" s="81">
        <v>45413</v>
      </c>
      <c r="Y15" s="81">
        <v>45444</v>
      </c>
      <c r="Z15" s="81">
        <v>45474</v>
      </c>
      <c r="AA15" s="81">
        <v>45505</v>
      </c>
      <c r="AB15" s="81">
        <v>45536</v>
      </c>
      <c r="AC15" s="81">
        <v>45566</v>
      </c>
      <c r="AD15" s="81">
        <v>45597</v>
      </c>
      <c r="AE15" s="78">
        <v>45627</v>
      </c>
      <c r="AF15" s="124" t="s">
        <v>68</v>
      </c>
      <c r="AG15" s="123">
        <v>45658</v>
      </c>
      <c r="AH15" s="81">
        <v>45689</v>
      </c>
      <c r="AI15" s="81">
        <v>45717</v>
      </c>
      <c r="AJ15" s="81">
        <v>45748</v>
      </c>
      <c r="AK15" s="81">
        <v>45778</v>
      </c>
      <c r="AL15" s="81">
        <v>45809</v>
      </c>
      <c r="AM15" s="81">
        <v>45839</v>
      </c>
      <c r="AN15" s="81">
        <v>45870</v>
      </c>
      <c r="AO15" s="81">
        <v>45901</v>
      </c>
      <c r="AP15" s="81">
        <v>45931</v>
      </c>
      <c r="AQ15" s="81">
        <v>45962</v>
      </c>
      <c r="AR15" s="78">
        <v>45992</v>
      </c>
      <c r="AS15" s="405" t="s">
        <v>69</v>
      </c>
      <c r="AT15" s="80">
        <v>46023</v>
      </c>
      <c r="AU15" s="81">
        <v>46054</v>
      </c>
      <c r="AV15" s="81">
        <v>46082</v>
      </c>
      <c r="AW15" s="81">
        <v>46113</v>
      </c>
      <c r="AX15" s="81">
        <v>46143</v>
      </c>
      <c r="AY15" s="81">
        <v>46174</v>
      </c>
      <c r="AZ15" s="81">
        <v>46204</v>
      </c>
      <c r="BA15" s="81">
        <v>46235</v>
      </c>
      <c r="BB15" s="81">
        <v>46266</v>
      </c>
      <c r="BC15" s="81">
        <v>46296</v>
      </c>
      <c r="BD15" s="81">
        <v>46327</v>
      </c>
      <c r="BE15" s="78">
        <v>46357</v>
      </c>
      <c r="BF15" s="124" t="s">
        <v>70</v>
      </c>
      <c r="BG15" s="80">
        <v>46388</v>
      </c>
      <c r="BH15" s="81">
        <v>46419</v>
      </c>
      <c r="BI15" s="80">
        <v>46447</v>
      </c>
      <c r="BJ15" s="81">
        <v>46478</v>
      </c>
      <c r="BK15" s="80">
        <v>46508</v>
      </c>
      <c r="BL15" s="81">
        <v>46539</v>
      </c>
      <c r="BM15" s="80">
        <v>46569</v>
      </c>
      <c r="BN15" s="81">
        <v>46600</v>
      </c>
      <c r="BO15" s="80">
        <v>46631</v>
      </c>
      <c r="BP15" s="81">
        <v>46661</v>
      </c>
      <c r="BQ15" s="80">
        <v>46692</v>
      </c>
      <c r="BR15" s="81">
        <v>46722</v>
      </c>
      <c r="BS15" s="124" t="s">
        <v>116</v>
      </c>
      <c r="BT15" s="80">
        <v>46753</v>
      </c>
      <c r="BU15" s="81">
        <v>46784</v>
      </c>
      <c r="BV15" s="80">
        <v>46813</v>
      </c>
      <c r="BW15" s="81">
        <v>46844</v>
      </c>
      <c r="BX15" s="80">
        <v>46874</v>
      </c>
      <c r="BY15" s="81">
        <v>46905</v>
      </c>
      <c r="BZ15" s="80">
        <v>46935</v>
      </c>
      <c r="CA15" s="81">
        <v>46966</v>
      </c>
      <c r="CB15" s="80">
        <v>46997</v>
      </c>
      <c r="CC15" s="81">
        <v>47027</v>
      </c>
      <c r="CD15" s="80">
        <v>47058</v>
      </c>
      <c r="CE15" s="81">
        <v>47088</v>
      </c>
      <c r="CF15" s="124" t="s">
        <v>213</v>
      </c>
      <c r="CG15" s="80">
        <v>47119</v>
      </c>
      <c r="CH15" s="81">
        <v>47150</v>
      </c>
      <c r="CI15" s="80">
        <v>47178</v>
      </c>
      <c r="CJ15" s="81">
        <v>47209</v>
      </c>
      <c r="CK15" s="80">
        <v>47239</v>
      </c>
      <c r="CL15" s="81">
        <v>47270</v>
      </c>
      <c r="CM15" s="80">
        <v>47300</v>
      </c>
      <c r="CN15" s="81">
        <v>47331</v>
      </c>
      <c r="CO15" s="80">
        <v>47362</v>
      </c>
      <c r="CP15" s="81">
        <v>47392</v>
      </c>
      <c r="CQ15" s="80">
        <v>47423</v>
      </c>
      <c r="CR15" s="81">
        <v>47453</v>
      </c>
      <c r="CS15" s="124" t="s">
        <v>214</v>
      </c>
      <c r="CT15" s="80">
        <v>47484</v>
      </c>
      <c r="CU15" s="81">
        <v>47515</v>
      </c>
      <c r="CV15" s="80">
        <v>47543</v>
      </c>
      <c r="CW15" s="81">
        <v>47574</v>
      </c>
      <c r="CX15" s="80">
        <v>47604</v>
      </c>
      <c r="CY15" s="81">
        <v>47635</v>
      </c>
      <c r="CZ15" s="80">
        <v>47665</v>
      </c>
      <c r="DA15" s="81">
        <v>47696</v>
      </c>
      <c r="DB15" s="80">
        <v>47727</v>
      </c>
      <c r="DC15" s="81">
        <v>47757</v>
      </c>
      <c r="DD15" s="80">
        <v>47788</v>
      </c>
      <c r="DE15" s="81">
        <v>47818</v>
      </c>
      <c r="DF15" s="124" t="s">
        <v>347</v>
      </c>
      <c r="DG15" s="277" t="s">
        <v>348</v>
      </c>
      <c r="DH15" s="125" t="s">
        <v>75</v>
      </c>
      <c r="DI15" s="126" t="s">
        <v>74</v>
      </c>
      <c r="DJ15" s="127" t="s">
        <v>76</v>
      </c>
    </row>
    <row r="16" spans="1:117" ht="15" customHeight="1" outlineLevel="1">
      <c r="A16" s="601" t="s">
        <v>181</v>
      </c>
      <c r="B16" s="634" t="s">
        <v>209</v>
      </c>
      <c r="C16" s="246" t="s">
        <v>62</v>
      </c>
      <c r="D16" s="183" t="s">
        <v>122</v>
      </c>
      <c r="E16" s="153">
        <f>AF16+AS16+BF16+BS16+CF16+CS16+DF16+S16+DG16</f>
        <v>35859.68120240204</v>
      </c>
      <c r="F16" s="153"/>
      <c r="G16" s="154">
        <v>561.48783572656919</v>
      </c>
      <c r="H16" s="155">
        <v>579.77475860899074</v>
      </c>
      <c r="I16" s="155">
        <v>725.61530115979383</v>
      </c>
      <c r="J16" s="155">
        <v>690.1574975504941</v>
      </c>
      <c r="K16" s="155">
        <v>607.67523871244634</v>
      </c>
      <c r="L16" s="155">
        <v>811.6274367599915</v>
      </c>
      <c r="M16" s="155">
        <v>907.1002998935943</v>
      </c>
      <c r="N16" s="155">
        <v>388.15004468174203</v>
      </c>
      <c r="O16" s="155">
        <v>499.1107967634855</v>
      </c>
      <c r="P16" s="155">
        <v>536.08242523594583</v>
      </c>
      <c r="Q16" s="155">
        <v>860.17214470294971</v>
      </c>
      <c r="R16" s="156">
        <v>751.11863422037413</v>
      </c>
      <c r="S16" s="157">
        <f t="shared" ref="S16:S51" si="67">SUM(G16:R16)</f>
        <v>7918.0724140163766</v>
      </c>
      <c r="T16" s="378">
        <v>982.86467307612952</v>
      </c>
      <c r="U16" s="379">
        <v>457.49880568274733</v>
      </c>
      <c r="V16" s="379">
        <v>177.80271397238019</v>
      </c>
      <c r="W16" s="379">
        <v>530.23916892671093</v>
      </c>
      <c r="X16" s="379">
        <v>373.60968312594122</v>
      </c>
      <c r="Y16" s="379">
        <v>536.66353465699683</v>
      </c>
      <c r="Z16" s="379">
        <v>828.74842111974499</v>
      </c>
      <c r="AA16" s="379">
        <v>675.72022677551672</v>
      </c>
      <c r="AB16" s="379">
        <v>411.20594727649376</v>
      </c>
      <c r="AC16" s="379">
        <v>546.91510898018896</v>
      </c>
      <c r="AD16" s="379">
        <v>1596.7110920025239</v>
      </c>
      <c r="AE16" s="480">
        <v>1527.4755917886721</v>
      </c>
      <c r="AF16" s="132">
        <f t="shared" ref="AF16:AF69" si="68">SUM(T16:AE16)</f>
        <v>8645.4549673840465</v>
      </c>
      <c r="AG16" s="496">
        <v>2174.7251515018725</v>
      </c>
      <c r="AH16" s="510"/>
      <c r="AI16" s="510"/>
      <c r="AJ16" s="510"/>
      <c r="AK16" s="510"/>
      <c r="AL16" s="510"/>
      <c r="AM16" s="510">
        <v>970.28216616394946</v>
      </c>
      <c r="AN16" s="510">
        <v>76.667537558240852</v>
      </c>
      <c r="AO16" s="510">
        <v>106.96877873291173</v>
      </c>
      <c r="AP16" s="510">
        <v>251.64289303227278</v>
      </c>
      <c r="AQ16" s="510">
        <v>167.52072629106203</v>
      </c>
      <c r="AR16" s="515">
        <v>500.05992910958901</v>
      </c>
      <c r="AS16" s="406">
        <f t="shared" ref="AS16:AS33" si="69">SUM(AG16:AR16)</f>
        <v>4247.8671823898985</v>
      </c>
      <c r="AT16" s="516">
        <v>2425.09515946601</v>
      </c>
      <c r="AU16" s="510">
        <v>448.10933679570718</v>
      </c>
      <c r="AV16" s="510">
        <v>361.0269423499962</v>
      </c>
      <c r="AW16" s="535"/>
      <c r="AX16" s="535"/>
      <c r="AY16" s="535"/>
      <c r="AZ16" s="535"/>
      <c r="BA16" s="535"/>
      <c r="BB16" s="130"/>
      <c r="BC16" s="130">
        <v>571.32000000000005</v>
      </c>
      <c r="BD16" s="130">
        <v>448.20000000000005</v>
      </c>
      <c r="BE16" s="131">
        <v>452.88720000000018</v>
      </c>
      <c r="BF16" s="132">
        <f t="shared" ref="BF16:BF88" si="70">SUM(AT16:BE16)</f>
        <v>4706.6386386117138</v>
      </c>
      <c r="BG16" s="133">
        <v>773.05089628180053</v>
      </c>
      <c r="BH16" s="130">
        <v>594.71225048923691</v>
      </c>
      <c r="BI16" s="130">
        <v>176.70363992172213</v>
      </c>
      <c r="BJ16" s="130">
        <v>836.01722113502933</v>
      </c>
      <c r="BK16" s="130">
        <v>925.31906066536214</v>
      </c>
      <c r="BL16" s="130">
        <v>874.01800391389429</v>
      </c>
      <c r="BM16" s="130">
        <v>782.81612524461855</v>
      </c>
      <c r="BN16" s="130">
        <v>853.11757338551865</v>
      </c>
      <c r="BO16" s="130">
        <v>653.6134637964775</v>
      </c>
      <c r="BP16" s="130">
        <v>1005.1207045009785</v>
      </c>
      <c r="BQ16" s="130">
        <v>1012.7208610567515</v>
      </c>
      <c r="BR16" s="131">
        <v>741.77527984344442</v>
      </c>
      <c r="BS16" s="132">
        <f t="shared" ref="BS16:BS88" si="71">SUM(BG16:BR16)</f>
        <v>9228.9850802348374</v>
      </c>
      <c r="BT16" s="133">
        <v>1112.6629197651664</v>
      </c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1"/>
      <c r="CF16" s="132">
        <f>SUM(BT16:CE16)</f>
        <v>1112.6629197651664</v>
      </c>
      <c r="CG16" s="133"/>
      <c r="CH16" s="130"/>
      <c r="CI16" s="130"/>
      <c r="CJ16" s="130"/>
      <c r="CK16" s="130"/>
      <c r="CL16" s="130"/>
      <c r="CM16" s="130"/>
      <c r="CN16" s="130"/>
      <c r="CO16" s="130"/>
      <c r="CP16" s="130"/>
      <c r="CQ16" s="130"/>
      <c r="CR16" s="131"/>
      <c r="CS16" s="132">
        <f>SUM(CG16:CR16)</f>
        <v>0</v>
      </c>
      <c r="CT16" s="133"/>
      <c r="CU16" s="130"/>
      <c r="CV16" s="130"/>
      <c r="CW16" s="130"/>
      <c r="CX16" s="130"/>
      <c r="CY16" s="130"/>
      <c r="CZ16" s="130"/>
      <c r="DA16" s="130"/>
      <c r="DB16" s="130"/>
      <c r="DC16" s="130"/>
      <c r="DD16" s="130"/>
      <c r="DE16" s="131"/>
      <c r="DF16" s="132">
        <f>SUM(CT16:DE16)</f>
        <v>0</v>
      </c>
      <c r="DG16" s="278"/>
      <c r="DH16" s="90">
        <f t="shared" ref="DH16:DH88" si="72">+F16+S16+AF16+AS16+BF16+BS16+DG16</f>
        <v>34747.018282636876</v>
      </c>
      <c r="DI16" s="91">
        <f t="shared" ref="DI16:DI88" si="73">+E16</f>
        <v>35859.68120240204</v>
      </c>
      <c r="DJ16" s="92">
        <f t="shared" ref="DJ16:DJ88" si="74">+DI16-DH16</f>
        <v>1112.6629197651637</v>
      </c>
      <c r="DM16" s="134">
        <f>AS16+BF16+BS16+CF16+CS16+DG16</f>
        <v>19296.153821001619</v>
      </c>
    </row>
    <row r="17" spans="1:118" ht="15" customHeight="1" outlineLevel="1">
      <c r="A17" s="607"/>
      <c r="B17" s="635"/>
      <c r="C17" s="245" t="s">
        <v>63</v>
      </c>
      <c r="D17" s="184" t="s">
        <v>119</v>
      </c>
      <c r="E17" s="136">
        <f>AF17+AS17+BF17+BS17+CF17+CS17+DF17+S17+DG17</f>
        <v>32622.448122453447</v>
      </c>
      <c r="F17" s="136"/>
      <c r="G17" s="137">
        <v>452.81246057609633</v>
      </c>
      <c r="H17" s="138">
        <v>460.59095983884646</v>
      </c>
      <c r="I17" s="138">
        <v>603.28428921821308</v>
      </c>
      <c r="J17" s="138">
        <v>549.24509088955733</v>
      </c>
      <c r="K17" s="138">
        <v>512.96447386266095</v>
      </c>
      <c r="L17" s="138">
        <v>673.2195201111349</v>
      </c>
      <c r="M17" s="138">
        <v>715.57458735901298</v>
      </c>
      <c r="N17" s="138">
        <v>330.66627064489114</v>
      </c>
      <c r="O17" s="138">
        <v>403.77169626556019</v>
      </c>
      <c r="P17" s="138">
        <v>434.08113385309809</v>
      </c>
      <c r="Q17" s="138">
        <v>699.91568167843786</v>
      </c>
      <c r="R17" s="139">
        <v>612.29193047817057</v>
      </c>
      <c r="S17" s="162">
        <f t="shared" si="67"/>
        <v>6448.4180947756813</v>
      </c>
      <c r="T17" s="380">
        <v>820.18978786878483</v>
      </c>
      <c r="U17" s="381">
        <v>361.8373374897792</v>
      </c>
      <c r="V17" s="381">
        <v>159.07508009748173</v>
      </c>
      <c r="W17" s="381">
        <v>452.929075038772</v>
      </c>
      <c r="X17" s="381">
        <v>344.90677427280656</v>
      </c>
      <c r="Y17" s="381">
        <v>460.44005405619623</v>
      </c>
      <c r="Z17" s="381">
        <v>682.51855373580395</v>
      </c>
      <c r="AA17" s="381">
        <v>555.8047981581276</v>
      </c>
      <c r="AB17" s="381">
        <v>346.02511897315082</v>
      </c>
      <c r="AC17" s="381">
        <v>459.0767388192495</v>
      </c>
      <c r="AD17" s="381">
        <v>71.928594605252783</v>
      </c>
      <c r="AE17" s="392">
        <v>2398.6684495427248</v>
      </c>
      <c r="AF17" s="140">
        <f t="shared" si="68"/>
        <v>7113.4003626581307</v>
      </c>
      <c r="AG17" s="497">
        <v>1784.7044621544101</v>
      </c>
      <c r="AH17" s="499">
        <v>84.152742801175322</v>
      </c>
      <c r="AI17" s="499">
        <v>66.625462079474858</v>
      </c>
      <c r="AJ17" s="499">
        <v>62.357000499750121</v>
      </c>
      <c r="AK17" s="499">
        <v>65.54998846819143</v>
      </c>
      <c r="AL17" s="499">
        <v>57.212720452367257</v>
      </c>
      <c r="AM17" s="499">
        <v>60.524601618876716</v>
      </c>
      <c r="AN17" s="499">
        <v>48.523882495549074</v>
      </c>
      <c r="AO17" s="499">
        <v>612.69797178778356</v>
      </c>
      <c r="AP17" s="499">
        <v>410.07276827460367</v>
      </c>
      <c r="AQ17" s="499">
        <v>134.48265718182853</v>
      </c>
      <c r="AR17" s="511">
        <v>414.07941963470319</v>
      </c>
      <c r="AS17" s="407">
        <f t="shared" si="69"/>
        <v>3800.9836774487135</v>
      </c>
      <c r="AT17" s="501">
        <v>1941.364670295849</v>
      </c>
      <c r="AU17" s="499">
        <v>72.411383863549247</v>
      </c>
      <c r="AV17" s="499">
        <v>549.98652541151478</v>
      </c>
      <c r="AW17" s="138">
        <v>380.75670000000002</v>
      </c>
      <c r="AX17" s="138">
        <v>457.92</v>
      </c>
      <c r="AY17" s="138">
        <v>433.08000000000004</v>
      </c>
      <c r="AZ17" s="138">
        <v>387.72</v>
      </c>
      <c r="BA17" s="138">
        <v>422.28000000000003</v>
      </c>
      <c r="BB17" s="138">
        <v>324</v>
      </c>
      <c r="BC17" s="138">
        <v>497.88000000000005</v>
      </c>
      <c r="BD17" s="138">
        <v>390.15809999999999</v>
      </c>
      <c r="BE17" s="139">
        <v>394.51319999999998</v>
      </c>
      <c r="BF17" s="140">
        <f t="shared" si="70"/>
        <v>6252.0705795709127</v>
      </c>
      <c r="BG17" s="141">
        <v>673.32733066144817</v>
      </c>
      <c r="BH17" s="138">
        <v>517.99437017612524</v>
      </c>
      <c r="BI17" s="138">
        <v>153.90887037181994</v>
      </c>
      <c r="BJ17" s="138">
        <v>728.1709996086106</v>
      </c>
      <c r="BK17" s="138">
        <v>805.95290183953045</v>
      </c>
      <c r="BL17" s="138">
        <v>761.26968140900192</v>
      </c>
      <c r="BM17" s="138">
        <v>681.83284508806264</v>
      </c>
      <c r="BN17" s="138">
        <v>743.06540641878678</v>
      </c>
      <c r="BO17" s="138">
        <v>569.29732696673182</v>
      </c>
      <c r="BP17" s="138">
        <v>875.46013362035217</v>
      </c>
      <c r="BQ17" s="138">
        <v>882.07986998043054</v>
      </c>
      <c r="BR17" s="139">
        <v>646.08626874363983</v>
      </c>
      <c r="BS17" s="140">
        <f t="shared" si="71"/>
        <v>8038.4460048845413</v>
      </c>
      <c r="BT17" s="141">
        <v>969.12940311545981</v>
      </c>
      <c r="BU17" s="138"/>
      <c r="BV17" s="138"/>
      <c r="BW17" s="138"/>
      <c r="BX17" s="138"/>
      <c r="BY17" s="138"/>
      <c r="BZ17" s="138"/>
      <c r="CA17" s="138"/>
      <c r="CB17" s="138"/>
      <c r="CC17" s="138"/>
      <c r="CD17" s="138"/>
      <c r="CE17" s="139"/>
      <c r="CF17" s="140">
        <f t="shared" ref="CF17:CF114" si="75">SUM(BT17:CE17)</f>
        <v>969.12940311545981</v>
      </c>
      <c r="CG17" s="141"/>
      <c r="CH17" s="138"/>
      <c r="CI17" s="138"/>
      <c r="CJ17" s="138"/>
      <c r="CK17" s="138"/>
      <c r="CL17" s="138"/>
      <c r="CM17" s="138"/>
      <c r="CN17" s="138"/>
      <c r="CO17" s="138"/>
      <c r="CP17" s="138"/>
      <c r="CQ17" s="138"/>
      <c r="CR17" s="139"/>
      <c r="CS17" s="140">
        <f t="shared" ref="CS17:CS114" si="76">SUM(CG17:CR17)</f>
        <v>0</v>
      </c>
      <c r="CT17" s="141"/>
      <c r="CU17" s="138"/>
      <c r="CV17" s="138"/>
      <c r="CW17" s="138"/>
      <c r="CX17" s="138"/>
      <c r="CY17" s="138"/>
      <c r="CZ17" s="138"/>
      <c r="DA17" s="138"/>
      <c r="DB17" s="138"/>
      <c r="DC17" s="138"/>
      <c r="DD17" s="138"/>
      <c r="DE17" s="139"/>
      <c r="DF17" s="140">
        <f t="shared" ref="DF17:DF114" si="77">SUM(CT17:DE17)</f>
        <v>0</v>
      </c>
      <c r="DG17" s="279"/>
      <c r="DH17" s="90">
        <f t="shared" si="72"/>
        <v>31653.318719337978</v>
      </c>
      <c r="DI17" s="91">
        <f t="shared" si="73"/>
        <v>32622.448122453447</v>
      </c>
      <c r="DJ17" s="92">
        <f t="shared" si="74"/>
        <v>969.12940311546845</v>
      </c>
      <c r="DK17" s="64">
        <f>+DH17/DH16</f>
        <v>0.91096503480861768</v>
      </c>
      <c r="DM17" s="134">
        <f>AS17+BF17+BS17+CF17+CS17+DG17</f>
        <v>19060.629665019631</v>
      </c>
    </row>
    <row r="18" spans="1:118" ht="15" customHeight="1" outlineLevel="1">
      <c r="A18" s="607"/>
      <c r="B18" s="636"/>
      <c r="C18" s="554" t="s">
        <v>11</v>
      </c>
      <c r="D18" s="555"/>
      <c r="E18" s="143">
        <f t="shared" ref="E18:R18" si="78">+E16-E17</f>
        <v>3237.2330799485935</v>
      </c>
      <c r="F18" s="144">
        <f t="shared" si="78"/>
        <v>0</v>
      </c>
      <c r="G18" s="145">
        <f t="shared" si="78"/>
        <v>108.67537515047286</v>
      </c>
      <c r="H18" s="145">
        <f t="shared" si="78"/>
        <v>119.18379877014428</v>
      </c>
      <c r="I18" s="145">
        <f t="shared" si="78"/>
        <v>122.33101194158075</v>
      </c>
      <c r="J18" s="145">
        <f t="shared" si="78"/>
        <v>140.91240666093677</v>
      </c>
      <c r="K18" s="145">
        <f t="shared" si="78"/>
        <v>94.710764849785392</v>
      </c>
      <c r="L18" s="145">
        <f t="shared" si="78"/>
        <v>138.4079166488566</v>
      </c>
      <c r="M18" s="145">
        <f t="shared" si="78"/>
        <v>191.52571253458132</v>
      </c>
      <c r="N18" s="145">
        <f t="shared" si="78"/>
        <v>57.483774036850889</v>
      </c>
      <c r="O18" s="145">
        <f t="shared" si="78"/>
        <v>95.339100497925301</v>
      </c>
      <c r="P18" s="145">
        <f t="shared" si="78"/>
        <v>102.00129138284774</v>
      </c>
      <c r="Q18" s="145">
        <f t="shared" si="78"/>
        <v>160.25646302451185</v>
      </c>
      <c r="R18" s="146">
        <f t="shared" si="78"/>
        <v>138.82670374220356</v>
      </c>
      <c r="S18" s="147">
        <f t="shared" si="67"/>
        <v>1469.6543192406973</v>
      </c>
      <c r="T18" s="148">
        <f t="shared" ref="T18:AE18" si="79">+T16-T17</f>
        <v>162.67488520734469</v>
      </c>
      <c r="U18" s="145">
        <f t="shared" si="79"/>
        <v>95.66146819296813</v>
      </c>
      <c r="V18" s="145">
        <f t="shared" si="79"/>
        <v>18.727633874898459</v>
      </c>
      <c r="W18" s="145">
        <f t="shared" si="79"/>
        <v>77.310093887938933</v>
      </c>
      <c r="X18" s="145">
        <f t="shared" si="79"/>
        <v>28.702908853134659</v>
      </c>
      <c r="Y18" s="145">
        <f t="shared" si="79"/>
        <v>76.223480600800599</v>
      </c>
      <c r="Z18" s="145">
        <f t="shared" si="79"/>
        <v>146.22986738394104</v>
      </c>
      <c r="AA18" s="145">
        <f t="shared" si="79"/>
        <v>119.91542861738913</v>
      </c>
      <c r="AB18" s="145">
        <f t="shared" si="79"/>
        <v>65.180828303342935</v>
      </c>
      <c r="AC18" s="145">
        <f t="shared" si="79"/>
        <v>87.838370160939462</v>
      </c>
      <c r="AD18" s="145">
        <f t="shared" si="79"/>
        <v>1524.7824973972711</v>
      </c>
      <c r="AE18" s="146">
        <f t="shared" si="79"/>
        <v>-871.19285775405274</v>
      </c>
      <c r="AF18" s="147">
        <f t="shared" si="68"/>
        <v>1532.0546047259165</v>
      </c>
      <c r="AG18" s="148">
        <f t="shared" ref="AG18:AR18" si="80">+AG16-AG17</f>
        <v>390.02068934746239</v>
      </c>
      <c r="AH18" s="145">
        <f t="shared" si="80"/>
        <v>-84.152742801175322</v>
      </c>
      <c r="AI18" s="145">
        <f t="shared" si="80"/>
        <v>-66.625462079474858</v>
      </c>
      <c r="AJ18" s="145">
        <f t="shared" si="80"/>
        <v>-62.357000499750121</v>
      </c>
      <c r="AK18" s="145">
        <f t="shared" si="80"/>
        <v>-65.54998846819143</v>
      </c>
      <c r="AL18" s="145">
        <f t="shared" si="80"/>
        <v>-57.212720452367257</v>
      </c>
      <c r="AM18" s="145">
        <f t="shared" si="80"/>
        <v>909.75756454507268</v>
      </c>
      <c r="AN18" s="145">
        <f t="shared" si="80"/>
        <v>28.143655062691778</v>
      </c>
      <c r="AO18" s="145">
        <f t="shared" si="80"/>
        <v>-505.72919305487181</v>
      </c>
      <c r="AP18" s="145">
        <f t="shared" si="80"/>
        <v>-158.42987524233089</v>
      </c>
      <c r="AQ18" s="145">
        <f t="shared" si="80"/>
        <v>33.038069109233504</v>
      </c>
      <c r="AR18" s="146">
        <f t="shared" si="80"/>
        <v>85.980509474885821</v>
      </c>
      <c r="AS18" s="408">
        <f t="shared" si="69"/>
        <v>446.88350494118453</v>
      </c>
      <c r="AT18" s="148">
        <f t="shared" ref="AT18:BE18" si="81">+AT16-AT17</f>
        <v>483.73048917016104</v>
      </c>
      <c r="AU18" s="145">
        <f t="shared" si="81"/>
        <v>375.69795293215793</v>
      </c>
      <c r="AV18" s="145">
        <f t="shared" si="81"/>
        <v>-188.95958306151857</v>
      </c>
      <c r="AW18" s="145">
        <f t="shared" si="81"/>
        <v>-380.75670000000002</v>
      </c>
      <c r="AX18" s="145">
        <f t="shared" si="81"/>
        <v>-457.92</v>
      </c>
      <c r="AY18" s="145">
        <f t="shared" si="81"/>
        <v>-433.08000000000004</v>
      </c>
      <c r="AZ18" s="145">
        <f t="shared" si="81"/>
        <v>-387.72</v>
      </c>
      <c r="BA18" s="145">
        <f t="shared" si="81"/>
        <v>-422.28000000000003</v>
      </c>
      <c r="BB18" s="145">
        <f t="shared" si="81"/>
        <v>-324</v>
      </c>
      <c r="BC18" s="145">
        <f t="shared" si="81"/>
        <v>73.44</v>
      </c>
      <c r="BD18" s="145">
        <f t="shared" si="81"/>
        <v>58.041900000000055</v>
      </c>
      <c r="BE18" s="146">
        <f t="shared" si="81"/>
        <v>58.374000000000194</v>
      </c>
      <c r="BF18" s="147">
        <f t="shared" si="70"/>
        <v>-1545.4319409591994</v>
      </c>
      <c r="BG18" s="148">
        <f t="shared" ref="BG18:BR18" si="82">+BG16-BG17</f>
        <v>99.72356562035236</v>
      </c>
      <c r="BH18" s="145">
        <f t="shared" si="82"/>
        <v>76.717880313111664</v>
      </c>
      <c r="BI18" s="145">
        <f t="shared" si="82"/>
        <v>22.794769549902185</v>
      </c>
      <c r="BJ18" s="145">
        <f t="shared" si="82"/>
        <v>107.84622152641873</v>
      </c>
      <c r="BK18" s="145">
        <f t="shared" si="82"/>
        <v>119.36615882583169</v>
      </c>
      <c r="BL18" s="145">
        <f t="shared" si="82"/>
        <v>112.74832250489237</v>
      </c>
      <c r="BM18" s="145">
        <f t="shared" si="82"/>
        <v>100.98328015655591</v>
      </c>
      <c r="BN18" s="145">
        <f t="shared" si="82"/>
        <v>110.05216696673187</v>
      </c>
      <c r="BO18" s="145">
        <f t="shared" si="82"/>
        <v>84.316136829745687</v>
      </c>
      <c r="BP18" s="145">
        <f t="shared" si="82"/>
        <v>129.66057088062632</v>
      </c>
      <c r="BQ18" s="145">
        <f t="shared" si="82"/>
        <v>130.64099107632092</v>
      </c>
      <c r="BR18" s="146">
        <f t="shared" si="82"/>
        <v>95.689011099804588</v>
      </c>
      <c r="BS18" s="147">
        <f t="shared" si="71"/>
        <v>1190.5390753502943</v>
      </c>
      <c r="BT18" s="148">
        <f t="shared" ref="BT18:CE18" si="83">+BT16-BT17</f>
        <v>143.5335166497066</v>
      </c>
      <c r="BU18" s="145">
        <f t="shared" si="83"/>
        <v>0</v>
      </c>
      <c r="BV18" s="145">
        <f t="shared" si="83"/>
        <v>0</v>
      </c>
      <c r="BW18" s="145">
        <f t="shared" si="83"/>
        <v>0</v>
      </c>
      <c r="BX18" s="145">
        <f t="shared" si="83"/>
        <v>0</v>
      </c>
      <c r="BY18" s="145">
        <f t="shared" si="83"/>
        <v>0</v>
      </c>
      <c r="BZ18" s="145">
        <f t="shared" si="83"/>
        <v>0</v>
      </c>
      <c r="CA18" s="145">
        <f t="shared" si="83"/>
        <v>0</v>
      </c>
      <c r="CB18" s="145">
        <f t="shared" si="83"/>
        <v>0</v>
      </c>
      <c r="CC18" s="145">
        <f t="shared" si="83"/>
        <v>0</v>
      </c>
      <c r="CD18" s="145">
        <f t="shared" si="83"/>
        <v>0</v>
      </c>
      <c r="CE18" s="146">
        <f t="shared" si="83"/>
        <v>0</v>
      </c>
      <c r="CF18" s="147">
        <f t="shared" si="75"/>
        <v>143.5335166497066</v>
      </c>
      <c r="CG18" s="148">
        <f t="shared" ref="CG18:CR18" si="84">+CG16-CG17</f>
        <v>0</v>
      </c>
      <c r="CH18" s="145">
        <f t="shared" si="84"/>
        <v>0</v>
      </c>
      <c r="CI18" s="145">
        <f t="shared" si="84"/>
        <v>0</v>
      </c>
      <c r="CJ18" s="145">
        <f t="shared" si="84"/>
        <v>0</v>
      </c>
      <c r="CK18" s="145">
        <f t="shared" si="84"/>
        <v>0</v>
      </c>
      <c r="CL18" s="145">
        <f t="shared" si="84"/>
        <v>0</v>
      </c>
      <c r="CM18" s="145">
        <f t="shared" si="84"/>
        <v>0</v>
      </c>
      <c r="CN18" s="145">
        <f t="shared" si="84"/>
        <v>0</v>
      </c>
      <c r="CO18" s="145">
        <f t="shared" si="84"/>
        <v>0</v>
      </c>
      <c r="CP18" s="145">
        <f t="shared" si="84"/>
        <v>0</v>
      </c>
      <c r="CQ18" s="145">
        <f t="shared" si="84"/>
        <v>0</v>
      </c>
      <c r="CR18" s="146">
        <f t="shared" si="84"/>
        <v>0</v>
      </c>
      <c r="CS18" s="147">
        <f t="shared" si="76"/>
        <v>0</v>
      </c>
      <c r="CT18" s="148">
        <f t="shared" ref="CT18:DE18" si="85">+CT16-CT17</f>
        <v>0</v>
      </c>
      <c r="CU18" s="145">
        <f t="shared" si="85"/>
        <v>0</v>
      </c>
      <c r="CV18" s="145">
        <f t="shared" si="85"/>
        <v>0</v>
      </c>
      <c r="CW18" s="145">
        <f t="shared" si="85"/>
        <v>0</v>
      </c>
      <c r="CX18" s="145">
        <f t="shared" si="85"/>
        <v>0</v>
      </c>
      <c r="CY18" s="145">
        <f t="shared" si="85"/>
        <v>0</v>
      </c>
      <c r="CZ18" s="145">
        <f t="shared" si="85"/>
        <v>0</v>
      </c>
      <c r="DA18" s="145">
        <f t="shared" si="85"/>
        <v>0</v>
      </c>
      <c r="DB18" s="145">
        <f t="shared" si="85"/>
        <v>0</v>
      </c>
      <c r="DC18" s="145">
        <f t="shared" si="85"/>
        <v>0</v>
      </c>
      <c r="DD18" s="145">
        <f t="shared" si="85"/>
        <v>0</v>
      </c>
      <c r="DE18" s="146">
        <f t="shared" si="85"/>
        <v>0</v>
      </c>
      <c r="DF18" s="147">
        <f t="shared" si="77"/>
        <v>0</v>
      </c>
      <c r="DG18" s="146">
        <f>+DG16-DG17</f>
        <v>0</v>
      </c>
      <c r="DH18" s="149">
        <f t="shared" si="72"/>
        <v>3093.6995632988933</v>
      </c>
      <c r="DI18" s="150">
        <f t="shared" si="73"/>
        <v>3237.2330799485935</v>
      </c>
      <c r="DJ18" s="151">
        <f t="shared" si="74"/>
        <v>143.53351664970023</v>
      </c>
    </row>
    <row r="19" spans="1:118" ht="15" hidden="1" customHeight="1" outlineLevel="1">
      <c r="A19" s="607"/>
      <c r="B19" s="593" t="s">
        <v>94</v>
      </c>
      <c r="C19" s="246" t="s">
        <v>62</v>
      </c>
      <c r="D19" s="183" t="s">
        <v>122</v>
      </c>
      <c r="E19" s="153">
        <v>26544.993999999999</v>
      </c>
      <c r="F19" s="153">
        <f>+E19-S19</f>
        <v>24687.972815841691</v>
      </c>
      <c r="G19" s="154">
        <v>402.32578267411867</v>
      </c>
      <c r="H19" s="155">
        <v>404.69328905852416</v>
      </c>
      <c r="I19" s="155">
        <v>720.74988470790402</v>
      </c>
      <c r="J19" s="155">
        <v>201.67002746024926</v>
      </c>
      <c r="K19" s="155">
        <v>127.58220025751073</v>
      </c>
      <c r="L19" s="155"/>
      <c r="M19" s="155"/>
      <c r="N19" s="155"/>
      <c r="O19" s="155"/>
      <c r="P19" s="155"/>
      <c r="Q19" s="155"/>
      <c r="R19" s="156"/>
      <c r="S19" s="157">
        <f t="shared" si="67"/>
        <v>1857.0211841583068</v>
      </c>
      <c r="T19" s="158"/>
      <c r="U19" s="155"/>
      <c r="V19" s="155"/>
      <c r="W19" s="155"/>
      <c r="X19" s="155"/>
      <c r="Y19" s="155"/>
      <c r="Z19" s="155"/>
      <c r="AA19" s="155"/>
      <c r="AB19" s="155"/>
      <c r="AC19" s="155"/>
      <c r="AD19" s="155"/>
      <c r="AE19" s="156"/>
      <c r="AF19" s="157">
        <f t="shared" si="68"/>
        <v>0</v>
      </c>
      <c r="AG19" s="154"/>
      <c r="AH19" s="155"/>
      <c r="AI19" s="155"/>
      <c r="AJ19" s="155"/>
      <c r="AK19" s="155"/>
      <c r="AL19" s="155"/>
      <c r="AM19" s="155"/>
      <c r="AN19" s="155"/>
      <c r="AO19" s="155"/>
      <c r="AP19" s="155"/>
      <c r="AQ19" s="155"/>
      <c r="AR19" s="156"/>
      <c r="AS19" s="409">
        <f t="shared" si="69"/>
        <v>0</v>
      </c>
      <c r="AT19" s="158"/>
      <c r="AU19" s="155"/>
      <c r="AV19" s="155"/>
      <c r="AW19" s="155"/>
      <c r="AX19" s="155"/>
      <c r="AY19" s="155"/>
      <c r="AZ19" s="155"/>
      <c r="BA19" s="155"/>
      <c r="BB19" s="155"/>
      <c r="BC19" s="155"/>
      <c r="BD19" s="155"/>
      <c r="BE19" s="156"/>
      <c r="BF19" s="157">
        <f t="shared" si="70"/>
        <v>0</v>
      </c>
      <c r="BG19" s="158"/>
      <c r="BH19" s="155"/>
      <c r="BI19" s="155"/>
      <c r="BJ19" s="155"/>
      <c r="BK19" s="155"/>
      <c r="BL19" s="155"/>
      <c r="BM19" s="155"/>
      <c r="BN19" s="155"/>
      <c r="BO19" s="155"/>
      <c r="BP19" s="155"/>
      <c r="BQ19" s="155"/>
      <c r="BR19" s="156"/>
      <c r="BS19" s="157">
        <f t="shared" si="71"/>
        <v>0</v>
      </c>
      <c r="BT19" s="158"/>
      <c r="BU19" s="155"/>
      <c r="BV19" s="155"/>
      <c r="BW19" s="155"/>
      <c r="BX19" s="155"/>
      <c r="BY19" s="155"/>
      <c r="BZ19" s="155"/>
      <c r="CA19" s="155"/>
      <c r="CB19" s="155"/>
      <c r="CC19" s="155"/>
      <c r="CD19" s="155"/>
      <c r="CE19" s="156"/>
      <c r="CF19" s="157">
        <f t="shared" si="75"/>
        <v>0</v>
      </c>
      <c r="CG19" s="158"/>
      <c r="CH19" s="155"/>
      <c r="CI19" s="155"/>
      <c r="CJ19" s="155"/>
      <c r="CK19" s="155"/>
      <c r="CL19" s="155"/>
      <c r="CM19" s="155"/>
      <c r="CN19" s="155"/>
      <c r="CO19" s="155"/>
      <c r="CP19" s="155"/>
      <c r="CQ19" s="155"/>
      <c r="CR19" s="156"/>
      <c r="CS19" s="157">
        <f t="shared" si="76"/>
        <v>0</v>
      </c>
      <c r="CT19" s="158"/>
      <c r="CU19" s="155"/>
      <c r="CV19" s="155"/>
      <c r="CW19" s="155"/>
      <c r="CX19" s="155"/>
      <c r="CY19" s="155"/>
      <c r="CZ19" s="155"/>
      <c r="DA19" s="155"/>
      <c r="DB19" s="155"/>
      <c r="DC19" s="155"/>
      <c r="DD19" s="155"/>
      <c r="DE19" s="156"/>
      <c r="DF19" s="157">
        <f t="shared" si="77"/>
        <v>0</v>
      </c>
      <c r="DG19" s="280"/>
      <c r="DH19" s="159">
        <f t="shared" si="72"/>
        <v>26544.993999999999</v>
      </c>
      <c r="DI19" s="160">
        <f t="shared" si="73"/>
        <v>26544.993999999999</v>
      </c>
      <c r="DJ19" s="161">
        <f t="shared" si="74"/>
        <v>0</v>
      </c>
    </row>
    <row r="20" spans="1:118" ht="15" hidden="1" customHeight="1" outlineLevel="1">
      <c r="A20" s="607"/>
      <c r="B20" s="548"/>
      <c r="C20" s="245" t="s">
        <v>63</v>
      </c>
      <c r="D20" s="184" t="s">
        <v>119</v>
      </c>
      <c r="E20" s="136">
        <v>23094.145</v>
      </c>
      <c r="F20" s="136">
        <f>+E20-S20</f>
        <v>20626.925937202952</v>
      </c>
      <c r="G20" s="137">
        <v>360.01183116938955</v>
      </c>
      <c r="H20" s="138">
        <v>329.90570377438507</v>
      </c>
      <c r="I20" s="138">
        <v>587.21147521477656</v>
      </c>
      <c r="J20" s="138">
        <v>152.5324159003008</v>
      </c>
      <c r="K20" s="138">
        <v>1037.5576367381975</v>
      </c>
      <c r="L20" s="138"/>
      <c r="M20" s="138"/>
      <c r="N20" s="138"/>
      <c r="O20" s="138"/>
      <c r="P20" s="138"/>
      <c r="Q20" s="138"/>
      <c r="R20" s="139"/>
      <c r="S20" s="162">
        <f t="shared" si="67"/>
        <v>2467.2190627970494</v>
      </c>
      <c r="T20" s="141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9"/>
      <c r="AF20" s="162">
        <f t="shared" si="68"/>
        <v>0</v>
      </c>
      <c r="AG20" s="137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9"/>
      <c r="AS20" s="410">
        <f t="shared" si="69"/>
        <v>0</v>
      </c>
      <c r="AT20" s="141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9"/>
      <c r="BF20" s="162">
        <f t="shared" si="70"/>
        <v>0</v>
      </c>
      <c r="BG20" s="141"/>
      <c r="BH20" s="138"/>
      <c r="BI20" s="138"/>
      <c r="BJ20" s="138"/>
      <c r="BK20" s="138"/>
      <c r="BL20" s="138"/>
      <c r="BM20" s="138"/>
      <c r="BN20" s="138"/>
      <c r="BO20" s="138"/>
      <c r="BP20" s="138"/>
      <c r="BQ20" s="138"/>
      <c r="BR20" s="139"/>
      <c r="BS20" s="162">
        <f t="shared" si="71"/>
        <v>0</v>
      </c>
      <c r="BT20" s="141"/>
      <c r="BU20" s="138"/>
      <c r="BV20" s="138"/>
      <c r="BW20" s="138"/>
      <c r="BX20" s="138"/>
      <c r="BY20" s="138"/>
      <c r="BZ20" s="138"/>
      <c r="CA20" s="138"/>
      <c r="CB20" s="138"/>
      <c r="CC20" s="138"/>
      <c r="CD20" s="138"/>
      <c r="CE20" s="139"/>
      <c r="CF20" s="162">
        <f t="shared" si="75"/>
        <v>0</v>
      </c>
      <c r="CG20" s="141"/>
      <c r="CH20" s="138"/>
      <c r="CI20" s="138"/>
      <c r="CJ20" s="138"/>
      <c r="CK20" s="138"/>
      <c r="CL20" s="138"/>
      <c r="CM20" s="138"/>
      <c r="CN20" s="138"/>
      <c r="CO20" s="138"/>
      <c r="CP20" s="138"/>
      <c r="CQ20" s="138"/>
      <c r="CR20" s="139"/>
      <c r="CS20" s="162">
        <f t="shared" si="76"/>
        <v>0</v>
      </c>
      <c r="CT20" s="141"/>
      <c r="CU20" s="138"/>
      <c r="CV20" s="138"/>
      <c r="CW20" s="138"/>
      <c r="CX20" s="138"/>
      <c r="CY20" s="138"/>
      <c r="CZ20" s="138"/>
      <c r="DA20" s="138"/>
      <c r="DB20" s="138"/>
      <c r="DC20" s="138"/>
      <c r="DD20" s="138"/>
      <c r="DE20" s="139"/>
      <c r="DF20" s="162">
        <f t="shared" si="77"/>
        <v>0</v>
      </c>
      <c r="DG20" s="279"/>
      <c r="DH20" s="90">
        <f t="shared" si="72"/>
        <v>23094.145</v>
      </c>
      <c r="DI20" s="91">
        <f t="shared" si="73"/>
        <v>23094.145</v>
      </c>
      <c r="DJ20" s="92">
        <f t="shared" si="74"/>
        <v>0</v>
      </c>
      <c r="DK20" s="64">
        <f>+DH20/DH19</f>
        <v>0.8700000082878151</v>
      </c>
    </row>
    <row r="21" spans="1:118" ht="15" hidden="1" customHeight="1" outlineLevel="1">
      <c r="A21" s="607"/>
      <c r="B21" s="549"/>
      <c r="C21" s="554" t="s">
        <v>11</v>
      </c>
      <c r="D21" s="555"/>
      <c r="E21" s="143">
        <f t="shared" ref="E21:R21" si="86">+E19-E20</f>
        <v>3450.8489999999983</v>
      </c>
      <c r="F21" s="144">
        <f t="shared" si="86"/>
        <v>4061.0468786387391</v>
      </c>
      <c r="G21" s="145">
        <f t="shared" si="86"/>
        <v>42.313951504729118</v>
      </c>
      <c r="H21" s="145">
        <f t="shared" si="86"/>
        <v>74.787585284139084</v>
      </c>
      <c r="I21" s="145">
        <f t="shared" si="86"/>
        <v>133.53840949312746</v>
      </c>
      <c r="J21" s="145">
        <f t="shared" si="86"/>
        <v>49.137611559948454</v>
      </c>
      <c r="K21" s="145">
        <f t="shared" si="86"/>
        <v>-909.97543648068677</v>
      </c>
      <c r="L21" s="145">
        <f t="shared" si="86"/>
        <v>0</v>
      </c>
      <c r="M21" s="145">
        <f t="shared" si="86"/>
        <v>0</v>
      </c>
      <c r="N21" s="145">
        <f t="shared" si="86"/>
        <v>0</v>
      </c>
      <c r="O21" s="145">
        <f t="shared" si="86"/>
        <v>0</v>
      </c>
      <c r="P21" s="145">
        <f t="shared" si="86"/>
        <v>0</v>
      </c>
      <c r="Q21" s="145">
        <f t="shared" si="86"/>
        <v>0</v>
      </c>
      <c r="R21" s="146">
        <f t="shared" si="86"/>
        <v>0</v>
      </c>
      <c r="S21" s="147">
        <f t="shared" si="67"/>
        <v>-610.19787863874262</v>
      </c>
      <c r="T21" s="148">
        <f t="shared" ref="T21:AE21" si="87">+T19-T20</f>
        <v>0</v>
      </c>
      <c r="U21" s="145">
        <f t="shared" si="87"/>
        <v>0</v>
      </c>
      <c r="V21" s="145">
        <f t="shared" si="87"/>
        <v>0</v>
      </c>
      <c r="W21" s="145">
        <f t="shared" si="87"/>
        <v>0</v>
      </c>
      <c r="X21" s="145">
        <f t="shared" si="87"/>
        <v>0</v>
      </c>
      <c r="Y21" s="145">
        <f t="shared" si="87"/>
        <v>0</v>
      </c>
      <c r="Z21" s="145">
        <f t="shared" si="87"/>
        <v>0</v>
      </c>
      <c r="AA21" s="145">
        <f t="shared" si="87"/>
        <v>0</v>
      </c>
      <c r="AB21" s="145">
        <f t="shared" si="87"/>
        <v>0</v>
      </c>
      <c r="AC21" s="145">
        <f t="shared" si="87"/>
        <v>0</v>
      </c>
      <c r="AD21" s="145">
        <f t="shared" si="87"/>
        <v>0</v>
      </c>
      <c r="AE21" s="146">
        <f t="shared" si="87"/>
        <v>0</v>
      </c>
      <c r="AF21" s="147">
        <f t="shared" si="68"/>
        <v>0</v>
      </c>
      <c r="AG21" s="148">
        <f t="shared" ref="AG21:AR21" si="88">+AG19-AG20</f>
        <v>0</v>
      </c>
      <c r="AH21" s="145">
        <f t="shared" si="88"/>
        <v>0</v>
      </c>
      <c r="AI21" s="145">
        <f t="shared" si="88"/>
        <v>0</v>
      </c>
      <c r="AJ21" s="145">
        <f t="shared" si="88"/>
        <v>0</v>
      </c>
      <c r="AK21" s="145">
        <f t="shared" si="88"/>
        <v>0</v>
      </c>
      <c r="AL21" s="145">
        <f t="shared" si="88"/>
        <v>0</v>
      </c>
      <c r="AM21" s="145">
        <f t="shared" si="88"/>
        <v>0</v>
      </c>
      <c r="AN21" s="145">
        <f t="shared" si="88"/>
        <v>0</v>
      </c>
      <c r="AO21" s="145">
        <f t="shared" si="88"/>
        <v>0</v>
      </c>
      <c r="AP21" s="145">
        <f t="shared" si="88"/>
        <v>0</v>
      </c>
      <c r="AQ21" s="145">
        <f t="shared" si="88"/>
        <v>0</v>
      </c>
      <c r="AR21" s="146">
        <f t="shared" si="88"/>
        <v>0</v>
      </c>
      <c r="AS21" s="408">
        <f t="shared" si="69"/>
        <v>0</v>
      </c>
      <c r="AT21" s="148">
        <f t="shared" ref="AT21:BE21" si="89">+AT19-AT20</f>
        <v>0</v>
      </c>
      <c r="AU21" s="145">
        <f t="shared" si="89"/>
        <v>0</v>
      </c>
      <c r="AV21" s="145">
        <f t="shared" si="89"/>
        <v>0</v>
      </c>
      <c r="AW21" s="145">
        <f t="shared" si="89"/>
        <v>0</v>
      </c>
      <c r="AX21" s="145">
        <f t="shared" si="89"/>
        <v>0</v>
      </c>
      <c r="AY21" s="145">
        <f t="shared" si="89"/>
        <v>0</v>
      </c>
      <c r="AZ21" s="145">
        <f t="shared" si="89"/>
        <v>0</v>
      </c>
      <c r="BA21" s="145">
        <f t="shared" si="89"/>
        <v>0</v>
      </c>
      <c r="BB21" s="145">
        <f t="shared" si="89"/>
        <v>0</v>
      </c>
      <c r="BC21" s="145">
        <f t="shared" si="89"/>
        <v>0</v>
      </c>
      <c r="BD21" s="145">
        <f t="shared" si="89"/>
        <v>0</v>
      </c>
      <c r="BE21" s="146">
        <f t="shared" si="89"/>
        <v>0</v>
      </c>
      <c r="BF21" s="147">
        <f t="shared" si="70"/>
        <v>0</v>
      </c>
      <c r="BG21" s="148">
        <f t="shared" ref="BG21:BR21" si="90">+BG19-BG20</f>
        <v>0</v>
      </c>
      <c r="BH21" s="145">
        <f t="shared" si="90"/>
        <v>0</v>
      </c>
      <c r="BI21" s="145">
        <f t="shared" si="90"/>
        <v>0</v>
      </c>
      <c r="BJ21" s="145">
        <f t="shared" si="90"/>
        <v>0</v>
      </c>
      <c r="BK21" s="145">
        <f t="shared" si="90"/>
        <v>0</v>
      </c>
      <c r="BL21" s="145">
        <f t="shared" si="90"/>
        <v>0</v>
      </c>
      <c r="BM21" s="145">
        <f t="shared" si="90"/>
        <v>0</v>
      </c>
      <c r="BN21" s="145">
        <f t="shared" si="90"/>
        <v>0</v>
      </c>
      <c r="BO21" s="145">
        <f t="shared" si="90"/>
        <v>0</v>
      </c>
      <c r="BP21" s="145">
        <f t="shared" si="90"/>
        <v>0</v>
      </c>
      <c r="BQ21" s="145">
        <f t="shared" si="90"/>
        <v>0</v>
      </c>
      <c r="BR21" s="146">
        <f t="shared" si="90"/>
        <v>0</v>
      </c>
      <c r="BS21" s="147">
        <f t="shared" si="71"/>
        <v>0</v>
      </c>
      <c r="BT21" s="148">
        <f t="shared" ref="BT21:CE21" si="91">+BT19-BT20</f>
        <v>0</v>
      </c>
      <c r="BU21" s="145">
        <f t="shared" si="91"/>
        <v>0</v>
      </c>
      <c r="BV21" s="145">
        <f t="shared" si="91"/>
        <v>0</v>
      </c>
      <c r="BW21" s="145">
        <f t="shared" si="91"/>
        <v>0</v>
      </c>
      <c r="BX21" s="145">
        <f t="shared" si="91"/>
        <v>0</v>
      </c>
      <c r="BY21" s="145">
        <f t="shared" si="91"/>
        <v>0</v>
      </c>
      <c r="BZ21" s="145">
        <f t="shared" si="91"/>
        <v>0</v>
      </c>
      <c r="CA21" s="145">
        <f t="shared" si="91"/>
        <v>0</v>
      </c>
      <c r="CB21" s="145">
        <f t="shared" si="91"/>
        <v>0</v>
      </c>
      <c r="CC21" s="145">
        <f t="shared" si="91"/>
        <v>0</v>
      </c>
      <c r="CD21" s="145">
        <f t="shared" si="91"/>
        <v>0</v>
      </c>
      <c r="CE21" s="146">
        <f t="shared" si="91"/>
        <v>0</v>
      </c>
      <c r="CF21" s="147">
        <f t="shared" si="75"/>
        <v>0</v>
      </c>
      <c r="CG21" s="148">
        <f t="shared" ref="CG21:CR21" si="92">+CG19-CG20</f>
        <v>0</v>
      </c>
      <c r="CH21" s="145">
        <f t="shared" si="92"/>
        <v>0</v>
      </c>
      <c r="CI21" s="145">
        <f t="shared" si="92"/>
        <v>0</v>
      </c>
      <c r="CJ21" s="145">
        <f t="shared" si="92"/>
        <v>0</v>
      </c>
      <c r="CK21" s="145">
        <f t="shared" si="92"/>
        <v>0</v>
      </c>
      <c r="CL21" s="145">
        <f t="shared" si="92"/>
        <v>0</v>
      </c>
      <c r="CM21" s="145">
        <f t="shared" si="92"/>
        <v>0</v>
      </c>
      <c r="CN21" s="145">
        <f t="shared" si="92"/>
        <v>0</v>
      </c>
      <c r="CO21" s="145">
        <f t="shared" si="92"/>
        <v>0</v>
      </c>
      <c r="CP21" s="145">
        <f t="shared" si="92"/>
        <v>0</v>
      </c>
      <c r="CQ21" s="145">
        <f t="shared" si="92"/>
        <v>0</v>
      </c>
      <c r="CR21" s="146">
        <f t="shared" si="92"/>
        <v>0</v>
      </c>
      <c r="CS21" s="147">
        <f t="shared" si="76"/>
        <v>0</v>
      </c>
      <c r="CT21" s="148">
        <f t="shared" ref="CT21:DE21" si="93">+CT19-CT20</f>
        <v>0</v>
      </c>
      <c r="CU21" s="145">
        <f t="shared" si="93"/>
        <v>0</v>
      </c>
      <c r="CV21" s="145">
        <f t="shared" si="93"/>
        <v>0</v>
      </c>
      <c r="CW21" s="145">
        <f t="shared" si="93"/>
        <v>0</v>
      </c>
      <c r="CX21" s="145">
        <f t="shared" si="93"/>
        <v>0</v>
      </c>
      <c r="CY21" s="145">
        <f t="shared" si="93"/>
        <v>0</v>
      </c>
      <c r="CZ21" s="145">
        <f t="shared" si="93"/>
        <v>0</v>
      </c>
      <c r="DA21" s="145">
        <f t="shared" si="93"/>
        <v>0</v>
      </c>
      <c r="DB21" s="145">
        <f t="shared" si="93"/>
        <v>0</v>
      </c>
      <c r="DC21" s="145">
        <f t="shared" si="93"/>
        <v>0</v>
      </c>
      <c r="DD21" s="145">
        <f t="shared" si="93"/>
        <v>0</v>
      </c>
      <c r="DE21" s="146">
        <f t="shared" si="93"/>
        <v>0</v>
      </c>
      <c r="DF21" s="147">
        <f t="shared" si="77"/>
        <v>0</v>
      </c>
      <c r="DG21" s="146">
        <f>+DG19-DG20</f>
        <v>0</v>
      </c>
      <c r="DH21" s="98">
        <f t="shared" si="72"/>
        <v>3450.8489999999965</v>
      </c>
      <c r="DI21" s="99">
        <f t="shared" si="73"/>
        <v>3450.8489999999983</v>
      </c>
      <c r="DJ21" s="100">
        <f t="shared" si="74"/>
        <v>0</v>
      </c>
    </row>
    <row r="22" spans="1:118" ht="15" customHeight="1" outlineLevel="1">
      <c r="A22" s="607"/>
      <c r="B22" s="634" t="s">
        <v>59</v>
      </c>
      <c r="C22" s="246" t="s">
        <v>62</v>
      </c>
      <c r="D22" s="183" t="s">
        <v>186</v>
      </c>
      <c r="E22" s="153">
        <f>AF22+AS22+BF22+BS22+CF22+CS22+DF22+S22+DG22-24824</f>
        <v>116283.42874333766</v>
      </c>
      <c r="F22" s="153"/>
      <c r="G22" s="154"/>
      <c r="H22" s="155"/>
      <c r="I22" s="155"/>
      <c r="J22" s="155"/>
      <c r="K22" s="155"/>
      <c r="L22" s="155"/>
      <c r="M22" s="155"/>
      <c r="N22" s="155"/>
      <c r="O22" s="155"/>
      <c r="P22" s="155"/>
      <c r="Q22" s="155">
        <v>24823.80058163689</v>
      </c>
      <c r="R22" s="156">
        <v>273.85153596673598</v>
      </c>
      <c r="S22" s="157">
        <f t="shared" si="67"/>
        <v>25097.652117603626</v>
      </c>
      <c r="T22" s="378">
        <v>1200.804426655664</v>
      </c>
      <c r="U22" s="382">
        <v>408.82080130825835</v>
      </c>
      <c r="V22" s="382">
        <v>113.71172705117792</v>
      </c>
      <c r="W22" s="382">
        <v>30.904457788205352</v>
      </c>
      <c r="X22" s="382">
        <v>16.786922406277245</v>
      </c>
      <c r="Y22" s="382"/>
      <c r="Z22" s="382"/>
      <c r="AA22" s="382">
        <v>113.24873803587228</v>
      </c>
      <c r="AB22" s="382"/>
      <c r="AC22" s="382"/>
      <c r="AD22" s="382">
        <v>1956.2263124063411</v>
      </c>
      <c r="AE22" s="481">
        <v>2549.241213486674</v>
      </c>
      <c r="AF22" s="157">
        <f>SUM(T22:AE22)+24824</f>
        <v>31213.74459913847</v>
      </c>
      <c r="AG22" s="498">
        <v>898.30503362281888</v>
      </c>
      <c r="AH22" s="513">
        <v>838.93162942213519</v>
      </c>
      <c r="AI22" s="513">
        <v>892.30061985699217</v>
      </c>
      <c r="AJ22" s="513">
        <v>1674.4745353477108</v>
      </c>
      <c r="AK22" s="513">
        <v>3531.1398919085145</v>
      </c>
      <c r="AL22" s="513">
        <v>2402.1768551658001</v>
      </c>
      <c r="AM22" s="513">
        <v>1261.2897776717193</v>
      </c>
      <c r="AN22" s="513">
        <v>3310.4376630175384</v>
      </c>
      <c r="AO22" s="513">
        <v>1170.0749508842352</v>
      </c>
      <c r="AP22" s="513">
        <v>1068.4820625688981</v>
      </c>
      <c r="AQ22" s="513">
        <v>2619.2334206418368</v>
      </c>
      <c r="AR22" s="512">
        <v>2990.1256402207005</v>
      </c>
      <c r="AS22" s="409">
        <f t="shared" si="69"/>
        <v>22656.972080328902</v>
      </c>
      <c r="AT22" s="519">
        <v>3341.2844394259992</v>
      </c>
      <c r="AU22" s="514">
        <v>4685.7834338827142</v>
      </c>
      <c r="AV22" s="514">
        <v>1105.8806694227414</v>
      </c>
      <c r="AW22" s="536"/>
      <c r="AX22" s="536"/>
      <c r="AY22" s="536"/>
      <c r="AZ22" s="536"/>
      <c r="BA22" s="536"/>
      <c r="BB22" s="366"/>
      <c r="BC22" s="366">
        <v>4567</v>
      </c>
      <c r="BD22" s="366">
        <v>5283</v>
      </c>
      <c r="BE22" s="367">
        <v>5799</v>
      </c>
      <c r="BF22" s="157">
        <f t="shared" si="70"/>
        <v>24781.948542731454</v>
      </c>
      <c r="BG22" s="359">
        <v>4977.8983619256887</v>
      </c>
      <c r="BH22" s="283">
        <v>1289.7329230123851</v>
      </c>
      <c r="BI22" s="283">
        <v>4502.4957449460644</v>
      </c>
      <c r="BJ22" s="283">
        <v>3223.0343950858969</v>
      </c>
      <c r="BK22" s="283">
        <v>3285.502201318418</v>
      </c>
      <c r="BL22" s="283">
        <v>4855.5909433342404</v>
      </c>
      <c r="BM22" s="283">
        <v>15222.856833912512</v>
      </c>
      <c r="BN22" s="283"/>
      <c r="BO22" s="283"/>
      <c r="BP22" s="283"/>
      <c r="BQ22" s="155"/>
      <c r="BR22" s="156"/>
      <c r="BS22" s="157">
        <f t="shared" si="71"/>
        <v>37357.111403535208</v>
      </c>
      <c r="BT22" s="359"/>
      <c r="BU22" s="283"/>
      <c r="BV22" s="283"/>
      <c r="BW22" s="283"/>
      <c r="BX22" s="283"/>
      <c r="BY22" s="283"/>
      <c r="BZ22" s="155"/>
      <c r="CA22" s="155"/>
      <c r="CB22" s="155"/>
      <c r="CC22" s="155"/>
      <c r="CD22" s="155"/>
      <c r="CE22" s="156"/>
      <c r="CF22" s="157">
        <f t="shared" si="75"/>
        <v>0</v>
      </c>
      <c r="CG22" s="359"/>
      <c r="CH22" s="283"/>
      <c r="CI22" s="283"/>
      <c r="CJ22" s="283"/>
      <c r="CK22" s="283"/>
      <c r="CL22" s="283"/>
      <c r="CM22" s="155"/>
      <c r="CN22" s="155"/>
      <c r="CO22" s="155"/>
      <c r="CP22" s="155"/>
      <c r="CQ22" s="155"/>
      <c r="CR22" s="156"/>
      <c r="CS22" s="157">
        <f t="shared" si="76"/>
        <v>0</v>
      </c>
      <c r="CT22" s="359"/>
      <c r="CU22" s="283"/>
      <c r="CV22" s="283"/>
      <c r="CW22" s="283"/>
      <c r="CX22" s="283"/>
      <c r="CY22" s="283"/>
      <c r="CZ22" s="155"/>
      <c r="DA22" s="155"/>
      <c r="DB22" s="155"/>
      <c r="DC22" s="155"/>
      <c r="DD22" s="155"/>
      <c r="DE22" s="156"/>
      <c r="DF22" s="157">
        <f t="shared" si="77"/>
        <v>0</v>
      </c>
      <c r="DG22" s="278"/>
      <c r="DH22" s="164">
        <f t="shared" si="72"/>
        <v>141107.42874333763</v>
      </c>
      <c r="DI22" s="165">
        <f t="shared" si="73"/>
        <v>116283.42874333766</v>
      </c>
      <c r="DJ22" s="166">
        <f t="shared" si="74"/>
        <v>-24823.999999999971</v>
      </c>
      <c r="DM22" s="134">
        <f>AS22+BF22+BS22+CF22+CS22+DG22+AF22</f>
        <v>116009.77662573404</v>
      </c>
    </row>
    <row r="23" spans="1:118" ht="15" customHeight="1" outlineLevel="1">
      <c r="A23" s="607"/>
      <c r="B23" s="635"/>
      <c r="C23" s="245" t="s">
        <v>63</v>
      </c>
      <c r="D23" s="184" t="s">
        <v>119</v>
      </c>
      <c r="E23" s="136">
        <f>AF23+AS23+BF23+BS23+CF23+CS23+DF23+S23+DG23</f>
        <v>120520.66738381778</v>
      </c>
      <c r="F23" s="136"/>
      <c r="G23" s="137"/>
      <c r="H23" s="138"/>
      <c r="I23" s="138"/>
      <c r="J23" s="138"/>
      <c r="K23" s="138"/>
      <c r="L23" s="138"/>
      <c r="M23" s="138"/>
      <c r="N23" s="138"/>
      <c r="O23" s="138"/>
      <c r="P23" s="138"/>
      <c r="Q23" s="138">
        <v>21.690527212297468</v>
      </c>
      <c r="R23" s="139">
        <v>270.82720607068603</v>
      </c>
      <c r="S23" s="162">
        <f t="shared" si="67"/>
        <v>292.5177332829835</v>
      </c>
      <c r="T23" s="380">
        <v>687.89051194553304</v>
      </c>
      <c r="U23" s="381">
        <v>202.91561300081764</v>
      </c>
      <c r="V23" s="381">
        <v>101.89204029244516</v>
      </c>
      <c r="W23" s="381">
        <v>97.562123354674512</v>
      </c>
      <c r="X23" s="381">
        <v>108.98918871364033</v>
      </c>
      <c r="Y23" s="381">
        <v>102.17045385011691</v>
      </c>
      <c r="Z23" s="381">
        <v>53.949081251245268</v>
      </c>
      <c r="AA23" s="381">
        <v>150.61404210568648</v>
      </c>
      <c r="AB23" s="381">
        <v>157.67116840651531</v>
      </c>
      <c r="AC23" s="381">
        <v>87.162751156629369</v>
      </c>
      <c r="AD23" s="381">
        <v>1556.1694064594999</v>
      </c>
      <c r="AE23" s="392">
        <v>2145.8026245240803</v>
      </c>
      <c r="AF23" s="162">
        <f t="shared" si="68"/>
        <v>5452.7890050608839</v>
      </c>
      <c r="AG23" s="497">
        <v>952.44340853318454</v>
      </c>
      <c r="AH23" s="499">
        <v>378.90763823702252</v>
      </c>
      <c r="AI23" s="499">
        <v>578.07164494197627</v>
      </c>
      <c r="AJ23" s="499">
        <v>1768.6435932418406</v>
      </c>
      <c r="AK23" s="499">
        <v>2793.8028340572746</v>
      </c>
      <c r="AL23" s="499">
        <v>2305.3608770557794</v>
      </c>
      <c r="AM23" s="499">
        <v>1213.4162912832653</v>
      </c>
      <c r="AN23" s="499">
        <v>1777.9200253418692</v>
      </c>
      <c r="AO23" s="499">
        <v>1421.8352129359639</v>
      </c>
      <c r="AP23" s="499">
        <v>990.50391165849396</v>
      </c>
      <c r="AQ23" s="499">
        <v>2355.029233736218</v>
      </c>
      <c r="AR23" s="511">
        <v>3616.3778515601221</v>
      </c>
      <c r="AS23" s="410">
        <f t="shared" si="69"/>
        <v>20152.312522583012</v>
      </c>
      <c r="AT23" s="528">
        <v>3229.8636392105568</v>
      </c>
      <c r="AU23" s="504">
        <v>2909.520290647758</v>
      </c>
      <c r="AV23" s="504">
        <v>1351.9290174087841</v>
      </c>
      <c r="AW23" s="368">
        <v>2837</v>
      </c>
      <c r="AX23" s="368">
        <v>4094.3132874471098</v>
      </c>
      <c r="AY23" s="368">
        <v>5251.5347000820029</v>
      </c>
      <c r="AZ23" s="368">
        <v>4745.1087137195691</v>
      </c>
      <c r="BA23" s="368">
        <v>7338.37129919367</v>
      </c>
      <c r="BB23" s="368">
        <v>5114.9475905822301</v>
      </c>
      <c r="BC23" s="368">
        <v>5137.1258626299696</v>
      </c>
      <c r="BD23" s="368">
        <v>5930.4350883434236</v>
      </c>
      <c r="BE23" s="369">
        <v>4297.4425265723112</v>
      </c>
      <c r="BF23" s="162">
        <f t="shared" si="70"/>
        <v>52237.592015837385</v>
      </c>
      <c r="BG23" s="353">
        <v>4815.3053111129975</v>
      </c>
      <c r="BH23" s="253">
        <v>2496.8764148905502</v>
      </c>
      <c r="BI23" s="253">
        <v>5798.0154491021303</v>
      </c>
      <c r="BJ23" s="253">
        <v>4685.4952374526802</v>
      </c>
      <c r="BK23" s="253">
        <v>5477.80887083576</v>
      </c>
      <c r="BL23" s="253">
        <v>4705.8161642964596</v>
      </c>
      <c r="BM23" s="253">
        <v>14406.138659362954</v>
      </c>
      <c r="BN23" s="253"/>
      <c r="BO23" s="253"/>
      <c r="BP23" s="253"/>
      <c r="BQ23" s="138"/>
      <c r="BR23" s="139"/>
      <c r="BS23" s="162">
        <f t="shared" si="71"/>
        <v>42385.456107053527</v>
      </c>
      <c r="BT23" s="353"/>
      <c r="BU23" s="253"/>
      <c r="BV23" s="253"/>
      <c r="BW23" s="253"/>
      <c r="BX23" s="253"/>
      <c r="BY23" s="253"/>
      <c r="BZ23" s="138"/>
      <c r="CA23" s="138"/>
      <c r="CB23" s="138"/>
      <c r="CC23" s="138"/>
      <c r="CD23" s="138"/>
      <c r="CE23" s="139"/>
      <c r="CF23" s="162">
        <f t="shared" si="75"/>
        <v>0</v>
      </c>
      <c r="CG23" s="353"/>
      <c r="CH23" s="253"/>
      <c r="CI23" s="253"/>
      <c r="CJ23" s="253"/>
      <c r="CK23" s="253"/>
      <c r="CL23" s="253"/>
      <c r="CM23" s="138"/>
      <c r="CN23" s="138"/>
      <c r="CO23" s="138"/>
      <c r="CP23" s="138"/>
      <c r="CQ23" s="138"/>
      <c r="CR23" s="139"/>
      <c r="CS23" s="162">
        <f t="shared" si="76"/>
        <v>0</v>
      </c>
      <c r="CT23" s="353"/>
      <c r="CU23" s="253"/>
      <c r="CV23" s="253"/>
      <c r="CW23" s="253"/>
      <c r="CX23" s="253"/>
      <c r="CY23" s="253"/>
      <c r="CZ23" s="138"/>
      <c r="DA23" s="138"/>
      <c r="DB23" s="138"/>
      <c r="DC23" s="138"/>
      <c r="DD23" s="138"/>
      <c r="DE23" s="139"/>
      <c r="DF23" s="162">
        <f t="shared" si="77"/>
        <v>0</v>
      </c>
      <c r="DG23" s="279"/>
      <c r="DH23" s="90">
        <f t="shared" si="72"/>
        <v>120520.6673838178</v>
      </c>
      <c r="DI23" s="91">
        <f t="shared" si="73"/>
        <v>120520.66738381778</v>
      </c>
      <c r="DJ23" s="92">
        <f t="shared" si="74"/>
        <v>0</v>
      </c>
      <c r="DK23" s="64">
        <f>+DH23/DH22</f>
        <v>0.85410575798269706</v>
      </c>
      <c r="DM23" s="134">
        <f>AS23+BF23+BS23+CF23+CS23+DG23+AF23</f>
        <v>120228.1496505348</v>
      </c>
      <c r="DN23" s="533">
        <f>DM23/DM22</f>
        <v>1.0363622200429703</v>
      </c>
    </row>
    <row r="24" spans="1:118" ht="15" customHeight="1" outlineLevel="1">
      <c r="A24" s="607"/>
      <c r="B24" s="636"/>
      <c r="C24" s="554" t="s">
        <v>11</v>
      </c>
      <c r="D24" s="555"/>
      <c r="E24" s="143">
        <f>+E22-E23</f>
        <v>-4237.2386404801218</v>
      </c>
      <c r="F24" s="144">
        <f t="shared" ref="F24:R24" si="94">+F22-F23</f>
        <v>0</v>
      </c>
      <c r="G24" s="145">
        <f t="shared" si="94"/>
        <v>0</v>
      </c>
      <c r="H24" s="145">
        <f t="shared" si="94"/>
        <v>0</v>
      </c>
      <c r="I24" s="145">
        <f t="shared" si="94"/>
        <v>0</v>
      </c>
      <c r="J24" s="145">
        <f t="shared" si="94"/>
        <v>0</v>
      </c>
      <c r="K24" s="145">
        <f t="shared" si="94"/>
        <v>0</v>
      </c>
      <c r="L24" s="145">
        <f t="shared" si="94"/>
        <v>0</v>
      </c>
      <c r="M24" s="145">
        <f t="shared" si="94"/>
        <v>0</v>
      </c>
      <c r="N24" s="145">
        <f t="shared" si="94"/>
        <v>0</v>
      </c>
      <c r="O24" s="145">
        <f t="shared" si="94"/>
        <v>0</v>
      </c>
      <c r="P24" s="145">
        <f t="shared" si="94"/>
        <v>0</v>
      </c>
      <c r="Q24" s="145">
        <f t="shared" si="94"/>
        <v>24802.110054424593</v>
      </c>
      <c r="R24" s="146">
        <f t="shared" si="94"/>
        <v>3.0243298960499487</v>
      </c>
      <c r="S24" s="147">
        <f t="shared" si="67"/>
        <v>24805.134384320641</v>
      </c>
      <c r="T24" s="148">
        <f t="shared" ref="T24:AE24" si="95">+T22-T23</f>
        <v>512.91391471013094</v>
      </c>
      <c r="U24" s="145">
        <f t="shared" si="95"/>
        <v>205.90518830744071</v>
      </c>
      <c r="V24" s="145">
        <f t="shared" si="95"/>
        <v>11.819686758732757</v>
      </c>
      <c r="W24" s="145">
        <f t="shared" si="95"/>
        <v>-66.657665566469163</v>
      </c>
      <c r="X24" s="145">
        <f t="shared" si="95"/>
        <v>-92.202266307363089</v>
      </c>
      <c r="Y24" s="145">
        <f t="shared" si="95"/>
        <v>-102.17045385011691</v>
      </c>
      <c r="Z24" s="145">
        <f t="shared" si="95"/>
        <v>-53.949081251245268</v>
      </c>
      <c r="AA24" s="145">
        <f t="shared" si="95"/>
        <v>-37.365304069814201</v>
      </c>
      <c r="AB24" s="145">
        <f t="shared" si="95"/>
        <v>-157.67116840651531</v>
      </c>
      <c r="AC24" s="145">
        <f t="shared" si="95"/>
        <v>-87.162751156629369</v>
      </c>
      <c r="AD24" s="145">
        <f t="shared" si="95"/>
        <v>400.0569059468412</v>
      </c>
      <c r="AE24" s="146">
        <f t="shared" si="95"/>
        <v>403.43858896259371</v>
      </c>
      <c r="AF24" s="147">
        <f t="shared" si="68"/>
        <v>936.95559407758606</v>
      </c>
      <c r="AG24" s="148">
        <f t="shared" ref="AG24:AR24" si="96">+AG22-AG23</f>
        <v>-54.138374910365656</v>
      </c>
      <c r="AH24" s="145">
        <f t="shared" si="96"/>
        <v>460.02399118511266</v>
      </c>
      <c r="AI24" s="145">
        <f t="shared" si="96"/>
        <v>314.2289749150159</v>
      </c>
      <c r="AJ24" s="145">
        <f t="shared" si="96"/>
        <v>-94.169057894129764</v>
      </c>
      <c r="AK24" s="145">
        <f t="shared" si="96"/>
        <v>737.33705785123993</v>
      </c>
      <c r="AL24" s="145">
        <f t="shared" si="96"/>
        <v>96.815978110020751</v>
      </c>
      <c r="AM24" s="145">
        <f t="shared" si="96"/>
        <v>47.873486388454012</v>
      </c>
      <c r="AN24" s="145">
        <f t="shared" si="96"/>
        <v>1532.5176376756692</v>
      </c>
      <c r="AO24" s="145">
        <f t="shared" si="96"/>
        <v>-251.76026205172866</v>
      </c>
      <c r="AP24" s="145">
        <f t="shared" si="96"/>
        <v>77.978150910404111</v>
      </c>
      <c r="AQ24" s="145">
        <f t="shared" si="96"/>
        <v>264.20418690561883</v>
      </c>
      <c r="AR24" s="146">
        <f t="shared" si="96"/>
        <v>-626.25221133942159</v>
      </c>
      <c r="AS24" s="408">
        <f t="shared" si="69"/>
        <v>2504.6595577458897</v>
      </c>
      <c r="AT24" s="148">
        <f t="shared" ref="AT24:BE24" si="97">+AT22-AT23</f>
        <v>111.42080021544234</v>
      </c>
      <c r="AU24" s="145">
        <f t="shared" si="97"/>
        <v>1776.2631432349563</v>
      </c>
      <c r="AV24" s="145">
        <f t="shared" si="97"/>
        <v>-246.0483479860427</v>
      </c>
      <c r="AW24" s="145">
        <f t="shared" si="97"/>
        <v>-2837</v>
      </c>
      <c r="AX24" s="145">
        <f t="shared" si="97"/>
        <v>-4094.3132874471098</v>
      </c>
      <c r="AY24" s="145">
        <f t="shared" si="97"/>
        <v>-5251.5347000820029</v>
      </c>
      <c r="AZ24" s="145">
        <f t="shared" si="97"/>
        <v>-4745.1087137195691</v>
      </c>
      <c r="BA24" s="145">
        <f t="shared" si="97"/>
        <v>-7338.37129919367</v>
      </c>
      <c r="BB24" s="145">
        <f t="shared" si="97"/>
        <v>-5114.9475905822301</v>
      </c>
      <c r="BC24" s="145">
        <f t="shared" si="97"/>
        <v>-570.12586262996956</v>
      </c>
      <c r="BD24" s="145">
        <f t="shared" si="97"/>
        <v>-647.43508834342356</v>
      </c>
      <c r="BE24" s="146">
        <f t="shared" si="97"/>
        <v>1501.5574734276888</v>
      </c>
      <c r="BF24" s="147">
        <f t="shared" si="70"/>
        <v>-27455.643473105927</v>
      </c>
      <c r="BG24" s="148">
        <f t="shared" ref="BG24:BR24" si="98">+BG22-BG23</f>
        <v>162.59305081269122</v>
      </c>
      <c r="BH24" s="145">
        <f t="shared" si="98"/>
        <v>-1207.1434918781652</v>
      </c>
      <c r="BI24" s="145">
        <f t="shared" si="98"/>
        <v>-1295.5197041560659</v>
      </c>
      <c r="BJ24" s="145">
        <f t="shared" si="98"/>
        <v>-1462.4608423667833</v>
      </c>
      <c r="BK24" s="145">
        <f t="shared" si="98"/>
        <v>-2192.306669517342</v>
      </c>
      <c r="BL24" s="145">
        <f t="shared" si="98"/>
        <v>149.77477903778072</v>
      </c>
      <c r="BM24" s="145">
        <f t="shared" si="98"/>
        <v>816.71817454955817</v>
      </c>
      <c r="BN24" s="145">
        <f t="shared" si="98"/>
        <v>0</v>
      </c>
      <c r="BO24" s="145">
        <f t="shared" si="98"/>
        <v>0</v>
      </c>
      <c r="BP24" s="145">
        <f t="shared" si="98"/>
        <v>0</v>
      </c>
      <c r="BQ24" s="145">
        <f t="shared" si="98"/>
        <v>0</v>
      </c>
      <c r="BR24" s="146">
        <f t="shared" si="98"/>
        <v>0</v>
      </c>
      <c r="BS24" s="147">
        <f t="shared" si="71"/>
        <v>-5028.3447035183262</v>
      </c>
      <c r="BT24" s="148">
        <f t="shared" ref="BT24:CE24" si="99">+BT22-BT23</f>
        <v>0</v>
      </c>
      <c r="BU24" s="145">
        <f t="shared" si="99"/>
        <v>0</v>
      </c>
      <c r="BV24" s="145">
        <f t="shared" si="99"/>
        <v>0</v>
      </c>
      <c r="BW24" s="145">
        <f t="shared" si="99"/>
        <v>0</v>
      </c>
      <c r="BX24" s="145">
        <f t="shared" si="99"/>
        <v>0</v>
      </c>
      <c r="BY24" s="145">
        <f t="shared" si="99"/>
        <v>0</v>
      </c>
      <c r="BZ24" s="145">
        <f t="shared" si="99"/>
        <v>0</v>
      </c>
      <c r="CA24" s="145">
        <f t="shared" si="99"/>
        <v>0</v>
      </c>
      <c r="CB24" s="145">
        <f t="shared" si="99"/>
        <v>0</v>
      </c>
      <c r="CC24" s="145">
        <f t="shared" si="99"/>
        <v>0</v>
      </c>
      <c r="CD24" s="145">
        <f t="shared" si="99"/>
        <v>0</v>
      </c>
      <c r="CE24" s="146">
        <f t="shared" si="99"/>
        <v>0</v>
      </c>
      <c r="CF24" s="147">
        <f t="shared" si="75"/>
        <v>0</v>
      </c>
      <c r="CG24" s="148">
        <f t="shared" ref="CG24:CR24" si="100">+CG22-CG23</f>
        <v>0</v>
      </c>
      <c r="CH24" s="145">
        <f t="shared" si="100"/>
        <v>0</v>
      </c>
      <c r="CI24" s="145">
        <f t="shared" si="100"/>
        <v>0</v>
      </c>
      <c r="CJ24" s="145">
        <f t="shared" si="100"/>
        <v>0</v>
      </c>
      <c r="CK24" s="145">
        <f t="shared" si="100"/>
        <v>0</v>
      </c>
      <c r="CL24" s="145">
        <f t="shared" si="100"/>
        <v>0</v>
      </c>
      <c r="CM24" s="145">
        <f t="shared" si="100"/>
        <v>0</v>
      </c>
      <c r="CN24" s="145">
        <f t="shared" si="100"/>
        <v>0</v>
      </c>
      <c r="CO24" s="145">
        <f t="shared" si="100"/>
        <v>0</v>
      </c>
      <c r="CP24" s="145">
        <f t="shared" si="100"/>
        <v>0</v>
      </c>
      <c r="CQ24" s="145">
        <f t="shared" si="100"/>
        <v>0</v>
      </c>
      <c r="CR24" s="146">
        <f t="shared" si="100"/>
        <v>0</v>
      </c>
      <c r="CS24" s="147">
        <f t="shared" si="76"/>
        <v>0</v>
      </c>
      <c r="CT24" s="148">
        <f t="shared" ref="CT24:DE24" si="101">+CT22-CT23</f>
        <v>0</v>
      </c>
      <c r="CU24" s="145">
        <f t="shared" si="101"/>
        <v>0</v>
      </c>
      <c r="CV24" s="145">
        <f t="shared" si="101"/>
        <v>0</v>
      </c>
      <c r="CW24" s="145">
        <f t="shared" si="101"/>
        <v>0</v>
      </c>
      <c r="CX24" s="145">
        <f t="shared" si="101"/>
        <v>0</v>
      </c>
      <c r="CY24" s="145">
        <f t="shared" si="101"/>
        <v>0</v>
      </c>
      <c r="CZ24" s="145">
        <f t="shared" si="101"/>
        <v>0</v>
      </c>
      <c r="DA24" s="145">
        <f t="shared" si="101"/>
        <v>0</v>
      </c>
      <c r="DB24" s="145">
        <f t="shared" si="101"/>
        <v>0</v>
      </c>
      <c r="DC24" s="145">
        <f t="shared" si="101"/>
        <v>0</v>
      </c>
      <c r="DD24" s="145">
        <f t="shared" si="101"/>
        <v>0</v>
      </c>
      <c r="DE24" s="146">
        <f t="shared" si="101"/>
        <v>0</v>
      </c>
      <c r="DF24" s="147">
        <f t="shared" si="77"/>
        <v>0</v>
      </c>
      <c r="DG24" s="146">
        <f>+DG22-DG23</f>
        <v>0</v>
      </c>
      <c r="DH24" s="149">
        <f t="shared" si="72"/>
        <v>-4237.2386404801355</v>
      </c>
      <c r="DI24" s="150">
        <f t="shared" si="73"/>
        <v>-4237.2386404801218</v>
      </c>
      <c r="DJ24" s="151">
        <f t="shared" si="74"/>
        <v>1.3642420526593924E-11</v>
      </c>
    </row>
    <row r="25" spans="1:118" ht="15" customHeight="1" outlineLevel="1">
      <c r="A25" s="607"/>
      <c r="B25" s="631" t="s">
        <v>58</v>
      </c>
      <c r="C25" s="246" t="s">
        <v>62</v>
      </c>
      <c r="D25" s="183" t="s">
        <v>122</v>
      </c>
      <c r="E25" s="153">
        <f>AF25+AS25+BF25+BS25+CF25+CS25+DF25+S25+DG25</f>
        <v>172760.86271620076</v>
      </c>
      <c r="F25" s="153"/>
      <c r="G25" s="154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6"/>
      <c r="S25" s="157">
        <f t="shared" ref="S25:S30" si="102">SUM(G25:R25)</f>
        <v>0</v>
      </c>
      <c r="T25" s="378"/>
      <c r="U25" s="382"/>
      <c r="V25" s="382"/>
      <c r="W25" s="382"/>
      <c r="X25" s="382"/>
      <c r="Y25" s="382"/>
      <c r="Z25" s="382"/>
      <c r="AA25" s="382"/>
      <c r="AB25" s="382"/>
      <c r="AC25" s="382"/>
      <c r="AD25" s="382"/>
      <c r="AE25" s="484">
        <v>25733.515743611886</v>
      </c>
      <c r="AF25" s="157">
        <f t="shared" si="68"/>
        <v>25733.515743611886</v>
      </c>
      <c r="AG25" s="499"/>
      <c r="AH25" s="513"/>
      <c r="AI25" s="513"/>
      <c r="AJ25" s="513"/>
      <c r="AK25" s="513"/>
      <c r="AL25" s="499"/>
      <c r="AM25" s="499"/>
      <c r="AN25" s="513"/>
      <c r="AO25" s="513"/>
      <c r="AP25" s="513"/>
      <c r="AQ25" s="513"/>
      <c r="AR25" s="500">
        <v>4665.6339897260277</v>
      </c>
      <c r="AS25" s="409">
        <f t="shared" si="69"/>
        <v>4665.6339897260277</v>
      </c>
      <c r="AT25" s="513">
        <v>2386.7263601354211</v>
      </c>
      <c r="AU25" s="513">
        <v>1964.1306455730164</v>
      </c>
      <c r="AV25" s="513">
        <v>1684.7636742395509</v>
      </c>
      <c r="AW25" s="534"/>
      <c r="AX25" s="534"/>
      <c r="AY25" s="534"/>
      <c r="AZ25" s="534"/>
      <c r="BA25" s="534"/>
      <c r="BB25" s="283"/>
      <c r="BC25" s="283">
        <v>1764.6008814466759</v>
      </c>
      <c r="BD25" s="285">
        <v>2611.9601641384352</v>
      </c>
      <c r="BE25" s="359">
        <v>2937.1399141777501</v>
      </c>
      <c r="BF25" s="157">
        <f t="shared" si="70"/>
        <v>13349.321639710852</v>
      </c>
      <c r="BG25" s="283">
        <v>6967.9477527024628</v>
      </c>
      <c r="BH25" s="283">
        <v>6433.6243216578287</v>
      </c>
      <c r="BI25" s="283">
        <v>4643.8197017131115</v>
      </c>
      <c r="BJ25" s="283">
        <v>7993.9899896556981</v>
      </c>
      <c r="BK25" s="283">
        <v>6506.2467776687981</v>
      </c>
      <c r="BL25" s="283">
        <v>5762.4250789764192</v>
      </c>
      <c r="BM25" s="359">
        <v>5966.9757712929868</v>
      </c>
      <c r="BN25" s="283">
        <v>9875.6769700898767</v>
      </c>
      <c r="BO25" s="283">
        <v>9489.8922544106863</v>
      </c>
      <c r="BP25" s="283">
        <v>5633.2307119152711</v>
      </c>
      <c r="BQ25" s="283">
        <v>8323.9065943415062</v>
      </c>
      <c r="BR25" s="359">
        <v>10381.769220455069</v>
      </c>
      <c r="BS25" s="157">
        <f t="shared" si="71"/>
        <v>87979.505144879717</v>
      </c>
      <c r="BT25" s="283">
        <v>9753.7022356970774</v>
      </c>
      <c r="BU25" s="283">
        <v>8988.7785671837501</v>
      </c>
      <c r="BV25" s="283">
        <v>4639.2957267590955</v>
      </c>
      <c r="BW25" s="283">
        <v>4909.0498099926681</v>
      </c>
      <c r="BX25" s="283">
        <v>3069.6817139650921</v>
      </c>
      <c r="BY25" s="283">
        <v>2750.7555688330353</v>
      </c>
      <c r="BZ25" s="359">
        <v>3006.4167176515848</v>
      </c>
      <c r="CA25" s="283">
        <v>3915.2058581899801</v>
      </c>
      <c r="CB25" s="283"/>
      <c r="CC25" s="283"/>
      <c r="CD25" s="283"/>
      <c r="CE25" s="283"/>
      <c r="CF25" s="157">
        <f t="shared" ref="CF25:CF33" si="103">SUM(BT25:CE25)</f>
        <v>41032.886198272288</v>
      </c>
      <c r="CG25" s="359"/>
      <c r="CH25" s="283"/>
      <c r="CI25" s="283"/>
      <c r="CJ25" s="283"/>
      <c r="CK25" s="283"/>
      <c r="CL25" s="283"/>
      <c r="CM25" s="283"/>
      <c r="CN25" s="359"/>
      <c r="CO25" s="283"/>
      <c r="CP25" s="283"/>
      <c r="CQ25" s="283"/>
      <c r="CR25" s="283"/>
      <c r="CS25" s="157">
        <f t="shared" si="76"/>
        <v>0</v>
      </c>
      <c r="CT25" s="359"/>
      <c r="CU25" s="283"/>
      <c r="CV25" s="283"/>
      <c r="CW25" s="283"/>
      <c r="CX25" s="283"/>
      <c r="CY25" s="283"/>
      <c r="CZ25" s="283"/>
      <c r="DA25" s="359"/>
      <c r="DB25" s="283"/>
      <c r="DC25" s="283"/>
      <c r="DD25" s="283"/>
      <c r="DE25" s="283"/>
      <c r="DF25" s="157">
        <f t="shared" si="77"/>
        <v>0</v>
      </c>
      <c r="DG25" s="280"/>
      <c r="DH25" s="159">
        <f t="shared" si="72"/>
        <v>131727.97651792847</v>
      </c>
      <c r="DI25" s="160">
        <f t="shared" si="73"/>
        <v>172760.86271620076</v>
      </c>
      <c r="DJ25" s="161">
        <f t="shared" si="74"/>
        <v>41032.886198272288</v>
      </c>
      <c r="DM25" s="134">
        <f>AS25+BF25+BS25+CF25+CS25+DG25+DF25+AF25</f>
        <v>172760.86271620076</v>
      </c>
    </row>
    <row r="26" spans="1:118" ht="15" customHeight="1" outlineLevel="1">
      <c r="A26" s="607"/>
      <c r="B26" s="632"/>
      <c r="C26" s="245" t="s">
        <v>63</v>
      </c>
      <c r="D26" s="184" t="s">
        <v>119</v>
      </c>
      <c r="E26" s="136">
        <f>AF26+AS26+BF26+BS26+CF26+CS26+DF26+S26+DG26</f>
        <v>164157.22315336581</v>
      </c>
      <c r="F26" s="136"/>
      <c r="G26" s="137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9"/>
      <c r="S26" s="162">
        <f t="shared" si="102"/>
        <v>0</v>
      </c>
      <c r="T26" s="380"/>
      <c r="U26" s="381"/>
      <c r="V26" s="381"/>
      <c r="W26" s="381"/>
      <c r="X26" s="381"/>
      <c r="Y26" s="381"/>
      <c r="Z26" s="381"/>
      <c r="AA26" s="381"/>
      <c r="AB26" s="381"/>
      <c r="AC26" s="381"/>
      <c r="AD26" s="381"/>
      <c r="AE26" s="392"/>
      <c r="AF26" s="162">
        <f t="shared" si="68"/>
        <v>0</v>
      </c>
      <c r="AG26" s="497"/>
      <c r="AH26" s="499"/>
      <c r="AI26" s="499"/>
      <c r="AJ26" s="499"/>
      <c r="AK26" s="499"/>
      <c r="AL26" s="499"/>
      <c r="AM26" s="499"/>
      <c r="AN26" s="499"/>
      <c r="AO26" s="499"/>
      <c r="AP26" s="499">
        <v>20.562684380583114</v>
      </c>
      <c r="AQ26" s="499">
        <v>517.10870370931684</v>
      </c>
      <c r="AR26" s="501">
        <v>2482.1710560502283</v>
      </c>
      <c r="AS26" s="410">
        <f t="shared" si="69"/>
        <v>3019.8424441401285</v>
      </c>
      <c r="AT26" s="499">
        <v>1673.3642672642634</v>
      </c>
      <c r="AU26" s="499">
        <v>1111.6412366807206</v>
      </c>
      <c r="AV26" s="499">
        <v>500.01869923386181</v>
      </c>
      <c r="AW26" s="253">
        <f>1223.198782884-21</f>
        <v>1202.1987828839999</v>
      </c>
      <c r="AX26" s="253">
        <v>3012.3912434444455</v>
      </c>
      <c r="AY26" s="253">
        <f>4787.58005376157+500</f>
        <v>5287.5800537615696</v>
      </c>
      <c r="AZ26" s="253">
        <v>3990.0285091322353</v>
      </c>
      <c r="BA26" s="253">
        <v>2658.5700034234364</v>
      </c>
      <c r="BB26" s="253">
        <f>2059.36192499537+500</f>
        <v>2559.3619249953699</v>
      </c>
      <c r="BC26" s="253">
        <v>1961.4024784937865</v>
      </c>
      <c r="BD26" s="338">
        <v>2419.9352298349709</v>
      </c>
      <c r="BE26" s="353">
        <f>2021.82109666797+500</f>
        <v>2521.8210966679699</v>
      </c>
      <c r="BF26" s="162">
        <f t="shared" si="70"/>
        <v>28898.313525816629</v>
      </c>
      <c r="BG26" s="253">
        <f>446.895913573281</f>
        <v>446.89591357328101</v>
      </c>
      <c r="BH26" s="253">
        <v>6922.4286317140686</v>
      </c>
      <c r="BI26" s="253">
        <f>7452.96731346112-500</f>
        <v>6952.9673134611203</v>
      </c>
      <c r="BJ26" s="253">
        <v>8875.5385701090054</v>
      </c>
      <c r="BK26" s="253">
        <f>10401.6822363511-500</f>
        <v>9901.6822363511001</v>
      </c>
      <c r="BL26" s="253">
        <f>10334.3241634168-500</f>
        <v>9834.3241634168007</v>
      </c>
      <c r="BM26" s="353">
        <v>9738.0078991981245</v>
      </c>
      <c r="BN26" s="253">
        <v>9590.529200793666</v>
      </c>
      <c r="BO26" s="253">
        <v>8689.6582639048884</v>
      </c>
      <c r="BP26" s="253">
        <v>6107.7089035967247</v>
      </c>
      <c r="BQ26" s="253">
        <v>5804.6142632246419</v>
      </c>
      <c r="BR26" s="353">
        <v>5878.4223441404092</v>
      </c>
      <c r="BS26" s="162">
        <f t="shared" si="71"/>
        <v>88742.777703483822</v>
      </c>
      <c r="BT26" s="253">
        <v>3868.9254962418595</v>
      </c>
      <c r="BU26" s="253">
        <v>6556.6656531622684</v>
      </c>
      <c r="BV26" s="253">
        <v>5740.5924801048759</v>
      </c>
      <c r="BW26" s="253">
        <v>5394.0754609836204</v>
      </c>
      <c r="BX26" s="253">
        <v>2876.3175417637053</v>
      </c>
      <c r="BY26" s="253">
        <v>3137.9792822252257</v>
      </c>
      <c r="BZ26" s="353">
        <v>2651.20830764123</v>
      </c>
      <c r="CA26" s="253">
        <v>13270.525257802441</v>
      </c>
      <c r="CB26" s="253"/>
      <c r="CC26" s="253"/>
      <c r="CD26" s="253"/>
      <c r="CE26" s="253"/>
      <c r="CF26" s="162">
        <f t="shared" si="103"/>
        <v>43496.289479925224</v>
      </c>
      <c r="CG26" s="353"/>
      <c r="CH26" s="253"/>
      <c r="CI26" s="253"/>
      <c r="CJ26" s="253"/>
      <c r="CK26" s="253"/>
      <c r="CL26" s="253"/>
      <c r="CM26" s="253"/>
      <c r="CN26" s="353"/>
      <c r="CO26" s="253"/>
      <c r="CP26" s="253"/>
      <c r="CQ26" s="253"/>
      <c r="CR26" s="253"/>
      <c r="CS26" s="162">
        <f t="shared" si="76"/>
        <v>0</v>
      </c>
      <c r="CT26" s="353"/>
      <c r="CU26" s="253"/>
      <c r="CV26" s="253"/>
      <c r="CW26" s="253"/>
      <c r="CX26" s="253"/>
      <c r="CY26" s="253"/>
      <c r="CZ26" s="253"/>
      <c r="DA26" s="353"/>
      <c r="DB26" s="253"/>
      <c r="DC26" s="253"/>
      <c r="DD26" s="253"/>
      <c r="DE26" s="253"/>
      <c r="DF26" s="162">
        <f t="shared" si="77"/>
        <v>0</v>
      </c>
      <c r="DG26" s="279"/>
      <c r="DH26" s="90">
        <f t="shared" si="72"/>
        <v>120660.93367344058</v>
      </c>
      <c r="DI26" s="91">
        <f t="shared" si="73"/>
        <v>164157.22315336581</v>
      </c>
      <c r="DJ26" s="92">
        <f t="shared" si="74"/>
        <v>43496.289479925224</v>
      </c>
      <c r="DK26" s="64">
        <f>+DH26/DH25</f>
        <v>0.91598563086572848</v>
      </c>
      <c r="DM26" s="134">
        <f>AS26+BF26+BS26+CF26+CS26+DG26+DF26</f>
        <v>164157.22315336581</v>
      </c>
      <c r="DN26" s="533">
        <f>DM26/DM25</f>
        <v>0.95019913985398186</v>
      </c>
    </row>
    <row r="27" spans="1:118" ht="15" customHeight="1" outlineLevel="1">
      <c r="A27" s="607"/>
      <c r="B27" s="633"/>
      <c r="C27" s="554" t="s">
        <v>11</v>
      </c>
      <c r="D27" s="555"/>
      <c r="E27" s="143">
        <f t="shared" ref="E27:R27" si="104">+E25-E26</f>
        <v>8603.6395628349565</v>
      </c>
      <c r="F27" s="144">
        <f t="shared" si="104"/>
        <v>0</v>
      </c>
      <c r="G27" s="145">
        <f t="shared" si="104"/>
        <v>0</v>
      </c>
      <c r="H27" s="145">
        <f t="shared" si="104"/>
        <v>0</v>
      </c>
      <c r="I27" s="145">
        <f t="shared" si="104"/>
        <v>0</v>
      </c>
      <c r="J27" s="145">
        <f t="shared" si="104"/>
        <v>0</v>
      </c>
      <c r="K27" s="145">
        <f t="shared" si="104"/>
        <v>0</v>
      </c>
      <c r="L27" s="145">
        <f t="shared" si="104"/>
        <v>0</v>
      </c>
      <c r="M27" s="145">
        <f t="shared" si="104"/>
        <v>0</v>
      </c>
      <c r="N27" s="145">
        <f t="shared" si="104"/>
        <v>0</v>
      </c>
      <c r="O27" s="145">
        <f t="shared" si="104"/>
        <v>0</v>
      </c>
      <c r="P27" s="145">
        <f t="shared" si="104"/>
        <v>0</v>
      </c>
      <c r="Q27" s="145">
        <f t="shared" si="104"/>
        <v>0</v>
      </c>
      <c r="R27" s="146">
        <f t="shared" si="104"/>
        <v>0</v>
      </c>
      <c r="S27" s="147">
        <f t="shared" si="102"/>
        <v>0</v>
      </c>
      <c r="T27" s="148">
        <f t="shared" ref="T27:AE27" si="105">+T25-T26</f>
        <v>0</v>
      </c>
      <c r="U27" s="145">
        <f t="shared" si="105"/>
        <v>0</v>
      </c>
      <c r="V27" s="145">
        <f t="shared" si="105"/>
        <v>0</v>
      </c>
      <c r="W27" s="145">
        <f t="shared" si="105"/>
        <v>0</v>
      </c>
      <c r="X27" s="145">
        <f t="shared" si="105"/>
        <v>0</v>
      </c>
      <c r="Y27" s="145">
        <f t="shared" si="105"/>
        <v>0</v>
      </c>
      <c r="Z27" s="145">
        <f t="shared" si="105"/>
        <v>0</v>
      </c>
      <c r="AA27" s="145">
        <f t="shared" si="105"/>
        <v>0</v>
      </c>
      <c r="AB27" s="145">
        <f t="shared" si="105"/>
        <v>0</v>
      </c>
      <c r="AC27" s="145">
        <f t="shared" si="105"/>
        <v>0</v>
      </c>
      <c r="AD27" s="145">
        <f t="shared" si="105"/>
        <v>0</v>
      </c>
      <c r="AE27" s="146">
        <f t="shared" si="105"/>
        <v>25733.515743611886</v>
      </c>
      <c r="AF27" s="147">
        <f t="shared" si="68"/>
        <v>25733.515743611886</v>
      </c>
      <c r="AG27" s="148">
        <f t="shared" ref="AG27:AR27" si="106">+AG25-AG26</f>
        <v>0</v>
      </c>
      <c r="AH27" s="145">
        <f t="shared" si="106"/>
        <v>0</v>
      </c>
      <c r="AI27" s="145">
        <f t="shared" si="106"/>
        <v>0</v>
      </c>
      <c r="AJ27" s="145">
        <f t="shared" si="106"/>
        <v>0</v>
      </c>
      <c r="AK27" s="145">
        <f t="shared" si="106"/>
        <v>0</v>
      </c>
      <c r="AL27" s="145">
        <f t="shared" si="106"/>
        <v>0</v>
      </c>
      <c r="AM27" s="145">
        <f t="shared" si="106"/>
        <v>0</v>
      </c>
      <c r="AN27" s="145">
        <f t="shared" si="106"/>
        <v>0</v>
      </c>
      <c r="AO27" s="145">
        <f t="shared" si="106"/>
        <v>0</v>
      </c>
      <c r="AP27" s="145">
        <f t="shared" si="106"/>
        <v>-20.562684380583114</v>
      </c>
      <c r="AQ27" s="145">
        <f t="shared" si="106"/>
        <v>-517.10870370931684</v>
      </c>
      <c r="AR27" s="146">
        <f t="shared" si="106"/>
        <v>2183.4629336757994</v>
      </c>
      <c r="AS27" s="408">
        <f t="shared" si="69"/>
        <v>1645.7915455858993</v>
      </c>
      <c r="AT27" s="148">
        <f t="shared" ref="AT27:BE27" si="107">+AT25-AT26</f>
        <v>713.36209287115776</v>
      </c>
      <c r="AU27" s="145">
        <f t="shared" si="107"/>
        <v>852.48940889229584</v>
      </c>
      <c r="AV27" s="145">
        <f t="shared" si="107"/>
        <v>1184.7449750056892</v>
      </c>
      <c r="AW27" s="145">
        <f t="shared" si="107"/>
        <v>-1202.1987828839999</v>
      </c>
      <c r="AX27" s="145">
        <f t="shared" si="107"/>
        <v>-3012.3912434444455</v>
      </c>
      <c r="AY27" s="145">
        <f t="shared" si="107"/>
        <v>-5287.5800537615696</v>
      </c>
      <c r="AZ27" s="145">
        <f t="shared" si="107"/>
        <v>-3990.0285091322353</v>
      </c>
      <c r="BA27" s="145">
        <f t="shared" si="107"/>
        <v>-2658.5700034234364</v>
      </c>
      <c r="BB27" s="145">
        <f t="shared" si="107"/>
        <v>-2559.3619249953699</v>
      </c>
      <c r="BC27" s="145">
        <f t="shared" si="107"/>
        <v>-196.80159704711059</v>
      </c>
      <c r="BD27" s="145">
        <f t="shared" si="107"/>
        <v>192.02493430346431</v>
      </c>
      <c r="BE27" s="146">
        <f t="shared" si="107"/>
        <v>415.31881750978027</v>
      </c>
      <c r="BF27" s="147">
        <f t="shared" si="70"/>
        <v>-15548.991886105778</v>
      </c>
      <c r="BG27" s="148">
        <f t="shared" ref="BG27:BR27" si="108">+BG25-BG26</f>
        <v>6521.0518391291816</v>
      </c>
      <c r="BH27" s="145">
        <f t="shared" si="108"/>
        <v>-488.80431005623996</v>
      </c>
      <c r="BI27" s="145">
        <f t="shared" si="108"/>
        <v>-2309.1476117480088</v>
      </c>
      <c r="BJ27" s="145">
        <f t="shared" si="108"/>
        <v>-881.5485804533073</v>
      </c>
      <c r="BK27" s="145">
        <f t="shared" si="108"/>
        <v>-3395.4354586823019</v>
      </c>
      <c r="BL27" s="145">
        <f t="shared" si="108"/>
        <v>-4071.8990844403816</v>
      </c>
      <c r="BM27" s="145">
        <f t="shared" si="108"/>
        <v>-3771.0321279051377</v>
      </c>
      <c r="BN27" s="145">
        <f t="shared" si="108"/>
        <v>285.14776929621075</v>
      </c>
      <c r="BO27" s="145">
        <f t="shared" si="108"/>
        <v>800.23399050579792</v>
      </c>
      <c r="BP27" s="145">
        <f t="shared" si="108"/>
        <v>-474.47819168145361</v>
      </c>
      <c r="BQ27" s="145">
        <f t="shared" si="108"/>
        <v>2519.2923311168643</v>
      </c>
      <c r="BR27" s="146">
        <f t="shared" si="108"/>
        <v>4503.3468763146602</v>
      </c>
      <c r="BS27" s="147">
        <f t="shared" si="71"/>
        <v>-763.27255860411606</v>
      </c>
      <c r="BT27" s="148">
        <f t="shared" ref="BT27:CE27" si="109">+BT25-BT26</f>
        <v>5884.7767394552175</v>
      </c>
      <c r="BU27" s="145">
        <f t="shared" si="109"/>
        <v>2432.1129140214816</v>
      </c>
      <c r="BV27" s="145">
        <f t="shared" si="109"/>
        <v>-1101.2967533457804</v>
      </c>
      <c r="BW27" s="145">
        <f t="shared" si="109"/>
        <v>-485.02565099095227</v>
      </c>
      <c r="BX27" s="145">
        <f t="shared" si="109"/>
        <v>193.36417220138674</v>
      </c>
      <c r="BY27" s="145">
        <f t="shared" si="109"/>
        <v>-387.22371339219035</v>
      </c>
      <c r="BZ27" s="145">
        <f t="shared" si="109"/>
        <v>355.20841001035478</v>
      </c>
      <c r="CA27" s="145">
        <f t="shared" si="109"/>
        <v>-9355.319399612461</v>
      </c>
      <c r="CB27" s="145">
        <f t="shared" si="109"/>
        <v>0</v>
      </c>
      <c r="CC27" s="145">
        <f t="shared" si="109"/>
        <v>0</v>
      </c>
      <c r="CD27" s="145">
        <f t="shared" si="109"/>
        <v>0</v>
      </c>
      <c r="CE27" s="146">
        <f t="shared" si="109"/>
        <v>0</v>
      </c>
      <c r="CF27" s="147">
        <f t="shared" si="103"/>
        <v>-2463.4032816529434</v>
      </c>
      <c r="CG27" s="148">
        <f t="shared" ref="CG27:CR27" si="110">+CG25-CG26</f>
        <v>0</v>
      </c>
      <c r="CH27" s="145">
        <f t="shared" si="110"/>
        <v>0</v>
      </c>
      <c r="CI27" s="145">
        <f t="shared" si="110"/>
        <v>0</v>
      </c>
      <c r="CJ27" s="145">
        <f t="shared" si="110"/>
        <v>0</v>
      </c>
      <c r="CK27" s="145">
        <f t="shared" si="110"/>
        <v>0</v>
      </c>
      <c r="CL27" s="145">
        <f t="shared" si="110"/>
        <v>0</v>
      </c>
      <c r="CM27" s="145">
        <f t="shared" si="110"/>
        <v>0</v>
      </c>
      <c r="CN27" s="145">
        <f t="shared" si="110"/>
        <v>0</v>
      </c>
      <c r="CO27" s="145">
        <f t="shared" si="110"/>
        <v>0</v>
      </c>
      <c r="CP27" s="145">
        <f t="shared" si="110"/>
        <v>0</v>
      </c>
      <c r="CQ27" s="145">
        <f t="shared" si="110"/>
        <v>0</v>
      </c>
      <c r="CR27" s="146">
        <f t="shared" si="110"/>
        <v>0</v>
      </c>
      <c r="CS27" s="147">
        <f t="shared" si="76"/>
        <v>0</v>
      </c>
      <c r="CT27" s="148">
        <f t="shared" ref="CT27:DE27" si="111">+CT25-CT26</f>
        <v>0</v>
      </c>
      <c r="CU27" s="145">
        <f t="shared" si="111"/>
        <v>0</v>
      </c>
      <c r="CV27" s="145">
        <f t="shared" si="111"/>
        <v>0</v>
      </c>
      <c r="CW27" s="145">
        <f t="shared" si="111"/>
        <v>0</v>
      </c>
      <c r="CX27" s="145">
        <f t="shared" si="111"/>
        <v>0</v>
      </c>
      <c r="CY27" s="145">
        <f t="shared" si="111"/>
        <v>0</v>
      </c>
      <c r="CZ27" s="145">
        <f t="shared" si="111"/>
        <v>0</v>
      </c>
      <c r="DA27" s="145">
        <f t="shared" si="111"/>
        <v>0</v>
      </c>
      <c r="DB27" s="145">
        <f t="shared" si="111"/>
        <v>0</v>
      </c>
      <c r="DC27" s="145">
        <f t="shared" si="111"/>
        <v>0</v>
      </c>
      <c r="DD27" s="145">
        <f t="shared" si="111"/>
        <v>0</v>
      </c>
      <c r="DE27" s="146">
        <f t="shared" si="111"/>
        <v>0</v>
      </c>
      <c r="DF27" s="147">
        <f t="shared" si="77"/>
        <v>0</v>
      </c>
      <c r="DG27" s="146">
        <f>+DG25-DG26</f>
        <v>0</v>
      </c>
      <c r="DH27" s="98">
        <f t="shared" si="72"/>
        <v>11067.042844487893</v>
      </c>
      <c r="DI27" s="99">
        <f t="shared" si="73"/>
        <v>8603.6395628349565</v>
      </c>
      <c r="DJ27" s="100">
        <f t="shared" si="74"/>
        <v>-2463.4032816529361</v>
      </c>
    </row>
    <row r="28" spans="1:118" ht="15" customHeight="1" outlineLevel="1">
      <c r="A28" s="607"/>
      <c r="B28" s="631" t="s">
        <v>60</v>
      </c>
      <c r="C28" s="244" t="s">
        <v>62</v>
      </c>
      <c r="D28" s="183" t="s">
        <v>122</v>
      </c>
      <c r="E28" s="153">
        <f>AF28+AS28+BF28+BS28+CF28+CS28+DF28+S28+DG28</f>
        <v>234883.46716147492</v>
      </c>
      <c r="F28" s="128"/>
      <c r="G28" s="129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1"/>
      <c r="S28" s="163">
        <f t="shared" si="102"/>
        <v>0</v>
      </c>
      <c r="T28" s="380"/>
      <c r="U28" s="381"/>
      <c r="V28" s="381"/>
      <c r="W28" s="381"/>
      <c r="X28" s="381"/>
      <c r="Y28" s="381"/>
      <c r="Z28" s="381"/>
      <c r="AA28" s="381"/>
      <c r="AB28" s="381"/>
      <c r="AC28" s="381"/>
      <c r="AD28" s="381"/>
      <c r="AE28" s="381"/>
      <c r="AF28" s="163">
        <f t="shared" si="68"/>
        <v>0</v>
      </c>
      <c r="AG28" s="502"/>
      <c r="AH28" s="499"/>
      <c r="AI28" s="499"/>
      <c r="AJ28" s="499"/>
      <c r="AK28" s="499"/>
      <c r="AL28" s="499"/>
      <c r="AM28" s="499"/>
      <c r="AN28" s="513"/>
      <c r="AO28" s="513"/>
      <c r="AP28" s="502"/>
      <c r="AQ28" s="513"/>
      <c r="AR28" s="502"/>
      <c r="AS28" s="409">
        <f t="shared" si="69"/>
        <v>0</v>
      </c>
      <c r="AT28" s="500"/>
      <c r="AU28" s="502"/>
      <c r="AV28" s="502"/>
      <c r="AW28" s="351"/>
      <c r="AX28" s="283"/>
      <c r="AY28" s="351"/>
      <c r="AZ28" s="283"/>
      <c r="BA28" s="283"/>
      <c r="BB28" s="283"/>
      <c r="BC28" s="283"/>
      <c r="BD28" s="283">
        <v>472.78589208552143</v>
      </c>
      <c r="BE28" s="285">
        <v>1414.551082247059</v>
      </c>
      <c r="BF28" s="157">
        <f t="shared" si="70"/>
        <v>1887.3369743325804</v>
      </c>
      <c r="BG28" s="359">
        <v>2344.9271388369334</v>
      </c>
      <c r="BH28" s="283">
        <v>3256.4232208997169</v>
      </c>
      <c r="BI28" s="283">
        <v>4141.7004979336671</v>
      </c>
      <c r="BJ28" s="283">
        <v>4993.6312378387647</v>
      </c>
      <c r="BK28" s="283">
        <v>5805.3561952242326</v>
      </c>
      <c r="BL28" s="283">
        <v>6570.3398380200215</v>
      </c>
      <c r="BM28" s="283">
        <v>7282.4229677374742</v>
      </c>
      <c r="BN28" s="283">
        <v>7935.8723097138809</v>
      </c>
      <c r="BO28" s="283">
        <v>8525.4266740698749</v>
      </c>
      <c r="BP28" s="283">
        <v>9046.3393157159826</v>
      </c>
      <c r="BQ28" s="283">
        <v>9494.4161523534058</v>
      </c>
      <c r="BR28" s="285">
        <v>9866.0495327580884</v>
      </c>
      <c r="BS28" s="157">
        <f t="shared" si="71"/>
        <v>79262.905081102028</v>
      </c>
      <c r="BT28" s="359">
        <v>10158.24728346857</v>
      </c>
      <c r="BU28" s="283">
        <v>10368.656800004837</v>
      </c>
      <c r="BV28" s="283">
        <v>10495.583988659262</v>
      </c>
      <c r="BW28" s="283">
        <v>10538.006906340299</v>
      </c>
      <c r="BX28" s="283">
        <v>10495.583988659262</v>
      </c>
      <c r="BY28" s="283">
        <v>10368.656800004952</v>
      </c>
      <c r="BZ28" s="283">
        <v>10158.247283468481</v>
      </c>
      <c r="CA28" s="283">
        <v>9866.0495327581884</v>
      </c>
      <c r="CB28" s="283">
        <v>9494.4161523532821</v>
      </c>
      <c r="CC28" s="283">
        <v>9046.3393157160062</v>
      </c>
      <c r="CD28" s="283">
        <v>8525.4266740698749</v>
      </c>
      <c r="CE28" s="285">
        <v>7935.8723097138645</v>
      </c>
      <c r="CF28" s="157">
        <f t="shared" si="103"/>
        <v>117451.08703521689</v>
      </c>
      <c r="CG28" s="359">
        <v>6552.7063336606261</v>
      </c>
      <c r="CH28" s="283">
        <v>6552.7063336606261</v>
      </c>
      <c r="CI28" s="283">
        <v>6552.7063336606261</v>
      </c>
      <c r="CJ28" s="283">
        <v>4130.5849855573515</v>
      </c>
      <c r="CK28" s="283">
        <v>4130.5849855573515</v>
      </c>
      <c r="CL28" s="283">
        <v>4130.5849855573515</v>
      </c>
      <c r="CM28" s="283">
        <v>1410.7547043898401</v>
      </c>
      <c r="CN28" s="283">
        <v>1410.7547043898401</v>
      </c>
      <c r="CO28" s="283">
        <v>1410.7547043898401</v>
      </c>
      <c r="CP28" s="283"/>
      <c r="CQ28" s="283"/>
      <c r="CR28" s="285"/>
      <c r="CS28" s="157">
        <f t="shared" si="76"/>
        <v>36282.138070823443</v>
      </c>
      <c r="CT28" s="359"/>
      <c r="CU28" s="283"/>
      <c r="CV28" s="283"/>
      <c r="CW28" s="283"/>
      <c r="CX28" s="283"/>
      <c r="CY28" s="283"/>
      <c r="CZ28" s="283"/>
      <c r="DA28" s="283"/>
      <c r="DB28" s="283"/>
      <c r="DC28" s="283"/>
      <c r="DD28" s="283"/>
      <c r="DE28" s="285"/>
      <c r="DF28" s="157">
        <f t="shared" si="77"/>
        <v>0</v>
      </c>
      <c r="DG28" s="278"/>
      <c r="DH28" s="159">
        <f t="shared" si="72"/>
        <v>81150.242055434603</v>
      </c>
      <c r="DI28" s="165">
        <f t="shared" si="73"/>
        <v>234883.46716147492</v>
      </c>
      <c r="DJ28" s="166">
        <f t="shared" si="74"/>
        <v>153733.22510604031</v>
      </c>
      <c r="DM28" s="134">
        <f>AS28+BF28+BS28+CF28+CS28+DG28+DF28</f>
        <v>234883.46716147492</v>
      </c>
    </row>
    <row r="29" spans="1:118" ht="15" customHeight="1" outlineLevel="1">
      <c r="A29" s="607"/>
      <c r="B29" s="632"/>
      <c r="C29" s="245" t="s">
        <v>63</v>
      </c>
      <c r="D29" s="184" t="s">
        <v>119</v>
      </c>
      <c r="E29" s="136">
        <f>AF29+AS29+BF29+BS29+CF29+CS29+DF29+S29+DG29</f>
        <v>199650.94708725373</v>
      </c>
      <c r="F29" s="136"/>
      <c r="G29" s="137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9"/>
      <c r="S29" s="162">
        <f t="shared" si="102"/>
        <v>0</v>
      </c>
      <c r="T29" s="380"/>
      <c r="U29" s="381"/>
      <c r="V29" s="381"/>
      <c r="W29" s="381"/>
      <c r="X29" s="381"/>
      <c r="Y29" s="381"/>
      <c r="Z29" s="381"/>
      <c r="AA29" s="381"/>
      <c r="AB29" s="381"/>
      <c r="AC29" s="381"/>
      <c r="AD29" s="381"/>
      <c r="AE29" s="392"/>
      <c r="AF29" s="162">
        <f t="shared" si="68"/>
        <v>0</v>
      </c>
      <c r="AG29" s="497"/>
      <c r="AH29" s="499"/>
      <c r="AI29" s="499"/>
      <c r="AJ29" s="499"/>
      <c r="AK29" s="499"/>
      <c r="AL29" s="499"/>
      <c r="AM29" s="499"/>
      <c r="AN29" s="499"/>
      <c r="AO29" s="499"/>
      <c r="AP29" s="499"/>
      <c r="AQ29" s="499"/>
      <c r="AR29" s="511"/>
      <c r="AS29" s="410">
        <f t="shared" si="69"/>
        <v>0</v>
      </c>
      <c r="AT29" s="501"/>
      <c r="AU29" s="499"/>
      <c r="AV29" s="499"/>
      <c r="AW29" s="138"/>
      <c r="AX29" s="253"/>
      <c r="AY29" s="253"/>
      <c r="AZ29" s="253"/>
      <c r="BA29" s="253"/>
      <c r="BB29" s="253"/>
      <c r="BC29" s="253"/>
      <c r="BD29" s="253">
        <v>401.8680082726932</v>
      </c>
      <c r="BE29" s="338">
        <v>1202.3684199100001</v>
      </c>
      <c r="BF29" s="162">
        <f t="shared" si="70"/>
        <v>1604.2364281826933</v>
      </c>
      <c r="BG29" s="353">
        <v>1993.1880680113932</v>
      </c>
      <c r="BH29" s="253">
        <v>2767.9597377647592</v>
      </c>
      <c r="BI29" s="253">
        <v>3520.4454232436165</v>
      </c>
      <c r="BJ29" s="253">
        <v>4244.5865521629503</v>
      </c>
      <c r="BK29" s="253">
        <v>4934.5527659405971</v>
      </c>
      <c r="BL29" s="253">
        <v>5584.7888623170174</v>
      </c>
      <c r="BM29" s="253">
        <v>6190.0595225768529</v>
      </c>
      <c r="BN29" s="253">
        <v>6745.4914632567989</v>
      </c>
      <c r="BO29" s="253">
        <v>7246.6126729593943</v>
      </c>
      <c r="BP29" s="253">
        <v>7689.3884183585851</v>
      </c>
      <c r="BQ29" s="253">
        <v>8070.253729500394</v>
      </c>
      <c r="BR29" s="338">
        <v>8386.1421028443747</v>
      </c>
      <c r="BS29" s="162">
        <f t="shared" si="71"/>
        <v>67373.469318936739</v>
      </c>
      <c r="BT29" s="353">
        <v>8634.5101909482837</v>
      </c>
      <c r="BU29" s="253">
        <v>8813.3582800041113</v>
      </c>
      <c r="BV29" s="253">
        <v>8921.2463903603712</v>
      </c>
      <c r="BW29" s="253">
        <v>8957.305870389253</v>
      </c>
      <c r="BX29" s="253">
        <v>8921.2463903603712</v>
      </c>
      <c r="BY29" s="253">
        <v>8813.3582800042095</v>
      </c>
      <c r="BZ29" s="253">
        <v>8634.5101909482091</v>
      </c>
      <c r="CA29" s="253">
        <v>8386.1421028444602</v>
      </c>
      <c r="CB29" s="253">
        <v>8070.2537295002894</v>
      </c>
      <c r="CC29" s="253">
        <v>7689.3884183586042</v>
      </c>
      <c r="CD29" s="253">
        <v>7246.6126729593943</v>
      </c>
      <c r="CE29" s="338">
        <v>6745.4914632567852</v>
      </c>
      <c r="CF29" s="162">
        <f t="shared" si="103"/>
        <v>99833.423979934349</v>
      </c>
      <c r="CG29" s="353">
        <v>5569.8003836115322</v>
      </c>
      <c r="CH29" s="253">
        <v>5569.8003836115322</v>
      </c>
      <c r="CI29" s="253">
        <v>5569.8003836115322</v>
      </c>
      <c r="CJ29" s="253">
        <v>3510.9972377237486</v>
      </c>
      <c r="CK29" s="253">
        <v>3510.9972377237486</v>
      </c>
      <c r="CL29" s="253">
        <v>3510.9972377237486</v>
      </c>
      <c r="CM29" s="253">
        <v>1199.1414987313642</v>
      </c>
      <c r="CN29" s="253">
        <v>1199.1414987313642</v>
      </c>
      <c r="CO29" s="253">
        <v>1199.1414987313642</v>
      </c>
      <c r="CP29" s="253"/>
      <c r="CQ29" s="253"/>
      <c r="CR29" s="338"/>
      <c r="CS29" s="162">
        <f t="shared" si="76"/>
        <v>30839.817360199944</v>
      </c>
      <c r="CT29" s="353"/>
      <c r="CU29" s="253"/>
      <c r="CV29" s="253"/>
      <c r="CW29" s="253"/>
      <c r="CX29" s="253"/>
      <c r="CY29" s="253"/>
      <c r="CZ29" s="253"/>
      <c r="DA29" s="253"/>
      <c r="DB29" s="253"/>
      <c r="DC29" s="253"/>
      <c r="DD29" s="253"/>
      <c r="DE29" s="338"/>
      <c r="DF29" s="162">
        <f t="shared" si="77"/>
        <v>0</v>
      </c>
      <c r="DG29" s="279"/>
      <c r="DH29" s="90">
        <f t="shared" si="72"/>
        <v>68977.705747119428</v>
      </c>
      <c r="DI29" s="91">
        <f t="shared" si="73"/>
        <v>199650.94708725373</v>
      </c>
      <c r="DJ29" s="92">
        <f t="shared" si="74"/>
        <v>130673.24134013431</v>
      </c>
      <c r="DK29" s="64">
        <f>+DH29/DH28</f>
        <v>0.8500000000000002</v>
      </c>
      <c r="DM29" s="134">
        <f>AS29+BF29+BS29+CF29+CS29+DG29+DF29</f>
        <v>199650.94708725373</v>
      </c>
      <c r="DN29" s="533">
        <f>DM29/DM28</f>
        <v>0.8500000000000002</v>
      </c>
    </row>
    <row r="30" spans="1:118" ht="15" customHeight="1" outlineLevel="1">
      <c r="A30" s="607"/>
      <c r="B30" s="633"/>
      <c r="C30" s="554" t="s">
        <v>11</v>
      </c>
      <c r="D30" s="555"/>
      <c r="E30" s="143">
        <f t="shared" ref="E30:R30" si="112">+E28-E29</f>
        <v>35232.520074221189</v>
      </c>
      <c r="F30" s="144">
        <f t="shared" si="112"/>
        <v>0</v>
      </c>
      <c r="G30" s="145">
        <f t="shared" si="112"/>
        <v>0</v>
      </c>
      <c r="H30" s="145">
        <f t="shared" si="112"/>
        <v>0</v>
      </c>
      <c r="I30" s="145">
        <f t="shared" si="112"/>
        <v>0</v>
      </c>
      <c r="J30" s="145">
        <f t="shared" si="112"/>
        <v>0</v>
      </c>
      <c r="K30" s="145">
        <f t="shared" si="112"/>
        <v>0</v>
      </c>
      <c r="L30" s="145">
        <f t="shared" si="112"/>
        <v>0</v>
      </c>
      <c r="M30" s="145">
        <f t="shared" si="112"/>
        <v>0</v>
      </c>
      <c r="N30" s="145">
        <f t="shared" si="112"/>
        <v>0</v>
      </c>
      <c r="O30" s="145">
        <f t="shared" si="112"/>
        <v>0</v>
      </c>
      <c r="P30" s="145">
        <f t="shared" si="112"/>
        <v>0</v>
      </c>
      <c r="Q30" s="145">
        <f t="shared" si="112"/>
        <v>0</v>
      </c>
      <c r="R30" s="146">
        <f t="shared" si="112"/>
        <v>0</v>
      </c>
      <c r="S30" s="147">
        <f t="shared" si="102"/>
        <v>0</v>
      </c>
      <c r="T30" s="148">
        <f t="shared" ref="T30:AE30" si="113">+T28-T29</f>
        <v>0</v>
      </c>
      <c r="U30" s="145">
        <f t="shared" si="113"/>
        <v>0</v>
      </c>
      <c r="V30" s="145">
        <f t="shared" si="113"/>
        <v>0</v>
      </c>
      <c r="W30" s="145">
        <f t="shared" si="113"/>
        <v>0</v>
      </c>
      <c r="X30" s="145">
        <f t="shared" si="113"/>
        <v>0</v>
      </c>
      <c r="Y30" s="145">
        <f t="shared" si="113"/>
        <v>0</v>
      </c>
      <c r="Z30" s="145">
        <f t="shared" si="113"/>
        <v>0</v>
      </c>
      <c r="AA30" s="145">
        <f t="shared" si="113"/>
        <v>0</v>
      </c>
      <c r="AB30" s="145">
        <f t="shared" si="113"/>
        <v>0</v>
      </c>
      <c r="AC30" s="145">
        <f t="shared" si="113"/>
        <v>0</v>
      </c>
      <c r="AD30" s="145">
        <f t="shared" si="113"/>
        <v>0</v>
      </c>
      <c r="AE30" s="146">
        <f t="shared" si="113"/>
        <v>0</v>
      </c>
      <c r="AF30" s="147">
        <f t="shared" si="68"/>
        <v>0</v>
      </c>
      <c r="AG30" s="148">
        <f t="shared" ref="AG30:AR30" si="114">+AG28-AG29</f>
        <v>0</v>
      </c>
      <c r="AH30" s="145">
        <f t="shared" si="114"/>
        <v>0</v>
      </c>
      <c r="AI30" s="145">
        <f t="shared" si="114"/>
        <v>0</v>
      </c>
      <c r="AJ30" s="145">
        <f t="shared" si="114"/>
        <v>0</v>
      </c>
      <c r="AK30" s="145">
        <f t="shared" si="114"/>
        <v>0</v>
      </c>
      <c r="AL30" s="145">
        <f t="shared" si="114"/>
        <v>0</v>
      </c>
      <c r="AM30" s="145">
        <f t="shared" si="114"/>
        <v>0</v>
      </c>
      <c r="AN30" s="145">
        <f t="shared" si="114"/>
        <v>0</v>
      </c>
      <c r="AO30" s="145">
        <f t="shared" si="114"/>
        <v>0</v>
      </c>
      <c r="AP30" s="145">
        <f t="shared" si="114"/>
        <v>0</v>
      </c>
      <c r="AQ30" s="145">
        <f t="shared" si="114"/>
        <v>0</v>
      </c>
      <c r="AR30" s="146">
        <f t="shared" si="114"/>
        <v>0</v>
      </c>
      <c r="AS30" s="408">
        <f t="shared" si="69"/>
        <v>0</v>
      </c>
      <c r="AT30" s="148">
        <f t="shared" ref="AT30" si="115">+AT28-AT29</f>
        <v>0</v>
      </c>
      <c r="AU30" s="145">
        <f>+AU28-AU29</f>
        <v>0</v>
      </c>
      <c r="AV30" s="145">
        <f>+AV28-AV29</f>
        <v>0</v>
      </c>
      <c r="AW30" s="145">
        <f t="shared" ref="AW30:BE30" si="116">+AW28-AW29</f>
        <v>0</v>
      </c>
      <c r="AX30" s="145">
        <f t="shared" si="116"/>
        <v>0</v>
      </c>
      <c r="AY30" s="145">
        <f t="shared" si="116"/>
        <v>0</v>
      </c>
      <c r="AZ30" s="145">
        <f t="shared" si="116"/>
        <v>0</v>
      </c>
      <c r="BA30" s="145">
        <f t="shared" si="116"/>
        <v>0</v>
      </c>
      <c r="BB30" s="145">
        <f t="shared" si="116"/>
        <v>0</v>
      </c>
      <c r="BC30" s="145">
        <f t="shared" si="116"/>
        <v>0</v>
      </c>
      <c r="BD30" s="145">
        <f t="shared" si="116"/>
        <v>70.917883812828222</v>
      </c>
      <c r="BE30" s="146">
        <f t="shared" si="116"/>
        <v>212.1826623370589</v>
      </c>
      <c r="BF30" s="147">
        <f t="shared" si="70"/>
        <v>283.10054614988712</v>
      </c>
      <c r="BG30" s="148">
        <f t="shared" ref="BG30:BR30" si="117">+BG28-BG29</f>
        <v>351.73907082554024</v>
      </c>
      <c r="BH30" s="145">
        <f t="shared" si="117"/>
        <v>488.46348313495764</v>
      </c>
      <c r="BI30" s="145">
        <f t="shared" si="117"/>
        <v>621.25507469005061</v>
      </c>
      <c r="BJ30" s="145">
        <f t="shared" si="117"/>
        <v>749.04468567581443</v>
      </c>
      <c r="BK30" s="145">
        <f t="shared" si="117"/>
        <v>870.80342928363552</v>
      </c>
      <c r="BL30" s="145">
        <f t="shared" si="117"/>
        <v>985.55097570300404</v>
      </c>
      <c r="BM30" s="145">
        <f t="shared" si="117"/>
        <v>1092.3634451606213</v>
      </c>
      <c r="BN30" s="145">
        <f t="shared" si="117"/>
        <v>1190.380846457082</v>
      </c>
      <c r="BO30" s="145">
        <f t="shared" si="117"/>
        <v>1278.8140011104806</v>
      </c>
      <c r="BP30" s="145">
        <f t="shared" si="117"/>
        <v>1356.9508973573975</v>
      </c>
      <c r="BQ30" s="145">
        <f t="shared" si="117"/>
        <v>1424.1624228530118</v>
      </c>
      <c r="BR30" s="146">
        <f t="shared" si="117"/>
        <v>1479.9074299137137</v>
      </c>
      <c r="BS30" s="147">
        <f t="shared" si="71"/>
        <v>11889.435762165311</v>
      </c>
      <c r="BT30" s="148">
        <f t="shared" ref="BT30:CE30" si="118">+BT28-BT29</f>
        <v>1523.7370925202868</v>
      </c>
      <c r="BU30" s="145">
        <f t="shared" si="118"/>
        <v>1555.2985200007261</v>
      </c>
      <c r="BV30" s="145">
        <f t="shared" si="118"/>
        <v>1574.337598298891</v>
      </c>
      <c r="BW30" s="145">
        <f t="shared" si="118"/>
        <v>1580.7010359510459</v>
      </c>
      <c r="BX30" s="145">
        <f t="shared" si="118"/>
        <v>1574.337598298891</v>
      </c>
      <c r="BY30" s="145">
        <f t="shared" si="118"/>
        <v>1555.2985200007424</v>
      </c>
      <c r="BZ30" s="145">
        <f t="shared" si="118"/>
        <v>1523.7370925202722</v>
      </c>
      <c r="CA30" s="145">
        <f t="shared" si="118"/>
        <v>1479.9074299137283</v>
      </c>
      <c r="CB30" s="145">
        <f t="shared" si="118"/>
        <v>1424.1624228529927</v>
      </c>
      <c r="CC30" s="145">
        <f t="shared" si="118"/>
        <v>1356.950897357402</v>
      </c>
      <c r="CD30" s="145">
        <f t="shared" si="118"/>
        <v>1278.8140011104806</v>
      </c>
      <c r="CE30" s="146">
        <f t="shared" si="118"/>
        <v>1190.3808464570793</v>
      </c>
      <c r="CF30" s="147">
        <f t="shared" si="103"/>
        <v>17617.663055282537</v>
      </c>
      <c r="CG30" s="148">
        <f t="shared" ref="CG30:CR30" si="119">+CG28-CG29</f>
        <v>982.90595004909392</v>
      </c>
      <c r="CH30" s="145">
        <f t="shared" si="119"/>
        <v>982.90595004909392</v>
      </c>
      <c r="CI30" s="145">
        <f t="shared" si="119"/>
        <v>982.90595004909392</v>
      </c>
      <c r="CJ30" s="145">
        <f t="shared" si="119"/>
        <v>619.58774783360286</v>
      </c>
      <c r="CK30" s="145">
        <f t="shared" si="119"/>
        <v>619.58774783360286</v>
      </c>
      <c r="CL30" s="145">
        <f t="shared" si="119"/>
        <v>619.58774783360286</v>
      </c>
      <c r="CM30" s="145">
        <f t="shared" si="119"/>
        <v>211.61320565847586</v>
      </c>
      <c r="CN30" s="145">
        <f t="shared" si="119"/>
        <v>211.61320565847586</v>
      </c>
      <c r="CO30" s="145">
        <f t="shared" si="119"/>
        <v>211.61320565847586</v>
      </c>
      <c r="CP30" s="145">
        <f t="shared" si="119"/>
        <v>0</v>
      </c>
      <c r="CQ30" s="145">
        <f t="shared" si="119"/>
        <v>0</v>
      </c>
      <c r="CR30" s="146">
        <f t="shared" si="119"/>
        <v>0</v>
      </c>
      <c r="CS30" s="147">
        <f t="shared" si="76"/>
        <v>5442.3207106235168</v>
      </c>
      <c r="CT30" s="148">
        <f t="shared" ref="CT30:DE30" si="120">+CT28-CT29</f>
        <v>0</v>
      </c>
      <c r="CU30" s="145">
        <f t="shared" si="120"/>
        <v>0</v>
      </c>
      <c r="CV30" s="145">
        <f t="shared" si="120"/>
        <v>0</v>
      </c>
      <c r="CW30" s="145">
        <f t="shared" si="120"/>
        <v>0</v>
      </c>
      <c r="CX30" s="145">
        <f t="shared" si="120"/>
        <v>0</v>
      </c>
      <c r="CY30" s="145">
        <f t="shared" si="120"/>
        <v>0</v>
      </c>
      <c r="CZ30" s="145">
        <f t="shared" si="120"/>
        <v>0</v>
      </c>
      <c r="DA30" s="145">
        <f t="shared" si="120"/>
        <v>0</v>
      </c>
      <c r="DB30" s="145">
        <f t="shared" si="120"/>
        <v>0</v>
      </c>
      <c r="DC30" s="145">
        <f t="shared" si="120"/>
        <v>0</v>
      </c>
      <c r="DD30" s="145">
        <f t="shared" si="120"/>
        <v>0</v>
      </c>
      <c r="DE30" s="146">
        <f t="shared" si="120"/>
        <v>0</v>
      </c>
      <c r="DF30" s="147">
        <f t="shared" si="77"/>
        <v>0</v>
      </c>
      <c r="DG30" s="146">
        <f>+DG28-DG29</f>
        <v>0</v>
      </c>
      <c r="DH30" s="98">
        <f t="shared" si="72"/>
        <v>12172.536308315197</v>
      </c>
      <c r="DI30" s="150">
        <f t="shared" si="73"/>
        <v>35232.520074221189</v>
      </c>
      <c r="DJ30" s="151">
        <f t="shared" si="74"/>
        <v>23059.983765905992</v>
      </c>
    </row>
    <row r="31" spans="1:118" ht="15" customHeight="1" outlineLevel="1">
      <c r="A31" s="607"/>
      <c r="B31" s="628" t="s">
        <v>211</v>
      </c>
      <c r="C31" s="246" t="s">
        <v>62</v>
      </c>
      <c r="D31" s="183" t="s">
        <v>122</v>
      </c>
      <c r="E31" s="153">
        <f>AF31+AS31+BF31+BS31+CF31+CS31+DF31+S31+DG31</f>
        <v>44054.849961655673</v>
      </c>
      <c r="F31" s="153"/>
      <c r="G31" s="154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284"/>
      <c r="S31" s="157">
        <f t="shared" ref="S31:S33" si="121">SUM(G31:R31)</f>
        <v>0</v>
      </c>
      <c r="T31" s="378"/>
      <c r="U31" s="382"/>
      <c r="V31" s="382"/>
      <c r="W31" s="382"/>
      <c r="X31" s="389"/>
      <c r="Y31" s="389"/>
      <c r="Z31" s="389"/>
      <c r="AA31" s="389"/>
      <c r="AB31" s="389">
        <v>56.623627157886183</v>
      </c>
      <c r="AC31" s="389"/>
      <c r="AD31" s="389">
        <v>201.22916215789888</v>
      </c>
      <c r="AE31" s="482">
        <v>875.03490293205641</v>
      </c>
      <c r="AF31" s="157">
        <f t="shared" si="68"/>
        <v>1132.8876922478414</v>
      </c>
      <c r="AG31" s="500">
        <v>332.54514194088119</v>
      </c>
      <c r="AH31" s="513"/>
      <c r="AI31" s="513"/>
      <c r="AJ31" s="513"/>
      <c r="AK31" s="513"/>
      <c r="AL31" s="513"/>
      <c r="AM31" s="513"/>
      <c r="AN31" s="513">
        <v>215.41712746694952</v>
      </c>
      <c r="AO31" s="513"/>
      <c r="AP31" s="513"/>
      <c r="AQ31" s="513"/>
      <c r="AR31" s="512"/>
      <c r="AS31" s="409">
        <f t="shared" si="69"/>
        <v>547.96226940783072</v>
      </c>
      <c r="AT31" s="500"/>
      <c r="AU31" s="513"/>
      <c r="AV31" s="513"/>
      <c r="AW31" s="155"/>
      <c r="AX31" s="534"/>
      <c r="AY31" s="155"/>
      <c r="AZ31" s="155"/>
      <c r="BA31" s="155"/>
      <c r="BB31" s="155"/>
      <c r="BC31" s="155"/>
      <c r="BD31" s="155"/>
      <c r="BE31" s="156"/>
      <c r="BF31" s="157">
        <f t="shared" si="70"/>
        <v>0</v>
      </c>
      <c r="BG31" s="158"/>
      <c r="BH31" s="155"/>
      <c r="BI31" s="155"/>
      <c r="BJ31" s="155"/>
      <c r="BK31" s="155"/>
      <c r="BL31" s="155"/>
      <c r="BM31" s="534">
        <v>42374</v>
      </c>
      <c r="BN31" s="155"/>
      <c r="BO31" s="155"/>
      <c r="BP31" s="155"/>
      <c r="BQ31" s="155"/>
      <c r="BR31" s="156"/>
      <c r="BS31" s="157">
        <f t="shared" si="71"/>
        <v>42374</v>
      </c>
      <c r="BT31" s="158"/>
      <c r="BU31" s="155"/>
      <c r="BV31" s="155"/>
      <c r="BW31" s="155"/>
      <c r="BX31" s="155"/>
      <c r="BY31" s="155"/>
      <c r="BZ31" s="155"/>
      <c r="CA31" s="155"/>
      <c r="CB31" s="155"/>
      <c r="CC31" s="155"/>
      <c r="CD31" s="155"/>
      <c r="CE31" s="156"/>
      <c r="CF31" s="157">
        <f t="shared" si="103"/>
        <v>0</v>
      </c>
      <c r="CG31" s="158"/>
      <c r="CH31" s="155"/>
      <c r="CI31" s="155"/>
      <c r="CJ31" s="155"/>
      <c r="CK31" s="155"/>
      <c r="CL31" s="155"/>
      <c r="CM31" s="155"/>
      <c r="CN31" s="155"/>
      <c r="CO31" s="155"/>
      <c r="CP31" s="155"/>
      <c r="CQ31" s="155"/>
      <c r="CR31" s="156"/>
      <c r="CS31" s="157">
        <f t="shared" si="76"/>
        <v>0</v>
      </c>
      <c r="CT31" s="158"/>
      <c r="CU31" s="155"/>
      <c r="CV31" s="155"/>
      <c r="CW31" s="155"/>
      <c r="CX31" s="155"/>
      <c r="CY31" s="155"/>
      <c r="CZ31" s="155"/>
      <c r="DA31" s="155"/>
      <c r="DB31" s="155"/>
      <c r="DC31" s="155"/>
      <c r="DD31" s="155"/>
      <c r="DE31" s="156"/>
      <c r="DF31" s="157">
        <f t="shared" si="77"/>
        <v>0</v>
      </c>
      <c r="DG31" s="280"/>
      <c r="DH31" s="159">
        <f t="shared" si="72"/>
        <v>44054.849961655673</v>
      </c>
      <c r="DI31" s="160">
        <f t="shared" si="73"/>
        <v>44054.849961655673</v>
      </c>
      <c r="DJ31" s="161">
        <f t="shared" si="74"/>
        <v>0</v>
      </c>
    </row>
    <row r="32" spans="1:118" ht="15" customHeight="1" outlineLevel="1">
      <c r="A32" s="607"/>
      <c r="B32" s="629"/>
      <c r="C32" s="245" t="s">
        <v>63</v>
      </c>
      <c r="D32" s="184" t="s">
        <v>124</v>
      </c>
      <c r="E32" s="136">
        <f>AF32+AS32+BF32+BS32+CF32+CS32+DF32+S32+DG32</f>
        <v>1625.5706895454794</v>
      </c>
      <c r="F32" s="136"/>
      <c r="G32" s="137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9"/>
      <c r="S32" s="162">
        <f t="shared" si="121"/>
        <v>0</v>
      </c>
      <c r="T32" s="380"/>
      <c r="U32" s="381"/>
      <c r="V32" s="381"/>
      <c r="W32" s="381"/>
      <c r="X32" s="388"/>
      <c r="Y32" s="388"/>
      <c r="Z32" s="388">
        <v>14.512245148435943</v>
      </c>
      <c r="AA32" s="388">
        <v>38.756792568165366</v>
      </c>
      <c r="AB32" s="388">
        <v>82.341304561517532</v>
      </c>
      <c r="AC32" s="388">
        <v>172.10832417256515</v>
      </c>
      <c r="AD32" s="388">
        <v>411.11540204274786</v>
      </c>
      <c r="AE32" s="483">
        <v>266.80577136240532</v>
      </c>
      <c r="AF32" s="162">
        <f t="shared" si="68"/>
        <v>985.63983985583718</v>
      </c>
      <c r="AG32" s="501">
        <v>274.22781403872204</v>
      </c>
      <c r="AH32" s="499">
        <v>61.003888423114596</v>
      </c>
      <c r="AI32" s="499">
        <v>19.467220997929122</v>
      </c>
      <c r="AJ32" s="499">
        <v>6.0965674470457083</v>
      </c>
      <c r="AK32" s="499">
        <v>-6.4929828560445895</v>
      </c>
      <c r="AL32" s="499">
        <v>5.9426522522522527</v>
      </c>
      <c r="AM32" s="499">
        <v>3.3114990645641633</v>
      </c>
      <c r="AN32" s="499">
        <v>43.289618621917498</v>
      </c>
      <c r="AO32" s="499">
        <v>2.4648730260915666</v>
      </c>
      <c r="AP32" s="499"/>
      <c r="AQ32" s="499"/>
      <c r="AR32" s="511"/>
      <c r="AS32" s="410">
        <f t="shared" si="69"/>
        <v>409.31115101559226</v>
      </c>
      <c r="AT32" s="501"/>
      <c r="AU32" s="499"/>
      <c r="AV32" s="499">
        <v>1.5970586740499126</v>
      </c>
      <c r="AW32" s="138"/>
      <c r="AX32" s="138">
        <v>229.02264</v>
      </c>
      <c r="AY32" s="138"/>
      <c r="AZ32" s="138"/>
      <c r="BA32" s="138"/>
      <c r="BB32" s="138"/>
      <c r="BC32" s="138"/>
      <c r="BD32" s="138"/>
      <c r="BE32" s="139"/>
      <c r="BF32" s="162">
        <f t="shared" si="70"/>
        <v>230.61969867404991</v>
      </c>
      <c r="BG32" s="141"/>
      <c r="BH32" s="138"/>
      <c r="BI32" s="138"/>
      <c r="BJ32" s="138"/>
      <c r="BK32" s="138"/>
      <c r="BL32" s="138"/>
      <c r="BM32" s="138"/>
      <c r="BN32" s="138"/>
      <c r="BO32" s="138"/>
      <c r="BP32" s="138"/>
      <c r="BQ32" s="138"/>
      <c r="BR32" s="139"/>
      <c r="BS32" s="162">
        <f t="shared" si="71"/>
        <v>0</v>
      </c>
      <c r="BT32" s="141"/>
      <c r="BU32" s="138"/>
      <c r="BV32" s="138"/>
      <c r="BW32" s="138"/>
      <c r="BX32" s="138"/>
      <c r="BY32" s="138"/>
      <c r="BZ32" s="138"/>
      <c r="CA32" s="138"/>
      <c r="CB32" s="138"/>
      <c r="CC32" s="138"/>
      <c r="CD32" s="138"/>
      <c r="CE32" s="139"/>
      <c r="CF32" s="162">
        <f t="shared" si="103"/>
        <v>0</v>
      </c>
      <c r="CG32" s="141"/>
      <c r="CH32" s="138"/>
      <c r="CI32" s="138"/>
      <c r="CJ32" s="138"/>
      <c r="CK32" s="138"/>
      <c r="CL32" s="138"/>
      <c r="CM32" s="138"/>
      <c r="CN32" s="138"/>
      <c r="CO32" s="138"/>
      <c r="CP32" s="138"/>
      <c r="CQ32" s="138"/>
      <c r="CR32" s="139"/>
      <c r="CS32" s="162">
        <f t="shared" si="76"/>
        <v>0</v>
      </c>
      <c r="CT32" s="141"/>
      <c r="CU32" s="138"/>
      <c r="CV32" s="138"/>
      <c r="CW32" s="138"/>
      <c r="CX32" s="138"/>
      <c r="CY32" s="138"/>
      <c r="CZ32" s="138"/>
      <c r="DA32" s="138"/>
      <c r="DB32" s="138"/>
      <c r="DC32" s="138"/>
      <c r="DD32" s="138"/>
      <c r="DE32" s="139"/>
      <c r="DF32" s="162">
        <f t="shared" si="77"/>
        <v>0</v>
      </c>
      <c r="DG32" s="279"/>
      <c r="DH32" s="90">
        <f t="shared" si="72"/>
        <v>1625.5706895454794</v>
      </c>
      <c r="DI32" s="91">
        <f t="shared" si="73"/>
        <v>1625.5706895454794</v>
      </c>
      <c r="DJ32" s="92">
        <f t="shared" si="74"/>
        <v>0</v>
      </c>
      <c r="DK32" s="64">
        <f>+DH32/DH31</f>
        <v>3.6898790733831545E-2</v>
      </c>
    </row>
    <row r="33" spans="1:118" ht="15" customHeight="1" outlineLevel="1">
      <c r="A33" s="607"/>
      <c r="B33" s="630"/>
      <c r="C33" s="554" t="s">
        <v>11</v>
      </c>
      <c r="D33" s="555"/>
      <c r="E33" s="143">
        <v>47.072000000000003</v>
      </c>
      <c r="F33" s="144">
        <f t="shared" ref="F33:R33" si="122">+F31-F32</f>
        <v>0</v>
      </c>
      <c r="G33" s="145">
        <f t="shared" si="122"/>
        <v>0</v>
      </c>
      <c r="H33" s="145">
        <f t="shared" si="122"/>
        <v>0</v>
      </c>
      <c r="I33" s="145">
        <f t="shared" si="122"/>
        <v>0</v>
      </c>
      <c r="J33" s="145">
        <f t="shared" si="122"/>
        <v>0</v>
      </c>
      <c r="K33" s="145">
        <f t="shared" si="122"/>
        <v>0</v>
      </c>
      <c r="L33" s="145">
        <f t="shared" si="122"/>
        <v>0</v>
      </c>
      <c r="M33" s="145">
        <f t="shared" si="122"/>
        <v>0</v>
      </c>
      <c r="N33" s="145">
        <f t="shared" si="122"/>
        <v>0</v>
      </c>
      <c r="O33" s="145">
        <f t="shared" si="122"/>
        <v>0</v>
      </c>
      <c r="P33" s="145">
        <f t="shared" si="122"/>
        <v>0</v>
      </c>
      <c r="Q33" s="145">
        <f t="shared" si="122"/>
        <v>0</v>
      </c>
      <c r="R33" s="146">
        <f t="shared" si="122"/>
        <v>0</v>
      </c>
      <c r="S33" s="147">
        <f t="shared" si="121"/>
        <v>0</v>
      </c>
      <c r="T33" s="148">
        <f t="shared" ref="T33:AE33" si="123">+T31-T32</f>
        <v>0</v>
      </c>
      <c r="U33" s="145">
        <f t="shared" si="123"/>
        <v>0</v>
      </c>
      <c r="V33" s="145">
        <f t="shared" si="123"/>
        <v>0</v>
      </c>
      <c r="W33" s="145">
        <f t="shared" si="123"/>
        <v>0</v>
      </c>
      <c r="X33" s="145">
        <f t="shared" si="123"/>
        <v>0</v>
      </c>
      <c r="Y33" s="145">
        <f t="shared" si="123"/>
        <v>0</v>
      </c>
      <c r="Z33" s="145">
        <f t="shared" si="123"/>
        <v>-14.512245148435943</v>
      </c>
      <c r="AA33" s="145">
        <f t="shared" si="123"/>
        <v>-38.756792568165366</v>
      </c>
      <c r="AB33" s="145">
        <f t="shared" si="123"/>
        <v>-25.717677403631349</v>
      </c>
      <c r="AC33" s="145">
        <f t="shared" si="123"/>
        <v>-172.10832417256515</v>
      </c>
      <c r="AD33" s="145">
        <f t="shared" si="123"/>
        <v>-209.88623988484898</v>
      </c>
      <c r="AE33" s="146">
        <f t="shared" si="123"/>
        <v>608.22913156965114</v>
      </c>
      <c r="AF33" s="147">
        <f t="shared" si="68"/>
        <v>147.24785239200435</v>
      </c>
      <c r="AG33" s="148">
        <f t="shared" ref="AG33:AR33" si="124">+AG31-AG32</f>
        <v>58.31732790215915</v>
      </c>
      <c r="AH33" s="145">
        <f t="shared" si="124"/>
        <v>-61.003888423114596</v>
      </c>
      <c r="AI33" s="145">
        <f t="shared" si="124"/>
        <v>-19.467220997929122</v>
      </c>
      <c r="AJ33" s="145">
        <f t="shared" si="124"/>
        <v>-6.0965674470457083</v>
      </c>
      <c r="AK33" s="145">
        <f t="shared" si="124"/>
        <v>6.4929828560445895</v>
      </c>
      <c r="AL33" s="145">
        <f t="shared" si="124"/>
        <v>-5.9426522522522527</v>
      </c>
      <c r="AM33" s="145">
        <f t="shared" si="124"/>
        <v>-3.3114990645641633</v>
      </c>
      <c r="AN33" s="145">
        <f t="shared" si="124"/>
        <v>172.12750884503203</v>
      </c>
      <c r="AO33" s="145">
        <f t="shared" si="124"/>
        <v>-2.4648730260915666</v>
      </c>
      <c r="AP33" s="145">
        <f t="shared" si="124"/>
        <v>0</v>
      </c>
      <c r="AQ33" s="145">
        <f t="shared" si="124"/>
        <v>0</v>
      </c>
      <c r="AR33" s="146">
        <f t="shared" si="124"/>
        <v>0</v>
      </c>
      <c r="AS33" s="408">
        <f t="shared" si="69"/>
        <v>138.65111839223835</v>
      </c>
      <c r="AT33" s="148">
        <f t="shared" ref="AT33:BE33" si="125">+AT31-AT32</f>
        <v>0</v>
      </c>
      <c r="AU33" s="145">
        <f t="shared" si="125"/>
        <v>0</v>
      </c>
      <c r="AV33" s="145">
        <f t="shared" si="125"/>
        <v>-1.5970586740499126</v>
      </c>
      <c r="AW33" s="145">
        <f t="shared" si="125"/>
        <v>0</v>
      </c>
      <c r="AX33" s="145">
        <f t="shared" si="125"/>
        <v>-229.02264</v>
      </c>
      <c r="AY33" s="145">
        <f t="shared" si="125"/>
        <v>0</v>
      </c>
      <c r="AZ33" s="145">
        <f>+AZ31-AZ32</f>
        <v>0</v>
      </c>
      <c r="BA33" s="145">
        <f t="shared" si="125"/>
        <v>0</v>
      </c>
      <c r="BB33" s="145">
        <f t="shared" si="125"/>
        <v>0</v>
      </c>
      <c r="BC33" s="145">
        <f t="shared" si="125"/>
        <v>0</v>
      </c>
      <c r="BD33" s="145">
        <f t="shared" si="125"/>
        <v>0</v>
      </c>
      <c r="BE33" s="146">
        <f t="shared" si="125"/>
        <v>0</v>
      </c>
      <c r="BF33" s="147">
        <f t="shared" si="70"/>
        <v>-230.61969867404991</v>
      </c>
      <c r="BG33" s="148">
        <f t="shared" ref="BG33:BR33" si="126">+BG31-BG32</f>
        <v>0</v>
      </c>
      <c r="BH33" s="145">
        <f t="shared" si="126"/>
        <v>0</v>
      </c>
      <c r="BI33" s="145">
        <f t="shared" si="126"/>
        <v>0</v>
      </c>
      <c r="BJ33" s="145">
        <f t="shared" si="126"/>
        <v>0</v>
      </c>
      <c r="BK33" s="145">
        <f t="shared" si="126"/>
        <v>0</v>
      </c>
      <c r="BL33" s="145">
        <f t="shared" si="126"/>
        <v>0</v>
      </c>
      <c r="BM33" s="145">
        <f t="shared" si="126"/>
        <v>42374</v>
      </c>
      <c r="BN33" s="145">
        <f t="shared" si="126"/>
        <v>0</v>
      </c>
      <c r="BO33" s="145">
        <f t="shared" si="126"/>
        <v>0</v>
      </c>
      <c r="BP33" s="145">
        <f t="shared" si="126"/>
        <v>0</v>
      </c>
      <c r="BQ33" s="145">
        <f t="shared" si="126"/>
        <v>0</v>
      </c>
      <c r="BR33" s="146">
        <f t="shared" si="126"/>
        <v>0</v>
      </c>
      <c r="BS33" s="147">
        <f t="shared" si="71"/>
        <v>42374</v>
      </c>
      <c r="BT33" s="148">
        <f t="shared" ref="BT33:CE33" si="127">+BT31-BT32</f>
        <v>0</v>
      </c>
      <c r="BU33" s="145">
        <f t="shared" si="127"/>
        <v>0</v>
      </c>
      <c r="BV33" s="145">
        <f t="shared" si="127"/>
        <v>0</v>
      </c>
      <c r="BW33" s="145">
        <f t="shared" si="127"/>
        <v>0</v>
      </c>
      <c r="BX33" s="145">
        <f t="shared" si="127"/>
        <v>0</v>
      </c>
      <c r="BY33" s="145">
        <f t="shared" si="127"/>
        <v>0</v>
      </c>
      <c r="BZ33" s="145">
        <f t="shared" si="127"/>
        <v>0</v>
      </c>
      <c r="CA33" s="145">
        <f t="shared" si="127"/>
        <v>0</v>
      </c>
      <c r="CB33" s="145">
        <f t="shared" si="127"/>
        <v>0</v>
      </c>
      <c r="CC33" s="145">
        <f t="shared" si="127"/>
        <v>0</v>
      </c>
      <c r="CD33" s="145">
        <f t="shared" si="127"/>
        <v>0</v>
      </c>
      <c r="CE33" s="146">
        <f t="shared" si="127"/>
        <v>0</v>
      </c>
      <c r="CF33" s="147">
        <f t="shared" si="103"/>
        <v>0</v>
      </c>
      <c r="CG33" s="148">
        <f t="shared" ref="CG33:CR33" si="128">+CG31-CG32</f>
        <v>0</v>
      </c>
      <c r="CH33" s="145">
        <f t="shared" si="128"/>
        <v>0</v>
      </c>
      <c r="CI33" s="145">
        <f t="shared" si="128"/>
        <v>0</v>
      </c>
      <c r="CJ33" s="145">
        <f t="shared" si="128"/>
        <v>0</v>
      </c>
      <c r="CK33" s="145">
        <f t="shared" si="128"/>
        <v>0</v>
      </c>
      <c r="CL33" s="145">
        <f t="shared" si="128"/>
        <v>0</v>
      </c>
      <c r="CM33" s="145">
        <f t="shared" si="128"/>
        <v>0</v>
      </c>
      <c r="CN33" s="145">
        <f t="shared" si="128"/>
        <v>0</v>
      </c>
      <c r="CO33" s="145">
        <f t="shared" si="128"/>
        <v>0</v>
      </c>
      <c r="CP33" s="145">
        <f t="shared" si="128"/>
        <v>0</v>
      </c>
      <c r="CQ33" s="145">
        <f t="shared" si="128"/>
        <v>0</v>
      </c>
      <c r="CR33" s="146">
        <f t="shared" si="128"/>
        <v>0</v>
      </c>
      <c r="CS33" s="147">
        <f t="shared" si="76"/>
        <v>0</v>
      </c>
      <c r="CT33" s="148">
        <f t="shared" ref="CT33:DE33" si="129">+CT31-CT32</f>
        <v>0</v>
      </c>
      <c r="CU33" s="145">
        <f t="shared" si="129"/>
        <v>0</v>
      </c>
      <c r="CV33" s="145">
        <f t="shared" si="129"/>
        <v>0</v>
      </c>
      <c r="CW33" s="145">
        <f t="shared" si="129"/>
        <v>0</v>
      </c>
      <c r="CX33" s="145">
        <f t="shared" si="129"/>
        <v>0</v>
      </c>
      <c r="CY33" s="145">
        <f t="shared" si="129"/>
        <v>0</v>
      </c>
      <c r="CZ33" s="145">
        <f t="shared" si="129"/>
        <v>0</v>
      </c>
      <c r="DA33" s="145">
        <f t="shared" si="129"/>
        <v>0</v>
      </c>
      <c r="DB33" s="145">
        <f t="shared" si="129"/>
        <v>0</v>
      </c>
      <c r="DC33" s="145">
        <f t="shared" si="129"/>
        <v>0</v>
      </c>
      <c r="DD33" s="145">
        <f t="shared" si="129"/>
        <v>0</v>
      </c>
      <c r="DE33" s="146">
        <f t="shared" si="129"/>
        <v>0</v>
      </c>
      <c r="DF33" s="147">
        <f t="shared" si="77"/>
        <v>0</v>
      </c>
      <c r="DG33" s="146">
        <f>+DG31-DG32</f>
        <v>0</v>
      </c>
      <c r="DH33" s="98">
        <f t="shared" si="72"/>
        <v>42429.279272110194</v>
      </c>
      <c r="DI33" s="99">
        <f t="shared" si="73"/>
        <v>47.072000000000003</v>
      </c>
      <c r="DJ33" s="100">
        <f t="shared" si="74"/>
        <v>-42382.207272110194</v>
      </c>
    </row>
    <row r="34" spans="1:118" ht="15" customHeight="1" outlineLevel="1">
      <c r="A34" s="607"/>
      <c r="B34" s="619" t="s">
        <v>193</v>
      </c>
      <c r="C34" s="246" t="s">
        <v>62</v>
      </c>
      <c r="D34" s="183" t="s">
        <v>122</v>
      </c>
      <c r="E34" s="153">
        <f>AF34+AS34+BF34+BS34+CF34+CS34+DF34+S34+DG34</f>
        <v>52485.481004714733</v>
      </c>
      <c r="F34" s="153"/>
      <c r="G34" s="154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6"/>
      <c r="S34" s="157">
        <f t="shared" si="67"/>
        <v>0</v>
      </c>
      <c r="T34" s="378"/>
      <c r="U34" s="382"/>
      <c r="V34" s="382"/>
      <c r="W34" s="382"/>
      <c r="X34" s="382"/>
      <c r="Y34" s="382"/>
      <c r="Z34" s="382"/>
      <c r="AA34" s="382">
        <v>612</v>
      </c>
      <c r="AB34" s="382"/>
      <c r="AC34" s="382">
        <v>44.934143817470044</v>
      </c>
      <c r="AD34" s="382"/>
      <c r="AE34" s="382">
        <v>704.27834383954155</v>
      </c>
      <c r="AF34" s="157">
        <f t="shared" si="68"/>
        <v>1361.2124876570115</v>
      </c>
      <c r="AG34" s="499">
        <v>1675.9288449924309</v>
      </c>
      <c r="AH34" s="513"/>
      <c r="AI34" s="513">
        <v>164.28200918219801</v>
      </c>
      <c r="AJ34" s="513">
        <v>858.55381720678122</v>
      </c>
      <c r="AK34" s="513">
        <v>608.77039050547762</v>
      </c>
      <c r="AL34" s="513">
        <v>269.68428453133998</v>
      </c>
      <c r="AM34" s="513">
        <v>895.15112798289488</v>
      </c>
      <c r="AN34" s="513">
        <v>486.52143020568963</v>
      </c>
      <c r="AO34" s="513">
        <v>133.44172742075966</v>
      </c>
      <c r="AP34" s="513">
        <v>98.909813205610675</v>
      </c>
      <c r="AQ34" s="513">
        <v>183.40261660288715</v>
      </c>
      <c r="AR34" s="512">
        <v>227.05149973363777</v>
      </c>
      <c r="AS34" s="409">
        <f t="shared" ref="AS34:AS57" si="130">SUM(AG34:AR34)</f>
        <v>5601.6975615697074</v>
      </c>
      <c r="AT34" s="500">
        <v>64.303955488016001</v>
      </c>
      <c r="AU34" s="513"/>
      <c r="AV34" s="513"/>
      <c r="AW34" s="155">
        <v>1961.2670000000001</v>
      </c>
      <c r="AX34" s="155"/>
      <c r="AY34" s="155"/>
      <c r="AZ34" s="155"/>
      <c r="BA34" s="155"/>
      <c r="BB34" s="155"/>
      <c r="BC34" s="155"/>
      <c r="BD34" s="155"/>
      <c r="BE34" s="156"/>
      <c r="BF34" s="157">
        <f t="shared" si="70"/>
        <v>2025.5709554880161</v>
      </c>
      <c r="BG34" s="158"/>
      <c r="BH34" s="155"/>
      <c r="BI34" s="155"/>
      <c r="BJ34" s="155"/>
      <c r="BK34" s="155"/>
      <c r="BL34" s="155"/>
      <c r="BM34" s="534">
        <v>43497</v>
      </c>
      <c r="BN34" s="158"/>
      <c r="BO34" s="155"/>
      <c r="BP34" s="155"/>
      <c r="BQ34" s="155"/>
      <c r="BR34" s="155"/>
      <c r="BS34" s="157">
        <f t="shared" si="71"/>
        <v>43497</v>
      </c>
      <c r="BT34" s="158"/>
      <c r="BU34" s="155"/>
      <c r="BV34" s="155"/>
      <c r="BW34" s="155"/>
      <c r="BX34" s="155"/>
      <c r="BY34" s="155"/>
      <c r="BZ34" s="155"/>
      <c r="CA34" s="158"/>
      <c r="CB34" s="155"/>
      <c r="CC34" s="155"/>
      <c r="CD34" s="155"/>
      <c r="CE34" s="155"/>
      <c r="CF34" s="157">
        <f t="shared" si="75"/>
        <v>0</v>
      </c>
      <c r="CG34" s="158"/>
      <c r="CH34" s="155"/>
      <c r="CI34" s="155"/>
      <c r="CJ34" s="155"/>
      <c r="CK34" s="155"/>
      <c r="CL34" s="155"/>
      <c r="CM34" s="155"/>
      <c r="CN34" s="158"/>
      <c r="CO34" s="155"/>
      <c r="CP34" s="155"/>
      <c r="CQ34" s="155"/>
      <c r="CR34" s="155"/>
      <c r="CS34" s="157">
        <f t="shared" si="76"/>
        <v>0</v>
      </c>
      <c r="CT34" s="158"/>
      <c r="CU34" s="155"/>
      <c r="CV34" s="155"/>
      <c r="CW34" s="155"/>
      <c r="CX34" s="155"/>
      <c r="CY34" s="155"/>
      <c r="CZ34" s="155"/>
      <c r="DA34" s="158"/>
      <c r="DB34" s="155"/>
      <c r="DC34" s="155"/>
      <c r="DD34" s="155"/>
      <c r="DE34" s="155"/>
      <c r="DF34" s="157">
        <f t="shared" si="77"/>
        <v>0</v>
      </c>
      <c r="DG34" s="280"/>
      <c r="DH34" s="159">
        <f t="shared" si="72"/>
        <v>52485.481004714733</v>
      </c>
      <c r="DI34" s="160">
        <f t="shared" si="73"/>
        <v>52485.481004714733</v>
      </c>
      <c r="DJ34" s="161">
        <f t="shared" si="74"/>
        <v>0</v>
      </c>
      <c r="DM34" s="134">
        <f>AS34+BF34+BS34+CF34+CS34+DG34</f>
        <v>51124.268517057724</v>
      </c>
    </row>
    <row r="35" spans="1:118" ht="15" customHeight="1" outlineLevel="1">
      <c r="A35" s="607"/>
      <c r="B35" s="558"/>
      <c r="C35" s="245" t="s">
        <v>63</v>
      </c>
      <c r="D35" s="184" t="s">
        <v>119</v>
      </c>
      <c r="E35" s="136">
        <f>AF35+AS35+BF35+BS35+CF35+CS35+DF35+S35+DG35</f>
        <v>8171.5484519093097</v>
      </c>
      <c r="F35" s="136"/>
      <c r="G35" s="137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9"/>
      <c r="S35" s="162">
        <f t="shared" si="67"/>
        <v>0</v>
      </c>
      <c r="T35" s="380"/>
      <c r="U35" s="381"/>
      <c r="V35" s="381"/>
      <c r="W35" s="381"/>
      <c r="X35" s="381"/>
      <c r="Y35" s="381"/>
      <c r="Z35" s="381">
        <v>1.4422613269575613</v>
      </c>
      <c r="AA35" s="381">
        <v>18.697829968631869</v>
      </c>
      <c r="AB35" s="381">
        <v>25.036240261586581</v>
      </c>
      <c r="AC35" s="381">
        <v>39.185732057416267</v>
      </c>
      <c r="AD35" s="381">
        <v>33.129952835397113</v>
      </c>
      <c r="AE35" s="392">
        <v>672.13524402402163</v>
      </c>
      <c r="AF35" s="162">
        <f t="shared" si="68"/>
        <v>789.627260474011</v>
      </c>
      <c r="AG35" s="497">
        <v>1544.0890893952674</v>
      </c>
      <c r="AH35" s="499">
        <v>59.450110088148875</v>
      </c>
      <c r="AI35" s="499">
        <v>174.49405739850741</v>
      </c>
      <c r="AJ35" s="499">
        <v>430.94954922538727</v>
      </c>
      <c r="AK35" s="499">
        <v>718.41280038439356</v>
      </c>
      <c r="AL35" s="499">
        <v>339.05970396779759</v>
      </c>
      <c r="AM35" s="499">
        <v>895.78074086518268</v>
      </c>
      <c r="AN35" s="499">
        <v>466.63702378877986</v>
      </c>
      <c r="AO35" s="499">
        <v>196.16953682735638</v>
      </c>
      <c r="AP35" s="499">
        <v>102.09568521686244</v>
      </c>
      <c r="AQ35" s="499">
        <v>212.81019702193763</v>
      </c>
      <c r="AR35" s="511">
        <v>222.19737701674276</v>
      </c>
      <c r="AS35" s="410">
        <f t="shared" si="130"/>
        <v>5362.1458711963642</v>
      </c>
      <c r="AT35" s="501">
        <v>54.904895741161084</v>
      </c>
      <c r="AU35" s="499">
        <v>65.994733001149896</v>
      </c>
      <c r="AV35" s="499">
        <v>14.997691496624441</v>
      </c>
      <c r="AW35" s="138">
        <v>1883.8779999999999</v>
      </c>
      <c r="AX35" s="138"/>
      <c r="AY35" s="138"/>
      <c r="AZ35" s="138"/>
      <c r="BA35" s="138"/>
      <c r="BB35" s="138"/>
      <c r="BC35" s="138"/>
      <c r="BD35" s="138"/>
      <c r="BE35" s="139"/>
      <c r="BF35" s="162">
        <f t="shared" si="70"/>
        <v>2019.7753202389354</v>
      </c>
      <c r="BG35" s="141"/>
      <c r="BH35" s="138"/>
      <c r="BI35" s="138"/>
      <c r="BJ35" s="138"/>
      <c r="BK35" s="138"/>
      <c r="BL35" s="138"/>
      <c r="BM35" s="138"/>
      <c r="BN35" s="141"/>
      <c r="BO35" s="138"/>
      <c r="BP35" s="138"/>
      <c r="BQ35" s="138"/>
      <c r="BR35" s="138"/>
      <c r="BS35" s="162">
        <f t="shared" si="71"/>
        <v>0</v>
      </c>
      <c r="BT35" s="141"/>
      <c r="BU35" s="138"/>
      <c r="BV35" s="138"/>
      <c r="BW35" s="138"/>
      <c r="BX35" s="138"/>
      <c r="BY35" s="138"/>
      <c r="BZ35" s="138"/>
      <c r="CA35" s="141"/>
      <c r="CB35" s="138"/>
      <c r="CC35" s="138"/>
      <c r="CD35" s="138"/>
      <c r="CE35" s="138"/>
      <c r="CF35" s="162">
        <f t="shared" si="75"/>
        <v>0</v>
      </c>
      <c r="CG35" s="141"/>
      <c r="CH35" s="138"/>
      <c r="CI35" s="138"/>
      <c r="CJ35" s="138"/>
      <c r="CK35" s="138"/>
      <c r="CL35" s="138"/>
      <c r="CM35" s="138"/>
      <c r="CN35" s="141"/>
      <c r="CO35" s="138"/>
      <c r="CP35" s="138"/>
      <c r="CQ35" s="138"/>
      <c r="CR35" s="138"/>
      <c r="CS35" s="162">
        <f t="shared" si="76"/>
        <v>0</v>
      </c>
      <c r="CT35" s="141"/>
      <c r="CU35" s="138"/>
      <c r="CV35" s="138"/>
      <c r="CW35" s="138"/>
      <c r="CX35" s="138"/>
      <c r="CY35" s="138"/>
      <c r="CZ35" s="138"/>
      <c r="DA35" s="141"/>
      <c r="DB35" s="138"/>
      <c r="DC35" s="138"/>
      <c r="DD35" s="138"/>
      <c r="DE35" s="138"/>
      <c r="DF35" s="162">
        <f t="shared" si="77"/>
        <v>0</v>
      </c>
      <c r="DG35" s="279"/>
      <c r="DH35" s="90">
        <f t="shared" si="72"/>
        <v>8171.5484519093097</v>
      </c>
      <c r="DI35" s="91">
        <f t="shared" si="73"/>
        <v>8171.5484519093097</v>
      </c>
      <c r="DJ35" s="92">
        <f t="shared" si="74"/>
        <v>0</v>
      </c>
      <c r="DK35" s="64">
        <f>+DH35/DH34</f>
        <v>0.15569159880949296</v>
      </c>
      <c r="DM35" s="134">
        <f>AS35+BF35+BS35+CF35+CS35+DG35</f>
        <v>7381.9211914353</v>
      </c>
    </row>
    <row r="36" spans="1:118" ht="15" customHeight="1" outlineLevel="1">
      <c r="A36" s="607"/>
      <c r="B36" s="559"/>
      <c r="C36" s="357" t="s">
        <v>11</v>
      </c>
      <c r="D36" s="358"/>
      <c r="E36" s="143">
        <f t="shared" ref="E36:R36" si="131">+E34-E35</f>
        <v>44313.932552805425</v>
      </c>
      <c r="F36" s="144">
        <f t="shared" si="131"/>
        <v>0</v>
      </c>
      <c r="G36" s="145">
        <f t="shared" si="131"/>
        <v>0</v>
      </c>
      <c r="H36" s="145">
        <f t="shared" si="131"/>
        <v>0</v>
      </c>
      <c r="I36" s="145">
        <f t="shared" si="131"/>
        <v>0</v>
      </c>
      <c r="J36" s="145">
        <f t="shared" si="131"/>
        <v>0</v>
      </c>
      <c r="K36" s="145">
        <f t="shared" si="131"/>
        <v>0</v>
      </c>
      <c r="L36" s="145">
        <f t="shared" si="131"/>
        <v>0</v>
      </c>
      <c r="M36" s="145">
        <f t="shared" si="131"/>
        <v>0</v>
      </c>
      <c r="N36" s="145">
        <f t="shared" si="131"/>
        <v>0</v>
      </c>
      <c r="O36" s="145">
        <f t="shared" si="131"/>
        <v>0</v>
      </c>
      <c r="P36" s="145">
        <f t="shared" si="131"/>
        <v>0</v>
      </c>
      <c r="Q36" s="145">
        <f t="shared" si="131"/>
        <v>0</v>
      </c>
      <c r="R36" s="146">
        <f t="shared" si="131"/>
        <v>0</v>
      </c>
      <c r="S36" s="147">
        <f t="shared" si="67"/>
        <v>0</v>
      </c>
      <c r="T36" s="148">
        <f t="shared" ref="T36:AE36" si="132">+T34-T35</f>
        <v>0</v>
      </c>
      <c r="U36" s="145">
        <f t="shared" si="132"/>
        <v>0</v>
      </c>
      <c r="V36" s="145">
        <f t="shared" si="132"/>
        <v>0</v>
      </c>
      <c r="W36" s="145">
        <f t="shared" si="132"/>
        <v>0</v>
      </c>
      <c r="X36" s="145">
        <f t="shared" si="132"/>
        <v>0</v>
      </c>
      <c r="Y36" s="145">
        <f t="shared" si="132"/>
        <v>0</v>
      </c>
      <c r="Z36" s="145">
        <f t="shared" si="132"/>
        <v>-1.4422613269575613</v>
      </c>
      <c r="AA36" s="145">
        <f t="shared" si="132"/>
        <v>593.30217003136818</v>
      </c>
      <c r="AB36" s="145">
        <f t="shared" si="132"/>
        <v>-25.036240261586581</v>
      </c>
      <c r="AC36" s="145">
        <f t="shared" si="132"/>
        <v>5.7484117600537772</v>
      </c>
      <c r="AD36" s="145">
        <f t="shared" si="132"/>
        <v>-33.129952835397113</v>
      </c>
      <c r="AE36" s="146">
        <f t="shared" si="132"/>
        <v>32.143099815519918</v>
      </c>
      <c r="AF36" s="147">
        <f t="shared" si="68"/>
        <v>571.58522718300048</v>
      </c>
      <c r="AG36" s="148">
        <f t="shared" ref="AG36:AR36" si="133">+AG34-AG35</f>
        <v>131.8397555971635</v>
      </c>
      <c r="AH36" s="145">
        <f t="shared" si="133"/>
        <v>-59.450110088148875</v>
      </c>
      <c r="AI36" s="145">
        <f t="shared" si="133"/>
        <v>-10.212048216309398</v>
      </c>
      <c r="AJ36" s="145">
        <f t="shared" si="133"/>
        <v>427.60426798139395</v>
      </c>
      <c r="AK36" s="145">
        <f t="shared" si="133"/>
        <v>-109.64240987891594</v>
      </c>
      <c r="AL36" s="145">
        <f t="shared" si="133"/>
        <v>-69.375419436457605</v>
      </c>
      <c r="AM36" s="145">
        <f t="shared" si="133"/>
        <v>-0.62961288228780177</v>
      </c>
      <c r="AN36" s="145">
        <f t="shared" si="133"/>
        <v>19.884406416909769</v>
      </c>
      <c r="AO36" s="145">
        <f t="shared" si="133"/>
        <v>-62.72780940659672</v>
      </c>
      <c r="AP36" s="145">
        <f t="shared" si="133"/>
        <v>-3.1858720112517602</v>
      </c>
      <c r="AQ36" s="145">
        <f t="shared" si="133"/>
        <v>-29.407580419050475</v>
      </c>
      <c r="AR36" s="146">
        <f t="shared" si="133"/>
        <v>4.8541227168950059</v>
      </c>
      <c r="AS36" s="408">
        <f t="shared" si="130"/>
        <v>239.55169037334366</v>
      </c>
      <c r="AT36" s="148">
        <f t="shared" ref="AT36:BE36" si="134">+AT34-AT35</f>
        <v>9.3990597468549169</v>
      </c>
      <c r="AU36" s="145">
        <f t="shared" si="134"/>
        <v>-65.994733001149896</v>
      </c>
      <c r="AV36" s="145">
        <f t="shared" si="134"/>
        <v>-14.997691496624441</v>
      </c>
      <c r="AW36" s="145">
        <f t="shared" si="134"/>
        <v>77.389000000000124</v>
      </c>
      <c r="AX36" s="145">
        <f t="shared" si="134"/>
        <v>0</v>
      </c>
      <c r="AY36" s="145">
        <f t="shared" si="134"/>
        <v>0</v>
      </c>
      <c r="AZ36" s="145">
        <f t="shared" si="134"/>
        <v>0</v>
      </c>
      <c r="BA36" s="145">
        <f t="shared" si="134"/>
        <v>0</v>
      </c>
      <c r="BB36" s="145">
        <f t="shared" si="134"/>
        <v>0</v>
      </c>
      <c r="BC36" s="145">
        <f t="shared" si="134"/>
        <v>0</v>
      </c>
      <c r="BD36" s="145">
        <f t="shared" si="134"/>
        <v>0</v>
      </c>
      <c r="BE36" s="146">
        <f t="shared" si="134"/>
        <v>0</v>
      </c>
      <c r="BF36" s="147">
        <f t="shared" si="70"/>
        <v>5.7956352490807035</v>
      </c>
      <c r="BG36" s="148">
        <f t="shared" ref="BG36:BR36" si="135">+BG34-BG35</f>
        <v>0</v>
      </c>
      <c r="BH36" s="145">
        <f t="shared" si="135"/>
        <v>0</v>
      </c>
      <c r="BI36" s="145">
        <f t="shared" si="135"/>
        <v>0</v>
      </c>
      <c r="BJ36" s="145">
        <f t="shared" si="135"/>
        <v>0</v>
      </c>
      <c r="BK36" s="145">
        <f t="shared" si="135"/>
        <v>0</v>
      </c>
      <c r="BL36" s="145">
        <f t="shared" si="135"/>
        <v>0</v>
      </c>
      <c r="BM36" s="145">
        <f t="shared" si="135"/>
        <v>43497</v>
      </c>
      <c r="BN36" s="145">
        <f t="shared" si="135"/>
        <v>0</v>
      </c>
      <c r="BO36" s="145">
        <f t="shared" si="135"/>
        <v>0</v>
      </c>
      <c r="BP36" s="145">
        <f t="shared" si="135"/>
        <v>0</v>
      </c>
      <c r="BQ36" s="145">
        <f t="shared" si="135"/>
        <v>0</v>
      </c>
      <c r="BR36" s="146">
        <f t="shared" si="135"/>
        <v>0</v>
      </c>
      <c r="BS36" s="147">
        <f t="shared" si="71"/>
        <v>43497</v>
      </c>
      <c r="BT36" s="148">
        <f t="shared" ref="BT36:CE36" si="136">+BT34-BT35</f>
        <v>0</v>
      </c>
      <c r="BU36" s="145">
        <f t="shared" si="136"/>
        <v>0</v>
      </c>
      <c r="BV36" s="145">
        <f t="shared" si="136"/>
        <v>0</v>
      </c>
      <c r="BW36" s="145">
        <f t="shared" si="136"/>
        <v>0</v>
      </c>
      <c r="BX36" s="145">
        <f t="shared" si="136"/>
        <v>0</v>
      </c>
      <c r="BY36" s="145">
        <f t="shared" si="136"/>
        <v>0</v>
      </c>
      <c r="BZ36" s="145">
        <f t="shared" si="136"/>
        <v>0</v>
      </c>
      <c r="CA36" s="145">
        <f t="shared" si="136"/>
        <v>0</v>
      </c>
      <c r="CB36" s="145">
        <f t="shared" si="136"/>
        <v>0</v>
      </c>
      <c r="CC36" s="145">
        <f t="shared" si="136"/>
        <v>0</v>
      </c>
      <c r="CD36" s="145">
        <f t="shared" si="136"/>
        <v>0</v>
      </c>
      <c r="CE36" s="146">
        <f t="shared" si="136"/>
        <v>0</v>
      </c>
      <c r="CF36" s="147">
        <f t="shared" si="75"/>
        <v>0</v>
      </c>
      <c r="CG36" s="148">
        <f t="shared" ref="CG36:CR36" si="137">+CG34-CG35</f>
        <v>0</v>
      </c>
      <c r="CH36" s="145">
        <f t="shared" si="137"/>
        <v>0</v>
      </c>
      <c r="CI36" s="145">
        <f t="shared" si="137"/>
        <v>0</v>
      </c>
      <c r="CJ36" s="145">
        <f t="shared" si="137"/>
        <v>0</v>
      </c>
      <c r="CK36" s="145">
        <f t="shared" si="137"/>
        <v>0</v>
      </c>
      <c r="CL36" s="145">
        <f t="shared" si="137"/>
        <v>0</v>
      </c>
      <c r="CM36" s="145">
        <f t="shared" si="137"/>
        <v>0</v>
      </c>
      <c r="CN36" s="145">
        <f t="shared" si="137"/>
        <v>0</v>
      </c>
      <c r="CO36" s="145">
        <f t="shared" si="137"/>
        <v>0</v>
      </c>
      <c r="CP36" s="145">
        <f t="shared" si="137"/>
        <v>0</v>
      </c>
      <c r="CQ36" s="145">
        <f t="shared" si="137"/>
        <v>0</v>
      </c>
      <c r="CR36" s="146">
        <f t="shared" si="137"/>
        <v>0</v>
      </c>
      <c r="CS36" s="147">
        <f t="shared" si="76"/>
        <v>0</v>
      </c>
      <c r="CT36" s="148">
        <f t="shared" ref="CT36:DE36" si="138">+CT34-CT35</f>
        <v>0</v>
      </c>
      <c r="CU36" s="145">
        <f t="shared" si="138"/>
        <v>0</v>
      </c>
      <c r="CV36" s="145">
        <f t="shared" si="138"/>
        <v>0</v>
      </c>
      <c r="CW36" s="145">
        <f t="shared" si="138"/>
        <v>0</v>
      </c>
      <c r="CX36" s="145">
        <f t="shared" si="138"/>
        <v>0</v>
      </c>
      <c r="CY36" s="145">
        <f t="shared" si="138"/>
        <v>0</v>
      </c>
      <c r="CZ36" s="145">
        <f t="shared" si="138"/>
        <v>0</v>
      </c>
      <c r="DA36" s="145">
        <f t="shared" si="138"/>
        <v>0</v>
      </c>
      <c r="DB36" s="145">
        <f t="shared" si="138"/>
        <v>0</v>
      </c>
      <c r="DC36" s="145">
        <f t="shared" si="138"/>
        <v>0</v>
      </c>
      <c r="DD36" s="145">
        <f t="shared" si="138"/>
        <v>0</v>
      </c>
      <c r="DE36" s="146">
        <f t="shared" si="138"/>
        <v>0</v>
      </c>
      <c r="DF36" s="147">
        <f t="shared" si="77"/>
        <v>0</v>
      </c>
      <c r="DG36" s="146">
        <f>+DG34-DG35</f>
        <v>0</v>
      </c>
      <c r="DH36" s="98">
        <f t="shared" si="72"/>
        <v>44313.932552805425</v>
      </c>
      <c r="DI36" s="99">
        <f t="shared" si="73"/>
        <v>44313.932552805425</v>
      </c>
      <c r="DJ36" s="100">
        <f t="shared" si="74"/>
        <v>0</v>
      </c>
    </row>
    <row r="37" spans="1:118" ht="15" customHeight="1" outlineLevel="1">
      <c r="A37" s="607"/>
      <c r="B37" s="557" t="s">
        <v>201</v>
      </c>
      <c r="C37" s="246" t="s">
        <v>62</v>
      </c>
      <c r="D37" s="183" t="s">
        <v>122</v>
      </c>
      <c r="E37" s="153">
        <f>AF37+AS37+BF37+BS37+CF37+CS37+DF37+S37+DG37</f>
        <v>66798</v>
      </c>
      <c r="F37" s="153"/>
      <c r="G37" s="154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6"/>
      <c r="S37" s="157">
        <f t="shared" si="67"/>
        <v>0</v>
      </c>
      <c r="T37" s="378"/>
      <c r="U37" s="382"/>
      <c r="V37" s="382"/>
      <c r="W37" s="382"/>
      <c r="X37" s="382"/>
      <c r="Y37" s="382"/>
      <c r="Z37" s="382"/>
      <c r="AA37" s="382"/>
      <c r="AB37" s="382"/>
      <c r="AC37" s="382"/>
      <c r="AD37" s="382"/>
      <c r="AE37" s="382"/>
      <c r="AF37" s="157">
        <f t="shared" si="68"/>
        <v>0</v>
      </c>
      <c r="AG37" s="499"/>
      <c r="AH37" s="513"/>
      <c r="AI37" s="513"/>
      <c r="AJ37" s="513"/>
      <c r="AK37" s="513"/>
      <c r="AL37" s="513"/>
      <c r="AM37" s="513"/>
      <c r="AN37" s="513"/>
      <c r="AO37" s="513"/>
      <c r="AP37" s="513"/>
      <c r="AQ37" s="513"/>
      <c r="AR37" s="512"/>
      <c r="AS37" s="409">
        <f t="shared" ref="AS37:AS42" si="139">SUM(AG37:AR37)</f>
        <v>0</v>
      </c>
      <c r="AT37" s="500"/>
      <c r="AU37" s="513"/>
      <c r="AV37" s="512"/>
      <c r="AW37" s="359"/>
      <c r="AX37" s="283"/>
      <c r="AY37" s="283"/>
      <c r="AZ37" s="283"/>
      <c r="BA37" s="283"/>
      <c r="BB37" s="283"/>
      <c r="BC37" s="283"/>
      <c r="BD37" s="283">
        <v>411.19711246299363</v>
      </c>
      <c r="BE37" s="283">
        <v>1223.46629979517</v>
      </c>
      <c r="BF37" s="157">
        <f t="shared" si="70"/>
        <v>1634.6634122581636</v>
      </c>
      <c r="BG37" s="283">
        <v>2005.609686374537</v>
      </c>
      <c r="BH37" s="283">
        <v>2738.3683062384257</v>
      </c>
      <c r="BI37" s="285">
        <v>3403.6992102793674</v>
      </c>
      <c r="BJ37" s="359">
        <v>3985.21974353319</v>
      </c>
      <c r="BK37" s="283">
        <v>4468.6109405151865</v>
      </c>
      <c r="BL37" s="283">
        <v>4841.9701056722542</v>
      </c>
      <c r="BM37" s="283">
        <v>5096.1038972501974</v>
      </c>
      <c r="BN37" s="283">
        <v>5224.7546978786713</v>
      </c>
      <c r="BO37" s="283">
        <v>5224.7546978786759</v>
      </c>
      <c r="BP37" s="155">
        <v>5096.1038972501974</v>
      </c>
      <c r="BQ37" s="283">
        <v>4841.9701056722506</v>
      </c>
      <c r="BR37" s="155">
        <v>4468.6109405151847</v>
      </c>
      <c r="BS37" s="157">
        <f t="shared" si="71"/>
        <v>51395.776229058145</v>
      </c>
      <c r="BT37" s="359">
        <v>3985.2197435332037</v>
      </c>
      <c r="BU37" s="283">
        <v>3403.6992102793624</v>
      </c>
      <c r="BV37" s="283">
        <v>2738.3683062384298</v>
      </c>
      <c r="BW37" s="283">
        <v>2005.609686374542</v>
      </c>
      <c r="BX37" s="283">
        <v>1223.4662997951705</v>
      </c>
      <c r="BY37" s="283">
        <v>411.19711246299357</v>
      </c>
      <c r="BZ37" s="155"/>
      <c r="CA37" s="158"/>
      <c r="CB37" s="155"/>
      <c r="CC37" s="155"/>
      <c r="CD37" s="155"/>
      <c r="CE37" s="155"/>
      <c r="CF37" s="157">
        <f t="shared" si="75"/>
        <v>13767.560358683702</v>
      </c>
      <c r="CG37" s="359"/>
      <c r="CH37" s="283"/>
      <c r="CI37" s="283"/>
      <c r="CJ37" s="283"/>
      <c r="CK37" s="283"/>
      <c r="CL37" s="283"/>
      <c r="CM37" s="155"/>
      <c r="CN37" s="158"/>
      <c r="CO37" s="155"/>
      <c r="CP37" s="155"/>
      <c r="CQ37" s="155"/>
      <c r="CR37" s="155"/>
      <c r="CS37" s="157">
        <f t="shared" si="76"/>
        <v>0</v>
      </c>
      <c r="CT37" s="359"/>
      <c r="CU37" s="283"/>
      <c r="CV37" s="283"/>
      <c r="CW37" s="283"/>
      <c r="CX37" s="283"/>
      <c r="CY37" s="283"/>
      <c r="CZ37" s="155"/>
      <c r="DA37" s="158"/>
      <c r="DB37" s="155"/>
      <c r="DC37" s="155"/>
      <c r="DD37" s="155"/>
      <c r="DE37" s="155"/>
      <c r="DF37" s="157">
        <f t="shared" si="77"/>
        <v>0</v>
      </c>
      <c r="DG37" s="280"/>
      <c r="DH37" s="159">
        <f t="shared" si="72"/>
        <v>53030.439641316305</v>
      </c>
      <c r="DI37" s="160">
        <f t="shared" si="73"/>
        <v>66798</v>
      </c>
      <c r="DJ37" s="161">
        <f t="shared" si="74"/>
        <v>13767.560358683695</v>
      </c>
      <c r="DM37" s="134">
        <f>AS37+BF37+BS37+CF37+CS37+DG37+DF37</f>
        <v>66798</v>
      </c>
    </row>
    <row r="38" spans="1:118" ht="15" customHeight="1" outlineLevel="1">
      <c r="A38" s="607"/>
      <c r="B38" s="558"/>
      <c r="C38" s="245" t="s">
        <v>63</v>
      </c>
      <c r="D38" s="184" t="s">
        <v>119</v>
      </c>
      <c r="E38" s="136">
        <f>AF38+AS38+BF38+BS38+CF38+CS38+DF38+S38+DG38</f>
        <v>60118.200000000004</v>
      </c>
      <c r="F38" s="136"/>
      <c r="G38" s="137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9"/>
      <c r="S38" s="162">
        <f t="shared" si="67"/>
        <v>0</v>
      </c>
      <c r="T38" s="380"/>
      <c r="U38" s="381"/>
      <c r="V38" s="381"/>
      <c r="W38" s="381"/>
      <c r="X38" s="381"/>
      <c r="Y38" s="381"/>
      <c r="Z38" s="381"/>
      <c r="AA38" s="381"/>
      <c r="AB38" s="381"/>
      <c r="AC38" s="381"/>
      <c r="AD38" s="381"/>
      <c r="AE38" s="392"/>
      <c r="AF38" s="162">
        <f t="shared" si="68"/>
        <v>0</v>
      </c>
      <c r="AG38" s="497"/>
      <c r="AH38" s="499"/>
      <c r="AI38" s="499"/>
      <c r="AJ38" s="499"/>
      <c r="AK38" s="499"/>
      <c r="AL38" s="499"/>
      <c r="AM38" s="499"/>
      <c r="AN38" s="499"/>
      <c r="AO38" s="499"/>
      <c r="AP38" s="499"/>
      <c r="AQ38" s="499"/>
      <c r="AR38" s="511"/>
      <c r="AS38" s="410">
        <f t="shared" si="139"/>
        <v>0</v>
      </c>
      <c r="AT38" s="501"/>
      <c r="AU38" s="499"/>
      <c r="AV38" s="511"/>
      <c r="AW38" s="353"/>
      <c r="AX38" s="253"/>
      <c r="AY38" s="253"/>
      <c r="AZ38" s="253"/>
      <c r="BA38" s="253"/>
      <c r="BB38" s="253"/>
      <c r="BC38" s="253"/>
      <c r="BD38" s="253">
        <v>370.07740121669428</v>
      </c>
      <c r="BE38" s="253">
        <v>1101.119669815653</v>
      </c>
      <c r="BF38" s="162">
        <f t="shared" si="70"/>
        <v>1471.1970710323471</v>
      </c>
      <c r="BG38" s="253">
        <v>1805.0487177370835</v>
      </c>
      <c r="BH38" s="253">
        <v>2464.531475614584</v>
      </c>
      <c r="BI38" s="338">
        <v>3063.3292892514305</v>
      </c>
      <c r="BJ38" s="353">
        <v>3586.6977691798711</v>
      </c>
      <c r="BK38" s="253">
        <v>4021.7498464636683</v>
      </c>
      <c r="BL38" s="253">
        <v>4357.7730951050289</v>
      </c>
      <c r="BM38" s="253">
        <v>4586.4935075251778</v>
      </c>
      <c r="BN38" s="253">
        <v>4702.2792280908052</v>
      </c>
      <c r="BO38" s="253">
        <v>4702.2792280908079</v>
      </c>
      <c r="BP38" s="138">
        <v>4586.4935075251778</v>
      </c>
      <c r="BQ38" s="253">
        <v>4357.7730951050253</v>
      </c>
      <c r="BR38" s="138">
        <v>4021.749846463666</v>
      </c>
      <c r="BS38" s="162">
        <f t="shared" si="71"/>
        <v>46256.198606152328</v>
      </c>
      <c r="BT38" s="353">
        <v>3586.6977691798834</v>
      </c>
      <c r="BU38" s="253">
        <v>3063.329289251426</v>
      </c>
      <c r="BV38" s="253">
        <v>2464.5314756145867</v>
      </c>
      <c r="BW38" s="253">
        <v>1805.0487177370878</v>
      </c>
      <c r="BX38" s="253">
        <v>1101.1196698156534</v>
      </c>
      <c r="BY38" s="253">
        <v>370.07740121669423</v>
      </c>
      <c r="BZ38" s="138"/>
      <c r="CA38" s="141"/>
      <c r="CB38" s="138"/>
      <c r="CC38" s="138"/>
      <c r="CD38" s="138"/>
      <c r="CE38" s="138"/>
      <c r="CF38" s="162">
        <f t="shared" si="75"/>
        <v>12390.804322815333</v>
      </c>
      <c r="CG38" s="353"/>
      <c r="CH38" s="253"/>
      <c r="CI38" s="253"/>
      <c r="CJ38" s="253"/>
      <c r="CK38" s="253"/>
      <c r="CL38" s="253"/>
      <c r="CM38" s="138"/>
      <c r="CN38" s="141"/>
      <c r="CO38" s="138"/>
      <c r="CP38" s="138"/>
      <c r="CQ38" s="138"/>
      <c r="CR38" s="138"/>
      <c r="CS38" s="162">
        <f t="shared" si="76"/>
        <v>0</v>
      </c>
      <c r="CT38" s="353"/>
      <c r="CU38" s="253"/>
      <c r="CV38" s="253"/>
      <c r="CW38" s="253"/>
      <c r="CX38" s="253"/>
      <c r="CY38" s="253"/>
      <c r="CZ38" s="138"/>
      <c r="DA38" s="141"/>
      <c r="DB38" s="138"/>
      <c r="DC38" s="138"/>
      <c r="DD38" s="138"/>
      <c r="DE38" s="138"/>
      <c r="DF38" s="162">
        <f t="shared" si="77"/>
        <v>0</v>
      </c>
      <c r="DG38" s="279"/>
      <c r="DH38" s="90">
        <f t="shared" si="72"/>
        <v>47727.395677184672</v>
      </c>
      <c r="DI38" s="91">
        <f t="shared" si="73"/>
        <v>60118.200000000004</v>
      </c>
      <c r="DJ38" s="92">
        <f t="shared" si="74"/>
        <v>12390.804322815333</v>
      </c>
      <c r="DK38" s="64">
        <f>+DH38/DH37</f>
        <v>0.89999999999999991</v>
      </c>
      <c r="DM38" s="134">
        <f>AS38+BF38+BS38+CF38+CS38+DG38+DF38</f>
        <v>60118.200000000004</v>
      </c>
      <c r="DN38" s="533">
        <f>DM38/DM37</f>
        <v>0.9</v>
      </c>
    </row>
    <row r="39" spans="1:118" ht="15" customHeight="1" outlineLevel="1">
      <c r="A39" s="607"/>
      <c r="B39" s="559"/>
      <c r="C39" s="357" t="s">
        <v>11</v>
      </c>
      <c r="D39" s="358"/>
      <c r="E39" s="143">
        <f t="shared" ref="E39:R39" si="140">+E37-E38</f>
        <v>6679.7999999999956</v>
      </c>
      <c r="F39" s="144">
        <f t="shared" si="140"/>
        <v>0</v>
      </c>
      <c r="G39" s="145">
        <f t="shared" si="140"/>
        <v>0</v>
      </c>
      <c r="H39" s="145">
        <f t="shared" si="140"/>
        <v>0</v>
      </c>
      <c r="I39" s="145">
        <f t="shared" si="140"/>
        <v>0</v>
      </c>
      <c r="J39" s="145">
        <f t="shared" si="140"/>
        <v>0</v>
      </c>
      <c r="K39" s="145">
        <f t="shared" si="140"/>
        <v>0</v>
      </c>
      <c r="L39" s="145">
        <f t="shared" si="140"/>
        <v>0</v>
      </c>
      <c r="M39" s="145">
        <f t="shared" si="140"/>
        <v>0</v>
      </c>
      <c r="N39" s="145">
        <f t="shared" si="140"/>
        <v>0</v>
      </c>
      <c r="O39" s="145">
        <f t="shared" si="140"/>
        <v>0</v>
      </c>
      <c r="P39" s="145">
        <f t="shared" si="140"/>
        <v>0</v>
      </c>
      <c r="Q39" s="145">
        <f t="shared" si="140"/>
        <v>0</v>
      </c>
      <c r="R39" s="146">
        <f t="shared" si="140"/>
        <v>0</v>
      </c>
      <c r="S39" s="147">
        <f t="shared" si="67"/>
        <v>0</v>
      </c>
      <c r="T39" s="148">
        <f t="shared" ref="T39:AE39" si="141">+T37-T38</f>
        <v>0</v>
      </c>
      <c r="U39" s="145">
        <f t="shared" si="141"/>
        <v>0</v>
      </c>
      <c r="V39" s="145">
        <f t="shared" si="141"/>
        <v>0</v>
      </c>
      <c r="W39" s="145">
        <f t="shared" si="141"/>
        <v>0</v>
      </c>
      <c r="X39" s="145">
        <f t="shared" si="141"/>
        <v>0</v>
      </c>
      <c r="Y39" s="145">
        <f t="shared" si="141"/>
        <v>0</v>
      </c>
      <c r="Z39" s="145">
        <f t="shared" si="141"/>
        <v>0</v>
      </c>
      <c r="AA39" s="145">
        <f t="shared" si="141"/>
        <v>0</v>
      </c>
      <c r="AB39" s="145">
        <f t="shared" si="141"/>
        <v>0</v>
      </c>
      <c r="AC39" s="145">
        <f t="shared" si="141"/>
        <v>0</v>
      </c>
      <c r="AD39" s="145">
        <f t="shared" si="141"/>
        <v>0</v>
      </c>
      <c r="AE39" s="146">
        <f t="shared" si="141"/>
        <v>0</v>
      </c>
      <c r="AF39" s="147">
        <f t="shared" si="68"/>
        <v>0</v>
      </c>
      <c r="AG39" s="148">
        <f t="shared" ref="AG39:AR39" si="142">+AG37-AG38</f>
        <v>0</v>
      </c>
      <c r="AH39" s="145">
        <f t="shared" si="142"/>
        <v>0</v>
      </c>
      <c r="AI39" s="145">
        <f t="shared" si="142"/>
        <v>0</v>
      </c>
      <c r="AJ39" s="145">
        <f t="shared" si="142"/>
        <v>0</v>
      </c>
      <c r="AK39" s="145">
        <f t="shared" si="142"/>
        <v>0</v>
      </c>
      <c r="AL39" s="145">
        <f t="shared" si="142"/>
        <v>0</v>
      </c>
      <c r="AM39" s="145">
        <f t="shared" si="142"/>
        <v>0</v>
      </c>
      <c r="AN39" s="145">
        <f t="shared" si="142"/>
        <v>0</v>
      </c>
      <c r="AO39" s="145">
        <f t="shared" si="142"/>
        <v>0</v>
      </c>
      <c r="AP39" s="145">
        <f t="shared" si="142"/>
        <v>0</v>
      </c>
      <c r="AQ39" s="145">
        <f t="shared" si="142"/>
        <v>0</v>
      </c>
      <c r="AR39" s="146">
        <f t="shared" si="142"/>
        <v>0</v>
      </c>
      <c r="AS39" s="408">
        <f t="shared" si="139"/>
        <v>0</v>
      </c>
      <c r="AT39" s="148">
        <f t="shared" ref="AT39:BE39" si="143">+AT37-AT38</f>
        <v>0</v>
      </c>
      <c r="AU39" s="145">
        <f t="shared" si="143"/>
        <v>0</v>
      </c>
      <c r="AV39" s="145">
        <f t="shared" si="143"/>
        <v>0</v>
      </c>
      <c r="AW39" s="145">
        <f t="shared" si="143"/>
        <v>0</v>
      </c>
      <c r="AX39" s="145">
        <f t="shared" si="143"/>
        <v>0</v>
      </c>
      <c r="AY39" s="145">
        <f t="shared" si="143"/>
        <v>0</v>
      </c>
      <c r="AZ39" s="145">
        <f t="shared" si="143"/>
        <v>0</v>
      </c>
      <c r="BA39" s="145">
        <f t="shared" si="143"/>
        <v>0</v>
      </c>
      <c r="BB39" s="145">
        <f t="shared" si="143"/>
        <v>0</v>
      </c>
      <c r="BC39" s="145">
        <f t="shared" si="143"/>
        <v>0</v>
      </c>
      <c r="BD39" s="145">
        <f t="shared" si="143"/>
        <v>41.119711246299346</v>
      </c>
      <c r="BE39" s="146">
        <f t="shared" si="143"/>
        <v>122.34662997951705</v>
      </c>
      <c r="BF39" s="147">
        <f t="shared" si="70"/>
        <v>163.46634122581639</v>
      </c>
      <c r="BG39" s="148">
        <f t="shared" ref="BG39:BR39" si="144">+BG37-BG38</f>
        <v>200.56096863745347</v>
      </c>
      <c r="BH39" s="145">
        <f t="shared" si="144"/>
        <v>273.83683062384171</v>
      </c>
      <c r="BI39" s="145">
        <f t="shared" si="144"/>
        <v>340.36992102793693</v>
      </c>
      <c r="BJ39" s="145">
        <f t="shared" si="144"/>
        <v>398.52197435331891</v>
      </c>
      <c r="BK39" s="145">
        <f t="shared" si="144"/>
        <v>446.86109405151819</v>
      </c>
      <c r="BL39" s="145">
        <f t="shared" si="144"/>
        <v>484.19701056722533</v>
      </c>
      <c r="BM39" s="145">
        <f t="shared" si="144"/>
        <v>509.61038972501956</v>
      </c>
      <c r="BN39" s="145">
        <f t="shared" si="144"/>
        <v>522.47546978786613</v>
      </c>
      <c r="BO39" s="145">
        <f t="shared" si="144"/>
        <v>522.47546978786795</v>
      </c>
      <c r="BP39" s="145">
        <f t="shared" si="144"/>
        <v>509.61038972501956</v>
      </c>
      <c r="BQ39" s="145">
        <f t="shared" si="144"/>
        <v>484.19701056722533</v>
      </c>
      <c r="BR39" s="146">
        <f t="shared" si="144"/>
        <v>446.86109405151865</v>
      </c>
      <c r="BS39" s="147">
        <f t="shared" si="71"/>
        <v>5139.5776229058119</v>
      </c>
      <c r="BT39" s="148">
        <f t="shared" ref="BT39:CE39" si="145">+BT37-BT38</f>
        <v>398.52197435332027</v>
      </c>
      <c r="BU39" s="145">
        <f t="shared" si="145"/>
        <v>340.36992102793647</v>
      </c>
      <c r="BV39" s="145">
        <f t="shared" si="145"/>
        <v>273.83683062384307</v>
      </c>
      <c r="BW39" s="145">
        <f t="shared" si="145"/>
        <v>200.56096863745415</v>
      </c>
      <c r="BX39" s="145">
        <f t="shared" si="145"/>
        <v>122.34662997951705</v>
      </c>
      <c r="BY39" s="145">
        <f t="shared" si="145"/>
        <v>41.119711246299346</v>
      </c>
      <c r="BZ39" s="145">
        <f t="shared" si="145"/>
        <v>0</v>
      </c>
      <c r="CA39" s="145">
        <f t="shared" si="145"/>
        <v>0</v>
      </c>
      <c r="CB39" s="145">
        <f t="shared" si="145"/>
        <v>0</v>
      </c>
      <c r="CC39" s="145">
        <f t="shared" si="145"/>
        <v>0</v>
      </c>
      <c r="CD39" s="145">
        <f t="shared" si="145"/>
        <v>0</v>
      </c>
      <c r="CE39" s="146">
        <f t="shared" si="145"/>
        <v>0</v>
      </c>
      <c r="CF39" s="147">
        <f t="shared" si="75"/>
        <v>1376.7560358683704</v>
      </c>
      <c r="CG39" s="148">
        <f t="shared" ref="CG39:CR39" si="146">+CG37-CG38</f>
        <v>0</v>
      </c>
      <c r="CH39" s="145">
        <f t="shared" si="146"/>
        <v>0</v>
      </c>
      <c r="CI39" s="145">
        <f t="shared" si="146"/>
        <v>0</v>
      </c>
      <c r="CJ39" s="145">
        <f t="shared" si="146"/>
        <v>0</v>
      </c>
      <c r="CK39" s="145">
        <f t="shared" si="146"/>
        <v>0</v>
      </c>
      <c r="CL39" s="145">
        <f t="shared" si="146"/>
        <v>0</v>
      </c>
      <c r="CM39" s="145">
        <f t="shared" si="146"/>
        <v>0</v>
      </c>
      <c r="CN39" s="145">
        <f t="shared" si="146"/>
        <v>0</v>
      </c>
      <c r="CO39" s="145">
        <f t="shared" si="146"/>
        <v>0</v>
      </c>
      <c r="CP39" s="145">
        <f t="shared" si="146"/>
        <v>0</v>
      </c>
      <c r="CQ39" s="145">
        <f t="shared" si="146"/>
        <v>0</v>
      </c>
      <c r="CR39" s="146">
        <f t="shared" si="146"/>
        <v>0</v>
      </c>
      <c r="CS39" s="147">
        <f t="shared" si="76"/>
        <v>0</v>
      </c>
      <c r="CT39" s="148">
        <f t="shared" ref="CT39:DE39" si="147">+CT37-CT38</f>
        <v>0</v>
      </c>
      <c r="CU39" s="145">
        <f t="shared" si="147"/>
        <v>0</v>
      </c>
      <c r="CV39" s="145">
        <f t="shared" si="147"/>
        <v>0</v>
      </c>
      <c r="CW39" s="145">
        <f t="shared" si="147"/>
        <v>0</v>
      </c>
      <c r="CX39" s="145">
        <f t="shared" si="147"/>
        <v>0</v>
      </c>
      <c r="CY39" s="145">
        <f t="shared" si="147"/>
        <v>0</v>
      </c>
      <c r="CZ39" s="145">
        <f t="shared" si="147"/>
        <v>0</v>
      </c>
      <c r="DA39" s="145">
        <f t="shared" si="147"/>
        <v>0</v>
      </c>
      <c r="DB39" s="145">
        <f t="shared" si="147"/>
        <v>0</v>
      </c>
      <c r="DC39" s="145">
        <f t="shared" si="147"/>
        <v>0</v>
      </c>
      <c r="DD39" s="145">
        <f t="shared" si="147"/>
        <v>0</v>
      </c>
      <c r="DE39" s="146">
        <f t="shared" si="147"/>
        <v>0</v>
      </c>
      <c r="DF39" s="147">
        <f t="shared" si="77"/>
        <v>0</v>
      </c>
      <c r="DG39" s="146">
        <f>+DG37-DG38</f>
        <v>0</v>
      </c>
      <c r="DH39" s="98">
        <f t="shared" si="72"/>
        <v>5303.0439641316279</v>
      </c>
      <c r="DI39" s="99">
        <f t="shared" si="73"/>
        <v>6679.7999999999956</v>
      </c>
      <c r="DJ39" s="100">
        <f t="shared" si="74"/>
        <v>1376.7560358683677</v>
      </c>
    </row>
    <row r="40" spans="1:118" ht="15" customHeight="1" outlineLevel="1">
      <c r="A40" s="607"/>
      <c r="B40" s="557" t="s">
        <v>202</v>
      </c>
      <c r="C40" s="246" t="s">
        <v>62</v>
      </c>
      <c r="D40" s="183" t="s">
        <v>122</v>
      </c>
      <c r="E40" s="153">
        <f>AF40+AS40+BF40+BS40+CF40+CS40+DF40+S40+DG40</f>
        <v>65588.399999999994</v>
      </c>
      <c r="F40" s="153"/>
      <c r="G40" s="154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6"/>
      <c r="S40" s="157">
        <f t="shared" si="67"/>
        <v>0</v>
      </c>
      <c r="T40" s="378"/>
      <c r="U40" s="382"/>
      <c r="V40" s="382"/>
      <c r="W40" s="382"/>
      <c r="X40" s="382"/>
      <c r="Y40" s="382"/>
      <c r="Z40" s="382"/>
      <c r="AA40" s="382"/>
      <c r="AB40" s="382"/>
      <c r="AC40" s="382"/>
      <c r="AD40" s="382"/>
      <c r="AE40" s="382"/>
      <c r="AF40" s="157">
        <f t="shared" si="68"/>
        <v>0</v>
      </c>
      <c r="AG40" s="499"/>
      <c r="AH40" s="513"/>
      <c r="AI40" s="513"/>
      <c r="AJ40" s="513"/>
      <c r="AK40" s="513"/>
      <c r="AL40" s="513"/>
      <c r="AM40" s="513"/>
      <c r="AN40" s="513"/>
      <c r="AO40" s="513"/>
      <c r="AP40" s="513"/>
      <c r="AQ40" s="513"/>
      <c r="AR40" s="512"/>
      <c r="AS40" s="409">
        <f t="shared" si="139"/>
        <v>0</v>
      </c>
      <c r="AT40" s="500"/>
      <c r="AU40" s="513"/>
      <c r="AV40" s="513"/>
      <c r="AW40" s="155"/>
      <c r="AX40" s="155"/>
      <c r="AY40" s="155"/>
      <c r="AZ40" s="155"/>
      <c r="BA40" s="155"/>
      <c r="BB40" s="155"/>
      <c r="BC40" s="155"/>
      <c r="BD40" s="155"/>
      <c r="BE40" s="156"/>
      <c r="BF40" s="157">
        <f t="shared" si="70"/>
        <v>0</v>
      </c>
      <c r="BG40" s="158"/>
      <c r="BH40" s="283"/>
      <c r="BI40" s="283"/>
      <c r="BJ40" s="283"/>
      <c r="BK40" s="283"/>
      <c r="BL40" s="283"/>
      <c r="BM40" s="283"/>
      <c r="BN40" s="359"/>
      <c r="BO40" s="283"/>
      <c r="BP40" s="283"/>
      <c r="BQ40" s="283"/>
      <c r="BR40" s="283"/>
      <c r="BS40" s="157">
        <f t="shared" si="71"/>
        <v>0</v>
      </c>
      <c r="BT40" s="359"/>
      <c r="BU40" s="283"/>
      <c r="BV40" s="283"/>
      <c r="BW40" s="283">
        <v>403.75102085493296</v>
      </c>
      <c r="BX40" s="283">
        <v>1201.3113724585394</v>
      </c>
      <c r="BY40" s="283">
        <v>1969.291451148353</v>
      </c>
      <c r="BZ40" s="283">
        <v>2688.7810386072692</v>
      </c>
      <c r="CA40" s="359">
        <v>3342.0639133430232</v>
      </c>
      <c r="CB40" s="283">
        <v>3913.0540828580529</v>
      </c>
      <c r="CC40" s="283">
        <v>4387.6918741711797</v>
      </c>
      <c r="CD40" s="283">
        <v>4754.2901296277423</v>
      </c>
      <c r="CE40" s="283">
        <v>5003.8219835085611</v>
      </c>
      <c r="CF40" s="157">
        <f t="shared" si="75"/>
        <v>27664.056866577652</v>
      </c>
      <c r="CG40" s="158">
        <v>5130.1431334223416</v>
      </c>
      <c r="CH40" s="283">
        <v>5130.1431334223416</v>
      </c>
      <c r="CI40" s="283">
        <v>5003.8219835085656</v>
      </c>
      <c r="CJ40" s="283">
        <v>4754.2901296277378</v>
      </c>
      <c r="CK40" s="283">
        <v>4387.6918741711816</v>
      </c>
      <c r="CL40" s="283">
        <v>3913.0540828580606</v>
      </c>
      <c r="CM40" s="283">
        <v>3342.0639133430209</v>
      </c>
      <c r="CN40" s="359">
        <v>2688.7810386072729</v>
      </c>
      <c r="CO40" s="283">
        <v>1969.2914511483559</v>
      </c>
      <c r="CP40" s="283">
        <v>1201.3113724585371</v>
      </c>
      <c r="CQ40" s="283">
        <v>403.75102085493654</v>
      </c>
      <c r="CR40" s="283"/>
      <c r="CS40" s="157">
        <f t="shared" si="76"/>
        <v>37924.343133422342</v>
      </c>
      <c r="CT40" s="158"/>
      <c r="CU40" s="283"/>
      <c r="CV40" s="283"/>
      <c r="CW40" s="283"/>
      <c r="CX40" s="283"/>
      <c r="CY40" s="283"/>
      <c r="CZ40" s="283"/>
      <c r="DA40" s="359"/>
      <c r="DB40" s="283"/>
      <c r="DC40" s="283"/>
      <c r="DD40" s="283"/>
      <c r="DE40" s="283"/>
      <c r="DF40" s="157">
        <f t="shared" si="77"/>
        <v>0</v>
      </c>
      <c r="DG40" s="280"/>
      <c r="DH40" s="159">
        <f t="shared" si="72"/>
        <v>0</v>
      </c>
      <c r="DI40" s="160">
        <f t="shared" si="73"/>
        <v>65588.399999999994</v>
      </c>
      <c r="DJ40" s="161">
        <f t="shared" si="74"/>
        <v>65588.399999999994</v>
      </c>
      <c r="DM40" s="134">
        <f>AS40+BF40+BS40+CF40+CS40+DG40+DF40</f>
        <v>65588.399999999994</v>
      </c>
    </row>
    <row r="41" spans="1:118" ht="15" customHeight="1" outlineLevel="1">
      <c r="A41" s="607"/>
      <c r="B41" s="558"/>
      <c r="C41" s="245" t="s">
        <v>63</v>
      </c>
      <c r="D41" s="184" t="s">
        <v>119</v>
      </c>
      <c r="E41" s="136">
        <f>AF41+AS41+BF41+BS41+CF41+CS41+DF41+S41+DG41</f>
        <v>59029.56</v>
      </c>
      <c r="F41" s="136"/>
      <c r="G41" s="137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9"/>
      <c r="S41" s="162">
        <f t="shared" si="67"/>
        <v>0</v>
      </c>
      <c r="T41" s="380"/>
      <c r="U41" s="381"/>
      <c r="V41" s="381"/>
      <c r="W41" s="381"/>
      <c r="X41" s="381"/>
      <c r="Y41" s="381"/>
      <c r="Z41" s="381"/>
      <c r="AA41" s="381"/>
      <c r="AB41" s="381"/>
      <c r="AC41" s="381"/>
      <c r="AD41" s="381"/>
      <c r="AE41" s="392"/>
      <c r="AF41" s="162">
        <f t="shared" si="68"/>
        <v>0</v>
      </c>
      <c r="AG41" s="497"/>
      <c r="AH41" s="499"/>
      <c r="AI41" s="499"/>
      <c r="AJ41" s="499"/>
      <c r="AK41" s="499"/>
      <c r="AL41" s="499"/>
      <c r="AM41" s="499"/>
      <c r="AN41" s="499"/>
      <c r="AO41" s="499"/>
      <c r="AP41" s="499"/>
      <c r="AQ41" s="499"/>
      <c r="AR41" s="511"/>
      <c r="AS41" s="410">
        <f t="shared" si="139"/>
        <v>0</v>
      </c>
      <c r="AT41" s="501"/>
      <c r="AU41" s="499"/>
      <c r="AV41" s="499"/>
      <c r="AW41" s="138"/>
      <c r="AX41" s="138"/>
      <c r="AY41" s="138"/>
      <c r="AZ41" s="138"/>
      <c r="BA41" s="138"/>
      <c r="BB41" s="138"/>
      <c r="BC41" s="138"/>
      <c r="BD41" s="138"/>
      <c r="BE41" s="139"/>
      <c r="BF41" s="162">
        <f t="shared" si="70"/>
        <v>0</v>
      </c>
      <c r="BG41" s="141"/>
      <c r="BH41" s="253"/>
      <c r="BI41" s="253"/>
      <c r="BJ41" s="253"/>
      <c r="BK41" s="253"/>
      <c r="BL41" s="253"/>
      <c r="BM41" s="253"/>
      <c r="BN41" s="353"/>
      <c r="BO41" s="253"/>
      <c r="BP41" s="253"/>
      <c r="BQ41" s="253"/>
      <c r="BR41" s="253"/>
      <c r="BS41" s="162">
        <f t="shared" si="71"/>
        <v>0</v>
      </c>
      <c r="BT41" s="353"/>
      <c r="BU41" s="253"/>
      <c r="BV41" s="253"/>
      <c r="BW41" s="253">
        <v>363.37591876943969</v>
      </c>
      <c r="BX41" s="253">
        <v>1081.1802352126856</v>
      </c>
      <c r="BY41" s="253">
        <v>1772.3623060335178</v>
      </c>
      <c r="BZ41" s="253">
        <v>2419.9029347465421</v>
      </c>
      <c r="CA41" s="353">
        <v>3007.8575220087209</v>
      </c>
      <c r="CB41" s="253">
        <v>3521.7486745722476</v>
      </c>
      <c r="CC41" s="253">
        <v>3948.9226867540615</v>
      </c>
      <c r="CD41" s="253">
        <v>4278.861116664968</v>
      </c>
      <c r="CE41" s="253">
        <v>4503.439785157706</v>
      </c>
      <c r="CF41" s="162">
        <f t="shared" si="75"/>
        <v>24897.651179919889</v>
      </c>
      <c r="CG41" s="141">
        <v>4617.1288200801073</v>
      </c>
      <c r="CH41" s="253">
        <v>4617.1288200801073</v>
      </c>
      <c r="CI41" s="253">
        <v>4503.4397851577087</v>
      </c>
      <c r="CJ41" s="253">
        <v>4278.8611166649644</v>
      </c>
      <c r="CK41" s="253">
        <v>3948.9226867540633</v>
      </c>
      <c r="CL41" s="253">
        <v>3521.7486745722545</v>
      </c>
      <c r="CM41" s="253">
        <v>3007.8575220087191</v>
      </c>
      <c r="CN41" s="353">
        <v>2419.9029347465457</v>
      </c>
      <c r="CO41" s="253">
        <v>1772.3623060335206</v>
      </c>
      <c r="CP41" s="253">
        <v>1081.1802352126833</v>
      </c>
      <c r="CQ41" s="253">
        <v>363.37591876944288</v>
      </c>
      <c r="CR41" s="253"/>
      <c r="CS41" s="162">
        <f t="shared" si="76"/>
        <v>34131.908820080112</v>
      </c>
      <c r="CT41" s="141"/>
      <c r="CU41" s="253"/>
      <c r="CV41" s="253"/>
      <c r="CW41" s="253"/>
      <c r="CX41" s="253"/>
      <c r="CY41" s="253"/>
      <c r="CZ41" s="253"/>
      <c r="DA41" s="353"/>
      <c r="DB41" s="253"/>
      <c r="DC41" s="253"/>
      <c r="DD41" s="253"/>
      <c r="DE41" s="253"/>
      <c r="DF41" s="162">
        <f t="shared" si="77"/>
        <v>0</v>
      </c>
      <c r="DG41" s="279"/>
      <c r="DH41" s="90">
        <f t="shared" si="72"/>
        <v>0</v>
      </c>
      <c r="DI41" s="91">
        <f t="shared" si="73"/>
        <v>59029.56</v>
      </c>
      <c r="DJ41" s="92">
        <f t="shared" si="74"/>
        <v>59029.56</v>
      </c>
      <c r="DK41" s="64" t="e">
        <f>+DH41/DH40</f>
        <v>#DIV/0!</v>
      </c>
      <c r="DM41" s="134">
        <f>AS41+BF41+BS41+CF41+CS41+DG41+DF41</f>
        <v>59029.56</v>
      </c>
    </row>
    <row r="42" spans="1:118" ht="15" customHeight="1" outlineLevel="1">
      <c r="A42" s="607"/>
      <c r="B42" s="559"/>
      <c r="C42" s="357" t="s">
        <v>11</v>
      </c>
      <c r="D42" s="358"/>
      <c r="E42" s="143">
        <f t="shared" ref="E42:R42" si="148">+E40-E41</f>
        <v>6558.8399999999965</v>
      </c>
      <c r="F42" s="144">
        <f t="shared" si="148"/>
        <v>0</v>
      </c>
      <c r="G42" s="145">
        <f t="shared" si="148"/>
        <v>0</v>
      </c>
      <c r="H42" s="145">
        <f t="shared" si="148"/>
        <v>0</v>
      </c>
      <c r="I42" s="145">
        <f t="shared" si="148"/>
        <v>0</v>
      </c>
      <c r="J42" s="145">
        <f t="shared" si="148"/>
        <v>0</v>
      </c>
      <c r="K42" s="145">
        <f t="shared" si="148"/>
        <v>0</v>
      </c>
      <c r="L42" s="145">
        <f t="shared" si="148"/>
        <v>0</v>
      </c>
      <c r="M42" s="145">
        <f t="shared" si="148"/>
        <v>0</v>
      </c>
      <c r="N42" s="145">
        <f t="shared" si="148"/>
        <v>0</v>
      </c>
      <c r="O42" s="145">
        <f t="shared" si="148"/>
        <v>0</v>
      </c>
      <c r="P42" s="145">
        <f t="shared" si="148"/>
        <v>0</v>
      </c>
      <c r="Q42" s="145">
        <f t="shared" si="148"/>
        <v>0</v>
      </c>
      <c r="R42" s="146">
        <f t="shared" si="148"/>
        <v>0</v>
      </c>
      <c r="S42" s="147">
        <f t="shared" si="67"/>
        <v>0</v>
      </c>
      <c r="T42" s="148">
        <f t="shared" ref="T42:AE42" si="149">+T40-T41</f>
        <v>0</v>
      </c>
      <c r="U42" s="145">
        <f t="shared" si="149"/>
        <v>0</v>
      </c>
      <c r="V42" s="145">
        <f t="shared" si="149"/>
        <v>0</v>
      </c>
      <c r="W42" s="145">
        <f t="shared" si="149"/>
        <v>0</v>
      </c>
      <c r="X42" s="145">
        <f t="shared" si="149"/>
        <v>0</v>
      </c>
      <c r="Y42" s="145">
        <f t="shared" si="149"/>
        <v>0</v>
      </c>
      <c r="Z42" s="145">
        <f t="shared" si="149"/>
        <v>0</v>
      </c>
      <c r="AA42" s="145">
        <f t="shared" si="149"/>
        <v>0</v>
      </c>
      <c r="AB42" s="145">
        <f t="shared" si="149"/>
        <v>0</v>
      </c>
      <c r="AC42" s="145">
        <f t="shared" si="149"/>
        <v>0</v>
      </c>
      <c r="AD42" s="145">
        <f t="shared" si="149"/>
        <v>0</v>
      </c>
      <c r="AE42" s="146">
        <f t="shared" si="149"/>
        <v>0</v>
      </c>
      <c r="AF42" s="147">
        <f t="shared" si="68"/>
        <v>0</v>
      </c>
      <c r="AG42" s="148">
        <f t="shared" ref="AG42:AR42" si="150">+AG40-AG41</f>
        <v>0</v>
      </c>
      <c r="AH42" s="145">
        <f t="shared" si="150"/>
        <v>0</v>
      </c>
      <c r="AI42" s="145">
        <f t="shared" si="150"/>
        <v>0</v>
      </c>
      <c r="AJ42" s="145">
        <f t="shared" si="150"/>
        <v>0</v>
      </c>
      <c r="AK42" s="145">
        <f t="shared" si="150"/>
        <v>0</v>
      </c>
      <c r="AL42" s="145">
        <f t="shared" si="150"/>
        <v>0</v>
      </c>
      <c r="AM42" s="145">
        <f t="shared" si="150"/>
        <v>0</v>
      </c>
      <c r="AN42" s="145">
        <f t="shared" si="150"/>
        <v>0</v>
      </c>
      <c r="AO42" s="145">
        <f t="shared" si="150"/>
        <v>0</v>
      </c>
      <c r="AP42" s="145">
        <f t="shared" si="150"/>
        <v>0</v>
      </c>
      <c r="AQ42" s="145">
        <f t="shared" si="150"/>
        <v>0</v>
      </c>
      <c r="AR42" s="146">
        <f t="shared" si="150"/>
        <v>0</v>
      </c>
      <c r="AS42" s="408">
        <f t="shared" si="139"/>
        <v>0</v>
      </c>
      <c r="AT42" s="148">
        <f t="shared" ref="AT42:BE42" si="151">+AT40-AT41</f>
        <v>0</v>
      </c>
      <c r="AU42" s="145">
        <f t="shared" si="151"/>
        <v>0</v>
      </c>
      <c r="AV42" s="145">
        <f t="shared" si="151"/>
        <v>0</v>
      </c>
      <c r="AW42" s="145">
        <f t="shared" si="151"/>
        <v>0</v>
      </c>
      <c r="AX42" s="145">
        <f t="shared" si="151"/>
        <v>0</v>
      </c>
      <c r="AY42" s="145">
        <f t="shared" si="151"/>
        <v>0</v>
      </c>
      <c r="AZ42" s="145">
        <f t="shared" si="151"/>
        <v>0</v>
      </c>
      <c r="BA42" s="145">
        <f t="shared" si="151"/>
        <v>0</v>
      </c>
      <c r="BB42" s="145">
        <f t="shared" si="151"/>
        <v>0</v>
      </c>
      <c r="BC42" s="145">
        <f t="shared" si="151"/>
        <v>0</v>
      </c>
      <c r="BD42" s="145">
        <f t="shared" si="151"/>
        <v>0</v>
      </c>
      <c r="BE42" s="146">
        <f t="shared" si="151"/>
        <v>0</v>
      </c>
      <c r="BF42" s="147">
        <f t="shared" si="70"/>
        <v>0</v>
      </c>
      <c r="BG42" s="148">
        <f t="shared" ref="BG42:BR42" si="152">+BG40-BG41</f>
        <v>0</v>
      </c>
      <c r="BH42" s="145">
        <f t="shared" si="152"/>
        <v>0</v>
      </c>
      <c r="BI42" s="145">
        <f t="shared" si="152"/>
        <v>0</v>
      </c>
      <c r="BJ42" s="145">
        <f t="shared" si="152"/>
        <v>0</v>
      </c>
      <c r="BK42" s="145">
        <f t="shared" si="152"/>
        <v>0</v>
      </c>
      <c r="BL42" s="145">
        <f t="shared" si="152"/>
        <v>0</v>
      </c>
      <c r="BM42" s="145">
        <f t="shared" si="152"/>
        <v>0</v>
      </c>
      <c r="BN42" s="145">
        <f t="shared" si="152"/>
        <v>0</v>
      </c>
      <c r="BO42" s="145">
        <f t="shared" si="152"/>
        <v>0</v>
      </c>
      <c r="BP42" s="145">
        <f t="shared" si="152"/>
        <v>0</v>
      </c>
      <c r="BQ42" s="145">
        <f t="shared" si="152"/>
        <v>0</v>
      </c>
      <c r="BR42" s="146">
        <f t="shared" si="152"/>
        <v>0</v>
      </c>
      <c r="BS42" s="147">
        <f t="shared" si="71"/>
        <v>0</v>
      </c>
      <c r="BT42" s="148">
        <f t="shared" ref="BT42:CE42" si="153">+BT40-BT41</f>
        <v>0</v>
      </c>
      <c r="BU42" s="145">
        <f t="shared" si="153"/>
        <v>0</v>
      </c>
      <c r="BV42" s="145">
        <f t="shared" si="153"/>
        <v>0</v>
      </c>
      <c r="BW42" s="145">
        <f t="shared" si="153"/>
        <v>40.375102085493268</v>
      </c>
      <c r="BX42" s="145">
        <f t="shared" si="153"/>
        <v>120.13113724585378</v>
      </c>
      <c r="BY42" s="145">
        <f t="shared" si="153"/>
        <v>196.92914511483514</v>
      </c>
      <c r="BZ42" s="145">
        <f t="shared" si="153"/>
        <v>268.87810386072715</v>
      </c>
      <c r="CA42" s="145">
        <f t="shared" si="153"/>
        <v>334.20639133430223</v>
      </c>
      <c r="CB42" s="145">
        <f t="shared" si="153"/>
        <v>391.30540828580524</v>
      </c>
      <c r="CC42" s="145">
        <f t="shared" si="153"/>
        <v>438.76918741711825</v>
      </c>
      <c r="CD42" s="145">
        <f t="shared" si="153"/>
        <v>475.42901296277432</v>
      </c>
      <c r="CE42" s="146">
        <f t="shared" si="153"/>
        <v>500.38219835085511</v>
      </c>
      <c r="CF42" s="147">
        <f t="shared" si="75"/>
        <v>2766.4056866577644</v>
      </c>
      <c r="CG42" s="148">
        <f t="shared" ref="CG42:CR42" si="154">+CG40-CG41</f>
        <v>513.01431334223435</v>
      </c>
      <c r="CH42" s="145">
        <f t="shared" si="154"/>
        <v>513.01431334223435</v>
      </c>
      <c r="CI42" s="145">
        <f t="shared" si="154"/>
        <v>500.38219835085692</v>
      </c>
      <c r="CJ42" s="145">
        <f t="shared" si="154"/>
        <v>475.42901296277341</v>
      </c>
      <c r="CK42" s="145">
        <f t="shared" si="154"/>
        <v>438.76918741711825</v>
      </c>
      <c r="CL42" s="145">
        <f t="shared" si="154"/>
        <v>391.30540828580615</v>
      </c>
      <c r="CM42" s="145">
        <f t="shared" si="154"/>
        <v>334.20639133430177</v>
      </c>
      <c r="CN42" s="145">
        <f t="shared" si="154"/>
        <v>268.87810386072715</v>
      </c>
      <c r="CO42" s="145">
        <f t="shared" si="154"/>
        <v>196.92914511483536</v>
      </c>
      <c r="CP42" s="145">
        <f t="shared" si="154"/>
        <v>120.13113724585378</v>
      </c>
      <c r="CQ42" s="145">
        <f t="shared" si="154"/>
        <v>40.375102085493666</v>
      </c>
      <c r="CR42" s="146">
        <f t="shared" si="154"/>
        <v>0</v>
      </c>
      <c r="CS42" s="147">
        <f t="shared" si="76"/>
        <v>3792.4343133422358</v>
      </c>
      <c r="CT42" s="148">
        <f t="shared" ref="CT42:DE42" si="155">+CT40-CT41</f>
        <v>0</v>
      </c>
      <c r="CU42" s="145">
        <f t="shared" si="155"/>
        <v>0</v>
      </c>
      <c r="CV42" s="145">
        <f t="shared" si="155"/>
        <v>0</v>
      </c>
      <c r="CW42" s="145">
        <f t="shared" si="155"/>
        <v>0</v>
      </c>
      <c r="CX42" s="145">
        <f t="shared" si="155"/>
        <v>0</v>
      </c>
      <c r="CY42" s="145">
        <f t="shared" si="155"/>
        <v>0</v>
      </c>
      <c r="CZ42" s="145">
        <f t="shared" si="155"/>
        <v>0</v>
      </c>
      <c r="DA42" s="145">
        <f t="shared" si="155"/>
        <v>0</v>
      </c>
      <c r="DB42" s="145">
        <f t="shared" si="155"/>
        <v>0</v>
      </c>
      <c r="DC42" s="145">
        <f t="shared" si="155"/>
        <v>0</v>
      </c>
      <c r="DD42" s="145">
        <f t="shared" si="155"/>
        <v>0</v>
      </c>
      <c r="DE42" s="146">
        <f t="shared" si="155"/>
        <v>0</v>
      </c>
      <c r="DF42" s="147">
        <f t="shared" si="77"/>
        <v>0</v>
      </c>
      <c r="DG42" s="146">
        <f>+DG40-DG41</f>
        <v>0</v>
      </c>
      <c r="DH42" s="98">
        <f t="shared" si="72"/>
        <v>0</v>
      </c>
      <c r="DI42" s="99">
        <f t="shared" si="73"/>
        <v>6558.8399999999965</v>
      </c>
      <c r="DJ42" s="100">
        <f t="shared" si="74"/>
        <v>6558.8399999999965</v>
      </c>
    </row>
    <row r="43" spans="1:118" ht="15" customHeight="1" outlineLevel="1">
      <c r="A43" s="607"/>
      <c r="B43" s="557" t="s">
        <v>30</v>
      </c>
      <c r="C43" s="246" t="s">
        <v>62</v>
      </c>
      <c r="D43" s="183" t="s">
        <v>122</v>
      </c>
      <c r="E43" s="153">
        <f>AF43+AS43+BF43+BS43+CF43+CS43+DF43+S43+DG43</f>
        <v>142806.24</v>
      </c>
      <c r="F43" s="153"/>
      <c r="G43" s="154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284"/>
      <c r="S43" s="157">
        <f t="shared" si="67"/>
        <v>0</v>
      </c>
      <c r="T43" s="378"/>
      <c r="U43" s="382"/>
      <c r="V43" s="382"/>
      <c r="W43" s="382"/>
      <c r="X43" s="382"/>
      <c r="Y43" s="382"/>
      <c r="Z43" s="382"/>
      <c r="AA43" s="382"/>
      <c r="AB43" s="382"/>
      <c r="AC43" s="382"/>
      <c r="AD43" s="382"/>
      <c r="AE43" s="481"/>
      <c r="AF43" s="157">
        <f t="shared" si="68"/>
        <v>0</v>
      </c>
      <c r="AG43" s="500"/>
      <c r="AH43" s="513"/>
      <c r="AI43" s="513"/>
      <c r="AJ43" s="513"/>
      <c r="AK43" s="513"/>
      <c r="AL43" s="513"/>
      <c r="AM43" s="513"/>
      <c r="AN43" s="513"/>
      <c r="AO43" s="513"/>
      <c r="AP43" s="513"/>
      <c r="AQ43" s="513"/>
      <c r="AR43" s="512"/>
      <c r="AS43" s="409">
        <f t="shared" si="130"/>
        <v>0</v>
      </c>
      <c r="AT43" s="500"/>
      <c r="AU43" s="513"/>
      <c r="AV43" s="513"/>
      <c r="AW43" s="155"/>
      <c r="AX43" s="155"/>
      <c r="AY43" s="155"/>
      <c r="AZ43" s="155"/>
      <c r="BA43" s="155"/>
      <c r="BB43" s="155"/>
      <c r="BC43" s="155"/>
      <c r="BD43" s="155"/>
      <c r="BE43" s="156"/>
      <c r="BF43" s="157">
        <f t="shared" si="70"/>
        <v>0</v>
      </c>
      <c r="BG43" s="158"/>
      <c r="BH43" s="155"/>
      <c r="BI43" s="283"/>
      <c r="BJ43" s="283"/>
      <c r="BK43" s="283"/>
      <c r="BL43" s="283"/>
      <c r="BM43" s="283"/>
      <c r="BN43" s="283"/>
      <c r="BO43" s="283"/>
      <c r="BP43" s="283">
        <v>287.4479689426733</v>
      </c>
      <c r="BQ43" s="283">
        <v>860.02954479874074</v>
      </c>
      <c r="BR43" s="285">
        <v>1425.6866684492857</v>
      </c>
      <c r="BS43" s="157">
        <f t="shared" si="71"/>
        <v>2573.1641821906996</v>
      </c>
      <c r="BT43" s="359">
        <v>1979.8650013356598</v>
      </c>
      <c r="BU43" s="283">
        <v>2518.1026253730502</v>
      </c>
      <c r="BV43" s="283">
        <v>3036.0659676913383</v>
      </c>
      <c r="BW43" s="283">
        <v>3529.5846920155464</v>
      </c>
      <c r="BX43" s="283">
        <v>3994.6852757619044</v>
      </c>
      <c r="BY43" s="283">
        <v>4427.6230025048135</v>
      </c>
      <c r="BZ43" s="283">
        <v>4824.9121122316037</v>
      </c>
      <c r="CA43" s="283">
        <v>5183.3538666331187</v>
      </c>
      <c r="CB43" s="283">
        <v>5500.0623034632335</v>
      </c>
      <c r="CC43" s="283">
        <v>5772.4874726101725</v>
      </c>
      <c r="CD43" s="283">
        <v>5998.4359667951521</v>
      </c>
      <c r="CE43" s="285">
        <v>6176.088581598965</v>
      </c>
      <c r="CF43" s="157">
        <f t="shared" si="75"/>
        <v>52941.266868014551</v>
      </c>
      <c r="CG43" s="158">
        <v>6304.0149626247785</v>
      </c>
      <c r="CH43" s="155">
        <v>6381.1851218724905</v>
      </c>
      <c r="CI43" s="283">
        <v>6406.9777305949092</v>
      </c>
      <c r="CJ43" s="283">
        <v>6381.185121872506</v>
      </c>
      <c r="CK43" s="283">
        <v>6304.0149626248331</v>
      </c>
      <c r="CL43" s="283">
        <v>6176.0885815989095</v>
      </c>
      <c r="CM43" s="283">
        <v>5998.4359667952231</v>
      </c>
      <c r="CN43" s="283">
        <v>5772.4874726100943</v>
      </c>
      <c r="CO43" s="283">
        <v>5500.0623034632417</v>
      </c>
      <c r="CP43" s="283">
        <v>5183.3538666331187</v>
      </c>
      <c r="CQ43" s="283">
        <v>4824.9121122315964</v>
      </c>
      <c r="CR43" s="285">
        <v>4427.6230025048344</v>
      </c>
      <c r="CS43" s="157">
        <f t="shared" si="76"/>
        <v>69660.341205426535</v>
      </c>
      <c r="CT43" s="158">
        <v>3994.6852757618944</v>
      </c>
      <c r="CU43" s="155">
        <v>3529.5846920156291</v>
      </c>
      <c r="CV43" s="283">
        <v>3036.0659676912928</v>
      </c>
      <c r="CW43" s="283">
        <v>2518.102625373052</v>
      </c>
      <c r="CX43" s="283">
        <v>1979.8650013356407</v>
      </c>
      <c r="CY43" s="283">
        <v>1425.6866684492788</v>
      </c>
      <c r="CZ43" s="283">
        <v>860.02954479878656</v>
      </c>
      <c r="DA43" s="283">
        <v>287.44796894264175</v>
      </c>
      <c r="DB43" s="283"/>
      <c r="DC43" s="283"/>
      <c r="DD43" s="283"/>
      <c r="DE43" s="285"/>
      <c r="DF43" s="157">
        <f t="shared" si="77"/>
        <v>17631.467744368216</v>
      </c>
      <c r="DG43" s="280"/>
      <c r="DH43" s="159">
        <f t="shared" si="72"/>
        <v>2573.1641821906996</v>
      </c>
      <c r="DI43" s="160">
        <f t="shared" si="73"/>
        <v>142806.24</v>
      </c>
      <c r="DJ43" s="161">
        <f t="shared" si="74"/>
        <v>140233.07581780929</v>
      </c>
      <c r="DM43" s="134">
        <f>AS43+BF43+BS43+CF43+CS43+DG43+DF43</f>
        <v>142806.24</v>
      </c>
    </row>
    <row r="44" spans="1:118" ht="15" customHeight="1" outlineLevel="1">
      <c r="A44" s="607"/>
      <c r="B44" s="558"/>
      <c r="C44" s="245" t="s">
        <v>63</v>
      </c>
      <c r="D44" s="184" t="s">
        <v>124</v>
      </c>
      <c r="E44" s="136">
        <f>AF44+AS44+BF44+BS44+CF44+CS44+DF44+S44+DG44</f>
        <v>121385.304</v>
      </c>
      <c r="F44" s="136"/>
      <c r="G44" s="137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9"/>
      <c r="S44" s="162">
        <f t="shared" si="67"/>
        <v>0</v>
      </c>
      <c r="T44" s="380"/>
      <c r="U44" s="381"/>
      <c r="V44" s="381"/>
      <c r="W44" s="381"/>
      <c r="X44" s="381"/>
      <c r="Y44" s="381"/>
      <c r="Z44" s="381"/>
      <c r="AA44" s="381"/>
      <c r="AB44" s="381"/>
      <c r="AC44" s="381"/>
      <c r="AD44" s="381"/>
      <c r="AE44" s="392"/>
      <c r="AF44" s="162">
        <f t="shared" si="68"/>
        <v>0</v>
      </c>
      <c r="AG44" s="501"/>
      <c r="AH44" s="499"/>
      <c r="AI44" s="499"/>
      <c r="AJ44" s="499"/>
      <c r="AK44" s="499"/>
      <c r="AL44" s="499"/>
      <c r="AM44" s="499"/>
      <c r="AN44" s="499"/>
      <c r="AO44" s="499"/>
      <c r="AP44" s="499"/>
      <c r="AQ44" s="499"/>
      <c r="AR44" s="511"/>
      <c r="AS44" s="410">
        <f t="shared" si="130"/>
        <v>0</v>
      </c>
      <c r="AT44" s="501"/>
      <c r="AU44" s="499"/>
      <c r="AV44" s="499"/>
      <c r="AW44" s="138"/>
      <c r="AX44" s="138"/>
      <c r="AY44" s="138"/>
      <c r="AZ44" s="138"/>
      <c r="BA44" s="138"/>
      <c r="BB44" s="138"/>
      <c r="BC44" s="138"/>
      <c r="BD44" s="138"/>
      <c r="BE44" s="139"/>
      <c r="BF44" s="162">
        <f t="shared" si="70"/>
        <v>0</v>
      </c>
      <c r="BG44" s="141"/>
      <c r="BH44" s="138"/>
      <c r="BI44" s="253"/>
      <c r="BJ44" s="253"/>
      <c r="BK44" s="253"/>
      <c r="BL44" s="253"/>
      <c r="BM44" s="253"/>
      <c r="BN44" s="253"/>
      <c r="BO44" s="253"/>
      <c r="BP44" s="253">
        <v>244.33077360127231</v>
      </c>
      <c r="BQ44" s="253">
        <v>731.02511307892973</v>
      </c>
      <c r="BR44" s="338">
        <v>1211.8336681818928</v>
      </c>
      <c r="BS44" s="162">
        <f t="shared" si="71"/>
        <v>2187.1895548620951</v>
      </c>
      <c r="BT44" s="353">
        <v>1682.8852511353109</v>
      </c>
      <c r="BU44" s="253">
        <v>2140.3872315670924</v>
      </c>
      <c r="BV44" s="253">
        <v>2580.6560725376376</v>
      </c>
      <c r="BW44" s="253">
        <v>3000.1469882132146</v>
      </c>
      <c r="BX44" s="253">
        <v>3395.4824843976185</v>
      </c>
      <c r="BY44" s="253">
        <v>3763.4795521290912</v>
      </c>
      <c r="BZ44" s="253">
        <v>4101.1752953968635</v>
      </c>
      <c r="CA44" s="253">
        <v>4405.8507866381506</v>
      </c>
      <c r="CB44" s="253">
        <v>4675.052957943748</v>
      </c>
      <c r="CC44" s="253">
        <v>4906.6143517186465</v>
      </c>
      <c r="CD44" s="253">
        <v>5098.6705717758796</v>
      </c>
      <c r="CE44" s="338">
        <v>5249.67529435912</v>
      </c>
      <c r="CF44" s="162">
        <f t="shared" si="75"/>
        <v>45000.076837812376</v>
      </c>
      <c r="CG44" s="141">
        <v>5358.4127182310622</v>
      </c>
      <c r="CH44" s="138">
        <v>5424.0073535916163</v>
      </c>
      <c r="CI44" s="253">
        <v>5445.9310710056725</v>
      </c>
      <c r="CJ44" s="253">
        <v>5424.0073535916308</v>
      </c>
      <c r="CK44" s="253">
        <v>5358.4127182311076</v>
      </c>
      <c r="CL44" s="253">
        <v>5249.6752943590727</v>
      </c>
      <c r="CM44" s="253">
        <v>5098.6705717759396</v>
      </c>
      <c r="CN44" s="253">
        <v>4906.6143517185792</v>
      </c>
      <c r="CO44" s="253">
        <v>4675.0529579437552</v>
      </c>
      <c r="CP44" s="253">
        <v>4405.8507866381506</v>
      </c>
      <c r="CQ44" s="253">
        <v>4101.1752953968562</v>
      </c>
      <c r="CR44" s="338">
        <v>3763.4795521291094</v>
      </c>
      <c r="CS44" s="162">
        <f t="shared" si="76"/>
        <v>59211.29002461255</v>
      </c>
      <c r="CT44" s="141">
        <v>3395.4824843976103</v>
      </c>
      <c r="CU44" s="138">
        <v>3000.1469882132847</v>
      </c>
      <c r="CV44" s="253">
        <v>2580.6560725375989</v>
      </c>
      <c r="CW44" s="253">
        <v>2140.3872315670942</v>
      </c>
      <c r="CX44" s="253">
        <v>1682.8852511352945</v>
      </c>
      <c r="CY44" s="253">
        <v>1211.8336681818871</v>
      </c>
      <c r="CZ44" s="253">
        <v>731.02511307896862</v>
      </c>
      <c r="DA44" s="253">
        <v>244.33077360124551</v>
      </c>
      <c r="DB44" s="253"/>
      <c r="DC44" s="253"/>
      <c r="DD44" s="253"/>
      <c r="DE44" s="338"/>
      <c r="DF44" s="162">
        <f t="shared" si="77"/>
        <v>14986.747582712984</v>
      </c>
      <c r="DG44" s="279"/>
      <c r="DH44" s="90">
        <f t="shared" si="72"/>
        <v>2187.1895548620951</v>
      </c>
      <c r="DI44" s="91">
        <f t="shared" si="73"/>
        <v>121385.304</v>
      </c>
      <c r="DJ44" s="92">
        <f t="shared" si="74"/>
        <v>119198.11444513791</v>
      </c>
      <c r="DK44" s="64">
        <f>+DH44/DH43</f>
        <v>0.85000000000000009</v>
      </c>
      <c r="DM44" s="134">
        <f>AS44+BF44+BS44+CF44+CS44+DG44+DF44</f>
        <v>121385.304</v>
      </c>
      <c r="DN44" s="533">
        <f>DM44/DM43</f>
        <v>0.85000000000000009</v>
      </c>
    </row>
    <row r="45" spans="1:118" ht="15" customHeight="1" outlineLevel="1">
      <c r="A45" s="607"/>
      <c r="B45" s="559"/>
      <c r="C45" s="357" t="s">
        <v>11</v>
      </c>
      <c r="D45" s="358"/>
      <c r="E45" s="143">
        <f t="shared" ref="E45:R45" si="156">+E43-E44</f>
        <v>21420.935999999987</v>
      </c>
      <c r="F45" s="144">
        <f t="shared" si="156"/>
        <v>0</v>
      </c>
      <c r="G45" s="145">
        <f t="shared" si="156"/>
        <v>0</v>
      </c>
      <c r="H45" s="145">
        <f t="shared" si="156"/>
        <v>0</v>
      </c>
      <c r="I45" s="145">
        <f t="shared" si="156"/>
        <v>0</v>
      </c>
      <c r="J45" s="145">
        <f t="shared" si="156"/>
        <v>0</v>
      </c>
      <c r="K45" s="145">
        <f t="shared" si="156"/>
        <v>0</v>
      </c>
      <c r="L45" s="145">
        <f t="shared" si="156"/>
        <v>0</v>
      </c>
      <c r="M45" s="145">
        <f t="shared" si="156"/>
        <v>0</v>
      </c>
      <c r="N45" s="145">
        <f t="shared" si="156"/>
        <v>0</v>
      </c>
      <c r="O45" s="145">
        <f t="shared" si="156"/>
        <v>0</v>
      </c>
      <c r="P45" s="145">
        <f t="shared" si="156"/>
        <v>0</v>
      </c>
      <c r="Q45" s="145">
        <f t="shared" si="156"/>
        <v>0</v>
      </c>
      <c r="R45" s="146">
        <f t="shared" si="156"/>
        <v>0</v>
      </c>
      <c r="S45" s="147">
        <f t="shared" si="67"/>
        <v>0</v>
      </c>
      <c r="T45" s="148">
        <f t="shared" ref="T45:AE45" si="157">+T43-T44</f>
        <v>0</v>
      </c>
      <c r="U45" s="145">
        <f t="shared" si="157"/>
        <v>0</v>
      </c>
      <c r="V45" s="145">
        <f t="shared" si="157"/>
        <v>0</v>
      </c>
      <c r="W45" s="145">
        <f t="shared" si="157"/>
        <v>0</v>
      </c>
      <c r="X45" s="145">
        <f t="shared" si="157"/>
        <v>0</v>
      </c>
      <c r="Y45" s="145">
        <f t="shared" si="157"/>
        <v>0</v>
      </c>
      <c r="Z45" s="145">
        <f t="shared" si="157"/>
        <v>0</v>
      </c>
      <c r="AA45" s="145">
        <f t="shared" si="157"/>
        <v>0</v>
      </c>
      <c r="AB45" s="145">
        <f t="shared" si="157"/>
        <v>0</v>
      </c>
      <c r="AC45" s="145">
        <f t="shared" si="157"/>
        <v>0</v>
      </c>
      <c r="AD45" s="145">
        <f t="shared" si="157"/>
        <v>0</v>
      </c>
      <c r="AE45" s="146">
        <f t="shared" si="157"/>
        <v>0</v>
      </c>
      <c r="AF45" s="147">
        <f t="shared" si="68"/>
        <v>0</v>
      </c>
      <c r="AG45" s="148">
        <f t="shared" ref="AG45:AR45" si="158">+AG43-AG44</f>
        <v>0</v>
      </c>
      <c r="AH45" s="145">
        <f t="shared" si="158"/>
        <v>0</v>
      </c>
      <c r="AI45" s="145">
        <f t="shared" si="158"/>
        <v>0</v>
      </c>
      <c r="AJ45" s="145">
        <f t="shared" si="158"/>
        <v>0</v>
      </c>
      <c r="AK45" s="145">
        <f t="shared" si="158"/>
        <v>0</v>
      </c>
      <c r="AL45" s="145">
        <f t="shared" si="158"/>
        <v>0</v>
      </c>
      <c r="AM45" s="145">
        <f t="shared" si="158"/>
        <v>0</v>
      </c>
      <c r="AN45" s="145">
        <f t="shared" si="158"/>
        <v>0</v>
      </c>
      <c r="AO45" s="145">
        <f t="shared" si="158"/>
        <v>0</v>
      </c>
      <c r="AP45" s="145">
        <f t="shared" si="158"/>
        <v>0</v>
      </c>
      <c r="AQ45" s="145">
        <f t="shared" si="158"/>
        <v>0</v>
      </c>
      <c r="AR45" s="146">
        <f t="shared" si="158"/>
        <v>0</v>
      </c>
      <c r="AS45" s="408">
        <f t="shared" si="130"/>
        <v>0</v>
      </c>
      <c r="AT45" s="148">
        <f t="shared" ref="AT45:BE45" si="159">+AT43-AT44</f>
        <v>0</v>
      </c>
      <c r="AU45" s="145">
        <f t="shared" si="159"/>
        <v>0</v>
      </c>
      <c r="AV45" s="145">
        <f t="shared" si="159"/>
        <v>0</v>
      </c>
      <c r="AW45" s="145">
        <f t="shared" si="159"/>
        <v>0</v>
      </c>
      <c r="AX45" s="145">
        <f t="shared" si="159"/>
        <v>0</v>
      </c>
      <c r="AY45" s="145">
        <f t="shared" si="159"/>
        <v>0</v>
      </c>
      <c r="AZ45" s="145">
        <f t="shared" si="159"/>
        <v>0</v>
      </c>
      <c r="BA45" s="145">
        <f t="shared" si="159"/>
        <v>0</v>
      </c>
      <c r="BB45" s="145">
        <f t="shared" si="159"/>
        <v>0</v>
      </c>
      <c r="BC45" s="145">
        <f t="shared" si="159"/>
        <v>0</v>
      </c>
      <c r="BD45" s="145">
        <f t="shared" si="159"/>
        <v>0</v>
      </c>
      <c r="BE45" s="146">
        <f t="shared" si="159"/>
        <v>0</v>
      </c>
      <c r="BF45" s="147">
        <f t="shared" si="70"/>
        <v>0</v>
      </c>
      <c r="BG45" s="148">
        <f t="shared" ref="BG45:BR45" si="160">+BG43-BG44</f>
        <v>0</v>
      </c>
      <c r="BH45" s="145">
        <f t="shared" si="160"/>
        <v>0</v>
      </c>
      <c r="BI45" s="145">
        <f t="shared" si="160"/>
        <v>0</v>
      </c>
      <c r="BJ45" s="145">
        <f t="shared" si="160"/>
        <v>0</v>
      </c>
      <c r="BK45" s="145">
        <f t="shared" si="160"/>
        <v>0</v>
      </c>
      <c r="BL45" s="145">
        <f t="shared" si="160"/>
        <v>0</v>
      </c>
      <c r="BM45" s="145">
        <f t="shared" si="160"/>
        <v>0</v>
      </c>
      <c r="BN45" s="145">
        <f t="shared" si="160"/>
        <v>0</v>
      </c>
      <c r="BO45" s="145">
        <f t="shared" si="160"/>
        <v>0</v>
      </c>
      <c r="BP45" s="145">
        <f t="shared" si="160"/>
        <v>43.117195341400986</v>
      </c>
      <c r="BQ45" s="145">
        <f t="shared" si="160"/>
        <v>129.00443171981101</v>
      </c>
      <c r="BR45" s="146">
        <f t="shared" si="160"/>
        <v>213.85300026739287</v>
      </c>
      <c r="BS45" s="147">
        <f t="shared" si="71"/>
        <v>385.97462732860487</v>
      </c>
      <c r="BT45" s="148">
        <f t="shared" ref="BT45:CE45" si="161">+BT43-BT44</f>
        <v>296.97975020034892</v>
      </c>
      <c r="BU45" s="145">
        <f t="shared" si="161"/>
        <v>377.71539380595777</v>
      </c>
      <c r="BV45" s="145">
        <f t="shared" si="161"/>
        <v>455.40989515370075</v>
      </c>
      <c r="BW45" s="145">
        <f t="shared" si="161"/>
        <v>529.43770380233173</v>
      </c>
      <c r="BX45" s="145">
        <f t="shared" si="161"/>
        <v>599.20279136428599</v>
      </c>
      <c r="BY45" s="145">
        <f t="shared" si="161"/>
        <v>664.1434503757223</v>
      </c>
      <c r="BZ45" s="145">
        <f t="shared" si="161"/>
        <v>723.73681683474024</v>
      </c>
      <c r="CA45" s="145">
        <f t="shared" si="161"/>
        <v>777.50307999496818</v>
      </c>
      <c r="CB45" s="145">
        <f t="shared" si="161"/>
        <v>825.00934551948558</v>
      </c>
      <c r="CC45" s="145">
        <f t="shared" si="161"/>
        <v>865.87312089152601</v>
      </c>
      <c r="CD45" s="145">
        <f t="shared" si="161"/>
        <v>899.76539501927255</v>
      </c>
      <c r="CE45" s="146">
        <f t="shared" si="161"/>
        <v>926.41328723984498</v>
      </c>
      <c r="CF45" s="147">
        <f t="shared" si="75"/>
        <v>7941.190030202185</v>
      </c>
      <c r="CG45" s="148">
        <f t="shared" ref="CG45:CR45" si="162">+CG43-CG44</f>
        <v>945.60224439371632</v>
      </c>
      <c r="CH45" s="145">
        <f t="shared" si="162"/>
        <v>957.17776828087426</v>
      </c>
      <c r="CI45" s="145">
        <f t="shared" si="162"/>
        <v>961.0466595892367</v>
      </c>
      <c r="CJ45" s="145">
        <f t="shared" si="162"/>
        <v>957.17776828087517</v>
      </c>
      <c r="CK45" s="145">
        <f t="shared" si="162"/>
        <v>945.60224439372541</v>
      </c>
      <c r="CL45" s="145">
        <f t="shared" si="162"/>
        <v>926.41328723983679</v>
      </c>
      <c r="CM45" s="145">
        <f t="shared" si="162"/>
        <v>899.76539501928346</v>
      </c>
      <c r="CN45" s="145">
        <f t="shared" si="162"/>
        <v>865.8731208915151</v>
      </c>
      <c r="CO45" s="145">
        <f t="shared" si="162"/>
        <v>825.00934551948649</v>
      </c>
      <c r="CP45" s="145">
        <f t="shared" si="162"/>
        <v>777.50307999496818</v>
      </c>
      <c r="CQ45" s="145">
        <f t="shared" si="162"/>
        <v>723.73681683474024</v>
      </c>
      <c r="CR45" s="146">
        <f t="shared" si="162"/>
        <v>664.14345037572502</v>
      </c>
      <c r="CS45" s="147">
        <f t="shared" si="76"/>
        <v>10449.051180813982</v>
      </c>
      <c r="CT45" s="148">
        <f t="shared" ref="CT45:DE45" si="163">+CT43-CT44</f>
        <v>599.20279136428417</v>
      </c>
      <c r="CU45" s="145">
        <f t="shared" si="163"/>
        <v>529.43770380234446</v>
      </c>
      <c r="CV45" s="145">
        <f t="shared" si="163"/>
        <v>455.40989515369392</v>
      </c>
      <c r="CW45" s="145">
        <f t="shared" si="163"/>
        <v>377.71539380595777</v>
      </c>
      <c r="CX45" s="145">
        <f t="shared" si="163"/>
        <v>296.97975020034619</v>
      </c>
      <c r="CY45" s="145">
        <f t="shared" si="163"/>
        <v>213.85300026739174</v>
      </c>
      <c r="CZ45" s="145">
        <f t="shared" si="163"/>
        <v>129.00443171981794</v>
      </c>
      <c r="DA45" s="145">
        <f t="shared" si="163"/>
        <v>43.11719534139624</v>
      </c>
      <c r="DB45" s="145">
        <f t="shared" si="163"/>
        <v>0</v>
      </c>
      <c r="DC45" s="145">
        <f t="shared" si="163"/>
        <v>0</v>
      </c>
      <c r="DD45" s="145">
        <f t="shared" si="163"/>
        <v>0</v>
      </c>
      <c r="DE45" s="146">
        <f t="shared" si="163"/>
        <v>0</v>
      </c>
      <c r="DF45" s="147">
        <f t="shared" si="77"/>
        <v>2644.7201616552325</v>
      </c>
      <c r="DG45" s="146">
        <f>+DG43-DG44</f>
        <v>0</v>
      </c>
      <c r="DH45" s="98">
        <f t="shared" si="72"/>
        <v>385.97462732860487</v>
      </c>
      <c r="DI45" s="99">
        <f t="shared" si="73"/>
        <v>21420.935999999987</v>
      </c>
      <c r="DJ45" s="100">
        <f t="shared" si="74"/>
        <v>21034.961372671383</v>
      </c>
    </row>
    <row r="46" spans="1:118" ht="15" customHeight="1" outlineLevel="1">
      <c r="A46" s="607"/>
      <c r="B46" s="557" t="s">
        <v>199</v>
      </c>
      <c r="C46" s="246" t="s">
        <v>62</v>
      </c>
      <c r="D46" s="183" t="s">
        <v>122</v>
      </c>
      <c r="E46" s="153">
        <f>AF46+AS46+BF46+BS46+CF46+CS46+DF46+S46+DG46</f>
        <v>132215.76000000018</v>
      </c>
      <c r="F46" s="153"/>
      <c r="G46" s="154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284"/>
      <c r="S46" s="157">
        <f t="shared" si="67"/>
        <v>0</v>
      </c>
      <c r="T46" s="378"/>
      <c r="U46" s="382"/>
      <c r="V46" s="382"/>
      <c r="W46" s="382"/>
      <c r="X46" s="382"/>
      <c r="Y46" s="382"/>
      <c r="Z46" s="382"/>
      <c r="AA46" s="382"/>
      <c r="AB46" s="382"/>
      <c r="AC46" s="382"/>
      <c r="AD46" s="382"/>
      <c r="AE46" s="481"/>
      <c r="AF46" s="157">
        <f t="shared" si="68"/>
        <v>0</v>
      </c>
      <c r="AG46" s="500"/>
      <c r="AH46" s="513"/>
      <c r="AI46" s="513"/>
      <c r="AJ46" s="513"/>
      <c r="AK46" s="513"/>
      <c r="AL46" s="513"/>
      <c r="AM46" s="513"/>
      <c r="AN46" s="513"/>
      <c r="AO46" s="513"/>
      <c r="AP46" s="513"/>
      <c r="AQ46" s="513"/>
      <c r="AR46" s="512"/>
      <c r="AS46" s="409">
        <f>SUM(AG46:AR46)</f>
        <v>0</v>
      </c>
      <c r="AT46" s="500"/>
      <c r="AU46" s="513"/>
      <c r="AV46" s="513"/>
      <c r="AW46" s="283"/>
      <c r="AX46" s="283"/>
      <c r="AY46" s="285"/>
      <c r="AZ46" s="359"/>
      <c r="BA46" s="283"/>
      <c r="BB46" s="283"/>
      <c r="BC46" s="283"/>
      <c r="BD46" s="283">
        <v>467.29097554526993</v>
      </c>
      <c r="BE46" s="283">
        <v>695.75708250251398</v>
      </c>
      <c r="BF46" s="157">
        <f>SUM(AT46:BE46)</f>
        <v>1163.0480580477838</v>
      </c>
      <c r="BG46" s="283">
        <v>990.33125051081254</v>
      </c>
      <c r="BH46" s="283">
        <v>1219.7691949219752</v>
      </c>
      <c r="BI46" s="283">
        <v>1397.0899297170533</v>
      </c>
      <c r="BJ46" s="283">
        <v>1534.1681081357158</v>
      </c>
      <c r="BK46" s="283">
        <v>1641.7636993056242</v>
      </c>
      <c r="BL46" s="285">
        <v>1729.5516648717942</v>
      </c>
      <c r="BM46" s="359">
        <v>1806.1516356259765</v>
      </c>
      <c r="BN46" s="283">
        <v>1879.1575881360343</v>
      </c>
      <c r="BO46" s="283">
        <v>1955.1675213752958</v>
      </c>
      <c r="BP46" s="283">
        <v>2039.8131333519545</v>
      </c>
      <c r="BQ46" s="283">
        <v>2137.7894977384358</v>
      </c>
      <c r="BR46" s="283">
        <v>2252.8847405007068</v>
      </c>
      <c r="BS46" s="157">
        <f>SUM(BG46:BR46)</f>
        <v>20583.637964191377</v>
      </c>
      <c r="BT46" s="283">
        <v>2388.0097165277871</v>
      </c>
      <c r="BU46" s="283">
        <v>2545.227686260977</v>
      </c>
      <c r="BV46" s="283">
        <v>2725.7839923232805</v>
      </c>
      <c r="BW46" s="283">
        <v>2930.1357361488408</v>
      </c>
      <c r="BX46" s="283">
        <v>3157.9814546122166</v>
      </c>
      <c r="BY46" s="285">
        <v>3408.2907966577964</v>
      </c>
      <c r="BZ46" s="359">
        <v>3679.3341999292306</v>
      </c>
      <c r="CA46" s="283">
        <v>3968.7125673986297</v>
      </c>
      <c r="CB46" s="283">
        <v>4273.3869439961782</v>
      </c>
      <c r="CC46" s="283">
        <v>4589.7081932392957</v>
      </c>
      <c r="CD46" s="283">
        <v>4913.446673862205</v>
      </c>
      <c r="CE46" s="283">
        <v>5239.8219164449347</v>
      </c>
      <c r="CF46" s="157">
        <f t="shared" si="75"/>
        <v>43819.839877401369</v>
      </c>
      <c r="CG46" s="283">
        <v>5563.5323000431554</v>
      </c>
      <c r="CH46" s="283">
        <v>5878.7847288174971</v>
      </c>
      <c r="CI46" s="283">
        <v>6179.324308662598</v>
      </c>
      <c r="CJ46" s="283">
        <v>6458.4640238363427</v>
      </c>
      <c r="CK46" s="283">
        <v>6709.114413590185</v>
      </c>
      <c r="CL46" s="283">
        <v>6923.8132487971143</v>
      </c>
      <c r="CM46" s="283">
        <v>7094.7552085826474</v>
      </c>
      <c r="CN46" s="283">
        <v>7213.8215569530876</v>
      </c>
      <c r="CO46" s="283">
        <v>7272.6098194240385</v>
      </c>
      <c r="CP46" s="283">
        <v>7355.0144916529798</v>
      </c>
      <c r="CQ46" s="283"/>
      <c r="CR46" s="285"/>
      <c r="CS46" s="157">
        <f t="shared" si="76"/>
        <v>66649.234100359652</v>
      </c>
      <c r="CT46" s="283"/>
      <c r="CU46" s="283"/>
      <c r="CV46" s="283"/>
      <c r="CW46" s="283"/>
      <c r="CX46" s="283"/>
      <c r="CY46" s="283"/>
      <c r="CZ46" s="283"/>
      <c r="DA46" s="283"/>
      <c r="DB46" s="283"/>
      <c r="DC46" s="283"/>
      <c r="DD46" s="283"/>
      <c r="DE46" s="285"/>
      <c r="DF46" s="157">
        <f t="shared" si="77"/>
        <v>0</v>
      </c>
      <c r="DG46" s="280"/>
      <c r="DH46" s="159">
        <f>+F46+S46+AF46+AS46+BF46+BS46+DG46</f>
        <v>21746.686022239162</v>
      </c>
      <c r="DI46" s="160">
        <f>+E46</f>
        <v>132215.76000000018</v>
      </c>
      <c r="DJ46" s="161">
        <f>+DI46-DH46</f>
        <v>110469.07397776103</v>
      </c>
      <c r="DM46" s="134">
        <f>AS46+BF46+BS46+CF46+CS46+DG46+DF46</f>
        <v>132215.76000000018</v>
      </c>
    </row>
    <row r="47" spans="1:118" ht="15" customHeight="1" outlineLevel="1">
      <c r="A47" s="607"/>
      <c r="B47" s="558"/>
      <c r="C47" s="245" t="s">
        <v>63</v>
      </c>
      <c r="D47" s="184" t="s">
        <v>124</v>
      </c>
      <c r="E47" s="136">
        <f>AF47+AS47+BF47+BS47+CF47+CS47+DF47+S47+DG47</f>
        <v>118994.18400000018</v>
      </c>
      <c r="F47" s="136"/>
      <c r="G47" s="137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9"/>
      <c r="S47" s="162">
        <f t="shared" si="67"/>
        <v>0</v>
      </c>
      <c r="T47" s="380"/>
      <c r="U47" s="381"/>
      <c r="V47" s="381"/>
      <c r="W47" s="381"/>
      <c r="X47" s="381"/>
      <c r="Y47" s="381"/>
      <c r="Z47" s="381"/>
      <c r="AA47" s="381"/>
      <c r="AB47" s="381"/>
      <c r="AC47" s="381"/>
      <c r="AD47" s="381"/>
      <c r="AE47" s="392"/>
      <c r="AF47" s="162">
        <f t="shared" si="68"/>
        <v>0</v>
      </c>
      <c r="AG47" s="501"/>
      <c r="AH47" s="499"/>
      <c r="AI47" s="499"/>
      <c r="AJ47" s="499"/>
      <c r="AK47" s="499"/>
      <c r="AL47" s="499"/>
      <c r="AM47" s="499"/>
      <c r="AN47" s="499"/>
      <c r="AO47" s="499"/>
      <c r="AP47" s="499"/>
      <c r="AQ47" s="499"/>
      <c r="AR47" s="511"/>
      <c r="AS47" s="410">
        <f>SUM(AG47:AR47)</f>
        <v>0</v>
      </c>
      <c r="AT47" s="501"/>
      <c r="AU47" s="499"/>
      <c r="AV47" s="499"/>
      <c r="AW47" s="253"/>
      <c r="AX47" s="253"/>
      <c r="AY47" s="338"/>
      <c r="AZ47" s="353"/>
      <c r="BA47" s="253"/>
      <c r="BB47" s="253"/>
      <c r="BC47" s="253"/>
      <c r="BD47" s="253">
        <v>420.56187799074303</v>
      </c>
      <c r="BE47" s="253">
        <v>626.18137425226257</v>
      </c>
      <c r="BF47" s="162">
        <f>SUM(AT47:BE47)</f>
        <v>1046.7432522430056</v>
      </c>
      <c r="BG47" s="253">
        <v>891.2981254597313</v>
      </c>
      <c r="BH47" s="253">
        <v>1097.7922754297779</v>
      </c>
      <c r="BI47" s="253">
        <v>1257.3809367453482</v>
      </c>
      <c r="BJ47" s="253">
        <v>1380.7512973221442</v>
      </c>
      <c r="BK47" s="253">
        <v>1477.5873293750617</v>
      </c>
      <c r="BL47" s="338">
        <v>1556.5964983846147</v>
      </c>
      <c r="BM47" s="353">
        <v>1625.5364720633788</v>
      </c>
      <c r="BN47" s="253">
        <v>1691.2418293224309</v>
      </c>
      <c r="BO47" s="253">
        <v>1759.6507692377663</v>
      </c>
      <c r="BP47" s="253">
        <v>1835.8318200167591</v>
      </c>
      <c r="BQ47" s="253">
        <v>1924.0105479645922</v>
      </c>
      <c r="BR47" s="253">
        <v>2027.5962664506362</v>
      </c>
      <c r="BS47" s="162">
        <f>SUM(BG47:BR47)</f>
        <v>18525.274167772244</v>
      </c>
      <c r="BT47" s="253">
        <v>2149.2087448750081</v>
      </c>
      <c r="BU47" s="253">
        <v>2290.7049176348792</v>
      </c>
      <c r="BV47" s="253">
        <v>2453.2055930909523</v>
      </c>
      <c r="BW47" s="253">
        <v>2637.1221625339572</v>
      </c>
      <c r="BX47" s="253">
        <v>2842.1833091509948</v>
      </c>
      <c r="BY47" s="338">
        <v>3067.4617169920166</v>
      </c>
      <c r="BZ47" s="353">
        <v>3311.400779936308</v>
      </c>
      <c r="CA47" s="253">
        <v>3571.8413106587668</v>
      </c>
      <c r="CB47" s="253">
        <v>3846.0482495965603</v>
      </c>
      <c r="CC47" s="253">
        <v>4130.7373739153654</v>
      </c>
      <c r="CD47" s="253">
        <v>4422.1020064759841</v>
      </c>
      <c r="CE47" s="253">
        <v>4715.8397248004421</v>
      </c>
      <c r="CF47" s="162">
        <f t="shared" si="75"/>
        <v>39437.855889661238</v>
      </c>
      <c r="CG47" s="253">
        <v>5007.1790700388401</v>
      </c>
      <c r="CH47" s="253">
        <v>5290.9062559357471</v>
      </c>
      <c r="CI47" s="253">
        <v>5561.3918777963381</v>
      </c>
      <c r="CJ47" s="253">
        <v>5812.6176214527086</v>
      </c>
      <c r="CK47" s="253">
        <v>6038.2029722311663</v>
      </c>
      <c r="CL47" s="253">
        <v>6231.4319239174038</v>
      </c>
      <c r="CM47" s="253">
        <v>6385.2796877243836</v>
      </c>
      <c r="CN47" s="253">
        <v>6492.4394012577777</v>
      </c>
      <c r="CO47" s="253">
        <v>6545.3488374816343</v>
      </c>
      <c r="CP47" s="253">
        <v>6619.5130424876825</v>
      </c>
      <c r="CQ47" s="253"/>
      <c r="CR47" s="338"/>
      <c r="CS47" s="162">
        <f t="shared" si="76"/>
        <v>59984.310690323684</v>
      </c>
      <c r="CT47" s="253"/>
      <c r="CU47" s="253"/>
      <c r="CV47" s="253"/>
      <c r="CW47" s="253"/>
      <c r="CX47" s="253"/>
      <c r="CY47" s="253"/>
      <c r="CZ47" s="253"/>
      <c r="DA47" s="253"/>
      <c r="DB47" s="253"/>
      <c r="DC47" s="253"/>
      <c r="DD47" s="253"/>
      <c r="DE47" s="338"/>
      <c r="DF47" s="162">
        <f t="shared" si="77"/>
        <v>0</v>
      </c>
      <c r="DG47" s="279"/>
      <c r="DH47" s="90">
        <f>+F47+S47+AF47+AS47+BF47+BS47+DG47</f>
        <v>19572.017420015251</v>
      </c>
      <c r="DI47" s="91">
        <f>+E47</f>
        <v>118994.18400000018</v>
      </c>
      <c r="DJ47" s="92">
        <f>+DI47-DH47</f>
        <v>99422.166579984929</v>
      </c>
      <c r="DK47" s="64">
        <f>+DH47/DH46</f>
        <v>0.90000000000000024</v>
      </c>
      <c r="DM47" s="134">
        <f>AS47+BF47+BS47+CF47+CS47+DG47+DF47</f>
        <v>118994.18400000018</v>
      </c>
      <c r="DN47" s="533">
        <f>DM47/DM46</f>
        <v>0.90000000000000013</v>
      </c>
    </row>
    <row r="48" spans="1:118" ht="15" customHeight="1" outlineLevel="1">
      <c r="A48" s="607"/>
      <c r="B48" s="559"/>
      <c r="C48" s="357" t="s">
        <v>11</v>
      </c>
      <c r="D48" s="358"/>
      <c r="E48" s="143">
        <f t="shared" ref="E48:R48" si="164">+E46-E47</f>
        <v>13221.576000000001</v>
      </c>
      <c r="F48" s="144">
        <f t="shared" si="164"/>
        <v>0</v>
      </c>
      <c r="G48" s="145">
        <f t="shared" si="164"/>
        <v>0</v>
      </c>
      <c r="H48" s="145">
        <f t="shared" si="164"/>
        <v>0</v>
      </c>
      <c r="I48" s="145">
        <f t="shared" si="164"/>
        <v>0</v>
      </c>
      <c r="J48" s="145">
        <f t="shared" si="164"/>
        <v>0</v>
      </c>
      <c r="K48" s="145">
        <f t="shared" si="164"/>
        <v>0</v>
      </c>
      <c r="L48" s="145">
        <f t="shared" si="164"/>
        <v>0</v>
      </c>
      <c r="M48" s="145">
        <f t="shared" si="164"/>
        <v>0</v>
      </c>
      <c r="N48" s="145">
        <f t="shared" si="164"/>
        <v>0</v>
      </c>
      <c r="O48" s="145">
        <f t="shared" si="164"/>
        <v>0</v>
      </c>
      <c r="P48" s="145">
        <f t="shared" si="164"/>
        <v>0</v>
      </c>
      <c r="Q48" s="145">
        <f t="shared" si="164"/>
        <v>0</v>
      </c>
      <c r="R48" s="146">
        <f t="shared" si="164"/>
        <v>0</v>
      </c>
      <c r="S48" s="147">
        <f t="shared" si="67"/>
        <v>0</v>
      </c>
      <c r="T48" s="148">
        <f t="shared" ref="T48:AE48" si="165">+T46-T47</f>
        <v>0</v>
      </c>
      <c r="U48" s="145">
        <f t="shared" si="165"/>
        <v>0</v>
      </c>
      <c r="V48" s="145">
        <f t="shared" si="165"/>
        <v>0</v>
      </c>
      <c r="W48" s="145">
        <f t="shared" si="165"/>
        <v>0</v>
      </c>
      <c r="X48" s="145">
        <f t="shared" si="165"/>
        <v>0</v>
      </c>
      <c r="Y48" s="145">
        <f t="shared" si="165"/>
        <v>0</v>
      </c>
      <c r="Z48" s="145">
        <f t="shared" si="165"/>
        <v>0</v>
      </c>
      <c r="AA48" s="145">
        <f t="shared" si="165"/>
        <v>0</v>
      </c>
      <c r="AB48" s="145">
        <f t="shared" si="165"/>
        <v>0</v>
      </c>
      <c r="AC48" s="145">
        <f t="shared" si="165"/>
        <v>0</v>
      </c>
      <c r="AD48" s="145">
        <f t="shared" si="165"/>
        <v>0</v>
      </c>
      <c r="AE48" s="146">
        <f t="shared" si="165"/>
        <v>0</v>
      </c>
      <c r="AF48" s="147">
        <f t="shared" si="68"/>
        <v>0</v>
      </c>
      <c r="AG48" s="148">
        <f t="shared" ref="AG48:AR48" si="166">+AG46-AG47</f>
        <v>0</v>
      </c>
      <c r="AH48" s="145">
        <f t="shared" si="166"/>
        <v>0</v>
      </c>
      <c r="AI48" s="145">
        <f t="shared" si="166"/>
        <v>0</v>
      </c>
      <c r="AJ48" s="145">
        <f t="shared" si="166"/>
        <v>0</v>
      </c>
      <c r="AK48" s="145">
        <f t="shared" si="166"/>
        <v>0</v>
      </c>
      <c r="AL48" s="145">
        <f t="shared" si="166"/>
        <v>0</v>
      </c>
      <c r="AM48" s="145">
        <f t="shared" si="166"/>
        <v>0</v>
      </c>
      <c r="AN48" s="145">
        <f t="shared" si="166"/>
        <v>0</v>
      </c>
      <c r="AO48" s="145">
        <f t="shared" si="166"/>
        <v>0</v>
      </c>
      <c r="AP48" s="145">
        <f t="shared" si="166"/>
        <v>0</v>
      </c>
      <c r="AQ48" s="145">
        <f t="shared" si="166"/>
        <v>0</v>
      </c>
      <c r="AR48" s="146">
        <f t="shared" si="166"/>
        <v>0</v>
      </c>
      <c r="AS48" s="408">
        <f>SUM(AG48:AR48)</f>
        <v>0</v>
      </c>
      <c r="AT48" s="148">
        <f t="shared" ref="AT48:BE48" si="167">+AT46-AT47</f>
        <v>0</v>
      </c>
      <c r="AU48" s="145">
        <f t="shared" si="167"/>
        <v>0</v>
      </c>
      <c r="AV48" s="145">
        <f t="shared" si="167"/>
        <v>0</v>
      </c>
      <c r="AW48" s="145">
        <f t="shared" si="167"/>
        <v>0</v>
      </c>
      <c r="AX48" s="145">
        <f t="shared" si="167"/>
        <v>0</v>
      </c>
      <c r="AY48" s="145">
        <f t="shared" si="167"/>
        <v>0</v>
      </c>
      <c r="AZ48" s="145">
        <f t="shared" si="167"/>
        <v>0</v>
      </c>
      <c r="BA48" s="145">
        <f t="shared" si="167"/>
        <v>0</v>
      </c>
      <c r="BB48" s="145">
        <f t="shared" si="167"/>
        <v>0</v>
      </c>
      <c r="BC48" s="145">
        <f t="shared" si="167"/>
        <v>0</v>
      </c>
      <c r="BD48" s="145">
        <f t="shared" si="167"/>
        <v>46.729097554526902</v>
      </c>
      <c r="BE48" s="146">
        <f t="shared" si="167"/>
        <v>69.575708250251409</v>
      </c>
      <c r="BF48" s="147">
        <f>SUM(AT48:BE48)</f>
        <v>116.30480580477831</v>
      </c>
      <c r="BG48" s="148">
        <f t="shared" ref="BG48:BR48" si="168">+BG46-BG47</f>
        <v>99.033125051081242</v>
      </c>
      <c r="BH48" s="145">
        <f t="shared" si="168"/>
        <v>121.97691949219734</v>
      </c>
      <c r="BI48" s="145">
        <f t="shared" si="168"/>
        <v>139.70899297170513</v>
      </c>
      <c r="BJ48" s="145">
        <f t="shared" si="168"/>
        <v>153.4168108135716</v>
      </c>
      <c r="BK48" s="145">
        <f t="shared" si="168"/>
        <v>164.17636993056249</v>
      </c>
      <c r="BL48" s="145">
        <f t="shared" si="168"/>
        <v>172.95516648717944</v>
      </c>
      <c r="BM48" s="145">
        <f t="shared" si="168"/>
        <v>180.61516356259767</v>
      </c>
      <c r="BN48" s="145">
        <f t="shared" si="168"/>
        <v>187.91575881360336</v>
      </c>
      <c r="BO48" s="145">
        <f t="shared" si="168"/>
        <v>195.51675213752947</v>
      </c>
      <c r="BP48" s="145">
        <f t="shared" si="168"/>
        <v>203.98131333519541</v>
      </c>
      <c r="BQ48" s="145">
        <f t="shared" si="168"/>
        <v>213.77894977384358</v>
      </c>
      <c r="BR48" s="146">
        <f t="shared" si="168"/>
        <v>225.28847405007059</v>
      </c>
      <c r="BS48" s="147">
        <f>SUM(BG48:BR48)</f>
        <v>2058.3637964191375</v>
      </c>
      <c r="BT48" s="148">
        <f t="shared" ref="BT48:CE48" si="169">+BT46-BT47</f>
        <v>238.80097165277903</v>
      </c>
      <c r="BU48" s="145">
        <f t="shared" si="169"/>
        <v>254.52276862609779</v>
      </c>
      <c r="BV48" s="145">
        <f t="shared" si="169"/>
        <v>272.57839923232814</v>
      </c>
      <c r="BW48" s="145">
        <f t="shared" si="169"/>
        <v>293.01357361488363</v>
      </c>
      <c r="BX48" s="145">
        <f t="shared" si="169"/>
        <v>315.79814546122179</v>
      </c>
      <c r="BY48" s="145">
        <f t="shared" si="169"/>
        <v>340.82907966577977</v>
      </c>
      <c r="BZ48" s="145">
        <f t="shared" si="169"/>
        <v>367.93341999292261</v>
      </c>
      <c r="CA48" s="145">
        <f t="shared" si="169"/>
        <v>396.87125673986293</v>
      </c>
      <c r="CB48" s="145">
        <f t="shared" si="169"/>
        <v>427.33869439961791</v>
      </c>
      <c r="CC48" s="145">
        <f t="shared" si="169"/>
        <v>458.9708193239303</v>
      </c>
      <c r="CD48" s="145">
        <f t="shared" si="169"/>
        <v>491.34466738622086</v>
      </c>
      <c r="CE48" s="146">
        <f t="shared" si="169"/>
        <v>523.98219164449256</v>
      </c>
      <c r="CF48" s="147">
        <f t="shared" si="75"/>
        <v>4381.9839877401373</v>
      </c>
      <c r="CG48" s="148">
        <f t="shared" ref="CG48:CR48" si="170">+CG46-CG47</f>
        <v>556.35323000431526</v>
      </c>
      <c r="CH48" s="145">
        <f t="shared" si="170"/>
        <v>587.87847288174999</v>
      </c>
      <c r="CI48" s="145">
        <f t="shared" si="170"/>
        <v>617.93243086625989</v>
      </c>
      <c r="CJ48" s="145">
        <f t="shared" si="170"/>
        <v>645.84640238363409</v>
      </c>
      <c r="CK48" s="145">
        <f t="shared" si="170"/>
        <v>670.91144135901868</v>
      </c>
      <c r="CL48" s="145">
        <f t="shared" si="170"/>
        <v>692.38132487971052</v>
      </c>
      <c r="CM48" s="145">
        <f t="shared" si="170"/>
        <v>709.47552085826374</v>
      </c>
      <c r="CN48" s="145">
        <f t="shared" si="170"/>
        <v>721.38215569530985</v>
      </c>
      <c r="CO48" s="145">
        <f t="shared" si="170"/>
        <v>727.26098194240421</v>
      </c>
      <c r="CP48" s="145">
        <f t="shared" si="170"/>
        <v>735.50144916529734</v>
      </c>
      <c r="CQ48" s="145">
        <f t="shared" si="170"/>
        <v>0</v>
      </c>
      <c r="CR48" s="146">
        <f t="shared" si="170"/>
        <v>0</v>
      </c>
      <c r="CS48" s="147">
        <f t="shared" si="76"/>
        <v>6664.9234100359636</v>
      </c>
      <c r="CT48" s="148">
        <f t="shared" ref="CT48:DE48" si="171">+CT46-CT47</f>
        <v>0</v>
      </c>
      <c r="CU48" s="145">
        <f t="shared" si="171"/>
        <v>0</v>
      </c>
      <c r="CV48" s="145">
        <f t="shared" si="171"/>
        <v>0</v>
      </c>
      <c r="CW48" s="145">
        <f t="shared" si="171"/>
        <v>0</v>
      </c>
      <c r="CX48" s="145">
        <f t="shared" si="171"/>
        <v>0</v>
      </c>
      <c r="CY48" s="145">
        <f t="shared" si="171"/>
        <v>0</v>
      </c>
      <c r="CZ48" s="145">
        <f t="shared" si="171"/>
        <v>0</v>
      </c>
      <c r="DA48" s="145">
        <f t="shared" si="171"/>
        <v>0</v>
      </c>
      <c r="DB48" s="145">
        <f t="shared" si="171"/>
        <v>0</v>
      </c>
      <c r="DC48" s="145">
        <f t="shared" si="171"/>
        <v>0</v>
      </c>
      <c r="DD48" s="145">
        <f t="shared" si="171"/>
        <v>0</v>
      </c>
      <c r="DE48" s="146">
        <f t="shared" si="171"/>
        <v>0</v>
      </c>
      <c r="DF48" s="147">
        <f t="shared" si="77"/>
        <v>0</v>
      </c>
      <c r="DG48" s="146">
        <f>+DG46-DG47</f>
        <v>0</v>
      </c>
      <c r="DH48" s="98">
        <f>+F48+S48+AF48+AS48+BF48+BS48+DG48</f>
        <v>2174.668602223916</v>
      </c>
      <c r="DI48" s="99">
        <f>+E48</f>
        <v>13221.576000000001</v>
      </c>
      <c r="DJ48" s="100">
        <f>+DI48-DH48</f>
        <v>11046.907397776085</v>
      </c>
    </row>
    <row r="49" spans="1:118" ht="15" customHeight="1" outlineLevel="1">
      <c r="A49" s="607"/>
      <c r="B49" s="557" t="s">
        <v>200</v>
      </c>
      <c r="C49" s="246" t="s">
        <v>62</v>
      </c>
      <c r="D49" s="183" t="s">
        <v>122</v>
      </c>
      <c r="E49" s="153">
        <f>AF49+AS49+BF49+BS49+CF49+CS49+DF49+S49+DG49</f>
        <v>109641.60000000002</v>
      </c>
      <c r="F49" s="153"/>
      <c r="G49" s="154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284"/>
      <c r="S49" s="157">
        <f t="shared" si="67"/>
        <v>0</v>
      </c>
      <c r="T49" s="378"/>
      <c r="U49" s="382"/>
      <c r="V49" s="382"/>
      <c r="W49" s="382"/>
      <c r="X49" s="382"/>
      <c r="Y49" s="382"/>
      <c r="Z49" s="382"/>
      <c r="AA49" s="382"/>
      <c r="AB49" s="382"/>
      <c r="AC49" s="382"/>
      <c r="AD49" s="382"/>
      <c r="AE49" s="481"/>
      <c r="AF49" s="157">
        <f t="shared" si="68"/>
        <v>0</v>
      </c>
      <c r="AG49" s="500"/>
      <c r="AH49" s="513"/>
      <c r="AI49" s="513"/>
      <c r="AJ49" s="513"/>
      <c r="AK49" s="513"/>
      <c r="AL49" s="513"/>
      <c r="AM49" s="513"/>
      <c r="AN49" s="513"/>
      <c r="AO49" s="513"/>
      <c r="AP49" s="513"/>
      <c r="AQ49" s="513"/>
      <c r="AR49" s="513"/>
      <c r="AS49" s="409">
        <f t="shared" si="130"/>
        <v>0</v>
      </c>
      <c r="AT49" s="513"/>
      <c r="AU49" s="513"/>
      <c r="AV49" s="513"/>
      <c r="AW49" s="283"/>
      <c r="AX49" s="283"/>
      <c r="AY49" s="285"/>
      <c r="AZ49" s="359"/>
      <c r="BA49" s="283"/>
      <c r="BB49" s="283"/>
      <c r="BC49" s="283"/>
      <c r="BD49" s="283"/>
      <c r="BE49" s="283"/>
      <c r="BF49" s="157">
        <f t="shared" si="70"/>
        <v>0</v>
      </c>
      <c r="BG49" s="283"/>
      <c r="BH49" s="283"/>
      <c r="BI49" s="283"/>
      <c r="BJ49" s="283"/>
      <c r="BK49" s="283"/>
      <c r="BL49" s="285"/>
      <c r="BM49" s="359"/>
      <c r="BN49" s="283"/>
      <c r="BO49" s="283"/>
      <c r="BP49" s="283">
        <v>300.31407839495756</v>
      </c>
      <c r="BQ49" s="283">
        <v>897.65193129723355</v>
      </c>
      <c r="BR49" s="283">
        <v>1485.1549217944505</v>
      </c>
      <c r="BS49" s="157">
        <f t="shared" si="71"/>
        <v>2683.1209314866419</v>
      </c>
      <c r="BT49" s="283">
        <v>2056.3862441798533</v>
      </c>
      <c r="BU49" s="283">
        <v>2605.0873685475544</v>
      </c>
      <c r="BV49" s="283">
        <v>3125.246610555826</v>
      </c>
      <c r="BW49" s="283">
        <v>3611.164996698973</v>
      </c>
      <c r="BX49" s="283">
        <v>4057.5187034534642</v>
      </c>
      <c r="BY49" s="285">
        <v>4459.4173862024663</v>
      </c>
      <c r="BZ49" s="359">
        <v>4812.457758875199</v>
      </c>
      <c r="CA49" s="283">
        <v>5112.7718372702002</v>
      </c>
      <c r="CB49" s="283">
        <v>5357.069317499695</v>
      </c>
      <c r="CC49" s="283">
        <v>5542.6736252478831</v>
      </c>
      <c r="CD49" s="283">
        <v>5667.5512408788754</v>
      </c>
      <c r="CE49" s="285">
        <v>5730.3339791033559</v>
      </c>
      <c r="CF49" s="157">
        <f t="shared" si="75"/>
        <v>52137.679068513346</v>
      </c>
      <c r="CG49" s="359">
        <v>5730.3339791033641</v>
      </c>
      <c r="CH49" s="283">
        <v>5667.5512408788754</v>
      </c>
      <c r="CI49" s="283">
        <v>5542.6736252478913</v>
      </c>
      <c r="CJ49" s="283">
        <v>5357.0693174997414</v>
      </c>
      <c r="CK49" s="283">
        <v>5112.7718372701456</v>
      </c>
      <c r="CL49" s="283">
        <v>4812.4577588751954</v>
      </c>
      <c r="CM49" s="283">
        <v>4459.4173862025136</v>
      </c>
      <c r="CN49" s="283">
        <v>4057.5187034534288</v>
      </c>
      <c r="CO49" s="283">
        <v>3611.1649966989767</v>
      </c>
      <c r="CP49" s="283">
        <v>3125.2466105558456</v>
      </c>
      <c r="CQ49" s="283">
        <v>2605.0873685475258</v>
      </c>
      <c r="CR49" s="285">
        <v>2056.3862441798751</v>
      </c>
      <c r="CS49" s="157">
        <f t="shared" si="76"/>
        <v>52137.679068513389</v>
      </c>
      <c r="CT49" s="359">
        <v>1485.1549217944623</v>
      </c>
      <c r="CU49" s="283">
        <v>897.65193129721217</v>
      </c>
      <c r="CV49" s="283">
        <v>300.3140783949662</v>
      </c>
      <c r="CW49" s="283"/>
      <c r="CX49" s="283"/>
      <c r="CY49" s="283"/>
      <c r="CZ49" s="283"/>
      <c r="DA49" s="283"/>
      <c r="DB49" s="283"/>
      <c r="DC49" s="283"/>
      <c r="DD49" s="283"/>
      <c r="DE49" s="285"/>
      <c r="DF49" s="157">
        <f t="shared" si="77"/>
        <v>2683.1209314866405</v>
      </c>
      <c r="DG49" s="280"/>
      <c r="DH49" s="159">
        <f t="shared" si="72"/>
        <v>2683.1209314866419</v>
      </c>
      <c r="DI49" s="160">
        <f t="shared" si="73"/>
        <v>109641.60000000002</v>
      </c>
      <c r="DJ49" s="161">
        <f t="shared" si="74"/>
        <v>106958.47906851338</v>
      </c>
      <c r="DM49" s="134">
        <f>AS49+BF49+BS49+CF49+CS49+DG49+DF49</f>
        <v>109641.60000000002</v>
      </c>
    </row>
    <row r="50" spans="1:118" ht="15" customHeight="1" outlineLevel="1">
      <c r="A50" s="607"/>
      <c r="B50" s="558"/>
      <c r="C50" s="245" t="s">
        <v>63</v>
      </c>
      <c r="D50" s="184" t="s">
        <v>124</v>
      </c>
      <c r="E50" s="136">
        <f>AF50+AS50+BF50+BS50+CF50+CS50+DF50+S50+DG50</f>
        <v>101966.68800000002</v>
      </c>
      <c r="F50" s="136"/>
      <c r="G50" s="137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9"/>
      <c r="S50" s="162">
        <f t="shared" si="67"/>
        <v>0</v>
      </c>
      <c r="T50" s="380"/>
      <c r="U50" s="381"/>
      <c r="V50" s="381"/>
      <c r="W50" s="381"/>
      <c r="X50" s="381"/>
      <c r="Y50" s="381"/>
      <c r="Z50" s="381"/>
      <c r="AA50" s="381"/>
      <c r="AB50" s="381"/>
      <c r="AC50" s="381"/>
      <c r="AD50" s="381"/>
      <c r="AE50" s="392"/>
      <c r="AF50" s="162">
        <f t="shared" si="68"/>
        <v>0</v>
      </c>
      <c r="AG50" s="501"/>
      <c r="AH50" s="499"/>
      <c r="AI50" s="499"/>
      <c r="AJ50" s="499"/>
      <c r="AK50" s="499"/>
      <c r="AL50" s="499"/>
      <c r="AM50" s="499"/>
      <c r="AN50" s="499"/>
      <c r="AO50" s="499"/>
      <c r="AP50" s="499"/>
      <c r="AQ50" s="499"/>
      <c r="AR50" s="511"/>
      <c r="AS50" s="410">
        <f t="shared" si="130"/>
        <v>0</v>
      </c>
      <c r="AT50" s="499"/>
      <c r="AU50" s="499"/>
      <c r="AV50" s="511"/>
      <c r="AW50" s="253"/>
      <c r="AX50" s="253"/>
      <c r="AY50" s="338"/>
      <c r="AZ50" s="353"/>
      <c r="BA50" s="253"/>
      <c r="BB50" s="253"/>
      <c r="BC50" s="253"/>
      <c r="BD50" s="253"/>
      <c r="BE50" s="253"/>
      <c r="BF50" s="162">
        <f t="shared" si="70"/>
        <v>0</v>
      </c>
      <c r="BG50" s="253"/>
      <c r="BH50" s="253"/>
      <c r="BI50" s="253"/>
      <c r="BJ50" s="253"/>
      <c r="BK50" s="253"/>
      <c r="BL50" s="338"/>
      <c r="BM50" s="353"/>
      <c r="BN50" s="253"/>
      <c r="BO50" s="253"/>
      <c r="BP50" s="253">
        <v>279.29209290731052</v>
      </c>
      <c r="BQ50" s="253">
        <v>834.81629610642722</v>
      </c>
      <c r="BR50" s="253">
        <v>1381.194077268839</v>
      </c>
      <c r="BS50" s="162">
        <f t="shared" si="71"/>
        <v>2495.3024662825765</v>
      </c>
      <c r="BT50" s="253">
        <v>1912.4392070872639</v>
      </c>
      <c r="BU50" s="253">
        <v>2422.7312527492259</v>
      </c>
      <c r="BV50" s="253">
        <v>2906.4793478169181</v>
      </c>
      <c r="BW50" s="253">
        <v>3358.383446930045</v>
      </c>
      <c r="BX50" s="253">
        <v>3773.4923942117216</v>
      </c>
      <c r="BY50" s="338">
        <v>4147.2581691682944</v>
      </c>
      <c r="BZ50" s="353">
        <v>4475.5857157539349</v>
      </c>
      <c r="CA50" s="253">
        <v>4754.8778086612865</v>
      </c>
      <c r="CB50" s="253">
        <v>4982.0744652747162</v>
      </c>
      <c r="CC50" s="253">
        <v>5154.6864714805315</v>
      </c>
      <c r="CD50" s="253">
        <v>5270.8226540173537</v>
      </c>
      <c r="CE50" s="338">
        <v>5329.2106005661208</v>
      </c>
      <c r="CF50" s="162">
        <f t="shared" si="75"/>
        <v>48488.04153371742</v>
      </c>
      <c r="CG50" s="353">
        <v>5329.210600566129</v>
      </c>
      <c r="CH50" s="253">
        <v>5270.8226540173537</v>
      </c>
      <c r="CI50" s="253">
        <v>5154.6864714805388</v>
      </c>
      <c r="CJ50" s="253">
        <v>4982.0744652747599</v>
      </c>
      <c r="CK50" s="253">
        <v>4754.8778086612356</v>
      </c>
      <c r="CL50" s="253">
        <v>4475.5857157539313</v>
      </c>
      <c r="CM50" s="253">
        <v>4147.2581691683381</v>
      </c>
      <c r="CN50" s="253">
        <v>3773.4923942116889</v>
      </c>
      <c r="CO50" s="253">
        <v>3358.3834469300486</v>
      </c>
      <c r="CP50" s="253">
        <v>2906.4793478169363</v>
      </c>
      <c r="CQ50" s="253">
        <v>2422.7312527491995</v>
      </c>
      <c r="CR50" s="338">
        <v>1912.4392070872836</v>
      </c>
      <c r="CS50" s="162">
        <f t="shared" si="76"/>
        <v>48488.041533717449</v>
      </c>
      <c r="CT50" s="353">
        <v>1381.1940772688499</v>
      </c>
      <c r="CU50" s="253">
        <v>834.81629610640732</v>
      </c>
      <c r="CV50" s="253">
        <v>279.29209290731859</v>
      </c>
      <c r="CW50" s="253"/>
      <c r="CX50" s="253"/>
      <c r="CY50" s="253"/>
      <c r="CZ50" s="253"/>
      <c r="DA50" s="253"/>
      <c r="DB50" s="253"/>
      <c r="DC50" s="253"/>
      <c r="DD50" s="253"/>
      <c r="DE50" s="338"/>
      <c r="DF50" s="162">
        <f t="shared" si="77"/>
        <v>2495.3024662825756</v>
      </c>
      <c r="DG50" s="279"/>
      <c r="DH50" s="90">
        <f t="shared" si="72"/>
        <v>2495.3024662825765</v>
      </c>
      <c r="DI50" s="91">
        <f t="shared" si="73"/>
        <v>101966.68800000002</v>
      </c>
      <c r="DJ50" s="92">
        <f t="shared" si="74"/>
        <v>99471.385533717446</v>
      </c>
      <c r="DK50" s="64">
        <f>+DH50/DH49</f>
        <v>0.92999999999999983</v>
      </c>
      <c r="DM50" s="134">
        <f>AS50+BF50+BS50+CF50+CS50+DG50+DF50</f>
        <v>101966.68800000002</v>
      </c>
      <c r="DN50" s="533">
        <f>DM50/DM49</f>
        <v>0.93</v>
      </c>
    </row>
    <row r="51" spans="1:118" ht="15" customHeight="1" outlineLevel="1">
      <c r="A51" s="607"/>
      <c r="B51" s="559"/>
      <c r="C51" s="357" t="s">
        <v>11</v>
      </c>
      <c r="D51" s="358"/>
      <c r="E51" s="143">
        <f t="shared" ref="E51:R51" si="172">+E49-E50</f>
        <v>7674.9119999999966</v>
      </c>
      <c r="F51" s="144">
        <f t="shared" si="172"/>
        <v>0</v>
      </c>
      <c r="G51" s="145">
        <f t="shared" si="172"/>
        <v>0</v>
      </c>
      <c r="H51" s="145">
        <f t="shared" si="172"/>
        <v>0</v>
      </c>
      <c r="I51" s="145">
        <f t="shared" si="172"/>
        <v>0</v>
      </c>
      <c r="J51" s="145">
        <f t="shared" si="172"/>
        <v>0</v>
      </c>
      <c r="K51" s="145">
        <f t="shared" si="172"/>
        <v>0</v>
      </c>
      <c r="L51" s="145">
        <f t="shared" si="172"/>
        <v>0</v>
      </c>
      <c r="M51" s="145">
        <f t="shared" si="172"/>
        <v>0</v>
      </c>
      <c r="N51" s="145">
        <f t="shared" si="172"/>
        <v>0</v>
      </c>
      <c r="O51" s="145">
        <f t="shared" si="172"/>
        <v>0</v>
      </c>
      <c r="P51" s="145">
        <f t="shared" si="172"/>
        <v>0</v>
      </c>
      <c r="Q51" s="145">
        <f t="shared" si="172"/>
        <v>0</v>
      </c>
      <c r="R51" s="146">
        <f t="shared" si="172"/>
        <v>0</v>
      </c>
      <c r="S51" s="147">
        <f t="shared" si="67"/>
        <v>0</v>
      </c>
      <c r="T51" s="148">
        <f t="shared" ref="T51:AE51" si="173">+T49-T50</f>
        <v>0</v>
      </c>
      <c r="U51" s="145">
        <f t="shared" si="173"/>
        <v>0</v>
      </c>
      <c r="V51" s="145">
        <f t="shared" si="173"/>
        <v>0</v>
      </c>
      <c r="W51" s="145">
        <f t="shared" si="173"/>
        <v>0</v>
      </c>
      <c r="X51" s="145">
        <f t="shared" si="173"/>
        <v>0</v>
      </c>
      <c r="Y51" s="145">
        <f t="shared" si="173"/>
        <v>0</v>
      </c>
      <c r="Z51" s="145">
        <f t="shared" si="173"/>
        <v>0</v>
      </c>
      <c r="AA51" s="145">
        <f t="shared" si="173"/>
        <v>0</v>
      </c>
      <c r="AB51" s="145">
        <f t="shared" si="173"/>
        <v>0</v>
      </c>
      <c r="AC51" s="145">
        <f t="shared" si="173"/>
        <v>0</v>
      </c>
      <c r="AD51" s="145">
        <f t="shared" si="173"/>
        <v>0</v>
      </c>
      <c r="AE51" s="146">
        <f t="shared" si="173"/>
        <v>0</v>
      </c>
      <c r="AF51" s="147">
        <f t="shared" si="68"/>
        <v>0</v>
      </c>
      <c r="AG51" s="148">
        <f t="shared" ref="AG51:AR51" si="174">+AG49-AG50</f>
        <v>0</v>
      </c>
      <c r="AH51" s="145">
        <f t="shared" si="174"/>
        <v>0</v>
      </c>
      <c r="AI51" s="145">
        <f t="shared" si="174"/>
        <v>0</v>
      </c>
      <c r="AJ51" s="145">
        <f t="shared" si="174"/>
        <v>0</v>
      </c>
      <c r="AK51" s="145">
        <f t="shared" si="174"/>
        <v>0</v>
      </c>
      <c r="AL51" s="145">
        <f t="shared" si="174"/>
        <v>0</v>
      </c>
      <c r="AM51" s="145">
        <f t="shared" si="174"/>
        <v>0</v>
      </c>
      <c r="AN51" s="145">
        <f t="shared" si="174"/>
        <v>0</v>
      </c>
      <c r="AO51" s="145">
        <f t="shared" si="174"/>
        <v>0</v>
      </c>
      <c r="AP51" s="145">
        <f t="shared" si="174"/>
        <v>0</v>
      </c>
      <c r="AQ51" s="145">
        <f t="shared" si="174"/>
        <v>0</v>
      </c>
      <c r="AR51" s="146">
        <f t="shared" si="174"/>
        <v>0</v>
      </c>
      <c r="AS51" s="408">
        <f t="shared" si="130"/>
        <v>0</v>
      </c>
      <c r="AT51" s="148">
        <f t="shared" ref="AT51:BE51" si="175">+AT49-AT50</f>
        <v>0</v>
      </c>
      <c r="AU51" s="145">
        <f t="shared" si="175"/>
        <v>0</v>
      </c>
      <c r="AV51" s="145">
        <f t="shared" si="175"/>
        <v>0</v>
      </c>
      <c r="AW51" s="145">
        <f t="shared" si="175"/>
        <v>0</v>
      </c>
      <c r="AX51" s="145">
        <f t="shared" si="175"/>
        <v>0</v>
      </c>
      <c r="AY51" s="145">
        <f t="shared" si="175"/>
        <v>0</v>
      </c>
      <c r="AZ51" s="145">
        <f t="shared" si="175"/>
        <v>0</v>
      </c>
      <c r="BA51" s="145">
        <f t="shared" si="175"/>
        <v>0</v>
      </c>
      <c r="BB51" s="145">
        <f t="shared" si="175"/>
        <v>0</v>
      </c>
      <c r="BC51" s="145">
        <f t="shared" si="175"/>
        <v>0</v>
      </c>
      <c r="BD51" s="145">
        <f t="shared" si="175"/>
        <v>0</v>
      </c>
      <c r="BE51" s="146">
        <f t="shared" si="175"/>
        <v>0</v>
      </c>
      <c r="BF51" s="147">
        <f t="shared" si="70"/>
        <v>0</v>
      </c>
      <c r="BG51" s="148">
        <f t="shared" ref="BG51:BR51" si="176">+BG49-BG50</f>
        <v>0</v>
      </c>
      <c r="BH51" s="145">
        <f t="shared" si="176"/>
        <v>0</v>
      </c>
      <c r="BI51" s="145">
        <f t="shared" si="176"/>
        <v>0</v>
      </c>
      <c r="BJ51" s="145">
        <f t="shared" si="176"/>
        <v>0</v>
      </c>
      <c r="BK51" s="145">
        <f t="shared" si="176"/>
        <v>0</v>
      </c>
      <c r="BL51" s="145">
        <f t="shared" si="176"/>
        <v>0</v>
      </c>
      <c r="BM51" s="145">
        <f t="shared" si="176"/>
        <v>0</v>
      </c>
      <c r="BN51" s="145">
        <f t="shared" si="176"/>
        <v>0</v>
      </c>
      <c r="BO51" s="145">
        <f t="shared" si="176"/>
        <v>0</v>
      </c>
      <c r="BP51" s="145">
        <f t="shared" si="176"/>
        <v>21.021985487647044</v>
      </c>
      <c r="BQ51" s="145">
        <f t="shared" si="176"/>
        <v>62.835635190806329</v>
      </c>
      <c r="BR51" s="146">
        <f t="shared" si="176"/>
        <v>103.96084452561149</v>
      </c>
      <c r="BS51" s="147">
        <f t="shared" si="71"/>
        <v>187.81846520406486</v>
      </c>
      <c r="BT51" s="148">
        <f t="shared" ref="BT51:CE51" si="177">+BT49-BT50</f>
        <v>143.94703709258943</v>
      </c>
      <c r="BU51" s="145">
        <f t="shared" si="177"/>
        <v>182.35611579832857</v>
      </c>
      <c r="BV51" s="145">
        <f t="shared" si="177"/>
        <v>218.7672627389079</v>
      </c>
      <c r="BW51" s="145">
        <f t="shared" si="177"/>
        <v>252.78154976892802</v>
      </c>
      <c r="BX51" s="145">
        <f t="shared" si="177"/>
        <v>284.02630924174264</v>
      </c>
      <c r="BY51" s="145">
        <f t="shared" si="177"/>
        <v>312.15921703417189</v>
      </c>
      <c r="BZ51" s="145">
        <f t="shared" si="177"/>
        <v>336.87204312126414</v>
      </c>
      <c r="CA51" s="145">
        <f t="shared" si="177"/>
        <v>357.89402860891369</v>
      </c>
      <c r="CB51" s="145">
        <f t="shared" si="177"/>
        <v>374.99485222497879</v>
      </c>
      <c r="CC51" s="145">
        <f t="shared" si="177"/>
        <v>387.98715376735163</v>
      </c>
      <c r="CD51" s="145">
        <f t="shared" si="177"/>
        <v>396.72858686152176</v>
      </c>
      <c r="CE51" s="146">
        <f t="shared" si="177"/>
        <v>401.12337853723511</v>
      </c>
      <c r="CF51" s="147">
        <f t="shared" si="75"/>
        <v>3649.6375347959338</v>
      </c>
      <c r="CG51" s="148">
        <f t="shared" ref="CG51:CR51" si="178">+CG49-CG50</f>
        <v>401.12337853723511</v>
      </c>
      <c r="CH51" s="145">
        <f t="shared" si="178"/>
        <v>396.72858686152176</v>
      </c>
      <c r="CI51" s="145">
        <f t="shared" si="178"/>
        <v>387.98715376735254</v>
      </c>
      <c r="CJ51" s="145">
        <f t="shared" si="178"/>
        <v>374.99485222498151</v>
      </c>
      <c r="CK51" s="145">
        <f t="shared" si="178"/>
        <v>357.89402860891005</v>
      </c>
      <c r="CL51" s="145">
        <f t="shared" si="178"/>
        <v>336.87204312126414</v>
      </c>
      <c r="CM51" s="145">
        <f t="shared" si="178"/>
        <v>312.15921703417553</v>
      </c>
      <c r="CN51" s="145">
        <f t="shared" si="178"/>
        <v>284.02630924173991</v>
      </c>
      <c r="CO51" s="145">
        <f t="shared" si="178"/>
        <v>252.78154976892802</v>
      </c>
      <c r="CP51" s="145">
        <f t="shared" si="178"/>
        <v>218.76726273890927</v>
      </c>
      <c r="CQ51" s="145">
        <f t="shared" si="178"/>
        <v>182.3561157983263</v>
      </c>
      <c r="CR51" s="146">
        <f t="shared" si="178"/>
        <v>143.94703709259147</v>
      </c>
      <c r="CS51" s="147">
        <f t="shared" si="76"/>
        <v>3649.6375347959356</v>
      </c>
      <c r="CT51" s="148">
        <f t="shared" ref="CT51:DE51" si="179">+CT49-CT50</f>
        <v>103.9608445256124</v>
      </c>
      <c r="CU51" s="145">
        <f t="shared" si="179"/>
        <v>62.835635190804851</v>
      </c>
      <c r="CV51" s="145">
        <f t="shared" si="179"/>
        <v>21.021985487647612</v>
      </c>
      <c r="CW51" s="145">
        <f t="shared" si="179"/>
        <v>0</v>
      </c>
      <c r="CX51" s="145">
        <f t="shared" si="179"/>
        <v>0</v>
      </c>
      <c r="CY51" s="145">
        <f t="shared" si="179"/>
        <v>0</v>
      </c>
      <c r="CZ51" s="145">
        <f t="shared" si="179"/>
        <v>0</v>
      </c>
      <c r="DA51" s="145">
        <f t="shared" si="179"/>
        <v>0</v>
      </c>
      <c r="DB51" s="145">
        <f t="shared" si="179"/>
        <v>0</v>
      </c>
      <c r="DC51" s="145">
        <f t="shared" si="179"/>
        <v>0</v>
      </c>
      <c r="DD51" s="145">
        <f t="shared" si="179"/>
        <v>0</v>
      </c>
      <c r="DE51" s="146">
        <f t="shared" si="179"/>
        <v>0</v>
      </c>
      <c r="DF51" s="147">
        <f t="shared" si="77"/>
        <v>187.81846520406486</v>
      </c>
      <c r="DG51" s="146">
        <f>+DG49-DG50</f>
        <v>0</v>
      </c>
      <c r="DH51" s="98">
        <f t="shared" si="72"/>
        <v>187.81846520406486</v>
      </c>
      <c r="DI51" s="99">
        <f t="shared" si="73"/>
        <v>7674.9119999999966</v>
      </c>
      <c r="DJ51" s="100">
        <f t="shared" si="74"/>
        <v>7487.0935347959321</v>
      </c>
    </row>
    <row r="52" spans="1:118" ht="15" hidden="1" customHeight="1" outlineLevel="1">
      <c r="A52" s="607"/>
      <c r="B52" s="631" t="s">
        <v>58</v>
      </c>
      <c r="C52" s="246" t="s">
        <v>62</v>
      </c>
      <c r="D52" s="183" t="s">
        <v>122</v>
      </c>
      <c r="E52" s="153">
        <f>AF52+AS52+BF52+BS52+CF52+CS52+DF52+S52+DG52</f>
        <v>30399.149733337916</v>
      </c>
      <c r="F52" s="153"/>
      <c r="G52" s="154"/>
      <c r="H52" s="155"/>
      <c r="I52" s="155"/>
      <c r="J52" s="155"/>
      <c r="K52" s="155"/>
      <c r="L52" s="155"/>
      <c r="M52" s="155"/>
      <c r="N52" s="155"/>
      <c r="O52" s="155"/>
      <c r="P52" s="155"/>
      <c r="Q52" s="155"/>
      <c r="R52" s="156"/>
      <c r="S52" s="157">
        <f t="shared" ref="S52:S57" si="180">SUM(G52:R52)</f>
        <v>0</v>
      </c>
      <c r="T52" s="378"/>
      <c r="U52" s="382"/>
      <c r="V52" s="382"/>
      <c r="W52" s="382"/>
      <c r="X52" s="382"/>
      <c r="Y52" s="382"/>
      <c r="Z52" s="382"/>
      <c r="AA52" s="382"/>
      <c r="AB52" s="382"/>
      <c r="AC52" s="382"/>
      <c r="AD52" s="382"/>
      <c r="AE52" s="484">
        <v>25733.515743611886</v>
      </c>
      <c r="AF52" s="157">
        <f t="shared" si="68"/>
        <v>25733.515743611886</v>
      </c>
      <c r="AG52" s="499"/>
      <c r="AH52" s="513"/>
      <c r="AI52" s="513"/>
      <c r="AJ52" s="513"/>
      <c r="AK52" s="513"/>
      <c r="AL52" s="499"/>
      <c r="AM52" s="499"/>
      <c r="AN52" s="513"/>
      <c r="AO52" s="513"/>
      <c r="AP52" s="513"/>
      <c r="AQ52" s="513"/>
      <c r="AR52" s="500">
        <v>4665.6339897260277</v>
      </c>
      <c r="AS52" s="409">
        <f t="shared" si="130"/>
        <v>4665.6339897260277</v>
      </c>
      <c r="AT52" s="513"/>
      <c r="AU52" s="513"/>
      <c r="AV52" s="513"/>
      <c r="AW52" s="283"/>
      <c r="AX52" s="283"/>
      <c r="AY52" s="283"/>
      <c r="AZ52" s="283"/>
      <c r="BA52" s="283"/>
      <c r="BB52" s="283"/>
      <c r="BC52" s="283"/>
      <c r="BD52" s="285"/>
      <c r="BE52" s="359"/>
      <c r="BF52" s="157"/>
      <c r="BG52" s="283"/>
      <c r="BH52" s="283"/>
      <c r="BI52" s="283"/>
      <c r="BJ52" s="283"/>
      <c r="BK52" s="283"/>
      <c r="BL52" s="283"/>
      <c r="BM52" s="359"/>
      <c r="BN52" s="283"/>
      <c r="BO52" s="283"/>
      <c r="BP52" s="283"/>
      <c r="BQ52" s="283"/>
      <c r="BR52" s="359"/>
      <c r="BS52" s="157"/>
      <c r="BT52" s="283"/>
      <c r="BU52" s="283"/>
      <c r="BV52" s="283"/>
      <c r="BW52" s="283"/>
      <c r="BX52" s="283"/>
      <c r="BY52" s="283"/>
      <c r="BZ52" s="359"/>
      <c r="CA52" s="283"/>
      <c r="CB52" s="283"/>
      <c r="CC52" s="283"/>
      <c r="CD52" s="283"/>
      <c r="CE52" s="283"/>
      <c r="CF52" s="157"/>
      <c r="CG52" s="359"/>
      <c r="CH52" s="283"/>
      <c r="CI52" s="283"/>
      <c r="CJ52" s="283"/>
      <c r="CK52" s="283"/>
      <c r="CL52" s="283"/>
      <c r="CM52" s="283"/>
      <c r="CN52" s="359"/>
      <c r="CO52" s="283"/>
      <c r="CP52" s="283"/>
      <c r="CQ52" s="283"/>
      <c r="CR52" s="283"/>
      <c r="CS52" s="157"/>
      <c r="CT52" s="359"/>
      <c r="CU52" s="283"/>
      <c r="CV52" s="283"/>
      <c r="CW52" s="283"/>
      <c r="CX52" s="283"/>
      <c r="CY52" s="283"/>
      <c r="CZ52" s="283"/>
      <c r="DA52" s="359"/>
      <c r="DB52" s="283"/>
      <c r="DC52" s="283"/>
      <c r="DD52" s="283"/>
      <c r="DE52" s="283"/>
      <c r="DF52" s="157"/>
      <c r="DG52" s="280"/>
      <c r="DH52" s="159">
        <f t="shared" si="72"/>
        <v>30399.149733337916</v>
      </c>
      <c r="DI52" s="160">
        <f t="shared" si="73"/>
        <v>30399.149733337916</v>
      </c>
      <c r="DJ52" s="161">
        <f t="shared" si="74"/>
        <v>0</v>
      </c>
      <c r="DM52" s="134">
        <f>AS52+BF52+BS52+CF52+CS52+DG52+DF52</f>
        <v>4665.6339897260277</v>
      </c>
    </row>
    <row r="53" spans="1:118" ht="15" hidden="1" customHeight="1" outlineLevel="1">
      <c r="A53" s="607"/>
      <c r="B53" s="632"/>
      <c r="C53" s="245" t="s">
        <v>63</v>
      </c>
      <c r="D53" s="184" t="s">
        <v>119</v>
      </c>
      <c r="E53" s="136">
        <f>AF53+AS53+BF53+BS53+CF53+CS53+DF53+S53+DG53</f>
        <v>3019.8424441401285</v>
      </c>
      <c r="F53" s="136"/>
      <c r="G53" s="137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9"/>
      <c r="S53" s="162">
        <f t="shared" si="180"/>
        <v>0</v>
      </c>
      <c r="T53" s="380"/>
      <c r="U53" s="381"/>
      <c r="V53" s="381"/>
      <c r="W53" s="381"/>
      <c r="X53" s="381"/>
      <c r="Y53" s="381"/>
      <c r="Z53" s="381"/>
      <c r="AA53" s="381"/>
      <c r="AB53" s="381"/>
      <c r="AC53" s="381"/>
      <c r="AD53" s="381"/>
      <c r="AE53" s="392"/>
      <c r="AF53" s="162">
        <f t="shared" si="68"/>
        <v>0</v>
      </c>
      <c r="AG53" s="497"/>
      <c r="AH53" s="499"/>
      <c r="AI53" s="499"/>
      <c r="AJ53" s="499"/>
      <c r="AK53" s="499"/>
      <c r="AL53" s="499"/>
      <c r="AM53" s="499"/>
      <c r="AN53" s="499"/>
      <c r="AO53" s="499"/>
      <c r="AP53" s="499">
        <v>20.562684380583114</v>
      </c>
      <c r="AQ53" s="499">
        <v>517.10870370931684</v>
      </c>
      <c r="AR53" s="501">
        <v>2482.1710560502283</v>
      </c>
      <c r="AS53" s="410">
        <f t="shared" si="130"/>
        <v>3019.8424441401285</v>
      </c>
      <c r="AT53" s="499"/>
      <c r="AU53" s="499"/>
      <c r="AV53" s="499"/>
      <c r="AW53" s="253"/>
      <c r="AX53" s="253"/>
      <c r="AY53" s="253"/>
      <c r="AZ53" s="253"/>
      <c r="BA53" s="253"/>
      <c r="BB53" s="253"/>
      <c r="BC53" s="253"/>
      <c r="BD53" s="338"/>
      <c r="BE53" s="353"/>
      <c r="BF53" s="162"/>
      <c r="BG53" s="253"/>
      <c r="BH53" s="253"/>
      <c r="BI53" s="253"/>
      <c r="BJ53" s="253"/>
      <c r="BK53" s="253"/>
      <c r="BL53" s="253"/>
      <c r="BM53" s="353"/>
      <c r="BN53" s="253"/>
      <c r="BO53" s="253"/>
      <c r="BP53" s="253"/>
      <c r="BQ53" s="253"/>
      <c r="BR53" s="353"/>
      <c r="BS53" s="162"/>
      <c r="BT53" s="253"/>
      <c r="BU53" s="253"/>
      <c r="BV53" s="253"/>
      <c r="BW53" s="253"/>
      <c r="BX53" s="253"/>
      <c r="BY53" s="253"/>
      <c r="BZ53" s="353"/>
      <c r="CA53" s="253"/>
      <c r="CB53" s="253"/>
      <c r="CC53" s="253"/>
      <c r="CD53" s="253"/>
      <c r="CE53" s="253"/>
      <c r="CF53" s="162"/>
      <c r="CG53" s="353"/>
      <c r="CH53" s="253"/>
      <c r="CI53" s="253"/>
      <c r="CJ53" s="253"/>
      <c r="CK53" s="253"/>
      <c r="CL53" s="253"/>
      <c r="CM53" s="253"/>
      <c r="CN53" s="353"/>
      <c r="CO53" s="253"/>
      <c r="CP53" s="253"/>
      <c r="CQ53" s="253"/>
      <c r="CR53" s="253"/>
      <c r="CS53" s="162"/>
      <c r="CT53" s="353"/>
      <c r="CU53" s="253"/>
      <c r="CV53" s="253"/>
      <c r="CW53" s="253"/>
      <c r="CX53" s="253"/>
      <c r="CY53" s="253"/>
      <c r="CZ53" s="253"/>
      <c r="DA53" s="353"/>
      <c r="DB53" s="253"/>
      <c r="DC53" s="253"/>
      <c r="DD53" s="253"/>
      <c r="DE53" s="253"/>
      <c r="DF53" s="162"/>
      <c r="DG53" s="279"/>
      <c r="DH53" s="90">
        <f t="shared" si="72"/>
        <v>3019.8424441401285</v>
      </c>
      <c r="DI53" s="91">
        <f t="shared" si="73"/>
        <v>3019.8424441401285</v>
      </c>
      <c r="DJ53" s="92">
        <f t="shared" si="74"/>
        <v>0</v>
      </c>
      <c r="DK53" s="64">
        <f>+DH53/DH52</f>
        <v>9.9339700966318473E-2</v>
      </c>
      <c r="DM53" s="134">
        <f>AS53+BF53+BS53+CF53+CS53+DG53+DF53</f>
        <v>3019.8424441401285</v>
      </c>
    </row>
    <row r="54" spans="1:118" ht="15" hidden="1" customHeight="1" outlineLevel="1">
      <c r="A54" s="607"/>
      <c r="B54" s="633"/>
      <c r="C54" s="554" t="s">
        <v>11</v>
      </c>
      <c r="D54" s="555"/>
      <c r="E54" s="143">
        <f t="shared" ref="E54:R54" si="181">+E52-E53</f>
        <v>27379.307289197786</v>
      </c>
      <c r="F54" s="144">
        <f t="shared" si="181"/>
        <v>0</v>
      </c>
      <c r="G54" s="145">
        <f t="shared" si="181"/>
        <v>0</v>
      </c>
      <c r="H54" s="145">
        <f t="shared" si="181"/>
        <v>0</v>
      </c>
      <c r="I54" s="145">
        <f t="shared" si="181"/>
        <v>0</v>
      </c>
      <c r="J54" s="145">
        <f t="shared" si="181"/>
        <v>0</v>
      </c>
      <c r="K54" s="145">
        <f t="shared" si="181"/>
        <v>0</v>
      </c>
      <c r="L54" s="145">
        <f t="shared" si="181"/>
        <v>0</v>
      </c>
      <c r="M54" s="145">
        <f t="shared" si="181"/>
        <v>0</v>
      </c>
      <c r="N54" s="145">
        <f t="shared" si="181"/>
        <v>0</v>
      </c>
      <c r="O54" s="145">
        <f t="shared" si="181"/>
        <v>0</v>
      </c>
      <c r="P54" s="145">
        <f t="shared" si="181"/>
        <v>0</v>
      </c>
      <c r="Q54" s="145">
        <f t="shared" si="181"/>
        <v>0</v>
      </c>
      <c r="R54" s="146">
        <f t="shared" si="181"/>
        <v>0</v>
      </c>
      <c r="S54" s="147">
        <f t="shared" si="180"/>
        <v>0</v>
      </c>
      <c r="T54" s="148">
        <f t="shared" ref="T54:AE54" si="182">+T52-T53</f>
        <v>0</v>
      </c>
      <c r="U54" s="145">
        <f t="shared" si="182"/>
        <v>0</v>
      </c>
      <c r="V54" s="145">
        <f t="shared" si="182"/>
        <v>0</v>
      </c>
      <c r="W54" s="145">
        <f t="shared" si="182"/>
        <v>0</v>
      </c>
      <c r="X54" s="145">
        <f t="shared" si="182"/>
        <v>0</v>
      </c>
      <c r="Y54" s="145">
        <f t="shared" si="182"/>
        <v>0</v>
      </c>
      <c r="Z54" s="145">
        <f t="shared" si="182"/>
        <v>0</v>
      </c>
      <c r="AA54" s="145">
        <f t="shared" si="182"/>
        <v>0</v>
      </c>
      <c r="AB54" s="145">
        <f t="shared" si="182"/>
        <v>0</v>
      </c>
      <c r="AC54" s="145">
        <f t="shared" si="182"/>
        <v>0</v>
      </c>
      <c r="AD54" s="145">
        <f t="shared" si="182"/>
        <v>0</v>
      </c>
      <c r="AE54" s="146">
        <f t="shared" si="182"/>
        <v>25733.515743611886</v>
      </c>
      <c r="AF54" s="147">
        <f t="shared" si="68"/>
        <v>25733.515743611886</v>
      </c>
      <c r="AG54" s="148">
        <f t="shared" ref="AG54:AR54" si="183">+AG52-AG53</f>
        <v>0</v>
      </c>
      <c r="AH54" s="145">
        <f t="shared" si="183"/>
        <v>0</v>
      </c>
      <c r="AI54" s="145">
        <f t="shared" si="183"/>
        <v>0</v>
      </c>
      <c r="AJ54" s="145">
        <f t="shared" si="183"/>
        <v>0</v>
      </c>
      <c r="AK54" s="145">
        <f t="shared" si="183"/>
        <v>0</v>
      </c>
      <c r="AL54" s="145">
        <f t="shared" si="183"/>
        <v>0</v>
      </c>
      <c r="AM54" s="145">
        <f t="shared" si="183"/>
        <v>0</v>
      </c>
      <c r="AN54" s="145">
        <f t="shared" si="183"/>
        <v>0</v>
      </c>
      <c r="AO54" s="145">
        <f t="shared" si="183"/>
        <v>0</v>
      </c>
      <c r="AP54" s="145">
        <f t="shared" si="183"/>
        <v>-20.562684380583114</v>
      </c>
      <c r="AQ54" s="145">
        <f t="shared" si="183"/>
        <v>-517.10870370931684</v>
      </c>
      <c r="AR54" s="146">
        <f t="shared" si="183"/>
        <v>2183.4629336757994</v>
      </c>
      <c r="AS54" s="408">
        <f t="shared" si="130"/>
        <v>1645.7915455858993</v>
      </c>
      <c r="AT54" s="148"/>
      <c r="AU54" s="145"/>
      <c r="AV54" s="145"/>
      <c r="AW54" s="145"/>
      <c r="AX54" s="145"/>
      <c r="AY54" s="145"/>
      <c r="AZ54" s="145"/>
      <c r="BA54" s="145"/>
      <c r="BB54" s="145"/>
      <c r="BC54" s="145"/>
      <c r="BD54" s="145"/>
      <c r="BE54" s="146"/>
      <c r="BF54" s="147"/>
      <c r="BG54" s="148"/>
      <c r="BH54" s="145"/>
      <c r="BI54" s="145"/>
      <c r="BJ54" s="145"/>
      <c r="BK54" s="145"/>
      <c r="BL54" s="145"/>
      <c r="BM54" s="145"/>
      <c r="BN54" s="145"/>
      <c r="BO54" s="145"/>
      <c r="BP54" s="145"/>
      <c r="BQ54" s="145"/>
      <c r="BR54" s="146"/>
      <c r="BS54" s="147"/>
      <c r="BT54" s="148"/>
      <c r="BU54" s="145"/>
      <c r="BV54" s="145"/>
      <c r="BW54" s="145"/>
      <c r="BX54" s="145"/>
      <c r="BY54" s="145"/>
      <c r="BZ54" s="145"/>
      <c r="CA54" s="145"/>
      <c r="CB54" s="145"/>
      <c r="CC54" s="145"/>
      <c r="CD54" s="145"/>
      <c r="CE54" s="146"/>
      <c r="CF54" s="147"/>
      <c r="CG54" s="148"/>
      <c r="CH54" s="145"/>
      <c r="CI54" s="145"/>
      <c r="CJ54" s="145"/>
      <c r="CK54" s="145"/>
      <c r="CL54" s="145"/>
      <c r="CM54" s="145"/>
      <c r="CN54" s="145"/>
      <c r="CO54" s="145"/>
      <c r="CP54" s="145"/>
      <c r="CQ54" s="145"/>
      <c r="CR54" s="146"/>
      <c r="CS54" s="147"/>
      <c r="CT54" s="148"/>
      <c r="CU54" s="145"/>
      <c r="CV54" s="145"/>
      <c r="CW54" s="145"/>
      <c r="CX54" s="145"/>
      <c r="CY54" s="145"/>
      <c r="CZ54" s="145"/>
      <c r="DA54" s="145"/>
      <c r="DB54" s="145"/>
      <c r="DC54" s="145"/>
      <c r="DD54" s="145"/>
      <c r="DE54" s="146"/>
      <c r="DF54" s="147"/>
      <c r="DG54" s="146"/>
      <c r="DH54" s="98">
        <f t="shared" si="72"/>
        <v>27379.307289197786</v>
      </c>
      <c r="DI54" s="99">
        <f t="shared" si="73"/>
        <v>27379.307289197786</v>
      </c>
      <c r="DJ54" s="100">
        <f t="shared" si="74"/>
        <v>0</v>
      </c>
    </row>
    <row r="55" spans="1:118" ht="15" hidden="1" customHeight="1" outlineLevel="1">
      <c r="A55" s="607"/>
      <c r="B55" s="631" t="s">
        <v>60</v>
      </c>
      <c r="C55" s="244" t="s">
        <v>62</v>
      </c>
      <c r="D55" s="183" t="s">
        <v>122</v>
      </c>
      <c r="E55" s="153">
        <f>AF55+AS55+BF55+BS55+CF55+CS55+DF55+S55+DG55</f>
        <v>0</v>
      </c>
      <c r="F55" s="128"/>
      <c r="G55" s="129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1"/>
      <c r="S55" s="163">
        <f t="shared" si="180"/>
        <v>0</v>
      </c>
      <c r="T55" s="380"/>
      <c r="U55" s="381"/>
      <c r="V55" s="381"/>
      <c r="W55" s="381"/>
      <c r="X55" s="381"/>
      <c r="Y55" s="381"/>
      <c r="Z55" s="381"/>
      <c r="AA55" s="381"/>
      <c r="AB55" s="381"/>
      <c r="AC55" s="381"/>
      <c r="AD55" s="381"/>
      <c r="AE55" s="381"/>
      <c r="AF55" s="163">
        <f t="shared" si="68"/>
        <v>0</v>
      </c>
      <c r="AG55" s="502"/>
      <c r="AH55" s="499"/>
      <c r="AI55" s="499"/>
      <c r="AJ55" s="499"/>
      <c r="AK55" s="499"/>
      <c r="AL55" s="499"/>
      <c r="AM55" s="499"/>
      <c r="AN55" s="513"/>
      <c r="AO55" s="513"/>
      <c r="AP55" s="502"/>
      <c r="AQ55" s="513"/>
      <c r="AR55" s="502"/>
      <c r="AS55" s="409">
        <f t="shared" si="130"/>
        <v>0</v>
      </c>
      <c r="AT55" s="500"/>
      <c r="AU55" s="502"/>
      <c r="AV55" s="502"/>
      <c r="AW55" s="351"/>
      <c r="AX55" s="283"/>
      <c r="AY55" s="351"/>
      <c r="AZ55" s="283"/>
      <c r="BA55" s="283"/>
      <c r="BB55" s="283"/>
      <c r="BC55" s="283"/>
      <c r="BD55" s="283"/>
      <c r="BE55" s="285"/>
      <c r="BF55" s="157"/>
      <c r="BG55" s="359"/>
      <c r="BH55" s="283"/>
      <c r="BI55" s="283"/>
      <c r="BJ55" s="283"/>
      <c r="BK55" s="283"/>
      <c r="BL55" s="283"/>
      <c r="BM55" s="283"/>
      <c r="BN55" s="283"/>
      <c r="BO55" s="283"/>
      <c r="BP55" s="283"/>
      <c r="BQ55" s="283"/>
      <c r="BR55" s="285"/>
      <c r="BS55" s="157"/>
      <c r="BT55" s="359"/>
      <c r="BU55" s="283"/>
      <c r="BV55" s="283"/>
      <c r="BW55" s="283"/>
      <c r="BX55" s="283"/>
      <c r="BY55" s="283"/>
      <c r="BZ55" s="283"/>
      <c r="CA55" s="283"/>
      <c r="CB55" s="283"/>
      <c r="CC55" s="283"/>
      <c r="CD55" s="283"/>
      <c r="CE55" s="285"/>
      <c r="CF55" s="157"/>
      <c r="CG55" s="359"/>
      <c r="CH55" s="283"/>
      <c r="CI55" s="283"/>
      <c r="CJ55" s="283"/>
      <c r="CK55" s="283"/>
      <c r="CL55" s="283"/>
      <c r="CM55" s="283"/>
      <c r="CN55" s="283"/>
      <c r="CO55" s="283"/>
      <c r="CP55" s="283"/>
      <c r="CQ55" s="283"/>
      <c r="CR55" s="285"/>
      <c r="CS55" s="157"/>
      <c r="CT55" s="359"/>
      <c r="CU55" s="283"/>
      <c r="CV55" s="283"/>
      <c r="CW55" s="283"/>
      <c r="CX55" s="283"/>
      <c r="CY55" s="283"/>
      <c r="CZ55" s="283"/>
      <c r="DA55" s="283"/>
      <c r="DB55" s="283"/>
      <c r="DC55" s="283"/>
      <c r="DD55" s="283"/>
      <c r="DE55" s="285"/>
      <c r="DF55" s="157"/>
      <c r="DG55" s="278"/>
      <c r="DH55" s="159">
        <f t="shared" si="72"/>
        <v>0</v>
      </c>
      <c r="DI55" s="165">
        <f t="shared" si="73"/>
        <v>0</v>
      </c>
      <c r="DJ55" s="166">
        <f t="shared" si="74"/>
        <v>0</v>
      </c>
      <c r="DM55" s="134">
        <f>AS55+BF55+BS55+CF55+CS55+DG55+DF55</f>
        <v>0</v>
      </c>
    </row>
    <row r="56" spans="1:118" ht="15" hidden="1" customHeight="1" outlineLevel="1">
      <c r="A56" s="607"/>
      <c r="B56" s="632"/>
      <c r="C56" s="245" t="s">
        <v>63</v>
      </c>
      <c r="D56" s="184" t="s">
        <v>119</v>
      </c>
      <c r="E56" s="136">
        <f>AF56+AS56+BF56+BS56+CF56+CS56+DF56+S56+DG56</f>
        <v>0</v>
      </c>
      <c r="F56" s="136"/>
      <c r="G56" s="137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9"/>
      <c r="S56" s="162">
        <f t="shared" si="180"/>
        <v>0</v>
      </c>
      <c r="T56" s="380"/>
      <c r="U56" s="381"/>
      <c r="V56" s="381"/>
      <c r="W56" s="381"/>
      <c r="X56" s="381"/>
      <c r="Y56" s="381"/>
      <c r="Z56" s="381"/>
      <c r="AA56" s="381"/>
      <c r="AB56" s="381"/>
      <c r="AC56" s="381"/>
      <c r="AD56" s="381"/>
      <c r="AE56" s="392"/>
      <c r="AF56" s="162">
        <f t="shared" si="68"/>
        <v>0</v>
      </c>
      <c r="AG56" s="497"/>
      <c r="AH56" s="499"/>
      <c r="AI56" s="499"/>
      <c r="AJ56" s="499"/>
      <c r="AK56" s="499"/>
      <c r="AL56" s="499"/>
      <c r="AM56" s="499"/>
      <c r="AN56" s="499"/>
      <c r="AO56" s="499"/>
      <c r="AP56" s="499"/>
      <c r="AQ56" s="499"/>
      <c r="AR56" s="511"/>
      <c r="AS56" s="410">
        <f t="shared" si="130"/>
        <v>0</v>
      </c>
      <c r="AT56" s="501"/>
      <c r="AU56" s="499"/>
      <c r="AV56" s="499"/>
      <c r="AW56" s="138"/>
      <c r="AX56" s="253"/>
      <c r="AY56" s="253"/>
      <c r="AZ56" s="253"/>
      <c r="BA56" s="253"/>
      <c r="BB56" s="253"/>
      <c r="BC56" s="253"/>
      <c r="BD56" s="253"/>
      <c r="BE56" s="338"/>
      <c r="BF56" s="162"/>
      <c r="BG56" s="353"/>
      <c r="BH56" s="253"/>
      <c r="BI56" s="253"/>
      <c r="BJ56" s="253"/>
      <c r="BK56" s="253"/>
      <c r="BL56" s="253"/>
      <c r="BM56" s="253"/>
      <c r="BN56" s="253"/>
      <c r="BO56" s="253"/>
      <c r="BP56" s="253"/>
      <c r="BQ56" s="253"/>
      <c r="BR56" s="338"/>
      <c r="BS56" s="162"/>
      <c r="BT56" s="353"/>
      <c r="BU56" s="253"/>
      <c r="BV56" s="253"/>
      <c r="BW56" s="253"/>
      <c r="BX56" s="253"/>
      <c r="BY56" s="253"/>
      <c r="BZ56" s="253"/>
      <c r="CA56" s="253"/>
      <c r="CB56" s="253"/>
      <c r="CC56" s="253"/>
      <c r="CD56" s="253"/>
      <c r="CE56" s="338"/>
      <c r="CF56" s="162"/>
      <c r="CG56" s="353"/>
      <c r="CH56" s="253"/>
      <c r="CI56" s="253"/>
      <c r="CJ56" s="253"/>
      <c r="CK56" s="253"/>
      <c r="CL56" s="253"/>
      <c r="CM56" s="253"/>
      <c r="CN56" s="253"/>
      <c r="CO56" s="253"/>
      <c r="CP56" s="253"/>
      <c r="CQ56" s="253"/>
      <c r="CR56" s="338"/>
      <c r="CS56" s="162"/>
      <c r="CT56" s="353"/>
      <c r="CU56" s="253"/>
      <c r="CV56" s="253"/>
      <c r="CW56" s="253"/>
      <c r="CX56" s="253"/>
      <c r="CY56" s="253"/>
      <c r="CZ56" s="253"/>
      <c r="DA56" s="253"/>
      <c r="DB56" s="253"/>
      <c r="DC56" s="253"/>
      <c r="DD56" s="253"/>
      <c r="DE56" s="338"/>
      <c r="DF56" s="162"/>
      <c r="DG56" s="279"/>
      <c r="DH56" s="90">
        <f t="shared" si="72"/>
        <v>0</v>
      </c>
      <c r="DI56" s="91">
        <f t="shared" si="73"/>
        <v>0</v>
      </c>
      <c r="DJ56" s="92">
        <f t="shared" si="74"/>
        <v>0</v>
      </c>
      <c r="DK56" s="64" t="e">
        <f>+DH56/DH55</f>
        <v>#DIV/0!</v>
      </c>
      <c r="DM56" s="134">
        <f>AS56+BF56+BS56+CF56+CS56+DG56+DF56</f>
        <v>0</v>
      </c>
      <c r="DN56" s="533" t="e">
        <f>DM56/DM55</f>
        <v>#DIV/0!</v>
      </c>
    </row>
    <row r="57" spans="1:118" ht="15" hidden="1" customHeight="1" outlineLevel="1">
      <c r="A57" s="607"/>
      <c r="B57" s="633"/>
      <c r="C57" s="554" t="s">
        <v>11</v>
      </c>
      <c r="D57" s="555"/>
      <c r="E57" s="143">
        <f t="shared" ref="E57:R57" si="184">+E55-E56</f>
        <v>0</v>
      </c>
      <c r="F57" s="144">
        <f t="shared" si="184"/>
        <v>0</v>
      </c>
      <c r="G57" s="145">
        <f t="shared" si="184"/>
        <v>0</v>
      </c>
      <c r="H57" s="145">
        <f t="shared" si="184"/>
        <v>0</v>
      </c>
      <c r="I57" s="145">
        <f t="shared" si="184"/>
        <v>0</v>
      </c>
      <c r="J57" s="145">
        <f t="shared" si="184"/>
        <v>0</v>
      </c>
      <c r="K57" s="145">
        <f t="shared" si="184"/>
        <v>0</v>
      </c>
      <c r="L57" s="145">
        <f t="shared" si="184"/>
        <v>0</v>
      </c>
      <c r="M57" s="145">
        <f t="shared" si="184"/>
        <v>0</v>
      </c>
      <c r="N57" s="145">
        <f t="shared" si="184"/>
        <v>0</v>
      </c>
      <c r="O57" s="145">
        <f t="shared" si="184"/>
        <v>0</v>
      </c>
      <c r="P57" s="145">
        <f t="shared" si="184"/>
        <v>0</v>
      </c>
      <c r="Q57" s="145">
        <f t="shared" si="184"/>
        <v>0</v>
      </c>
      <c r="R57" s="146">
        <f t="shared" si="184"/>
        <v>0</v>
      </c>
      <c r="S57" s="147">
        <f t="shared" si="180"/>
        <v>0</v>
      </c>
      <c r="T57" s="148">
        <f t="shared" ref="T57:AE57" si="185">+T55-T56</f>
        <v>0</v>
      </c>
      <c r="U57" s="145">
        <f t="shared" si="185"/>
        <v>0</v>
      </c>
      <c r="V57" s="145">
        <f t="shared" si="185"/>
        <v>0</v>
      </c>
      <c r="W57" s="145">
        <f t="shared" si="185"/>
        <v>0</v>
      </c>
      <c r="X57" s="145">
        <f t="shared" si="185"/>
        <v>0</v>
      </c>
      <c r="Y57" s="145">
        <f t="shared" si="185"/>
        <v>0</v>
      </c>
      <c r="Z57" s="145">
        <f t="shared" si="185"/>
        <v>0</v>
      </c>
      <c r="AA57" s="145">
        <f t="shared" si="185"/>
        <v>0</v>
      </c>
      <c r="AB57" s="145">
        <f t="shared" si="185"/>
        <v>0</v>
      </c>
      <c r="AC57" s="145">
        <f t="shared" si="185"/>
        <v>0</v>
      </c>
      <c r="AD57" s="145">
        <f t="shared" si="185"/>
        <v>0</v>
      </c>
      <c r="AE57" s="146">
        <f t="shared" si="185"/>
        <v>0</v>
      </c>
      <c r="AF57" s="147">
        <f t="shared" si="68"/>
        <v>0</v>
      </c>
      <c r="AG57" s="148">
        <f t="shared" ref="AG57:AR57" si="186">+AG55-AG56</f>
        <v>0</v>
      </c>
      <c r="AH57" s="145">
        <f t="shared" si="186"/>
        <v>0</v>
      </c>
      <c r="AI57" s="145">
        <f t="shared" si="186"/>
        <v>0</v>
      </c>
      <c r="AJ57" s="145">
        <f t="shared" si="186"/>
        <v>0</v>
      </c>
      <c r="AK57" s="145">
        <f t="shared" si="186"/>
        <v>0</v>
      </c>
      <c r="AL57" s="145">
        <f t="shared" si="186"/>
        <v>0</v>
      </c>
      <c r="AM57" s="145">
        <f t="shared" si="186"/>
        <v>0</v>
      </c>
      <c r="AN57" s="145">
        <f t="shared" si="186"/>
        <v>0</v>
      </c>
      <c r="AO57" s="145">
        <f t="shared" si="186"/>
        <v>0</v>
      </c>
      <c r="AP57" s="145">
        <f t="shared" si="186"/>
        <v>0</v>
      </c>
      <c r="AQ57" s="145">
        <f t="shared" si="186"/>
        <v>0</v>
      </c>
      <c r="AR57" s="146">
        <f t="shared" si="186"/>
        <v>0</v>
      </c>
      <c r="AS57" s="408">
        <f t="shared" si="130"/>
        <v>0</v>
      </c>
      <c r="AT57" s="148"/>
      <c r="AU57" s="145"/>
      <c r="AV57" s="145"/>
      <c r="AW57" s="145"/>
      <c r="AX57" s="145"/>
      <c r="AY57" s="145"/>
      <c r="AZ57" s="145"/>
      <c r="BA57" s="145"/>
      <c r="BB57" s="145"/>
      <c r="BC57" s="145"/>
      <c r="BD57" s="145"/>
      <c r="BE57" s="146"/>
      <c r="BF57" s="147"/>
      <c r="BG57" s="148"/>
      <c r="BH57" s="145"/>
      <c r="BI57" s="145"/>
      <c r="BJ57" s="145"/>
      <c r="BK57" s="145"/>
      <c r="BL57" s="145"/>
      <c r="BM57" s="145"/>
      <c r="BN57" s="145"/>
      <c r="BO57" s="145"/>
      <c r="BP57" s="145"/>
      <c r="BQ57" s="145"/>
      <c r="BR57" s="146"/>
      <c r="BS57" s="147"/>
      <c r="BT57" s="148"/>
      <c r="BU57" s="145"/>
      <c r="BV57" s="145"/>
      <c r="BW57" s="145"/>
      <c r="BX57" s="145"/>
      <c r="BY57" s="145"/>
      <c r="BZ57" s="145"/>
      <c r="CA57" s="145"/>
      <c r="CB57" s="145"/>
      <c r="CC57" s="145"/>
      <c r="CD57" s="145"/>
      <c r="CE57" s="146"/>
      <c r="CF57" s="147"/>
      <c r="CG57" s="148"/>
      <c r="CH57" s="145"/>
      <c r="CI57" s="145"/>
      <c r="CJ57" s="145"/>
      <c r="CK57" s="145"/>
      <c r="CL57" s="145"/>
      <c r="CM57" s="145"/>
      <c r="CN57" s="145"/>
      <c r="CO57" s="145"/>
      <c r="CP57" s="145"/>
      <c r="CQ57" s="145"/>
      <c r="CR57" s="146"/>
      <c r="CS57" s="147"/>
      <c r="CT57" s="148"/>
      <c r="CU57" s="145"/>
      <c r="CV57" s="145"/>
      <c r="CW57" s="145"/>
      <c r="CX57" s="145"/>
      <c r="CY57" s="145"/>
      <c r="CZ57" s="145"/>
      <c r="DA57" s="145"/>
      <c r="DB57" s="145"/>
      <c r="DC57" s="145"/>
      <c r="DD57" s="145"/>
      <c r="DE57" s="146"/>
      <c r="DF57" s="147"/>
      <c r="DG57" s="146"/>
      <c r="DH57" s="98">
        <f t="shared" si="72"/>
        <v>0</v>
      </c>
      <c r="DI57" s="150">
        <f t="shared" si="73"/>
        <v>0</v>
      </c>
      <c r="DJ57" s="151">
        <f t="shared" si="74"/>
        <v>0</v>
      </c>
    </row>
    <row r="58" spans="1:118" ht="15" hidden="1" customHeight="1" outlineLevel="1">
      <c r="A58" s="607"/>
      <c r="B58" s="557" t="s">
        <v>342</v>
      </c>
      <c r="C58" s="246" t="s">
        <v>62</v>
      </c>
      <c r="D58" s="183" t="s">
        <v>122</v>
      </c>
      <c r="E58" s="153">
        <f>AF58+AS58+BF58+BS58+CF58+CS58+DF58+S58+DG58</f>
        <v>0</v>
      </c>
      <c r="F58" s="153"/>
      <c r="G58" s="154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284"/>
      <c r="S58" s="157">
        <f t="shared" ref="S58:S89" si="187">SUM(G58:R58)</f>
        <v>0</v>
      </c>
      <c r="T58" s="378"/>
      <c r="U58" s="382"/>
      <c r="V58" s="382"/>
      <c r="W58" s="382"/>
      <c r="X58" s="382"/>
      <c r="Y58" s="382"/>
      <c r="Z58" s="382"/>
      <c r="AA58" s="382"/>
      <c r="AB58" s="382"/>
      <c r="AC58" s="382"/>
      <c r="AD58" s="382"/>
      <c r="AE58" s="481"/>
      <c r="AF58" s="157">
        <f t="shared" si="68"/>
        <v>0</v>
      </c>
      <c r="AG58" s="500"/>
      <c r="AH58" s="513"/>
      <c r="AI58" s="513"/>
      <c r="AJ58" s="513"/>
      <c r="AK58" s="513"/>
      <c r="AL58" s="513"/>
      <c r="AM58" s="513"/>
      <c r="AN58" s="513"/>
      <c r="AO58" s="513"/>
      <c r="AP58" s="155"/>
      <c r="AQ58" s="155"/>
      <c r="AR58" s="283"/>
      <c r="AS58" s="409">
        <f t="shared" ref="AS58:AS102" si="188">SUM(AG58:AR58)</f>
        <v>0</v>
      </c>
      <c r="AT58" s="283"/>
      <c r="AU58" s="283"/>
      <c r="AV58" s="285"/>
      <c r="AW58" s="359"/>
      <c r="AX58" s="283"/>
      <c r="AY58" s="283"/>
      <c r="AZ58" s="283"/>
      <c r="BA58" s="145">
        <f>+BA56-BA57</f>
        <v>0</v>
      </c>
      <c r="BB58" s="283"/>
      <c r="BC58" s="283"/>
      <c r="BD58" s="283"/>
      <c r="BE58" s="283"/>
      <c r="BF58" s="157">
        <f t="shared" si="70"/>
        <v>0</v>
      </c>
      <c r="BG58" s="283"/>
      <c r="BH58" s="283"/>
      <c r="BI58" s="285"/>
      <c r="BJ58" s="359"/>
      <c r="BK58" s="283"/>
      <c r="BL58" s="283"/>
      <c r="BM58" s="283"/>
      <c r="BN58" s="283"/>
      <c r="BO58" s="283"/>
      <c r="BP58" s="283"/>
      <c r="BQ58" s="283"/>
      <c r="BR58" s="283"/>
      <c r="BS58" s="157">
        <f t="shared" si="71"/>
        <v>0</v>
      </c>
      <c r="BT58" s="283"/>
      <c r="BU58" s="283"/>
      <c r="BV58" s="285"/>
      <c r="BW58" s="359"/>
      <c r="BX58" s="283"/>
      <c r="BY58" s="283"/>
      <c r="BZ58" s="283"/>
      <c r="CA58" s="283"/>
      <c r="CB58" s="283"/>
      <c r="CC58" s="283"/>
      <c r="CD58" s="283"/>
      <c r="CE58" s="285"/>
      <c r="CF58" s="157">
        <f t="shared" ref="CF58:CF63" si="189">SUM(BT58:CE58)</f>
        <v>0</v>
      </c>
      <c r="CG58" s="359"/>
      <c r="CH58" s="283"/>
      <c r="CI58" s="283"/>
      <c r="CJ58" s="283"/>
      <c r="CK58" s="283"/>
      <c r="CL58" s="283"/>
      <c r="CM58" s="283"/>
      <c r="CN58" s="283"/>
      <c r="CO58" s="283"/>
      <c r="CP58" s="283"/>
      <c r="CQ58" s="283"/>
      <c r="CR58" s="285"/>
      <c r="CS58" s="157">
        <f t="shared" si="76"/>
        <v>0</v>
      </c>
      <c r="CT58" s="359"/>
      <c r="CU58" s="283"/>
      <c r="CV58" s="283"/>
      <c r="CW58" s="283"/>
      <c r="CX58" s="283"/>
      <c r="CY58" s="283"/>
      <c r="CZ58" s="283"/>
      <c r="DA58" s="283"/>
      <c r="DB58" s="283"/>
      <c r="DC58" s="283"/>
      <c r="DD58" s="283"/>
      <c r="DE58" s="285"/>
      <c r="DF58" s="157">
        <f t="shared" si="77"/>
        <v>0</v>
      </c>
      <c r="DG58" s="280"/>
      <c r="DH58" s="159">
        <f t="shared" si="72"/>
        <v>0</v>
      </c>
      <c r="DI58" s="160">
        <f t="shared" si="73"/>
        <v>0</v>
      </c>
      <c r="DJ58" s="161">
        <f t="shared" si="74"/>
        <v>0</v>
      </c>
      <c r="DM58" s="134">
        <f>AS58+BF58+BS58+CF58+CS58+DG58</f>
        <v>0</v>
      </c>
    </row>
    <row r="59" spans="1:118" ht="15" hidden="1" customHeight="1" outlineLevel="1">
      <c r="A59" s="607"/>
      <c r="B59" s="558"/>
      <c r="C59" s="245" t="s">
        <v>63</v>
      </c>
      <c r="D59" s="184" t="s">
        <v>124</v>
      </c>
      <c r="E59" s="136">
        <f>AF59+AS59+BF59+BS59+CF59+CS59+DF59+S59+DG59</f>
        <v>0</v>
      </c>
      <c r="F59" s="136"/>
      <c r="G59" s="137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9"/>
      <c r="S59" s="162">
        <f t="shared" si="187"/>
        <v>0</v>
      </c>
      <c r="T59" s="380"/>
      <c r="U59" s="381"/>
      <c r="V59" s="381"/>
      <c r="W59" s="381"/>
      <c r="X59" s="381"/>
      <c r="Y59" s="381"/>
      <c r="Z59" s="381"/>
      <c r="AA59" s="381"/>
      <c r="AB59" s="381"/>
      <c r="AC59" s="381"/>
      <c r="AD59" s="381"/>
      <c r="AE59" s="392"/>
      <c r="AF59" s="162">
        <f t="shared" si="68"/>
        <v>0</v>
      </c>
      <c r="AG59" s="501"/>
      <c r="AH59" s="499"/>
      <c r="AI59" s="499"/>
      <c r="AJ59" s="499"/>
      <c r="AK59" s="499"/>
      <c r="AL59" s="499"/>
      <c r="AM59" s="499"/>
      <c r="AN59" s="499"/>
      <c r="AO59" s="499"/>
      <c r="AP59" s="138"/>
      <c r="AQ59" s="138"/>
      <c r="AR59" s="139"/>
      <c r="AS59" s="410">
        <f t="shared" si="188"/>
        <v>0</v>
      </c>
      <c r="AT59" s="253"/>
      <c r="AU59" s="253"/>
      <c r="AV59" s="338"/>
      <c r="AW59" s="353"/>
      <c r="AX59" s="253"/>
      <c r="AY59" s="253"/>
      <c r="AZ59" s="253"/>
      <c r="BA59" s="145">
        <f>+BA57-BA58</f>
        <v>0</v>
      </c>
      <c r="BB59" s="253"/>
      <c r="BC59" s="253"/>
      <c r="BD59" s="253"/>
      <c r="BE59" s="253"/>
      <c r="BF59" s="162">
        <f t="shared" si="70"/>
        <v>0</v>
      </c>
      <c r="BG59" s="253"/>
      <c r="BH59" s="253"/>
      <c r="BI59" s="338"/>
      <c r="BJ59" s="353"/>
      <c r="BK59" s="253"/>
      <c r="BL59" s="253"/>
      <c r="BM59" s="253"/>
      <c r="BN59" s="253"/>
      <c r="BO59" s="253"/>
      <c r="BP59" s="253"/>
      <c r="BQ59" s="253"/>
      <c r="BR59" s="253"/>
      <c r="BS59" s="162">
        <f t="shared" si="71"/>
        <v>0</v>
      </c>
      <c r="BT59" s="253"/>
      <c r="BU59" s="253"/>
      <c r="BV59" s="338"/>
      <c r="BW59" s="353"/>
      <c r="BX59" s="253"/>
      <c r="BY59" s="253"/>
      <c r="BZ59" s="253"/>
      <c r="CA59" s="253"/>
      <c r="CB59" s="253"/>
      <c r="CC59" s="253"/>
      <c r="CD59" s="253"/>
      <c r="CE59" s="338"/>
      <c r="CF59" s="162">
        <f t="shared" si="189"/>
        <v>0</v>
      </c>
      <c r="CG59" s="353"/>
      <c r="CH59" s="253"/>
      <c r="CI59" s="253"/>
      <c r="CJ59" s="253"/>
      <c r="CK59" s="253"/>
      <c r="CL59" s="253"/>
      <c r="CM59" s="253"/>
      <c r="CN59" s="253"/>
      <c r="CO59" s="253"/>
      <c r="CP59" s="253"/>
      <c r="CQ59" s="253"/>
      <c r="CR59" s="338"/>
      <c r="CS59" s="162">
        <f t="shared" si="76"/>
        <v>0</v>
      </c>
      <c r="CT59" s="353"/>
      <c r="CU59" s="253"/>
      <c r="CV59" s="253"/>
      <c r="CW59" s="253"/>
      <c r="CX59" s="253"/>
      <c r="CY59" s="253"/>
      <c r="CZ59" s="253"/>
      <c r="DA59" s="253"/>
      <c r="DB59" s="253"/>
      <c r="DC59" s="253"/>
      <c r="DD59" s="253"/>
      <c r="DE59" s="338"/>
      <c r="DF59" s="162">
        <f t="shared" si="77"/>
        <v>0</v>
      </c>
      <c r="DG59" s="279"/>
      <c r="DH59" s="90">
        <f t="shared" si="72"/>
        <v>0</v>
      </c>
      <c r="DI59" s="91">
        <f t="shared" si="73"/>
        <v>0</v>
      </c>
      <c r="DJ59" s="92">
        <f t="shared" si="74"/>
        <v>0</v>
      </c>
      <c r="DK59" s="64" t="e">
        <f>+DH59/DH58</f>
        <v>#DIV/0!</v>
      </c>
      <c r="DM59" s="134">
        <f>AS59+BF59+BS59+CF59+CS59+DG59</f>
        <v>0</v>
      </c>
    </row>
    <row r="60" spans="1:118" ht="15" hidden="1" customHeight="1" outlineLevel="1">
      <c r="A60" s="607"/>
      <c r="B60" s="559"/>
      <c r="C60" s="357" t="s">
        <v>11</v>
      </c>
      <c r="D60" s="358"/>
      <c r="E60" s="143">
        <f t="shared" ref="E60:R60" si="190">+E58-E59</f>
        <v>0</v>
      </c>
      <c r="F60" s="144">
        <f t="shared" si="190"/>
        <v>0</v>
      </c>
      <c r="G60" s="145">
        <f t="shared" si="190"/>
        <v>0</v>
      </c>
      <c r="H60" s="145">
        <f t="shared" si="190"/>
        <v>0</v>
      </c>
      <c r="I60" s="145">
        <f t="shared" si="190"/>
        <v>0</v>
      </c>
      <c r="J60" s="145">
        <f t="shared" si="190"/>
        <v>0</v>
      </c>
      <c r="K60" s="145">
        <f t="shared" si="190"/>
        <v>0</v>
      </c>
      <c r="L60" s="145">
        <f t="shared" si="190"/>
        <v>0</v>
      </c>
      <c r="M60" s="145">
        <f t="shared" si="190"/>
        <v>0</v>
      </c>
      <c r="N60" s="145">
        <f t="shared" si="190"/>
        <v>0</v>
      </c>
      <c r="O60" s="145">
        <f t="shared" si="190"/>
        <v>0</v>
      </c>
      <c r="P60" s="145">
        <f t="shared" si="190"/>
        <v>0</v>
      </c>
      <c r="Q60" s="145">
        <f t="shared" si="190"/>
        <v>0</v>
      </c>
      <c r="R60" s="146">
        <f t="shared" si="190"/>
        <v>0</v>
      </c>
      <c r="S60" s="147">
        <f t="shared" si="187"/>
        <v>0</v>
      </c>
      <c r="T60" s="148">
        <f t="shared" ref="T60:AE60" si="191">+T58-T59</f>
        <v>0</v>
      </c>
      <c r="U60" s="145">
        <f t="shared" si="191"/>
        <v>0</v>
      </c>
      <c r="V60" s="145">
        <f t="shared" si="191"/>
        <v>0</v>
      </c>
      <c r="W60" s="145">
        <f t="shared" si="191"/>
        <v>0</v>
      </c>
      <c r="X60" s="145">
        <f t="shared" si="191"/>
        <v>0</v>
      </c>
      <c r="Y60" s="145">
        <f t="shared" si="191"/>
        <v>0</v>
      </c>
      <c r="Z60" s="145">
        <f t="shared" si="191"/>
        <v>0</v>
      </c>
      <c r="AA60" s="145">
        <f t="shared" si="191"/>
        <v>0</v>
      </c>
      <c r="AB60" s="145">
        <f t="shared" si="191"/>
        <v>0</v>
      </c>
      <c r="AC60" s="145">
        <f t="shared" si="191"/>
        <v>0</v>
      </c>
      <c r="AD60" s="145">
        <f t="shared" si="191"/>
        <v>0</v>
      </c>
      <c r="AE60" s="146">
        <f t="shared" si="191"/>
        <v>0</v>
      </c>
      <c r="AF60" s="147">
        <f t="shared" si="68"/>
        <v>0</v>
      </c>
      <c r="AG60" s="148">
        <f t="shared" ref="AG60:AR60" si="192">+AG58-AG59</f>
        <v>0</v>
      </c>
      <c r="AH60" s="145">
        <f t="shared" si="192"/>
        <v>0</v>
      </c>
      <c r="AI60" s="145">
        <f t="shared" si="192"/>
        <v>0</v>
      </c>
      <c r="AJ60" s="145">
        <f t="shared" si="192"/>
        <v>0</v>
      </c>
      <c r="AK60" s="145">
        <f t="shared" si="192"/>
        <v>0</v>
      </c>
      <c r="AL60" s="145">
        <f t="shared" si="192"/>
        <v>0</v>
      </c>
      <c r="AM60" s="145">
        <f t="shared" si="192"/>
        <v>0</v>
      </c>
      <c r="AN60" s="145">
        <f t="shared" si="192"/>
        <v>0</v>
      </c>
      <c r="AO60" s="145">
        <f t="shared" si="192"/>
        <v>0</v>
      </c>
      <c r="AP60" s="145">
        <f t="shared" si="192"/>
        <v>0</v>
      </c>
      <c r="AQ60" s="145">
        <f t="shared" si="192"/>
        <v>0</v>
      </c>
      <c r="AR60" s="146">
        <f t="shared" si="192"/>
        <v>0</v>
      </c>
      <c r="AS60" s="408">
        <f t="shared" si="188"/>
        <v>0</v>
      </c>
      <c r="AT60" s="148">
        <f t="shared" ref="AT60:BE62" si="193">+AT58-AT59</f>
        <v>0</v>
      </c>
      <c r="AU60" s="145">
        <f t="shared" si="193"/>
        <v>0</v>
      </c>
      <c r="AV60" s="145">
        <f t="shared" si="193"/>
        <v>0</v>
      </c>
      <c r="AW60" s="145">
        <f t="shared" si="193"/>
        <v>0</v>
      </c>
      <c r="AX60" s="145">
        <f t="shared" si="193"/>
        <v>0</v>
      </c>
      <c r="AY60" s="145">
        <f t="shared" si="193"/>
        <v>0</v>
      </c>
      <c r="AZ60" s="145">
        <f t="shared" si="193"/>
        <v>0</v>
      </c>
      <c r="BA60" s="145">
        <f t="shared" si="193"/>
        <v>0</v>
      </c>
      <c r="BB60" s="145">
        <f t="shared" si="193"/>
        <v>0</v>
      </c>
      <c r="BC60" s="145">
        <f t="shared" si="193"/>
        <v>0</v>
      </c>
      <c r="BD60" s="145">
        <f t="shared" si="193"/>
        <v>0</v>
      </c>
      <c r="BE60" s="146">
        <f t="shared" si="193"/>
        <v>0</v>
      </c>
      <c r="BF60" s="147">
        <f t="shared" si="70"/>
        <v>0</v>
      </c>
      <c r="BG60" s="148">
        <f t="shared" ref="BG60:BR60" si="194">+BG58-BG59</f>
        <v>0</v>
      </c>
      <c r="BH60" s="145">
        <f t="shared" si="194"/>
        <v>0</v>
      </c>
      <c r="BI60" s="145">
        <f t="shared" si="194"/>
        <v>0</v>
      </c>
      <c r="BJ60" s="145">
        <f t="shared" si="194"/>
        <v>0</v>
      </c>
      <c r="BK60" s="145">
        <f t="shared" si="194"/>
        <v>0</v>
      </c>
      <c r="BL60" s="145">
        <f t="shared" si="194"/>
        <v>0</v>
      </c>
      <c r="BM60" s="145">
        <f t="shared" si="194"/>
        <v>0</v>
      </c>
      <c r="BN60" s="145">
        <f t="shared" si="194"/>
        <v>0</v>
      </c>
      <c r="BO60" s="145">
        <f t="shared" si="194"/>
        <v>0</v>
      </c>
      <c r="BP60" s="145">
        <f t="shared" si="194"/>
        <v>0</v>
      </c>
      <c r="BQ60" s="145">
        <f t="shared" si="194"/>
        <v>0</v>
      </c>
      <c r="BR60" s="146">
        <f t="shared" si="194"/>
        <v>0</v>
      </c>
      <c r="BS60" s="147">
        <f t="shared" si="71"/>
        <v>0</v>
      </c>
      <c r="BT60" s="148">
        <f t="shared" ref="BT60:CE60" si="195">+BT58-BT59</f>
        <v>0</v>
      </c>
      <c r="BU60" s="145">
        <f t="shared" si="195"/>
        <v>0</v>
      </c>
      <c r="BV60" s="145">
        <f t="shared" si="195"/>
        <v>0</v>
      </c>
      <c r="BW60" s="145">
        <f t="shared" si="195"/>
        <v>0</v>
      </c>
      <c r="BX60" s="145">
        <f t="shared" si="195"/>
        <v>0</v>
      </c>
      <c r="BY60" s="145">
        <f t="shared" si="195"/>
        <v>0</v>
      </c>
      <c r="BZ60" s="145">
        <f t="shared" si="195"/>
        <v>0</v>
      </c>
      <c r="CA60" s="145">
        <f t="shared" si="195"/>
        <v>0</v>
      </c>
      <c r="CB60" s="145">
        <f t="shared" si="195"/>
        <v>0</v>
      </c>
      <c r="CC60" s="145">
        <f t="shared" si="195"/>
        <v>0</v>
      </c>
      <c r="CD60" s="145">
        <f t="shared" si="195"/>
        <v>0</v>
      </c>
      <c r="CE60" s="146">
        <f t="shared" si="195"/>
        <v>0</v>
      </c>
      <c r="CF60" s="147">
        <f t="shared" si="189"/>
        <v>0</v>
      </c>
      <c r="CG60" s="148">
        <f t="shared" ref="CG60:CR60" si="196">+CG58-CG59</f>
        <v>0</v>
      </c>
      <c r="CH60" s="145">
        <f t="shared" si="196"/>
        <v>0</v>
      </c>
      <c r="CI60" s="145">
        <f t="shared" si="196"/>
        <v>0</v>
      </c>
      <c r="CJ60" s="145">
        <f t="shared" si="196"/>
        <v>0</v>
      </c>
      <c r="CK60" s="145">
        <f t="shared" si="196"/>
        <v>0</v>
      </c>
      <c r="CL60" s="145">
        <f t="shared" si="196"/>
        <v>0</v>
      </c>
      <c r="CM60" s="145">
        <f t="shared" si="196"/>
        <v>0</v>
      </c>
      <c r="CN60" s="145">
        <f t="shared" si="196"/>
        <v>0</v>
      </c>
      <c r="CO60" s="145">
        <f t="shared" si="196"/>
        <v>0</v>
      </c>
      <c r="CP60" s="145">
        <f t="shared" si="196"/>
        <v>0</v>
      </c>
      <c r="CQ60" s="145">
        <f t="shared" si="196"/>
        <v>0</v>
      </c>
      <c r="CR60" s="146">
        <f t="shared" si="196"/>
        <v>0</v>
      </c>
      <c r="CS60" s="147">
        <f t="shared" si="76"/>
        <v>0</v>
      </c>
      <c r="CT60" s="148">
        <f t="shared" ref="CT60:DE60" si="197">+CT58-CT59</f>
        <v>0</v>
      </c>
      <c r="CU60" s="145">
        <f t="shared" si="197"/>
        <v>0</v>
      </c>
      <c r="CV60" s="145">
        <f t="shared" si="197"/>
        <v>0</v>
      </c>
      <c r="CW60" s="145">
        <f t="shared" si="197"/>
        <v>0</v>
      </c>
      <c r="CX60" s="145">
        <f t="shared" si="197"/>
        <v>0</v>
      </c>
      <c r="CY60" s="145">
        <f t="shared" si="197"/>
        <v>0</v>
      </c>
      <c r="CZ60" s="145">
        <f t="shared" si="197"/>
        <v>0</v>
      </c>
      <c r="DA60" s="145">
        <f t="shared" si="197"/>
        <v>0</v>
      </c>
      <c r="DB60" s="145">
        <f t="shared" si="197"/>
        <v>0</v>
      </c>
      <c r="DC60" s="145">
        <f t="shared" si="197"/>
        <v>0</v>
      </c>
      <c r="DD60" s="145">
        <f t="shared" si="197"/>
        <v>0</v>
      </c>
      <c r="DE60" s="146">
        <f t="shared" si="197"/>
        <v>0</v>
      </c>
      <c r="DF60" s="147">
        <f t="shared" si="77"/>
        <v>0</v>
      </c>
      <c r="DG60" s="146">
        <f>+DG58-DG59</f>
        <v>0</v>
      </c>
      <c r="DH60" s="98">
        <f t="shared" si="72"/>
        <v>0</v>
      </c>
      <c r="DI60" s="99">
        <f t="shared" si="73"/>
        <v>0</v>
      </c>
      <c r="DJ60" s="100">
        <f t="shared" si="74"/>
        <v>0</v>
      </c>
    </row>
    <row r="61" spans="1:118" ht="15" hidden="1" customHeight="1" outlineLevel="1">
      <c r="A61" s="607"/>
      <c r="B61" s="557" t="s">
        <v>343</v>
      </c>
      <c r="C61" s="246" t="s">
        <v>62</v>
      </c>
      <c r="D61" s="183" t="s">
        <v>122</v>
      </c>
      <c r="E61" s="153">
        <f>AF61+AS61+BF61+BS61+CF61+CS61+DF61+S61+DG61</f>
        <v>0</v>
      </c>
      <c r="F61" s="153"/>
      <c r="G61" s="154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284"/>
      <c r="S61" s="157">
        <f t="shared" si="187"/>
        <v>0</v>
      </c>
      <c r="T61" s="378"/>
      <c r="U61" s="382"/>
      <c r="V61" s="382"/>
      <c r="W61" s="382"/>
      <c r="X61" s="382"/>
      <c r="Y61" s="382"/>
      <c r="Z61" s="382"/>
      <c r="AA61" s="382"/>
      <c r="AB61" s="382"/>
      <c r="AC61" s="382"/>
      <c r="AD61" s="382"/>
      <c r="AE61" s="481"/>
      <c r="AF61" s="157">
        <f t="shared" si="68"/>
        <v>0</v>
      </c>
      <c r="AG61" s="500"/>
      <c r="AH61" s="513"/>
      <c r="AI61" s="513"/>
      <c r="AJ61" s="513"/>
      <c r="AK61" s="513"/>
      <c r="AL61" s="513"/>
      <c r="AM61" s="513"/>
      <c r="AN61" s="513"/>
      <c r="AO61" s="513"/>
      <c r="AP61" s="155"/>
      <c r="AQ61" s="155"/>
      <c r="AR61" s="283"/>
      <c r="AS61" s="409">
        <f t="shared" si="188"/>
        <v>0</v>
      </c>
      <c r="AT61" s="283"/>
      <c r="AU61" s="283"/>
      <c r="AV61" s="285"/>
      <c r="AW61" s="359"/>
      <c r="AX61" s="283"/>
      <c r="AY61" s="283"/>
      <c r="AZ61" s="283"/>
      <c r="BA61" s="145">
        <f t="shared" si="193"/>
        <v>0</v>
      </c>
      <c r="BB61" s="283"/>
      <c r="BC61" s="283"/>
      <c r="BD61" s="283"/>
      <c r="BE61" s="283"/>
      <c r="BF61" s="157">
        <f t="shared" si="70"/>
        <v>0</v>
      </c>
      <c r="BG61" s="283"/>
      <c r="BH61" s="283"/>
      <c r="BI61" s="285"/>
      <c r="BJ61" s="359"/>
      <c r="BK61" s="283"/>
      <c r="BL61" s="283"/>
      <c r="BM61" s="283"/>
      <c r="BN61" s="283"/>
      <c r="BO61" s="283"/>
      <c r="BP61" s="283"/>
      <c r="BQ61" s="283"/>
      <c r="BR61" s="283"/>
      <c r="BS61" s="157">
        <f t="shared" si="71"/>
        <v>0</v>
      </c>
      <c r="BT61" s="283"/>
      <c r="BU61" s="283"/>
      <c r="BV61" s="285"/>
      <c r="BW61" s="359"/>
      <c r="BX61" s="283"/>
      <c r="BY61" s="283"/>
      <c r="BZ61" s="283"/>
      <c r="CA61" s="283"/>
      <c r="CB61" s="283"/>
      <c r="CC61" s="283"/>
      <c r="CD61" s="283"/>
      <c r="CE61" s="285"/>
      <c r="CF61" s="157">
        <f t="shared" si="189"/>
        <v>0</v>
      </c>
      <c r="CG61" s="359"/>
      <c r="CH61" s="283"/>
      <c r="CI61" s="283"/>
      <c r="CJ61" s="283"/>
      <c r="CK61" s="283"/>
      <c r="CL61" s="283"/>
      <c r="CM61" s="283"/>
      <c r="CN61" s="283"/>
      <c r="CO61" s="283"/>
      <c r="CP61" s="283"/>
      <c r="CQ61" s="283"/>
      <c r="CR61" s="285"/>
      <c r="CS61" s="157">
        <f t="shared" si="76"/>
        <v>0</v>
      </c>
      <c r="CT61" s="359"/>
      <c r="CU61" s="283"/>
      <c r="CV61" s="283"/>
      <c r="CW61" s="283"/>
      <c r="CX61" s="283"/>
      <c r="CY61" s="283"/>
      <c r="CZ61" s="283"/>
      <c r="DA61" s="283"/>
      <c r="DB61" s="283"/>
      <c r="DC61" s="283"/>
      <c r="DD61" s="283"/>
      <c r="DE61" s="285"/>
      <c r="DF61" s="157">
        <f t="shared" si="77"/>
        <v>0</v>
      </c>
      <c r="DG61" s="280"/>
      <c r="DH61" s="159">
        <f t="shared" si="72"/>
        <v>0</v>
      </c>
      <c r="DI61" s="160">
        <f t="shared" si="73"/>
        <v>0</v>
      </c>
      <c r="DJ61" s="161">
        <f t="shared" si="74"/>
        <v>0</v>
      </c>
      <c r="DM61" s="134">
        <f>AS61+BF61+BS61+CF61+CS61+DG61</f>
        <v>0</v>
      </c>
    </row>
    <row r="62" spans="1:118" ht="15" hidden="1" customHeight="1" outlineLevel="1">
      <c r="A62" s="607"/>
      <c r="B62" s="558"/>
      <c r="C62" s="245" t="s">
        <v>63</v>
      </c>
      <c r="D62" s="184" t="s">
        <v>124</v>
      </c>
      <c r="E62" s="136">
        <f>AF62+AS62+BF62+BS62+CF62+CS62+DF62+S62+DG62</f>
        <v>0</v>
      </c>
      <c r="F62" s="136"/>
      <c r="G62" s="137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9"/>
      <c r="S62" s="162">
        <f t="shared" si="187"/>
        <v>0</v>
      </c>
      <c r="T62" s="380"/>
      <c r="U62" s="381"/>
      <c r="V62" s="381"/>
      <c r="W62" s="381"/>
      <c r="X62" s="381"/>
      <c r="Y62" s="381"/>
      <c r="Z62" s="381"/>
      <c r="AA62" s="381"/>
      <c r="AB62" s="381"/>
      <c r="AC62" s="381"/>
      <c r="AD62" s="381"/>
      <c r="AE62" s="392"/>
      <c r="AF62" s="162">
        <f t="shared" si="68"/>
        <v>0</v>
      </c>
      <c r="AG62" s="501"/>
      <c r="AH62" s="499"/>
      <c r="AI62" s="499"/>
      <c r="AJ62" s="499"/>
      <c r="AK62" s="499"/>
      <c r="AL62" s="499"/>
      <c r="AM62" s="499"/>
      <c r="AN62" s="499"/>
      <c r="AO62" s="499"/>
      <c r="AP62" s="138"/>
      <c r="AQ62" s="138"/>
      <c r="AR62" s="139"/>
      <c r="AS62" s="410">
        <f t="shared" si="188"/>
        <v>0</v>
      </c>
      <c r="AT62" s="253"/>
      <c r="AU62" s="253"/>
      <c r="AV62" s="338"/>
      <c r="AW62" s="353"/>
      <c r="AX62" s="253"/>
      <c r="AY62" s="253"/>
      <c r="AZ62" s="253"/>
      <c r="BA62" s="145">
        <f t="shared" si="193"/>
        <v>0</v>
      </c>
      <c r="BB62" s="253"/>
      <c r="BC62" s="253"/>
      <c r="BD62" s="253"/>
      <c r="BE62" s="253"/>
      <c r="BF62" s="162">
        <f t="shared" si="70"/>
        <v>0</v>
      </c>
      <c r="BG62" s="253"/>
      <c r="BH62" s="253"/>
      <c r="BI62" s="338"/>
      <c r="BJ62" s="353"/>
      <c r="BK62" s="253"/>
      <c r="BL62" s="253"/>
      <c r="BM62" s="253"/>
      <c r="BN62" s="253"/>
      <c r="BO62" s="253"/>
      <c r="BP62" s="253"/>
      <c r="BQ62" s="253"/>
      <c r="BR62" s="253"/>
      <c r="BS62" s="162">
        <f t="shared" si="71"/>
        <v>0</v>
      </c>
      <c r="BT62" s="253"/>
      <c r="BU62" s="253"/>
      <c r="BV62" s="338"/>
      <c r="BW62" s="353"/>
      <c r="BX62" s="253"/>
      <c r="BY62" s="253"/>
      <c r="BZ62" s="253"/>
      <c r="CA62" s="253"/>
      <c r="CB62" s="253"/>
      <c r="CC62" s="253"/>
      <c r="CD62" s="253"/>
      <c r="CE62" s="338"/>
      <c r="CF62" s="162">
        <f t="shared" si="189"/>
        <v>0</v>
      </c>
      <c r="CG62" s="353"/>
      <c r="CH62" s="253"/>
      <c r="CI62" s="253"/>
      <c r="CJ62" s="253"/>
      <c r="CK62" s="253"/>
      <c r="CL62" s="253"/>
      <c r="CM62" s="253"/>
      <c r="CN62" s="253"/>
      <c r="CO62" s="253"/>
      <c r="CP62" s="253"/>
      <c r="CQ62" s="253"/>
      <c r="CR62" s="338"/>
      <c r="CS62" s="162">
        <f t="shared" si="76"/>
        <v>0</v>
      </c>
      <c r="CT62" s="353"/>
      <c r="CU62" s="253"/>
      <c r="CV62" s="253"/>
      <c r="CW62" s="253"/>
      <c r="CX62" s="253"/>
      <c r="CY62" s="253"/>
      <c r="CZ62" s="253"/>
      <c r="DA62" s="253"/>
      <c r="DB62" s="253"/>
      <c r="DC62" s="253"/>
      <c r="DD62" s="253"/>
      <c r="DE62" s="338"/>
      <c r="DF62" s="162">
        <f t="shared" si="77"/>
        <v>0</v>
      </c>
      <c r="DG62" s="279"/>
      <c r="DH62" s="90">
        <f t="shared" si="72"/>
        <v>0</v>
      </c>
      <c r="DI62" s="91">
        <f t="shared" si="73"/>
        <v>0</v>
      </c>
      <c r="DJ62" s="92">
        <f t="shared" si="74"/>
        <v>0</v>
      </c>
      <c r="DK62" s="64" t="e">
        <f>+DH62/DH61</f>
        <v>#DIV/0!</v>
      </c>
      <c r="DM62" s="134">
        <f>AS62+BF62+BS62+CF62+CS62+DG62</f>
        <v>0</v>
      </c>
    </row>
    <row r="63" spans="1:118" ht="15" hidden="1" customHeight="1" outlineLevel="1">
      <c r="A63" s="607"/>
      <c r="B63" s="559"/>
      <c r="C63" s="357" t="s">
        <v>11</v>
      </c>
      <c r="D63" s="358"/>
      <c r="E63" s="143">
        <f t="shared" ref="E63:R63" si="198">+E61-E62</f>
        <v>0</v>
      </c>
      <c r="F63" s="144">
        <f t="shared" si="198"/>
        <v>0</v>
      </c>
      <c r="G63" s="145">
        <f t="shared" si="198"/>
        <v>0</v>
      </c>
      <c r="H63" s="145">
        <f t="shared" si="198"/>
        <v>0</v>
      </c>
      <c r="I63" s="145">
        <f t="shared" si="198"/>
        <v>0</v>
      </c>
      <c r="J63" s="145">
        <f t="shared" si="198"/>
        <v>0</v>
      </c>
      <c r="K63" s="145">
        <f t="shared" si="198"/>
        <v>0</v>
      </c>
      <c r="L63" s="145">
        <f t="shared" si="198"/>
        <v>0</v>
      </c>
      <c r="M63" s="145">
        <f t="shared" si="198"/>
        <v>0</v>
      </c>
      <c r="N63" s="145">
        <f t="shared" si="198"/>
        <v>0</v>
      </c>
      <c r="O63" s="145">
        <f t="shared" si="198"/>
        <v>0</v>
      </c>
      <c r="P63" s="145">
        <f t="shared" si="198"/>
        <v>0</v>
      </c>
      <c r="Q63" s="145">
        <f t="shared" si="198"/>
        <v>0</v>
      </c>
      <c r="R63" s="146">
        <f t="shared" si="198"/>
        <v>0</v>
      </c>
      <c r="S63" s="147">
        <f t="shared" si="187"/>
        <v>0</v>
      </c>
      <c r="T63" s="148">
        <f t="shared" ref="T63:AE63" si="199">+T61-T62</f>
        <v>0</v>
      </c>
      <c r="U63" s="145">
        <f t="shared" si="199"/>
        <v>0</v>
      </c>
      <c r="V63" s="145">
        <f t="shared" si="199"/>
        <v>0</v>
      </c>
      <c r="W63" s="145">
        <f t="shared" si="199"/>
        <v>0</v>
      </c>
      <c r="X63" s="145">
        <f t="shared" si="199"/>
        <v>0</v>
      </c>
      <c r="Y63" s="145">
        <f t="shared" si="199"/>
        <v>0</v>
      </c>
      <c r="Z63" s="145">
        <f t="shared" si="199"/>
        <v>0</v>
      </c>
      <c r="AA63" s="145">
        <f t="shared" si="199"/>
        <v>0</v>
      </c>
      <c r="AB63" s="145">
        <f t="shared" si="199"/>
        <v>0</v>
      </c>
      <c r="AC63" s="145">
        <f t="shared" si="199"/>
        <v>0</v>
      </c>
      <c r="AD63" s="145">
        <f t="shared" si="199"/>
        <v>0</v>
      </c>
      <c r="AE63" s="146">
        <f t="shared" si="199"/>
        <v>0</v>
      </c>
      <c r="AF63" s="147">
        <f t="shared" si="68"/>
        <v>0</v>
      </c>
      <c r="AG63" s="148">
        <f t="shared" ref="AG63:AR63" si="200">+AG61-AG62</f>
        <v>0</v>
      </c>
      <c r="AH63" s="145">
        <f t="shared" si="200"/>
        <v>0</v>
      </c>
      <c r="AI63" s="145">
        <f t="shared" si="200"/>
        <v>0</v>
      </c>
      <c r="AJ63" s="145">
        <f t="shared" si="200"/>
        <v>0</v>
      </c>
      <c r="AK63" s="145">
        <f t="shared" si="200"/>
        <v>0</v>
      </c>
      <c r="AL63" s="145">
        <f t="shared" si="200"/>
        <v>0</v>
      </c>
      <c r="AM63" s="145">
        <f t="shared" si="200"/>
        <v>0</v>
      </c>
      <c r="AN63" s="145">
        <f t="shared" si="200"/>
        <v>0</v>
      </c>
      <c r="AO63" s="145">
        <f t="shared" si="200"/>
        <v>0</v>
      </c>
      <c r="AP63" s="145">
        <f t="shared" si="200"/>
        <v>0</v>
      </c>
      <c r="AQ63" s="145">
        <f t="shared" si="200"/>
        <v>0</v>
      </c>
      <c r="AR63" s="146">
        <f t="shared" si="200"/>
        <v>0</v>
      </c>
      <c r="AS63" s="408">
        <f t="shared" si="188"/>
        <v>0</v>
      </c>
      <c r="AT63" s="148">
        <f t="shared" ref="AT63:BE63" si="201">+AT61-AT62</f>
        <v>0</v>
      </c>
      <c r="AU63" s="145">
        <f t="shared" si="201"/>
        <v>0</v>
      </c>
      <c r="AV63" s="145">
        <f t="shared" si="201"/>
        <v>0</v>
      </c>
      <c r="AW63" s="145">
        <f t="shared" si="201"/>
        <v>0</v>
      </c>
      <c r="AX63" s="145">
        <f t="shared" si="201"/>
        <v>0</v>
      </c>
      <c r="AY63" s="145">
        <f t="shared" si="201"/>
        <v>0</v>
      </c>
      <c r="AZ63" s="145">
        <f t="shared" si="201"/>
        <v>0</v>
      </c>
      <c r="BA63" s="145">
        <f t="shared" si="201"/>
        <v>0</v>
      </c>
      <c r="BB63" s="145">
        <f t="shared" si="201"/>
        <v>0</v>
      </c>
      <c r="BC63" s="145">
        <f t="shared" si="201"/>
        <v>0</v>
      </c>
      <c r="BD63" s="145">
        <f t="shared" si="201"/>
        <v>0</v>
      </c>
      <c r="BE63" s="146">
        <f t="shared" si="201"/>
        <v>0</v>
      </c>
      <c r="BF63" s="147">
        <f t="shared" si="70"/>
        <v>0</v>
      </c>
      <c r="BG63" s="148">
        <f t="shared" ref="BG63:BR63" si="202">+BG61-BG62</f>
        <v>0</v>
      </c>
      <c r="BH63" s="145">
        <f t="shared" si="202"/>
        <v>0</v>
      </c>
      <c r="BI63" s="145">
        <f t="shared" si="202"/>
        <v>0</v>
      </c>
      <c r="BJ63" s="145">
        <f t="shared" si="202"/>
        <v>0</v>
      </c>
      <c r="BK63" s="145">
        <f t="shared" si="202"/>
        <v>0</v>
      </c>
      <c r="BL63" s="145">
        <f t="shared" si="202"/>
        <v>0</v>
      </c>
      <c r="BM63" s="145">
        <f t="shared" si="202"/>
        <v>0</v>
      </c>
      <c r="BN63" s="145">
        <f t="shared" si="202"/>
        <v>0</v>
      </c>
      <c r="BO63" s="145">
        <f t="shared" si="202"/>
        <v>0</v>
      </c>
      <c r="BP63" s="145">
        <f t="shared" si="202"/>
        <v>0</v>
      </c>
      <c r="BQ63" s="145">
        <f t="shared" si="202"/>
        <v>0</v>
      </c>
      <c r="BR63" s="146">
        <f t="shared" si="202"/>
        <v>0</v>
      </c>
      <c r="BS63" s="147">
        <f t="shared" si="71"/>
        <v>0</v>
      </c>
      <c r="BT63" s="148">
        <f t="shared" ref="BT63:CE63" si="203">+BT61-BT62</f>
        <v>0</v>
      </c>
      <c r="BU63" s="145">
        <f t="shared" si="203"/>
        <v>0</v>
      </c>
      <c r="BV63" s="145">
        <f t="shared" si="203"/>
        <v>0</v>
      </c>
      <c r="BW63" s="145">
        <f t="shared" si="203"/>
        <v>0</v>
      </c>
      <c r="BX63" s="145">
        <f t="shared" si="203"/>
        <v>0</v>
      </c>
      <c r="BY63" s="145">
        <f t="shared" si="203"/>
        <v>0</v>
      </c>
      <c r="BZ63" s="145">
        <f t="shared" si="203"/>
        <v>0</v>
      </c>
      <c r="CA63" s="145">
        <f t="shared" si="203"/>
        <v>0</v>
      </c>
      <c r="CB63" s="145">
        <f t="shared" si="203"/>
        <v>0</v>
      </c>
      <c r="CC63" s="145">
        <f t="shared" si="203"/>
        <v>0</v>
      </c>
      <c r="CD63" s="145">
        <f t="shared" si="203"/>
        <v>0</v>
      </c>
      <c r="CE63" s="146">
        <f t="shared" si="203"/>
        <v>0</v>
      </c>
      <c r="CF63" s="147">
        <f t="shared" si="189"/>
        <v>0</v>
      </c>
      <c r="CG63" s="148">
        <f t="shared" ref="CG63:CR63" si="204">+CG61-CG62</f>
        <v>0</v>
      </c>
      <c r="CH63" s="145">
        <f t="shared" si="204"/>
        <v>0</v>
      </c>
      <c r="CI63" s="145">
        <f t="shared" si="204"/>
        <v>0</v>
      </c>
      <c r="CJ63" s="145">
        <f t="shared" si="204"/>
        <v>0</v>
      </c>
      <c r="CK63" s="145">
        <f t="shared" si="204"/>
        <v>0</v>
      </c>
      <c r="CL63" s="145">
        <f t="shared" si="204"/>
        <v>0</v>
      </c>
      <c r="CM63" s="145">
        <f t="shared" si="204"/>
        <v>0</v>
      </c>
      <c r="CN63" s="145">
        <f t="shared" si="204"/>
        <v>0</v>
      </c>
      <c r="CO63" s="145">
        <f t="shared" si="204"/>
        <v>0</v>
      </c>
      <c r="CP63" s="145">
        <f t="shared" si="204"/>
        <v>0</v>
      </c>
      <c r="CQ63" s="145">
        <f t="shared" si="204"/>
        <v>0</v>
      </c>
      <c r="CR63" s="146">
        <f t="shared" si="204"/>
        <v>0</v>
      </c>
      <c r="CS63" s="147">
        <f t="shared" si="76"/>
        <v>0</v>
      </c>
      <c r="CT63" s="148">
        <f t="shared" ref="CT63:DE63" si="205">+CT61-CT62</f>
        <v>0</v>
      </c>
      <c r="CU63" s="145">
        <f t="shared" si="205"/>
        <v>0</v>
      </c>
      <c r="CV63" s="145">
        <f t="shared" si="205"/>
        <v>0</v>
      </c>
      <c r="CW63" s="145">
        <f t="shared" si="205"/>
        <v>0</v>
      </c>
      <c r="CX63" s="145">
        <f t="shared" si="205"/>
        <v>0</v>
      </c>
      <c r="CY63" s="145">
        <f t="shared" si="205"/>
        <v>0</v>
      </c>
      <c r="CZ63" s="145">
        <f t="shared" si="205"/>
        <v>0</v>
      </c>
      <c r="DA63" s="145">
        <f t="shared" si="205"/>
        <v>0</v>
      </c>
      <c r="DB63" s="145">
        <f t="shared" si="205"/>
        <v>0</v>
      </c>
      <c r="DC63" s="145">
        <f t="shared" si="205"/>
        <v>0</v>
      </c>
      <c r="DD63" s="145">
        <f t="shared" si="205"/>
        <v>0</v>
      </c>
      <c r="DE63" s="146">
        <f t="shared" si="205"/>
        <v>0</v>
      </c>
      <c r="DF63" s="147">
        <f t="shared" si="77"/>
        <v>0</v>
      </c>
      <c r="DG63" s="146">
        <f>+DG61-DG62</f>
        <v>0</v>
      </c>
      <c r="DH63" s="98">
        <f t="shared" si="72"/>
        <v>0</v>
      </c>
      <c r="DI63" s="99">
        <f t="shared" si="73"/>
        <v>0</v>
      </c>
      <c r="DJ63" s="100">
        <f t="shared" si="74"/>
        <v>0</v>
      </c>
    </row>
    <row r="64" spans="1:118" ht="15" customHeight="1" outlineLevel="1">
      <c r="A64" s="607"/>
      <c r="B64" s="557" t="s">
        <v>203</v>
      </c>
      <c r="C64" s="246" t="s">
        <v>62</v>
      </c>
      <c r="D64" s="183" t="s">
        <v>122</v>
      </c>
      <c r="E64" s="153">
        <f>AF64+AS64+BF64+BS64+CF64+CS64+DF64+S64+DG64</f>
        <v>57580.224096159269</v>
      </c>
      <c r="F64" s="153"/>
      <c r="G64" s="154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284"/>
      <c r="S64" s="157">
        <f t="shared" si="187"/>
        <v>0</v>
      </c>
      <c r="T64" s="378"/>
      <c r="U64" s="382"/>
      <c r="V64" s="382"/>
      <c r="W64" s="382"/>
      <c r="X64" s="382"/>
      <c r="Y64" s="382"/>
      <c r="Z64" s="382"/>
      <c r="AA64" s="382"/>
      <c r="AB64" s="382"/>
      <c r="AC64" s="382"/>
      <c r="AD64" s="382"/>
      <c r="AE64" s="481"/>
      <c r="AF64" s="157">
        <f t="shared" si="68"/>
        <v>0</v>
      </c>
      <c r="AG64" s="500"/>
      <c r="AH64" s="513"/>
      <c r="AI64" s="513"/>
      <c r="AJ64" s="513"/>
      <c r="AK64" s="513"/>
      <c r="AL64" s="513"/>
      <c r="AM64" s="513"/>
      <c r="AN64" s="513"/>
      <c r="AO64" s="513"/>
      <c r="AP64" s="513"/>
      <c r="AQ64" s="513"/>
      <c r="AR64" s="512"/>
      <c r="AS64" s="409">
        <f t="shared" si="188"/>
        <v>0</v>
      </c>
      <c r="AT64" s="500"/>
      <c r="AU64" s="513"/>
      <c r="AV64" s="513"/>
      <c r="AW64" s="283"/>
      <c r="AX64" s="283"/>
      <c r="AY64" s="283"/>
      <c r="AZ64" s="283"/>
      <c r="BA64" s="283"/>
      <c r="BB64" s="283">
        <v>2665.751115562929</v>
      </c>
      <c r="BC64" s="283">
        <v>14.162500000000001</v>
      </c>
      <c r="BD64" s="283">
        <v>103</v>
      </c>
      <c r="BE64" s="283">
        <v>105.575</v>
      </c>
      <c r="BF64" s="157">
        <f t="shared" si="70"/>
        <v>2888.4886155629288</v>
      </c>
      <c r="BG64" s="283">
        <v>154.5</v>
      </c>
      <c r="BH64" s="283">
        <v>129.78</v>
      </c>
      <c r="BI64" s="283">
        <v>196.73</v>
      </c>
      <c r="BJ64" s="283">
        <v>203.94</v>
      </c>
      <c r="BK64" s="283">
        <v>550.10464770876251</v>
      </c>
      <c r="BL64" s="285">
        <v>618.8565671129079</v>
      </c>
      <c r="BM64" s="359">
        <v>685.91224368277778</v>
      </c>
      <c r="BN64" s="283">
        <v>751.0878824698799</v>
      </c>
      <c r="BO64" s="283">
        <v>814.20484157863314</v>
      </c>
      <c r="BP64" s="283">
        <v>875.09012181129401</v>
      </c>
      <c r="BQ64" s="283">
        <v>933.57684084681989</v>
      </c>
      <c r="BR64" s="283">
        <v>989.50469065374887</v>
      </c>
      <c r="BS64" s="157">
        <f t="shared" si="71"/>
        <v>6903.287835864825</v>
      </c>
      <c r="BT64" s="283">
        <v>1042.7203768832076</v>
      </c>
      <c r="BU64" s="285">
        <v>1093.0780390382154</v>
      </c>
      <c r="BV64" s="359">
        <v>1140.4396502671777</v>
      </c>
      <c r="BW64" s="283">
        <v>1184.6753956857322</v>
      </c>
      <c r="BX64" s="283">
        <v>1225.6640281904613</v>
      </c>
      <c r="BY64" s="283">
        <v>1263.2932007888312</v>
      </c>
      <c r="BZ64" s="283">
        <v>1297.4597745342453</v>
      </c>
      <c r="CA64" s="283">
        <v>1328.0701012229686</v>
      </c>
      <c r="CB64" s="283">
        <v>1355.0402800772963</v>
      </c>
      <c r="CC64" s="283">
        <v>1378.2963877116117</v>
      </c>
      <c r="CD64" s="283">
        <v>1397.7746807513945</v>
      </c>
      <c r="CE64" s="283">
        <v>1413.4217705494066</v>
      </c>
      <c r="CF64" s="157">
        <f t="shared" si="75"/>
        <v>15119.933685700549</v>
      </c>
      <c r="CG64" s="283">
        <v>1425.1947695200645</v>
      </c>
      <c r="CH64" s="285">
        <v>1433.0614086915164</v>
      </c>
      <c r="CI64" s="359">
        <v>1437.0001261526718</v>
      </c>
      <c r="CJ64" s="283">
        <v>1437.0001261526756</v>
      </c>
      <c r="CK64" s="283">
        <v>1433.0614086915125</v>
      </c>
      <c r="CL64" s="283">
        <v>1425.1947695200681</v>
      </c>
      <c r="CM64" s="283">
        <v>1413.4217705494066</v>
      </c>
      <c r="CN64" s="283">
        <v>1397.7746807513906</v>
      </c>
      <c r="CO64" s="283">
        <v>1378.2963877116154</v>
      </c>
      <c r="CP64" s="283">
        <v>1355.0402800773002</v>
      </c>
      <c r="CQ64" s="283">
        <v>1328.0701012229874</v>
      </c>
      <c r="CR64" s="283">
        <v>1297.4597745342246</v>
      </c>
      <c r="CS64" s="157">
        <f t="shared" si="76"/>
        <v>16760.575603575435</v>
      </c>
      <c r="CT64" s="283">
        <v>1263.2932007888276</v>
      </c>
      <c r="CU64" s="285">
        <v>1225.6640281904893</v>
      </c>
      <c r="CV64" s="359">
        <v>1184.6753956857078</v>
      </c>
      <c r="CW64" s="283">
        <v>1140.4396502671759</v>
      </c>
      <c r="CX64" s="283">
        <v>1093.078039038234</v>
      </c>
      <c r="CY64" s="283">
        <v>1042.7203768831926</v>
      </c>
      <c r="CZ64" s="283">
        <v>989.504690653745</v>
      </c>
      <c r="DA64" s="283">
        <v>933.57684084684058</v>
      </c>
      <c r="DB64" s="283">
        <v>875.09012181127628</v>
      </c>
      <c r="DC64" s="283">
        <v>814.20484157863791</v>
      </c>
      <c r="DD64" s="283">
        <v>751.08788246989025</v>
      </c>
      <c r="DE64" s="283">
        <v>685.91224368276653</v>
      </c>
      <c r="DF64" s="157">
        <f t="shared" si="77"/>
        <v>11999.247311896783</v>
      </c>
      <c r="DG64" s="280">
        <v>3908.6910435587506</v>
      </c>
      <c r="DH64" s="159">
        <f t="shared" si="72"/>
        <v>13700.467494986504</v>
      </c>
      <c r="DI64" s="160">
        <f t="shared" si="73"/>
        <v>57580.224096159269</v>
      </c>
      <c r="DJ64" s="161">
        <f t="shared" si="74"/>
        <v>43879.756601172761</v>
      </c>
      <c r="DM64" s="134">
        <f>AS64+BF64+BS64+CF64+CS64+DG64+DF64</f>
        <v>57580.224096159269</v>
      </c>
    </row>
    <row r="65" spans="1:118" ht="15" customHeight="1" outlineLevel="1">
      <c r="A65" s="607"/>
      <c r="B65" s="558"/>
      <c r="C65" s="245" t="s">
        <v>63</v>
      </c>
      <c r="D65" s="184" t="s">
        <v>124</v>
      </c>
      <c r="E65" s="136">
        <f>AF65+AS65+BF65+BS65+CF65+CS65+DF65+S65+DG65</f>
        <v>51822.20168654334</v>
      </c>
      <c r="F65" s="136"/>
      <c r="G65" s="137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9"/>
      <c r="S65" s="162">
        <f t="shared" si="187"/>
        <v>0</v>
      </c>
      <c r="T65" s="380"/>
      <c r="U65" s="381"/>
      <c r="V65" s="381"/>
      <c r="W65" s="381"/>
      <c r="X65" s="381"/>
      <c r="Y65" s="381"/>
      <c r="Z65" s="381"/>
      <c r="AA65" s="381"/>
      <c r="AB65" s="381"/>
      <c r="AC65" s="381"/>
      <c r="AD65" s="381"/>
      <c r="AE65" s="392"/>
      <c r="AF65" s="162">
        <f t="shared" si="68"/>
        <v>0</v>
      </c>
      <c r="AG65" s="501"/>
      <c r="AH65" s="499"/>
      <c r="AI65" s="499"/>
      <c r="AJ65" s="499"/>
      <c r="AK65" s="499"/>
      <c r="AL65" s="499"/>
      <c r="AM65" s="499"/>
      <c r="AN65" s="499"/>
      <c r="AO65" s="499"/>
      <c r="AP65" s="499"/>
      <c r="AQ65" s="499"/>
      <c r="AR65" s="511"/>
      <c r="AS65" s="410">
        <f t="shared" si="188"/>
        <v>0</v>
      </c>
      <c r="AT65" s="501"/>
      <c r="AU65" s="499"/>
      <c r="AV65" s="499"/>
      <c r="AW65" s="253"/>
      <c r="AX65" s="253"/>
      <c r="AY65" s="253"/>
      <c r="AZ65" s="253"/>
      <c r="BA65" s="253"/>
      <c r="BB65" s="253"/>
      <c r="BC65" s="253">
        <v>13.365</v>
      </c>
      <c r="BD65" s="253">
        <v>97.2</v>
      </c>
      <c r="BE65" s="253">
        <v>99.63000000000001</v>
      </c>
      <c r="BF65" s="162">
        <f t="shared" si="70"/>
        <v>210.19499999999999</v>
      </c>
      <c r="BG65" s="253">
        <v>145.80000000000001</v>
      </c>
      <c r="BH65" s="253">
        <v>122.47200000000001</v>
      </c>
      <c r="BI65" s="253">
        <v>185.65200000000002</v>
      </c>
      <c r="BJ65" s="253">
        <v>192.45600000000002</v>
      </c>
      <c r="BK65" s="253">
        <v>519.12788113875445</v>
      </c>
      <c r="BL65" s="338">
        <v>584.0083332366471</v>
      </c>
      <c r="BM65" s="353">
        <v>647.28805908704862</v>
      </c>
      <c r="BN65" s="253">
        <v>708.79361335992564</v>
      </c>
      <c r="BO65" s="253">
        <v>768.35641360624413</v>
      </c>
      <c r="BP65" s="253">
        <v>825.8132023306581</v>
      </c>
      <c r="BQ65" s="253">
        <v>881.00649446903788</v>
      </c>
      <c r="BR65" s="253">
        <v>933.78500904412022</v>
      </c>
      <c r="BS65" s="162">
        <f t="shared" si="71"/>
        <v>6514.5590062724368</v>
      </c>
      <c r="BT65" s="253">
        <v>984.00408381599777</v>
      </c>
      <c r="BU65" s="338">
        <v>1031.5260717914032</v>
      </c>
      <c r="BV65" s="353">
        <v>1076.22071850456</v>
      </c>
      <c r="BW65" s="253">
        <v>1117.9655190354674</v>
      </c>
      <c r="BX65" s="253">
        <v>1156.6460537875032</v>
      </c>
      <c r="BY65" s="253">
        <v>1192.156302103635</v>
      </c>
      <c r="BZ65" s="253">
        <v>1224.3989328614432</v>
      </c>
      <c r="CA65" s="253">
        <v>1253.2855712511896</v>
      </c>
      <c r="CB65" s="253">
        <v>1278.7370410049825</v>
      </c>
      <c r="CC65" s="253">
        <v>1300.6835814132878</v>
      </c>
      <c r="CD65" s="253">
        <v>1319.0650385343256</v>
      </c>
      <c r="CE65" s="253">
        <v>1333.8310300718674</v>
      </c>
      <c r="CF65" s="162">
        <f t="shared" si="75"/>
        <v>14268.519944175661</v>
      </c>
      <c r="CG65" s="253">
        <v>1344.9410834694202</v>
      </c>
      <c r="CH65" s="338">
        <v>1352.3647468428678</v>
      </c>
      <c r="CI65" s="353">
        <v>1356.0816724469873</v>
      </c>
      <c r="CJ65" s="253">
        <v>1356.081672446991</v>
      </c>
      <c r="CK65" s="253">
        <v>1352.3647468428642</v>
      </c>
      <c r="CL65" s="253">
        <v>1344.9410834694236</v>
      </c>
      <c r="CM65" s="253">
        <v>1333.8310300718674</v>
      </c>
      <c r="CN65" s="253">
        <v>1319.0650385343222</v>
      </c>
      <c r="CO65" s="253">
        <v>1300.6835814132914</v>
      </c>
      <c r="CP65" s="253">
        <v>1278.7370410049864</v>
      </c>
      <c r="CQ65" s="253">
        <v>1253.2855712512073</v>
      </c>
      <c r="CR65" s="253">
        <v>1224.3989328614236</v>
      </c>
      <c r="CS65" s="162">
        <f t="shared" si="76"/>
        <v>15816.776200655653</v>
      </c>
      <c r="CT65" s="253">
        <v>1192.1563021036316</v>
      </c>
      <c r="CU65" s="338">
        <v>1156.6460537875298</v>
      </c>
      <c r="CV65" s="353">
        <v>1117.9655190354447</v>
      </c>
      <c r="CW65" s="253">
        <v>1076.2207185045581</v>
      </c>
      <c r="CX65" s="253">
        <v>1031.5260717914209</v>
      </c>
      <c r="CY65" s="253">
        <v>984.00408381598368</v>
      </c>
      <c r="CZ65" s="253">
        <v>933.78500904411669</v>
      </c>
      <c r="DA65" s="253">
        <v>881.00649446905732</v>
      </c>
      <c r="DB65" s="253">
        <v>825.81320233064127</v>
      </c>
      <c r="DC65" s="253">
        <v>768.35641360624857</v>
      </c>
      <c r="DD65" s="253">
        <v>708.79361335993531</v>
      </c>
      <c r="DE65" s="253">
        <v>647.28805908703805</v>
      </c>
      <c r="DF65" s="162">
        <f t="shared" si="77"/>
        <v>11323.561540935605</v>
      </c>
      <c r="DG65" s="279">
        <v>3688.5899945039864</v>
      </c>
      <c r="DH65" s="90">
        <f t="shared" si="72"/>
        <v>10413.344000776422</v>
      </c>
      <c r="DI65" s="91">
        <f t="shared" si="73"/>
        <v>51822.20168654334</v>
      </c>
      <c r="DJ65" s="92">
        <f t="shared" si="74"/>
        <v>41408.857685766918</v>
      </c>
      <c r="DK65" s="64">
        <f>+DH65/DH64</f>
        <v>0.76007216575544168</v>
      </c>
      <c r="DM65" s="134">
        <f>AS65+BF65+BS65+CF65+CS65+DG65+DF65</f>
        <v>51822.20168654334</v>
      </c>
    </row>
    <row r="66" spans="1:118" ht="15" customHeight="1" outlineLevel="1">
      <c r="A66" s="607"/>
      <c r="B66" s="559"/>
      <c r="C66" s="357" t="s">
        <v>11</v>
      </c>
      <c r="D66" s="358"/>
      <c r="E66" s="143">
        <f t="shared" ref="E66:R66" si="206">+E64-E65</f>
        <v>5758.0224096159291</v>
      </c>
      <c r="F66" s="144">
        <f t="shared" si="206"/>
        <v>0</v>
      </c>
      <c r="G66" s="145">
        <f t="shared" si="206"/>
        <v>0</v>
      </c>
      <c r="H66" s="145">
        <f t="shared" si="206"/>
        <v>0</v>
      </c>
      <c r="I66" s="145">
        <f t="shared" si="206"/>
        <v>0</v>
      </c>
      <c r="J66" s="145">
        <f t="shared" si="206"/>
        <v>0</v>
      </c>
      <c r="K66" s="145">
        <f t="shared" si="206"/>
        <v>0</v>
      </c>
      <c r="L66" s="145">
        <f t="shared" si="206"/>
        <v>0</v>
      </c>
      <c r="M66" s="145">
        <f t="shared" si="206"/>
        <v>0</v>
      </c>
      <c r="N66" s="145">
        <f t="shared" si="206"/>
        <v>0</v>
      </c>
      <c r="O66" s="145">
        <f t="shared" si="206"/>
        <v>0</v>
      </c>
      <c r="P66" s="145">
        <f t="shared" si="206"/>
        <v>0</v>
      </c>
      <c r="Q66" s="145">
        <f t="shared" si="206"/>
        <v>0</v>
      </c>
      <c r="R66" s="146">
        <f t="shared" si="206"/>
        <v>0</v>
      </c>
      <c r="S66" s="147">
        <f t="shared" si="187"/>
        <v>0</v>
      </c>
      <c r="T66" s="148">
        <f t="shared" ref="T66:AE66" si="207">+T64-T65</f>
        <v>0</v>
      </c>
      <c r="U66" s="145">
        <f t="shared" si="207"/>
        <v>0</v>
      </c>
      <c r="V66" s="145">
        <f t="shared" si="207"/>
        <v>0</v>
      </c>
      <c r="W66" s="145">
        <f t="shared" si="207"/>
        <v>0</v>
      </c>
      <c r="X66" s="145">
        <f t="shared" si="207"/>
        <v>0</v>
      </c>
      <c r="Y66" s="145">
        <f t="shared" si="207"/>
        <v>0</v>
      </c>
      <c r="Z66" s="145">
        <f t="shared" si="207"/>
        <v>0</v>
      </c>
      <c r="AA66" s="145">
        <f t="shared" si="207"/>
        <v>0</v>
      </c>
      <c r="AB66" s="145">
        <f t="shared" si="207"/>
        <v>0</v>
      </c>
      <c r="AC66" s="145">
        <f t="shared" si="207"/>
        <v>0</v>
      </c>
      <c r="AD66" s="145">
        <f t="shared" si="207"/>
        <v>0</v>
      </c>
      <c r="AE66" s="146">
        <f t="shared" si="207"/>
        <v>0</v>
      </c>
      <c r="AF66" s="147">
        <f t="shared" si="68"/>
        <v>0</v>
      </c>
      <c r="AG66" s="148">
        <f t="shared" ref="AG66:AR66" si="208">+AG64-AG65</f>
        <v>0</v>
      </c>
      <c r="AH66" s="145">
        <f t="shared" si="208"/>
        <v>0</v>
      </c>
      <c r="AI66" s="145">
        <f t="shared" si="208"/>
        <v>0</v>
      </c>
      <c r="AJ66" s="145">
        <f t="shared" si="208"/>
        <v>0</v>
      </c>
      <c r="AK66" s="145">
        <f t="shared" si="208"/>
        <v>0</v>
      </c>
      <c r="AL66" s="145">
        <f t="shared" si="208"/>
        <v>0</v>
      </c>
      <c r="AM66" s="145">
        <f t="shared" si="208"/>
        <v>0</v>
      </c>
      <c r="AN66" s="145">
        <f t="shared" si="208"/>
        <v>0</v>
      </c>
      <c r="AO66" s="145">
        <f t="shared" si="208"/>
        <v>0</v>
      </c>
      <c r="AP66" s="145">
        <f t="shared" si="208"/>
        <v>0</v>
      </c>
      <c r="AQ66" s="145">
        <f t="shared" si="208"/>
        <v>0</v>
      </c>
      <c r="AR66" s="146">
        <f t="shared" si="208"/>
        <v>0</v>
      </c>
      <c r="AS66" s="408">
        <f t="shared" si="188"/>
        <v>0</v>
      </c>
      <c r="AT66" s="148">
        <f t="shared" ref="AT66:BE66" si="209">+AT64-AT65</f>
        <v>0</v>
      </c>
      <c r="AU66" s="145">
        <f t="shared" si="209"/>
        <v>0</v>
      </c>
      <c r="AV66" s="145">
        <f t="shared" si="209"/>
        <v>0</v>
      </c>
      <c r="AW66" s="145">
        <f t="shared" si="209"/>
        <v>0</v>
      </c>
      <c r="AX66" s="145">
        <f t="shared" si="209"/>
        <v>0</v>
      </c>
      <c r="AY66" s="145">
        <f t="shared" si="209"/>
        <v>0</v>
      </c>
      <c r="AZ66" s="145">
        <f t="shared" si="209"/>
        <v>0</v>
      </c>
      <c r="BA66" s="145">
        <f t="shared" si="209"/>
        <v>0</v>
      </c>
      <c r="BB66" s="145">
        <f t="shared" si="209"/>
        <v>2665.751115562929</v>
      </c>
      <c r="BC66" s="145">
        <f t="shared" si="209"/>
        <v>0.79750000000000121</v>
      </c>
      <c r="BD66" s="145">
        <f t="shared" si="209"/>
        <v>5.7999999999999972</v>
      </c>
      <c r="BE66" s="146">
        <f t="shared" si="209"/>
        <v>5.9449999999999932</v>
      </c>
      <c r="BF66" s="147">
        <f t="shared" si="70"/>
        <v>2678.2936155629295</v>
      </c>
      <c r="BG66" s="148">
        <f t="shared" ref="BG66:BR66" si="210">+BG64-BG65</f>
        <v>8.6999999999999886</v>
      </c>
      <c r="BH66" s="145">
        <f t="shared" si="210"/>
        <v>7.3079999999999927</v>
      </c>
      <c r="BI66" s="145">
        <f t="shared" si="210"/>
        <v>11.077999999999975</v>
      </c>
      <c r="BJ66" s="145">
        <f t="shared" si="210"/>
        <v>11.48399999999998</v>
      </c>
      <c r="BK66" s="145">
        <f t="shared" si="210"/>
        <v>30.976766570008067</v>
      </c>
      <c r="BL66" s="145">
        <f t="shared" si="210"/>
        <v>34.848233876260792</v>
      </c>
      <c r="BM66" s="145">
        <f t="shared" si="210"/>
        <v>38.624184595729162</v>
      </c>
      <c r="BN66" s="145">
        <f t="shared" si="210"/>
        <v>42.294269109954257</v>
      </c>
      <c r="BO66" s="145">
        <f t="shared" si="210"/>
        <v>45.848427972389004</v>
      </c>
      <c r="BP66" s="145">
        <f t="shared" si="210"/>
        <v>49.276919480635911</v>
      </c>
      <c r="BQ66" s="145">
        <f t="shared" si="210"/>
        <v>52.570346377782016</v>
      </c>
      <c r="BR66" s="146">
        <f t="shared" si="210"/>
        <v>55.719681609628651</v>
      </c>
      <c r="BS66" s="147">
        <f t="shared" si="71"/>
        <v>388.7288295923878</v>
      </c>
      <c r="BT66" s="148">
        <f t="shared" ref="BT66:CE66" si="211">+BT64-BT65</f>
        <v>58.71629306720979</v>
      </c>
      <c r="BU66" s="145">
        <f t="shared" si="211"/>
        <v>61.551967246812183</v>
      </c>
      <c r="BV66" s="145">
        <f t="shared" si="211"/>
        <v>64.218931762617785</v>
      </c>
      <c r="BW66" s="145">
        <f t="shared" si="211"/>
        <v>66.709876650264732</v>
      </c>
      <c r="BX66" s="145">
        <f t="shared" si="211"/>
        <v>69.017974402958089</v>
      </c>
      <c r="BY66" s="145">
        <f t="shared" si="211"/>
        <v>71.136898685196229</v>
      </c>
      <c r="BZ66" s="145">
        <f t="shared" si="211"/>
        <v>73.060841672802098</v>
      </c>
      <c r="CA66" s="145">
        <f t="shared" si="211"/>
        <v>74.784529971778966</v>
      </c>
      <c r="CB66" s="145">
        <f t="shared" si="211"/>
        <v>76.303239072313772</v>
      </c>
      <c r="CC66" s="145">
        <f t="shared" si="211"/>
        <v>77.612806298323903</v>
      </c>
      <c r="CD66" s="145">
        <f t="shared" si="211"/>
        <v>78.709642217068904</v>
      </c>
      <c r="CE66" s="146">
        <f t="shared" si="211"/>
        <v>79.590740477539157</v>
      </c>
      <c r="CF66" s="147">
        <f t="shared" si="75"/>
        <v>851.41374152488561</v>
      </c>
      <c r="CG66" s="148">
        <f t="shared" ref="CG66:CR66" si="212">+CG64-CG65</f>
        <v>80.253686050644319</v>
      </c>
      <c r="CH66" s="145">
        <f t="shared" si="212"/>
        <v>80.696661848648546</v>
      </c>
      <c r="CI66" s="145">
        <f t="shared" si="212"/>
        <v>80.918453705684442</v>
      </c>
      <c r="CJ66" s="145">
        <f t="shared" si="212"/>
        <v>80.918453705684669</v>
      </c>
      <c r="CK66" s="145">
        <f t="shared" si="212"/>
        <v>80.696661848648318</v>
      </c>
      <c r="CL66" s="145">
        <f t="shared" si="212"/>
        <v>80.253686050644546</v>
      </c>
      <c r="CM66" s="145">
        <f t="shared" si="212"/>
        <v>79.590740477539157</v>
      </c>
      <c r="CN66" s="145">
        <f t="shared" si="212"/>
        <v>78.709642217068449</v>
      </c>
      <c r="CO66" s="145">
        <f t="shared" si="212"/>
        <v>77.612806298323903</v>
      </c>
      <c r="CP66" s="145">
        <f t="shared" si="212"/>
        <v>76.303239072313772</v>
      </c>
      <c r="CQ66" s="145">
        <f t="shared" si="212"/>
        <v>74.784529971780103</v>
      </c>
      <c r="CR66" s="146">
        <f t="shared" si="212"/>
        <v>73.060841672800962</v>
      </c>
      <c r="CS66" s="147">
        <f t="shared" si="76"/>
        <v>943.79940291978119</v>
      </c>
      <c r="CT66" s="148">
        <f t="shared" ref="CT66:DE66" si="213">+CT64-CT65</f>
        <v>71.136898685196002</v>
      </c>
      <c r="CU66" s="145">
        <f t="shared" si="213"/>
        <v>69.017974402959453</v>
      </c>
      <c r="CV66" s="145">
        <f t="shared" si="213"/>
        <v>66.709876650263141</v>
      </c>
      <c r="CW66" s="145">
        <f t="shared" si="213"/>
        <v>64.218931762617785</v>
      </c>
      <c r="CX66" s="145">
        <f t="shared" si="213"/>
        <v>61.551967246813092</v>
      </c>
      <c r="CY66" s="145">
        <f t="shared" si="213"/>
        <v>58.716293067208881</v>
      </c>
      <c r="CZ66" s="145">
        <f t="shared" si="213"/>
        <v>55.71968160962831</v>
      </c>
      <c r="DA66" s="145">
        <f t="shared" si="213"/>
        <v>52.570346377783267</v>
      </c>
      <c r="DB66" s="145">
        <f t="shared" si="213"/>
        <v>49.276919480635001</v>
      </c>
      <c r="DC66" s="145">
        <f t="shared" si="213"/>
        <v>45.848427972389345</v>
      </c>
      <c r="DD66" s="145">
        <f t="shared" si="213"/>
        <v>42.294269109954939</v>
      </c>
      <c r="DE66" s="146">
        <f t="shared" si="213"/>
        <v>38.62418459572848</v>
      </c>
      <c r="DF66" s="147">
        <f t="shared" si="77"/>
        <v>675.6857709611777</v>
      </c>
      <c r="DG66" s="146">
        <f>+DG64-DG65</f>
        <v>220.10104905476419</v>
      </c>
      <c r="DH66" s="98">
        <f t="shared" si="72"/>
        <v>3287.1234942100814</v>
      </c>
      <c r="DI66" s="99">
        <f t="shared" si="73"/>
        <v>5758.0224096159291</v>
      </c>
      <c r="DJ66" s="100">
        <f t="shared" si="74"/>
        <v>2470.8989154058477</v>
      </c>
    </row>
    <row r="67" spans="1:118" ht="15" customHeight="1" outlineLevel="1">
      <c r="A67" s="607"/>
      <c r="B67" s="557" t="s">
        <v>204</v>
      </c>
      <c r="C67" s="246" t="s">
        <v>62</v>
      </c>
      <c r="D67" s="183" t="s">
        <v>122</v>
      </c>
      <c r="E67" s="153">
        <f>AF67+AS67+BF67+BS67+CF67+CS67+DF67+S67+DG67</f>
        <v>60287.760000000009</v>
      </c>
      <c r="F67" s="153"/>
      <c r="G67" s="154"/>
      <c r="H67" s="155"/>
      <c r="I67" s="155"/>
      <c r="J67" s="155"/>
      <c r="K67" s="155"/>
      <c r="L67" s="155"/>
      <c r="M67" s="155"/>
      <c r="N67" s="155"/>
      <c r="O67" s="155"/>
      <c r="P67" s="155"/>
      <c r="Q67" s="155"/>
      <c r="R67" s="284"/>
      <c r="S67" s="157">
        <f t="shared" si="187"/>
        <v>0</v>
      </c>
      <c r="T67" s="378"/>
      <c r="U67" s="382"/>
      <c r="V67" s="382"/>
      <c r="W67" s="382"/>
      <c r="X67" s="382"/>
      <c r="Y67" s="382"/>
      <c r="Z67" s="382"/>
      <c r="AA67" s="382"/>
      <c r="AB67" s="382"/>
      <c r="AC67" s="382"/>
      <c r="AD67" s="382"/>
      <c r="AE67" s="481"/>
      <c r="AF67" s="157">
        <f t="shared" si="68"/>
        <v>0</v>
      </c>
      <c r="AG67" s="500"/>
      <c r="AH67" s="513"/>
      <c r="AI67" s="513"/>
      <c r="AJ67" s="513"/>
      <c r="AK67" s="513"/>
      <c r="AL67" s="513"/>
      <c r="AM67" s="513"/>
      <c r="AN67" s="513"/>
      <c r="AO67" s="513"/>
      <c r="AP67" s="513"/>
      <c r="AQ67" s="513"/>
      <c r="AR67" s="512"/>
      <c r="AS67" s="409">
        <f t="shared" si="188"/>
        <v>0</v>
      </c>
      <c r="AT67" s="500"/>
      <c r="AU67" s="513"/>
      <c r="AV67" s="513"/>
      <c r="AW67" s="155"/>
      <c r="AX67" s="155"/>
      <c r="AY67" s="155"/>
      <c r="AZ67" s="155"/>
      <c r="BA67" s="155"/>
      <c r="BB67" s="155"/>
      <c r="BC67" s="155"/>
      <c r="BD67" s="155"/>
      <c r="BE67" s="156"/>
      <c r="BF67" s="157">
        <f t="shared" si="70"/>
        <v>0</v>
      </c>
      <c r="BG67" s="359"/>
      <c r="BH67" s="283"/>
      <c r="BI67" s="283"/>
      <c r="BJ67" s="283"/>
      <c r="BK67" s="283"/>
      <c r="BL67" s="283"/>
      <c r="BM67" s="283"/>
      <c r="BN67" s="283"/>
      <c r="BO67" s="283"/>
      <c r="BP67" s="283">
        <v>219.78282425314947</v>
      </c>
      <c r="BQ67" s="283">
        <v>656.14354427403316</v>
      </c>
      <c r="BR67" s="285">
        <v>1082.936213912795</v>
      </c>
      <c r="BS67" s="157">
        <f t="shared" si="71"/>
        <v>1958.8625824399776</v>
      </c>
      <c r="BT67" s="359">
        <v>1493.9372349927348</v>
      </c>
      <c r="BU67" s="283">
        <v>1883.1532871328279</v>
      </c>
      <c r="BV67" s="283">
        <v>2244.9087238545694</v>
      </c>
      <c r="BW67" s="283">
        <v>2573.9283362883393</v>
      </c>
      <c r="BX67" s="283">
        <v>2865.4142775971955</v>
      </c>
      <c r="BY67" s="283">
        <v>3115.1160263876486</v>
      </c>
      <c r="BZ67" s="283">
        <v>3319.3923688829477</v>
      </c>
      <c r="CA67" s="283">
        <v>3475.2644960193616</v>
      </c>
      <c r="CB67" s="283">
        <v>3580.4594411895814</v>
      </c>
      <c r="CC67" s="283">
        <v>3633.4432252148104</v>
      </c>
      <c r="CD67" s="283">
        <v>3633.4432252148104</v>
      </c>
      <c r="CE67" s="285">
        <v>3580.4594411896364</v>
      </c>
      <c r="CF67" s="157">
        <f t="shared" si="75"/>
        <v>35398.920083964469</v>
      </c>
      <c r="CG67" s="359">
        <v>3475.2644960193102</v>
      </c>
      <c r="CH67" s="283">
        <v>3319.3923688829459</v>
      </c>
      <c r="CI67" s="283">
        <v>3115.1160263876664</v>
      </c>
      <c r="CJ67" s="283">
        <v>2865.4142775971854</v>
      </c>
      <c r="CK67" s="283">
        <v>2573.9283362883348</v>
      </c>
      <c r="CL67" s="283">
        <v>2244.9087238545999</v>
      </c>
      <c r="CM67" s="283">
        <v>1883.153287132802</v>
      </c>
      <c r="CN67" s="283">
        <v>1493.9372349927391</v>
      </c>
      <c r="CO67" s="283">
        <v>1082.9362139128109</v>
      </c>
      <c r="CP67" s="283">
        <v>656.14354427401179</v>
      </c>
      <c r="CQ67" s="283">
        <v>219.78282425315703</v>
      </c>
      <c r="CR67" s="285"/>
      <c r="CS67" s="157">
        <f t="shared" si="76"/>
        <v>22929.977333595562</v>
      </c>
      <c r="CT67" s="359"/>
      <c r="CU67" s="283"/>
      <c r="CV67" s="283"/>
      <c r="CW67" s="283"/>
      <c r="CX67" s="283"/>
      <c r="CY67" s="283"/>
      <c r="CZ67" s="283"/>
      <c r="DA67" s="283"/>
      <c r="DB67" s="283"/>
      <c r="DC67" s="283"/>
      <c r="DD67" s="283"/>
      <c r="DE67" s="285"/>
      <c r="DF67" s="157">
        <f t="shared" si="77"/>
        <v>0</v>
      </c>
      <c r="DG67" s="280"/>
      <c r="DH67" s="159">
        <f t="shared" si="72"/>
        <v>1958.8625824399776</v>
      </c>
      <c r="DI67" s="160">
        <f t="shared" si="73"/>
        <v>60287.760000000009</v>
      </c>
      <c r="DJ67" s="161">
        <f t="shared" si="74"/>
        <v>58328.897417560031</v>
      </c>
      <c r="DM67" s="134">
        <f>AS67+BF67+BS67+CF67+CS67+DG67+DF67</f>
        <v>60287.760000000009</v>
      </c>
    </row>
    <row r="68" spans="1:118" ht="15" customHeight="1" outlineLevel="1">
      <c r="A68" s="607"/>
      <c r="B68" s="558"/>
      <c r="C68" s="245" t="s">
        <v>63</v>
      </c>
      <c r="D68" s="184" t="s">
        <v>124</v>
      </c>
      <c r="E68" s="136">
        <f>AF68+AS68+BF68+BS68+CF68+CS68+DF68+S68+DG68</f>
        <v>54258.983999999997</v>
      </c>
      <c r="F68" s="136"/>
      <c r="G68" s="137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9"/>
      <c r="S68" s="162">
        <f t="shared" si="187"/>
        <v>0</v>
      </c>
      <c r="T68" s="380"/>
      <c r="U68" s="381"/>
      <c r="V68" s="381"/>
      <c r="W68" s="381"/>
      <c r="X68" s="381"/>
      <c r="Y68" s="381"/>
      <c r="Z68" s="381"/>
      <c r="AA68" s="381"/>
      <c r="AB68" s="381"/>
      <c r="AC68" s="381"/>
      <c r="AD68" s="381"/>
      <c r="AE68" s="392"/>
      <c r="AF68" s="162">
        <f t="shared" si="68"/>
        <v>0</v>
      </c>
      <c r="AG68" s="501"/>
      <c r="AH68" s="499"/>
      <c r="AI68" s="499"/>
      <c r="AJ68" s="499"/>
      <c r="AK68" s="499"/>
      <c r="AL68" s="499"/>
      <c r="AM68" s="499"/>
      <c r="AN68" s="499"/>
      <c r="AO68" s="499"/>
      <c r="AP68" s="499"/>
      <c r="AQ68" s="499"/>
      <c r="AR68" s="511"/>
      <c r="AS68" s="410">
        <f t="shared" si="188"/>
        <v>0</v>
      </c>
      <c r="AT68" s="501"/>
      <c r="AU68" s="499"/>
      <c r="AV68" s="499"/>
      <c r="AW68" s="138"/>
      <c r="AX68" s="138"/>
      <c r="AY68" s="138"/>
      <c r="AZ68" s="138"/>
      <c r="BA68" s="138"/>
      <c r="BB68" s="138"/>
      <c r="BC68" s="138"/>
      <c r="BD68" s="138"/>
      <c r="BE68" s="139"/>
      <c r="BF68" s="162">
        <f t="shared" si="70"/>
        <v>0</v>
      </c>
      <c r="BG68" s="353"/>
      <c r="BH68" s="253"/>
      <c r="BI68" s="253"/>
      <c r="BJ68" s="253"/>
      <c r="BK68" s="253"/>
      <c r="BL68" s="253"/>
      <c r="BM68" s="253"/>
      <c r="BN68" s="253"/>
      <c r="BO68" s="253"/>
      <c r="BP68" s="253">
        <v>197.80454182783456</v>
      </c>
      <c r="BQ68" s="253">
        <v>590.52918984662983</v>
      </c>
      <c r="BR68" s="338">
        <v>974.64259252151555</v>
      </c>
      <c r="BS68" s="162">
        <f t="shared" si="71"/>
        <v>1762.9763241959799</v>
      </c>
      <c r="BT68" s="353">
        <v>1344.5435114934614</v>
      </c>
      <c r="BU68" s="253">
        <v>1694.8379584195452</v>
      </c>
      <c r="BV68" s="253">
        <v>2020.4178514691125</v>
      </c>
      <c r="BW68" s="253">
        <v>2316.5355026595057</v>
      </c>
      <c r="BX68" s="253">
        <v>2578.8728498374758</v>
      </c>
      <c r="BY68" s="253">
        <v>2803.6044237488841</v>
      </c>
      <c r="BZ68" s="253">
        <v>2987.4531319946532</v>
      </c>
      <c r="CA68" s="253">
        <v>3127.7380464174253</v>
      </c>
      <c r="CB68" s="253">
        <v>3222.4134970706232</v>
      </c>
      <c r="CC68" s="253">
        <v>3270.0989026933294</v>
      </c>
      <c r="CD68" s="253">
        <v>3270.0989026933294</v>
      </c>
      <c r="CE68" s="338">
        <v>3222.4134970706727</v>
      </c>
      <c r="CF68" s="162">
        <f t="shared" si="75"/>
        <v>31859.028075568014</v>
      </c>
      <c r="CG68" s="353">
        <v>3127.7380464173793</v>
      </c>
      <c r="CH68" s="253">
        <v>2987.4531319946514</v>
      </c>
      <c r="CI68" s="253">
        <v>2803.6044237488995</v>
      </c>
      <c r="CJ68" s="253">
        <v>2578.8728498374667</v>
      </c>
      <c r="CK68" s="253">
        <v>2316.5355026595012</v>
      </c>
      <c r="CL68" s="253">
        <v>2020.41785146914</v>
      </c>
      <c r="CM68" s="253">
        <v>1694.8379584195218</v>
      </c>
      <c r="CN68" s="253">
        <v>1344.5435114934653</v>
      </c>
      <c r="CO68" s="253">
        <v>974.64259252152976</v>
      </c>
      <c r="CP68" s="253">
        <v>590.52918984661073</v>
      </c>
      <c r="CQ68" s="253">
        <v>197.80454182784132</v>
      </c>
      <c r="CR68" s="338"/>
      <c r="CS68" s="162">
        <f t="shared" si="76"/>
        <v>20636.979600236005</v>
      </c>
      <c r="CT68" s="353"/>
      <c r="CU68" s="253"/>
      <c r="CV68" s="253"/>
      <c r="CW68" s="253"/>
      <c r="CX68" s="253"/>
      <c r="CY68" s="253"/>
      <c r="CZ68" s="253"/>
      <c r="DA68" s="253"/>
      <c r="DB68" s="253"/>
      <c r="DC68" s="253"/>
      <c r="DD68" s="253"/>
      <c r="DE68" s="338"/>
      <c r="DF68" s="162">
        <f t="shared" si="77"/>
        <v>0</v>
      </c>
      <c r="DG68" s="279"/>
      <c r="DH68" s="90">
        <f t="shared" si="72"/>
        <v>1762.9763241959799</v>
      </c>
      <c r="DI68" s="91">
        <f t="shared" si="73"/>
        <v>54258.983999999997</v>
      </c>
      <c r="DJ68" s="92">
        <f t="shared" si="74"/>
        <v>52496.007675804016</v>
      </c>
      <c r="DK68" s="64">
        <f>+DH68/DH67</f>
        <v>0.9</v>
      </c>
      <c r="DM68" s="134">
        <f>AS68+BF68+BS68+CF68+CS68+DG68+DF68</f>
        <v>54258.983999999997</v>
      </c>
      <c r="DN68" s="533">
        <f>DM68/DM67</f>
        <v>0.8999999999999998</v>
      </c>
    </row>
    <row r="69" spans="1:118" ht="15" customHeight="1" outlineLevel="1">
      <c r="A69" s="607"/>
      <c r="B69" s="559"/>
      <c r="C69" s="357" t="s">
        <v>11</v>
      </c>
      <c r="D69" s="358"/>
      <c r="E69" s="143">
        <f t="shared" ref="E69:R69" si="214">+E67-E68</f>
        <v>6028.7760000000126</v>
      </c>
      <c r="F69" s="144">
        <f t="shared" si="214"/>
        <v>0</v>
      </c>
      <c r="G69" s="145">
        <f t="shared" si="214"/>
        <v>0</v>
      </c>
      <c r="H69" s="145">
        <f t="shared" si="214"/>
        <v>0</v>
      </c>
      <c r="I69" s="145">
        <f t="shared" si="214"/>
        <v>0</v>
      </c>
      <c r="J69" s="145">
        <f t="shared" si="214"/>
        <v>0</v>
      </c>
      <c r="K69" s="145">
        <f t="shared" si="214"/>
        <v>0</v>
      </c>
      <c r="L69" s="145">
        <f t="shared" si="214"/>
        <v>0</v>
      </c>
      <c r="M69" s="145">
        <f t="shared" si="214"/>
        <v>0</v>
      </c>
      <c r="N69" s="145">
        <f t="shared" si="214"/>
        <v>0</v>
      </c>
      <c r="O69" s="145">
        <f t="shared" si="214"/>
        <v>0</v>
      </c>
      <c r="P69" s="145">
        <f t="shared" si="214"/>
        <v>0</v>
      </c>
      <c r="Q69" s="145">
        <f t="shared" si="214"/>
        <v>0</v>
      </c>
      <c r="R69" s="146">
        <f t="shared" si="214"/>
        <v>0</v>
      </c>
      <c r="S69" s="147">
        <f t="shared" si="187"/>
        <v>0</v>
      </c>
      <c r="T69" s="148">
        <f t="shared" ref="T69:AE69" si="215">+T67-T68</f>
        <v>0</v>
      </c>
      <c r="U69" s="145">
        <f t="shared" si="215"/>
        <v>0</v>
      </c>
      <c r="V69" s="145">
        <f t="shared" si="215"/>
        <v>0</v>
      </c>
      <c r="W69" s="145">
        <f t="shared" si="215"/>
        <v>0</v>
      </c>
      <c r="X69" s="145">
        <f t="shared" si="215"/>
        <v>0</v>
      </c>
      <c r="Y69" s="145">
        <f t="shared" si="215"/>
        <v>0</v>
      </c>
      <c r="Z69" s="145">
        <f t="shared" si="215"/>
        <v>0</v>
      </c>
      <c r="AA69" s="145">
        <f t="shared" si="215"/>
        <v>0</v>
      </c>
      <c r="AB69" s="145">
        <f t="shared" si="215"/>
        <v>0</v>
      </c>
      <c r="AC69" s="145">
        <f t="shared" si="215"/>
        <v>0</v>
      </c>
      <c r="AD69" s="145">
        <f t="shared" si="215"/>
        <v>0</v>
      </c>
      <c r="AE69" s="146">
        <f t="shared" si="215"/>
        <v>0</v>
      </c>
      <c r="AF69" s="147">
        <f t="shared" si="68"/>
        <v>0</v>
      </c>
      <c r="AG69" s="148">
        <f t="shared" ref="AG69:AR69" si="216">+AG67-AG68</f>
        <v>0</v>
      </c>
      <c r="AH69" s="145">
        <f t="shared" si="216"/>
        <v>0</v>
      </c>
      <c r="AI69" s="145">
        <f t="shared" si="216"/>
        <v>0</v>
      </c>
      <c r="AJ69" s="145">
        <f t="shared" si="216"/>
        <v>0</v>
      </c>
      <c r="AK69" s="145">
        <f t="shared" si="216"/>
        <v>0</v>
      </c>
      <c r="AL69" s="145">
        <f t="shared" si="216"/>
        <v>0</v>
      </c>
      <c r="AM69" s="145">
        <f t="shared" si="216"/>
        <v>0</v>
      </c>
      <c r="AN69" s="145">
        <f t="shared" si="216"/>
        <v>0</v>
      </c>
      <c r="AO69" s="145">
        <f t="shared" si="216"/>
        <v>0</v>
      </c>
      <c r="AP69" s="145">
        <f t="shared" si="216"/>
        <v>0</v>
      </c>
      <c r="AQ69" s="145">
        <f>+AQ67-AQ68</f>
        <v>0</v>
      </c>
      <c r="AR69" s="146">
        <f t="shared" si="216"/>
        <v>0</v>
      </c>
      <c r="AS69" s="408">
        <f t="shared" si="188"/>
        <v>0</v>
      </c>
      <c r="AT69" s="148">
        <f t="shared" ref="AT69:BE69" si="217">+AT67-AT68</f>
        <v>0</v>
      </c>
      <c r="AU69" s="145">
        <f t="shared" si="217"/>
        <v>0</v>
      </c>
      <c r="AV69" s="145">
        <f t="shared" si="217"/>
        <v>0</v>
      </c>
      <c r="AW69" s="145">
        <f t="shared" si="217"/>
        <v>0</v>
      </c>
      <c r="AX69" s="145">
        <f t="shared" si="217"/>
        <v>0</v>
      </c>
      <c r="AY69" s="145">
        <f t="shared" si="217"/>
        <v>0</v>
      </c>
      <c r="AZ69" s="145">
        <f t="shared" si="217"/>
        <v>0</v>
      </c>
      <c r="BA69" s="145">
        <f t="shared" si="217"/>
        <v>0</v>
      </c>
      <c r="BB69" s="145">
        <f t="shared" si="217"/>
        <v>0</v>
      </c>
      <c r="BC69" s="145">
        <f t="shared" si="217"/>
        <v>0</v>
      </c>
      <c r="BD69" s="145">
        <f t="shared" si="217"/>
        <v>0</v>
      </c>
      <c r="BE69" s="146">
        <f t="shared" si="217"/>
        <v>0</v>
      </c>
      <c r="BF69" s="147">
        <f t="shared" si="70"/>
        <v>0</v>
      </c>
      <c r="BG69" s="148">
        <f t="shared" ref="BG69:BR69" si="218">+BG67-BG68</f>
        <v>0</v>
      </c>
      <c r="BH69" s="145">
        <f t="shared" si="218"/>
        <v>0</v>
      </c>
      <c r="BI69" s="145">
        <f t="shared" si="218"/>
        <v>0</v>
      </c>
      <c r="BJ69" s="145">
        <f t="shared" si="218"/>
        <v>0</v>
      </c>
      <c r="BK69" s="145">
        <f t="shared" si="218"/>
        <v>0</v>
      </c>
      <c r="BL69" s="145">
        <f t="shared" si="218"/>
        <v>0</v>
      </c>
      <c r="BM69" s="145">
        <f t="shared" si="218"/>
        <v>0</v>
      </c>
      <c r="BN69" s="145">
        <f t="shared" si="218"/>
        <v>0</v>
      </c>
      <c r="BO69" s="145">
        <f t="shared" si="218"/>
        <v>0</v>
      </c>
      <c r="BP69" s="145">
        <f t="shared" si="218"/>
        <v>21.978282425314916</v>
      </c>
      <c r="BQ69" s="145">
        <f t="shared" si="218"/>
        <v>65.614354427403327</v>
      </c>
      <c r="BR69" s="146">
        <f t="shared" si="218"/>
        <v>108.29362139127943</v>
      </c>
      <c r="BS69" s="147">
        <f t="shared" si="71"/>
        <v>195.88625824399767</v>
      </c>
      <c r="BT69" s="148">
        <f t="shared" ref="BT69:CE69" si="219">+BT67-BT68</f>
        <v>149.39372349927339</v>
      </c>
      <c r="BU69" s="145">
        <f t="shared" si="219"/>
        <v>188.31532871328272</v>
      </c>
      <c r="BV69" s="145">
        <f t="shared" si="219"/>
        <v>224.4908723854569</v>
      </c>
      <c r="BW69" s="145">
        <f t="shared" si="219"/>
        <v>257.39283362883361</v>
      </c>
      <c r="BX69" s="145">
        <f t="shared" si="219"/>
        <v>286.54142775971968</v>
      </c>
      <c r="BY69" s="145">
        <f t="shared" si="219"/>
        <v>311.51160263876454</v>
      </c>
      <c r="BZ69" s="145">
        <f t="shared" si="219"/>
        <v>331.93923688829454</v>
      </c>
      <c r="CA69" s="145">
        <f t="shared" si="219"/>
        <v>347.52644960193629</v>
      </c>
      <c r="CB69" s="145">
        <f t="shared" si="219"/>
        <v>358.04594411895823</v>
      </c>
      <c r="CC69" s="145">
        <f t="shared" si="219"/>
        <v>363.34432252148099</v>
      </c>
      <c r="CD69" s="145">
        <f t="shared" si="219"/>
        <v>363.34432252148099</v>
      </c>
      <c r="CE69" s="146">
        <f t="shared" si="219"/>
        <v>358.04594411896369</v>
      </c>
      <c r="CF69" s="147">
        <f t="shared" si="75"/>
        <v>3539.8920083964458</v>
      </c>
      <c r="CG69" s="148">
        <f t="shared" ref="CG69:CR69" si="220">+CG67-CG68</f>
        <v>347.52644960193084</v>
      </c>
      <c r="CH69" s="145">
        <f t="shared" si="220"/>
        <v>331.93923688829454</v>
      </c>
      <c r="CI69" s="145">
        <f t="shared" si="220"/>
        <v>311.51160263876682</v>
      </c>
      <c r="CJ69" s="145">
        <f t="shared" si="220"/>
        <v>286.54142775971877</v>
      </c>
      <c r="CK69" s="145">
        <f t="shared" si="220"/>
        <v>257.39283362883361</v>
      </c>
      <c r="CL69" s="145">
        <f t="shared" si="220"/>
        <v>224.49087238545985</v>
      </c>
      <c r="CM69" s="145">
        <f t="shared" si="220"/>
        <v>188.31532871328022</v>
      </c>
      <c r="CN69" s="145">
        <f t="shared" si="220"/>
        <v>149.39372349927385</v>
      </c>
      <c r="CO69" s="145">
        <f t="shared" si="220"/>
        <v>108.29362139128114</v>
      </c>
      <c r="CP69" s="145">
        <f t="shared" si="220"/>
        <v>65.614354427401054</v>
      </c>
      <c r="CQ69" s="145">
        <f t="shared" si="220"/>
        <v>21.978282425315712</v>
      </c>
      <c r="CR69" s="146">
        <f t="shared" si="220"/>
        <v>0</v>
      </c>
      <c r="CS69" s="147">
        <f t="shared" si="76"/>
        <v>2292.9977333595562</v>
      </c>
      <c r="CT69" s="148">
        <f t="shared" ref="CT69:DE69" si="221">+CT67-CT68</f>
        <v>0</v>
      </c>
      <c r="CU69" s="145">
        <f t="shared" si="221"/>
        <v>0</v>
      </c>
      <c r="CV69" s="145">
        <f t="shared" si="221"/>
        <v>0</v>
      </c>
      <c r="CW69" s="145">
        <f t="shared" si="221"/>
        <v>0</v>
      </c>
      <c r="CX69" s="145">
        <f t="shared" si="221"/>
        <v>0</v>
      </c>
      <c r="CY69" s="145">
        <f t="shared" si="221"/>
        <v>0</v>
      </c>
      <c r="CZ69" s="145">
        <f t="shared" si="221"/>
        <v>0</v>
      </c>
      <c r="DA69" s="145">
        <f t="shared" si="221"/>
        <v>0</v>
      </c>
      <c r="DB69" s="145">
        <f t="shared" si="221"/>
        <v>0</v>
      </c>
      <c r="DC69" s="145">
        <f t="shared" si="221"/>
        <v>0</v>
      </c>
      <c r="DD69" s="145">
        <f t="shared" si="221"/>
        <v>0</v>
      </c>
      <c r="DE69" s="146">
        <f t="shared" si="221"/>
        <v>0</v>
      </c>
      <c r="DF69" s="147">
        <f t="shared" si="77"/>
        <v>0</v>
      </c>
      <c r="DG69" s="146">
        <f>+DG67-DG68</f>
        <v>0</v>
      </c>
      <c r="DH69" s="98">
        <f t="shared" si="72"/>
        <v>195.88625824399767</v>
      </c>
      <c r="DI69" s="99">
        <f t="shared" si="73"/>
        <v>6028.7760000000126</v>
      </c>
      <c r="DJ69" s="100">
        <f t="shared" si="74"/>
        <v>5832.8897417560147</v>
      </c>
      <c r="DN69" s="533"/>
    </row>
    <row r="70" spans="1:118" ht="15" customHeight="1" outlineLevel="1">
      <c r="A70" s="607"/>
      <c r="B70" s="557" t="s">
        <v>205</v>
      </c>
      <c r="C70" s="246" t="s">
        <v>62</v>
      </c>
      <c r="D70" s="183" t="s">
        <v>122</v>
      </c>
      <c r="E70" s="153">
        <f>AF70+AS70+BF70+BS70+CF70+CS70+DF70+S70+DG70</f>
        <v>90722.160000000018</v>
      </c>
      <c r="F70" s="153"/>
      <c r="G70" s="154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284"/>
      <c r="S70" s="157">
        <f t="shared" si="187"/>
        <v>0</v>
      </c>
      <c r="T70" s="378"/>
      <c r="U70" s="382"/>
      <c r="V70" s="382"/>
      <c r="W70" s="382"/>
      <c r="X70" s="382"/>
      <c r="Y70" s="382"/>
      <c r="Z70" s="382"/>
      <c r="AA70" s="382"/>
      <c r="AB70" s="382"/>
      <c r="AC70" s="382"/>
      <c r="AD70" s="382"/>
      <c r="AE70" s="481"/>
      <c r="AF70" s="157">
        <f t="shared" ref="AF70:AF84" si="222">SUM(T70:AE70)</f>
        <v>0</v>
      </c>
      <c r="AG70" s="500"/>
      <c r="AH70" s="513"/>
      <c r="AI70" s="513"/>
      <c r="AJ70" s="513"/>
      <c r="AK70" s="513"/>
      <c r="AL70" s="513"/>
      <c r="AM70" s="513"/>
      <c r="AN70" s="513"/>
      <c r="AO70" s="513"/>
      <c r="AP70" s="513"/>
      <c r="AQ70" s="513"/>
      <c r="AR70" s="512"/>
      <c r="AS70" s="409">
        <f t="shared" si="188"/>
        <v>0</v>
      </c>
      <c r="AT70" s="500"/>
      <c r="AU70" s="513"/>
      <c r="AV70" s="513"/>
      <c r="AW70" s="155"/>
      <c r="AX70" s="155"/>
      <c r="AY70" s="155"/>
      <c r="AZ70" s="155"/>
      <c r="BA70" s="155"/>
      <c r="BB70" s="155"/>
      <c r="BC70" s="155"/>
      <c r="BD70" s="155"/>
      <c r="BE70" s="156"/>
      <c r="BF70" s="157">
        <f t="shared" si="70"/>
        <v>0</v>
      </c>
      <c r="BG70" s="158"/>
      <c r="BH70" s="155"/>
      <c r="BI70" s="155"/>
      <c r="BJ70" s="155"/>
      <c r="BK70" s="155"/>
      <c r="BL70" s="155"/>
      <c r="BM70" s="155"/>
      <c r="BN70" s="155"/>
      <c r="BO70" s="155"/>
      <c r="BP70" s="155"/>
      <c r="BQ70" s="155"/>
      <c r="BR70" s="156"/>
      <c r="BS70" s="157">
        <f t="shared" si="71"/>
        <v>0</v>
      </c>
      <c r="BT70" s="158"/>
      <c r="BU70" s="155"/>
      <c r="BV70" s="155"/>
      <c r="BW70" s="155"/>
      <c r="BX70" s="155"/>
      <c r="BY70" s="155"/>
      <c r="BZ70" s="155"/>
      <c r="CA70" s="283"/>
      <c r="CB70" s="283"/>
      <c r="CC70" s="283"/>
      <c r="CD70" s="283"/>
      <c r="CE70" s="285"/>
      <c r="CF70" s="157">
        <f t="shared" si="75"/>
        <v>0</v>
      </c>
      <c r="CG70" s="158"/>
      <c r="CH70" s="155">
        <v>330.73334532824089</v>
      </c>
      <c r="CI70" s="155">
        <v>987.37719906322491</v>
      </c>
      <c r="CJ70" s="155">
        <v>1629.6228698560174</v>
      </c>
      <c r="CK70" s="155">
        <v>2248.1049696151999</v>
      </c>
      <c r="CL70" s="155">
        <v>2833.804636625915</v>
      </c>
      <c r="CM70" s="155">
        <v>3378.1810508622325</v>
      </c>
      <c r="CN70" s="155">
        <v>3873.2959783757842</v>
      </c>
      <c r="CO70" s="155">
        <v>4311.929528621682</v>
      </c>
      <c r="CP70" s="155">
        <v>4687.6854367205651</v>
      </c>
      <c r="CQ70" s="155">
        <v>4995.0843354036997</v>
      </c>
      <c r="CR70" s="156">
        <v>5229.6436565264285</v>
      </c>
      <c r="CS70" s="157">
        <f t="shared" si="76"/>
        <v>34505.463006998994</v>
      </c>
      <c r="CT70" s="158">
        <v>5387.9429970048996</v>
      </c>
      <c r="CU70" s="155">
        <v>5467.6739959961051</v>
      </c>
      <c r="CV70" s="155">
        <v>5467.6739959961051</v>
      </c>
      <c r="CW70" s="155">
        <v>5387.9429970049778</v>
      </c>
      <c r="CX70" s="155">
        <v>5229.6436565263421</v>
      </c>
      <c r="CY70" s="155">
        <v>4995.0843354037033</v>
      </c>
      <c r="CZ70" s="155">
        <v>4687.6854367205924</v>
      </c>
      <c r="DA70" s="155">
        <v>4311.9295286216611</v>
      </c>
      <c r="DB70" s="155">
        <v>3873.2959783757842</v>
      </c>
      <c r="DC70" s="155">
        <v>3378.1810508622807</v>
      </c>
      <c r="DD70" s="155">
        <v>2833.8046366258659</v>
      </c>
      <c r="DE70" s="156">
        <v>2248.1049696152022</v>
      </c>
      <c r="DF70" s="157">
        <f t="shared" si="77"/>
        <v>53268.963578753515</v>
      </c>
      <c r="DG70" s="280">
        <v>2947.7334142474956</v>
      </c>
      <c r="DH70" s="159">
        <f t="shared" si="72"/>
        <v>2947.7334142474956</v>
      </c>
      <c r="DI70" s="160">
        <f t="shared" si="73"/>
        <v>90722.160000000018</v>
      </c>
      <c r="DJ70" s="161">
        <f t="shared" si="74"/>
        <v>87774.426585752517</v>
      </c>
      <c r="DM70" s="134">
        <f>AS70+BF70+BS70+CF70+CS70+DG70+DF70</f>
        <v>90722.16</v>
      </c>
    </row>
    <row r="71" spans="1:118" ht="15" customHeight="1" outlineLevel="1">
      <c r="A71" s="607"/>
      <c r="B71" s="558"/>
      <c r="C71" s="245" t="s">
        <v>63</v>
      </c>
      <c r="D71" s="184" t="s">
        <v>124</v>
      </c>
      <c r="E71" s="136">
        <f>AF71+AS71+BF71+BS71+CF71+CS71+DF71+S71+DG71</f>
        <v>81649.944000000018</v>
      </c>
      <c r="F71" s="136"/>
      <c r="G71" s="137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9"/>
      <c r="S71" s="162">
        <f t="shared" si="187"/>
        <v>0</v>
      </c>
      <c r="T71" s="380"/>
      <c r="U71" s="381"/>
      <c r="V71" s="381"/>
      <c r="W71" s="381"/>
      <c r="X71" s="381"/>
      <c r="Y71" s="381"/>
      <c r="Z71" s="381"/>
      <c r="AA71" s="381"/>
      <c r="AB71" s="381"/>
      <c r="AC71" s="381"/>
      <c r="AD71" s="381"/>
      <c r="AE71" s="392"/>
      <c r="AF71" s="162">
        <f t="shared" si="222"/>
        <v>0</v>
      </c>
      <c r="AG71" s="501"/>
      <c r="AH71" s="499"/>
      <c r="AI71" s="499"/>
      <c r="AJ71" s="499"/>
      <c r="AK71" s="499"/>
      <c r="AL71" s="499"/>
      <c r="AM71" s="499"/>
      <c r="AN71" s="499"/>
      <c r="AO71" s="499"/>
      <c r="AP71" s="499"/>
      <c r="AQ71" s="499"/>
      <c r="AR71" s="511"/>
      <c r="AS71" s="410">
        <f t="shared" si="188"/>
        <v>0</v>
      </c>
      <c r="AT71" s="501"/>
      <c r="AU71" s="499"/>
      <c r="AV71" s="499"/>
      <c r="AW71" s="138"/>
      <c r="AX71" s="138"/>
      <c r="AY71" s="138"/>
      <c r="AZ71" s="138"/>
      <c r="BA71" s="138"/>
      <c r="BB71" s="138"/>
      <c r="BC71" s="138"/>
      <c r="BD71" s="138"/>
      <c r="BE71" s="139"/>
      <c r="BF71" s="162">
        <f t="shared" si="70"/>
        <v>0</v>
      </c>
      <c r="BG71" s="141"/>
      <c r="BH71" s="138"/>
      <c r="BI71" s="138"/>
      <c r="BJ71" s="138"/>
      <c r="BK71" s="138"/>
      <c r="BL71" s="138"/>
      <c r="BM71" s="138"/>
      <c r="BN71" s="138"/>
      <c r="BO71" s="138"/>
      <c r="BP71" s="138"/>
      <c r="BQ71" s="138"/>
      <c r="BR71" s="139"/>
      <c r="BS71" s="162">
        <f t="shared" si="71"/>
        <v>0</v>
      </c>
      <c r="BT71" s="141"/>
      <c r="BU71" s="138"/>
      <c r="BV71" s="138"/>
      <c r="BW71" s="138"/>
      <c r="BX71" s="138"/>
      <c r="BY71" s="138"/>
      <c r="BZ71" s="138"/>
      <c r="CA71" s="253"/>
      <c r="CB71" s="253"/>
      <c r="CC71" s="253"/>
      <c r="CD71" s="253"/>
      <c r="CE71" s="338"/>
      <c r="CF71" s="162">
        <f t="shared" si="75"/>
        <v>0</v>
      </c>
      <c r="CG71" s="141"/>
      <c r="CH71" s="138">
        <v>297.66001079541684</v>
      </c>
      <c r="CI71" s="138">
        <v>888.63947915690255</v>
      </c>
      <c r="CJ71" s="138">
        <v>1466.6605828704157</v>
      </c>
      <c r="CK71" s="138">
        <v>2023.29447265368</v>
      </c>
      <c r="CL71" s="138">
        <v>2550.4241729633236</v>
      </c>
      <c r="CM71" s="138">
        <v>3040.3629457760094</v>
      </c>
      <c r="CN71" s="138">
        <v>3485.9663805382061</v>
      </c>
      <c r="CO71" s="138">
        <v>3880.7365757595139</v>
      </c>
      <c r="CP71" s="138">
        <v>4218.9168930485084</v>
      </c>
      <c r="CQ71" s="138">
        <v>4495.5759018633298</v>
      </c>
      <c r="CR71" s="139">
        <v>4706.6792908737852</v>
      </c>
      <c r="CS71" s="162">
        <f t="shared" si="76"/>
        <v>31054.916706299085</v>
      </c>
      <c r="CT71" s="141">
        <v>4849.1486973044102</v>
      </c>
      <c r="CU71" s="138">
        <v>4920.9065963964949</v>
      </c>
      <c r="CV71" s="138">
        <v>4920.9065963964949</v>
      </c>
      <c r="CW71" s="138">
        <v>4849.1486973044812</v>
      </c>
      <c r="CX71" s="138">
        <v>4706.6792908737079</v>
      </c>
      <c r="CY71" s="138">
        <v>4495.5759018633335</v>
      </c>
      <c r="CZ71" s="138">
        <v>4218.916893048533</v>
      </c>
      <c r="DA71" s="138">
        <v>3880.7365757594948</v>
      </c>
      <c r="DB71" s="138">
        <v>3485.9663805382061</v>
      </c>
      <c r="DC71" s="138">
        <v>3040.3629457760526</v>
      </c>
      <c r="DD71" s="138">
        <v>2550.4241729632795</v>
      </c>
      <c r="DE71" s="139">
        <v>2023.2944726536823</v>
      </c>
      <c r="DF71" s="162">
        <f t="shared" si="77"/>
        <v>47942.067220878176</v>
      </c>
      <c r="DG71" s="279">
        <v>2652.960072822746</v>
      </c>
      <c r="DH71" s="90">
        <f t="shared" si="72"/>
        <v>2652.960072822746</v>
      </c>
      <c r="DI71" s="91">
        <f t="shared" si="73"/>
        <v>81649.944000000018</v>
      </c>
      <c r="DJ71" s="92">
        <f t="shared" si="74"/>
        <v>78996.983927177265</v>
      </c>
      <c r="DK71" s="64">
        <f>+DH71/DH70</f>
        <v>0.9</v>
      </c>
      <c r="DM71" s="134">
        <f>AS71+BF71+BS71+CF71+CS71+DG71+DF71</f>
        <v>81649.944000000018</v>
      </c>
    </row>
    <row r="72" spans="1:118" ht="15" customHeight="1" outlineLevel="1">
      <c r="A72" s="607"/>
      <c r="B72" s="559"/>
      <c r="C72" s="357" t="s">
        <v>11</v>
      </c>
      <c r="D72" s="358"/>
      <c r="E72" s="143">
        <f t="shared" ref="E72:R72" si="223">+E70-E71</f>
        <v>9072.2160000000003</v>
      </c>
      <c r="F72" s="144">
        <f t="shared" si="223"/>
        <v>0</v>
      </c>
      <c r="G72" s="145">
        <f t="shared" si="223"/>
        <v>0</v>
      </c>
      <c r="H72" s="145">
        <f t="shared" si="223"/>
        <v>0</v>
      </c>
      <c r="I72" s="145">
        <f t="shared" si="223"/>
        <v>0</v>
      </c>
      <c r="J72" s="145">
        <f t="shared" si="223"/>
        <v>0</v>
      </c>
      <c r="K72" s="145">
        <f t="shared" si="223"/>
        <v>0</v>
      </c>
      <c r="L72" s="145">
        <f t="shared" si="223"/>
        <v>0</v>
      </c>
      <c r="M72" s="145">
        <f t="shared" si="223"/>
        <v>0</v>
      </c>
      <c r="N72" s="145">
        <f t="shared" si="223"/>
        <v>0</v>
      </c>
      <c r="O72" s="145">
        <f t="shared" si="223"/>
        <v>0</v>
      </c>
      <c r="P72" s="145">
        <f t="shared" si="223"/>
        <v>0</v>
      </c>
      <c r="Q72" s="145">
        <f t="shared" si="223"/>
        <v>0</v>
      </c>
      <c r="R72" s="146">
        <f t="shared" si="223"/>
        <v>0</v>
      </c>
      <c r="S72" s="147">
        <f t="shared" si="187"/>
        <v>0</v>
      </c>
      <c r="T72" s="148">
        <f t="shared" ref="T72:AE72" si="224">+T70-T71</f>
        <v>0</v>
      </c>
      <c r="U72" s="145">
        <f t="shared" si="224"/>
        <v>0</v>
      </c>
      <c r="V72" s="145">
        <f t="shared" si="224"/>
        <v>0</v>
      </c>
      <c r="W72" s="145">
        <f t="shared" si="224"/>
        <v>0</v>
      </c>
      <c r="X72" s="145">
        <f t="shared" si="224"/>
        <v>0</v>
      </c>
      <c r="Y72" s="145">
        <f t="shared" si="224"/>
        <v>0</v>
      </c>
      <c r="Z72" s="145">
        <f t="shared" si="224"/>
        <v>0</v>
      </c>
      <c r="AA72" s="145">
        <f t="shared" si="224"/>
        <v>0</v>
      </c>
      <c r="AB72" s="145">
        <f t="shared" si="224"/>
        <v>0</v>
      </c>
      <c r="AC72" s="145">
        <f t="shared" si="224"/>
        <v>0</v>
      </c>
      <c r="AD72" s="145">
        <f t="shared" si="224"/>
        <v>0</v>
      </c>
      <c r="AE72" s="146">
        <f t="shared" si="224"/>
        <v>0</v>
      </c>
      <c r="AF72" s="147">
        <f t="shared" si="222"/>
        <v>0</v>
      </c>
      <c r="AG72" s="148">
        <f t="shared" ref="AG72:AR72" si="225">+AG70-AG71</f>
        <v>0</v>
      </c>
      <c r="AH72" s="145">
        <f t="shared" si="225"/>
        <v>0</v>
      </c>
      <c r="AI72" s="145">
        <f t="shared" si="225"/>
        <v>0</v>
      </c>
      <c r="AJ72" s="145">
        <f t="shared" si="225"/>
        <v>0</v>
      </c>
      <c r="AK72" s="145">
        <f t="shared" si="225"/>
        <v>0</v>
      </c>
      <c r="AL72" s="145">
        <f t="shared" si="225"/>
        <v>0</v>
      </c>
      <c r="AM72" s="145">
        <f t="shared" si="225"/>
        <v>0</v>
      </c>
      <c r="AN72" s="145">
        <f t="shared" si="225"/>
        <v>0</v>
      </c>
      <c r="AO72" s="145">
        <f t="shared" si="225"/>
        <v>0</v>
      </c>
      <c r="AP72" s="145">
        <f t="shared" si="225"/>
        <v>0</v>
      </c>
      <c r="AQ72" s="145">
        <f t="shared" si="225"/>
        <v>0</v>
      </c>
      <c r="AR72" s="146">
        <f t="shared" si="225"/>
        <v>0</v>
      </c>
      <c r="AS72" s="408">
        <f t="shared" si="188"/>
        <v>0</v>
      </c>
      <c r="AT72" s="148">
        <f t="shared" ref="AT72:BE72" si="226">+AT70-AT71</f>
        <v>0</v>
      </c>
      <c r="AU72" s="145">
        <f t="shared" si="226"/>
        <v>0</v>
      </c>
      <c r="AV72" s="145">
        <f t="shared" si="226"/>
        <v>0</v>
      </c>
      <c r="AW72" s="145">
        <f t="shared" si="226"/>
        <v>0</v>
      </c>
      <c r="AX72" s="145">
        <f t="shared" si="226"/>
        <v>0</v>
      </c>
      <c r="AY72" s="145">
        <f t="shared" si="226"/>
        <v>0</v>
      </c>
      <c r="AZ72" s="145">
        <f t="shared" si="226"/>
        <v>0</v>
      </c>
      <c r="BA72" s="145">
        <f t="shared" si="226"/>
        <v>0</v>
      </c>
      <c r="BB72" s="145">
        <f t="shared" si="226"/>
        <v>0</v>
      </c>
      <c r="BC72" s="145">
        <f t="shared" si="226"/>
        <v>0</v>
      </c>
      <c r="BD72" s="145">
        <f t="shared" si="226"/>
        <v>0</v>
      </c>
      <c r="BE72" s="146">
        <f t="shared" si="226"/>
        <v>0</v>
      </c>
      <c r="BF72" s="147">
        <f t="shared" si="70"/>
        <v>0</v>
      </c>
      <c r="BG72" s="148">
        <f t="shared" ref="BG72:BR72" si="227">+BG70-BG71</f>
        <v>0</v>
      </c>
      <c r="BH72" s="145">
        <f t="shared" si="227"/>
        <v>0</v>
      </c>
      <c r="BI72" s="145">
        <f t="shared" si="227"/>
        <v>0</v>
      </c>
      <c r="BJ72" s="145">
        <f t="shared" si="227"/>
        <v>0</v>
      </c>
      <c r="BK72" s="145">
        <f t="shared" si="227"/>
        <v>0</v>
      </c>
      <c r="BL72" s="145">
        <f t="shared" si="227"/>
        <v>0</v>
      </c>
      <c r="BM72" s="145">
        <f t="shared" si="227"/>
        <v>0</v>
      </c>
      <c r="BN72" s="145">
        <f t="shared" si="227"/>
        <v>0</v>
      </c>
      <c r="BO72" s="145">
        <f t="shared" si="227"/>
        <v>0</v>
      </c>
      <c r="BP72" s="145">
        <f t="shared" si="227"/>
        <v>0</v>
      </c>
      <c r="BQ72" s="145">
        <f t="shared" si="227"/>
        <v>0</v>
      </c>
      <c r="BR72" s="146">
        <f t="shared" si="227"/>
        <v>0</v>
      </c>
      <c r="BS72" s="147">
        <f t="shared" si="71"/>
        <v>0</v>
      </c>
      <c r="BT72" s="148">
        <f t="shared" ref="BT72:CE72" si="228">+BT70-BT71</f>
        <v>0</v>
      </c>
      <c r="BU72" s="145">
        <f t="shared" si="228"/>
        <v>0</v>
      </c>
      <c r="BV72" s="145">
        <f t="shared" si="228"/>
        <v>0</v>
      </c>
      <c r="BW72" s="145">
        <f t="shared" si="228"/>
        <v>0</v>
      </c>
      <c r="BX72" s="145">
        <f t="shared" si="228"/>
        <v>0</v>
      </c>
      <c r="BY72" s="145">
        <f t="shared" si="228"/>
        <v>0</v>
      </c>
      <c r="BZ72" s="145">
        <f t="shared" si="228"/>
        <v>0</v>
      </c>
      <c r="CA72" s="145">
        <f t="shared" si="228"/>
        <v>0</v>
      </c>
      <c r="CB72" s="145">
        <f t="shared" si="228"/>
        <v>0</v>
      </c>
      <c r="CC72" s="145">
        <f t="shared" si="228"/>
        <v>0</v>
      </c>
      <c r="CD72" s="145">
        <f t="shared" si="228"/>
        <v>0</v>
      </c>
      <c r="CE72" s="146">
        <f t="shared" si="228"/>
        <v>0</v>
      </c>
      <c r="CF72" s="147">
        <f t="shared" si="75"/>
        <v>0</v>
      </c>
      <c r="CG72" s="148">
        <f t="shared" ref="CG72:CR72" si="229">+CG70-CG71</f>
        <v>0</v>
      </c>
      <c r="CH72" s="145">
        <f t="shared" si="229"/>
        <v>33.073334532824049</v>
      </c>
      <c r="CI72" s="145">
        <f t="shared" si="229"/>
        <v>98.737719906322354</v>
      </c>
      <c r="CJ72" s="145">
        <f t="shared" si="229"/>
        <v>162.96228698560162</v>
      </c>
      <c r="CK72" s="145">
        <f t="shared" si="229"/>
        <v>224.8104969615199</v>
      </c>
      <c r="CL72" s="145">
        <f t="shared" si="229"/>
        <v>283.38046366259141</v>
      </c>
      <c r="CM72" s="145">
        <f t="shared" si="229"/>
        <v>337.81810508622311</v>
      </c>
      <c r="CN72" s="145">
        <f t="shared" si="229"/>
        <v>387.32959783757815</v>
      </c>
      <c r="CO72" s="145">
        <f t="shared" si="229"/>
        <v>431.19295286216811</v>
      </c>
      <c r="CP72" s="145">
        <f t="shared" si="229"/>
        <v>468.76854367205669</v>
      </c>
      <c r="CQ72" s="145">
        <f t="shared" si="229"/>
        <v>499.50843354036988</v>
      </c>
      <c r="CR72" s="146">
        <f t="shared" si="229"/>
        <v>522.96436565264321</v>
      </c>
      <c r="CS72" s="147">
        <f t="shared" si="76"/>
        <v>3450.5463006998984</v>
      </c>
      <c r="CT72" s="148">
        <f t="shared" ref="CT72:DE72" si="230">+CT70-CT71</f>
        <v>538.79429970048932</v>
      </c>
      <c r="CU72" s="145">
        <f t="shared" si="230"/>
        <v>546.76739959961014</v>
      </c>
      <c r="CV72" s="145">
        <f t="shared" si="230"/>
        <v>546.76739959961014</v>
      </c>
      <c r="CW72" s="145">
        <f t="shared" si="230"/>
        <v>538.79429970049659</v>
      </c>
      <c r="CX72" s="145">
        <f t="shared" si="230"/>
        <v>522.96436565263411</v>
      </c>
      <c r="CY72" s="145">
        <f t="shared" si="230"/>
        <v>499.50843354036988</v>
      </c>
      <c r="CZ72" s="145">
        <f t="shared" si="230"/>
        <v>468.76854367205942</v>
      </c>
      <c r="DA72" s="145">
        <f t="shared" si="230"/>
        <v>431.19295286216629</v>
      </c>
      <c r="DB72" s="145">
        <f t="shared" si="230"/>
        <v>387.32959783757815</v>
      </c>
      <c r="DC72" s="145">
        <f t="shared" si="230"/>
        <v>337.81810508622812</v>
      </c>
      <c r="DD72" s="145">
        <f t="shared" si="230"/>
        <v>283.38046366258641</v>
      </c>
      <c r="DE72" s="146">
        <f t="shared" si="230"/>
        <v>224.8104969615199</v>
      </c>
      <c r="DF72" s="147">
        <f t="shared" si="77"/>
        <v>5326.8963578753483</v>
      </c>
      <c r="DG72" s="146">
        <f>+DG70-DG71</f>
        <v>294.77334142474956</v>
      </c>
      <c r="DH72" s="98">
        <f t="shared" si="72"/>
        <v>294.77334142474956</v>
      </c>
      <c r="DI72" s="99">
        <f t="shared" si="73"/>
        <v>9072.2160000000003</v>
      </c>
      <c r="DJ72" s="100">
        <f t="shared" si="74"/>
        <v>8777.4426585752517</v>
      </c>
    </row>
    <row r="73" spans="1:118" ht="15" customHeight="1" outlineLevel="1">
      <c r="A73" s="607"/>
      <c r="B73" s="557" t="s">
        <v>349</v>
      </c>
      <c r="C73" s="246" t="s">
        <v>62</v>
      </c>
      <c r="D73" s="183" t="s">
        <v>122</v>
      </c>
      <c r="E73" s="153">
        <f>AF73+AS73+BF73+BS73+CF73+CS73+DF73+S73+DG73</f>
        <v>19798.559999999998</v>
      </c>
      <c r="F73" s="153"/>
      <c r="G73" s="154"/>
      <c r="H73" s="155"/>
      <c r="I73" s="155"/>
      <c r="J73" s="155"/>
      <c r="K73" s="155"/>
      <c r="L73" s="155"/>
      <c r="M73" s="155"/>
      <c r="N73" s="155"/>
      <c r="O73" s="155"/>
      <c r="P73" s="155"/>
      <c r="Q73" s="155"/>
      <c r="R73" s="284"/>
      <c r="S73" s="157">
        <f t="shared" si="187"/>
        <v>0</v>
      </c>
      <c r="T73" s="378"/>
      <c r="U73" s="382"/>
      <c r="V73" s="382"/>
      <c r="W73" s="382"/>
      <c r="X73" s="382"/>
      <c r="Y73" s="382"/>
      <c r="Z73" s="382"/>
      <c r="AA73" s="382"/>
      <c r="AB73" s="382"/>
      <c r="AC73" s="382"/>
      <c r="AD73" s="382"/>
      <c r="AE73" s="481"/>
      <c r="AF73" s="157">
        <f t="shared" si="222"/>
        <v>0</v>
      </c>
      <c r="AG73" s="500"/>
      <c r="AH73" s="513"/>
      <c r="AI73" s="513"/>
      <c r="AJ73" s="513"/>
      <c r="AK73" s="513"/>
      <c r="AL73" s="513"/>
      <c r="AM73" s="513"/>
      <c r="AN73" s="513"/>
      <c r="AO73" s="513"/>
      <c r="AP73" s="513"/>
      <c r="AQ73" s="513"/>
      <c r="AR73" s="512"/>
      <c r="AS73" s="409">
        <f t="shared" si="188"/>
        <v>0</v>
      </c>
      <c r="AT73" s="500"/>
      <c r="AU73" s="513"/>
      <c r="AV73" s="513"/>
      <c r="AW73" s="155"/>
      <c r="AX73" s="155"/>
      <c r="AY73" s="155"/>
      <c r="AZ73" s="155"/>
      <c r="BA73" s="155"/>
      <c r="BB73" s="155"/>
      <c r="BC73" s="155"/>
      <c r="BD73" s="155"/>
      <c r="BE73" s="156"/>
      <c r="BF73" s="157">
        <f t="shared" si="70"/>
        <v>0</v>
      </c>
      <c r="BG73" s="359"/>
      <c r="BH73" s="283"/>
      <c r="BI73" s="283"/>
      <c r="BJ73" s="283"/>
      <c r="BK73" s="283"/>
      <c r="BL73" s="283"/>
      <c r="BM73" s="283"/>
      <c r="BN73" s="283"/>
      <c r="BO73" s="283"/>
      <c r="BP73" s="283"/>
      <c r="BQ73" s="283"/>
      <c r="BR73" s="285"/>
      <c r="BS73" s="157">
        <f t="shared" si="71"/>
        <v>0</v>
      </c>
      <c r="BT73" s="359"/>
      <c r="BU73" s="283"/>
      <c r="BV73" s="283"/>
      <c r="BW73" s="283"/>
      <c r="BX73" s="283"/>
      <c r="BY73" s="283"/>
      <c r="BZ73" s="283"/>
      <c r="CA73" s="283"/>
      <c r="CB73" s="283"/>
      <c r="CC73" s="283"/>
      <c r="CD73" s="283"/>
      <c r="CE73" s="285"/>
      <c r="CF73" s="157">
        <f t="shared" ref="CF73:CF78" si="231">SUM(BT73:CE73)</f>
        <v>0</v>
      </c>
      <c r="CG73" s="359"/>
      <c r="CH73" s="283"/>
      <c r="CI73" s="283"/>
      <c r="CJ73" s="283"/>
      <c r="CK73" s="283"/>
      <c r="CL73" s="283"/>
      <c r="CM73" s="283"/>
      <c r="CN73" s="283"/>
      <c r="CO73" s="283"/>
      <c r="CP73" s="283"/>
      <c r="CQ73" s="283"/>
      <c r="CR73" s="285"/>
      <c r="CS73" s="157">
        <f t="shared" si="76"/>
        <v>0</v>
      </c>
      <c r="CT73" s="359"/>
      <c r="CU73" s="283"/>
      <c r="CV73" s="283"/>
      <c r="CW73" s="283"/>
      <c r="CX73" s="283">
        <v>72.176896818615162</v>
      </c>
      <c r="CY73" s="283">
        <v>215.4781887720178</v>
      </c>
      <c r="CZ73" s="283">
        <v>355.6373235184937</v>
      </c>
      <c r="DA73" s="283">
        <v>490.61046526256331</v>
      </c>
      <c r="DB73" s="283">
        <v>618.4294016645589</v>
      </c>
      <c r="DC73" s="283">
        <v>737.23024480853383</v>
      </c>
      <c r="DD73" s="283">
        <v>845.28061088527534</v>
      </c>
      <c r="DE73" s="285">
        <v>941.00488224914511</v>
      </c>
      <c r="DF73" s="157">
        <f t="shared" si="77"/>
        <v>4275.8480139792036</v>
      </c>
      <c r="DG73" s="280">
        <v>15522.711986020795</v>
      </c>
      <c r="DH73" s="159">
        <f t="shared" si="72"/>
        <v>15522.711986020795</v>
      </c>
      <c r="DI73" s="160">
        <f t="shared" si="73"/>
        <v>19798.559999999998</v>
      </c>
      <c r="DJ73" s="161">
        <f t="shared" si="74"/>
        <v>4275.8480139792027</v>
      </c>
      <c r="DM73" s="134">
        <f>AS73+BF73+BS73+CF73+CS73+DG73+DF73</f>
        <v>19798.559999999998</v>
      </c>
    </row>
    <row r="74" spans="1:118" ht="15" customHeight="1" outlineLevel="1">
      <c r="A74" s="607"/>
      <c r="B74" s="558"/>
      <c r="C74" s="245" t="s">
        <v>63</v>
      </c>
      <c r="D74" s="184" t="s">
        <v>124</v>
      </c>
      <c r="E74" s="136">
        <f>AF74+AS74+BF74+BS74+CF74+CS74+DF74+S74+DG74</f>
        <v>17818.704000000002</v>
      </c>
      <c r="F74" s="136"/>
      <c r="G74" s="137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9"/>
      <c r="S74" s="162">
        <f t="shared" si="187"/>
        <v>0</v>
      </c>
      <c r="T74" s="380"/>
      <c r="U74" s="381"/>
      <c r="V74" s="381"/>
      <c r="W74" s="381"/>
      <c r="X74" s="381"/>
      <c r="Y74" s="381"/>
      <c r="Z74" s="381"/>
      <c r="AA74" s="381"/>
      <c r="AB74" s="381"/>
      <c r="AC74" s="381"/>
      <c r="AD74" s="381"/>
      <c r="AE74" s="392"/>
      <c r="AF74" s="162">
        <f t="shared" si="222"/>
        <v>0</v>
      </c>
      <c r="AG74" s="501"/>
      <c r="AH74" s="499"/>
      <c r="AI74" s="499"/>
      <c r="AJ74" s="499"/>
      <c r="AK74" s="499"/>
      <c r="AL74" s="499"/>
      <c r="AM74" s="499"/>
      <c r="AN74" s="499"/>
      <c r="AO74" s="499"/>
      <c r="AP74" s="499"/>
      <c r="AQ74" s="499"/>
      <c r="AR74" s="511"/>
      <c r="AS74" s="410">
        <f t="shared" si="188"/>
        <v>0</v>
      </c>
      <c r="AT74" s="501"/>
      <c r="AU74" s="499"/>
      <c r="AV74" s="499"/>
      <c r="AW74" s="138"/>
      <c r="AX74" s="138"/>
      <c r="AY74" s="138"/>
      <c r="AZ74" s="138"/>
      <c r="BA74" s="138"/>
      <c r="BB74" s="138"/>
      <c r="BC74" s="138"/>
      <c r="BD74" s="138"/>
      <c r="BE74" s="139"/>
      <c r="BF74" s="162">
        <f t="shared" si="70"/>
        <v>0</v>
      </c>
      <c r="BG74" s="353"/>
      <c r="BH74" s="253"/>
      <c r="BI74" s="253"/>
      <c r="BJ74" s="253"/>
      <c r="BK74" s="253"/>
      <c r="BL74" s="253"/>
      <c r="BM74" s="253"/>
      <c r="BN74" s="253"/>
      <c r="BO74" s="253"/>
      <c r="BP74" s="253"/>
      <c r="BQ74" s="253"/>
      <c r="BR74" s="338"/>
      <c r="BS74" s="162">
        <f t="shared" si="71"/>
        <v>0</v>
      </c>
      <c r="BT74" s="353"/>
      <c r="BU74" s="253"/>
      <c r="BV74" s="253"/>
      <c r="BW74" s="253"/>
      <c r="BX74" s="253"/>
      <c r="BY74" s="253"/>
      <c r="BZ74" s="253"/>
      <c r="CA74" s="253"/>
      <c r="CB74" s="253"/>
      <c r="CC74" s="253"/>
      <c r="CD74" s="253"/>
      <c r="CE74" s="338"/>
      <c r="CF74" s="162">
        <f t="shared" si="231"/>
        <v>0</v>
      </c>
      <c r="CG74" s="353"/>
      <c r="CH74" s="253"/>
      <c r="CI74" s="253"/>
      <c r="CJ74" s="253"/>
      <c r="CK74" s="253"/>
      <c r="CL74" s="253"/>
      <c r="CM74" s="253"/>
      <c r="CN74" s="253"/>
      <c r="CO74" s="253"/>
      <c r="CP74" s="253"/>
      <c r="CQ74" s="253"/>
      <c r="CR74" s="338"/>
      <c r="CS74" s="162">
        <f t="shared" si="76"/>
        <v>0</v>
      </c>
      <c r="CT74" s="353"/>
      <c r="CU74" s="253"/>
      <c r="CV74" s="253"/>
      <c r="CW74" s="253"/>
      <c r="CX74" s="253">
        <v>64.959207136753648</v>
      </c>
      <c r="CY74" s="253">
        <v>193.93036989481601</v>
      </c>
      <c r="CZ74" s="253">
        <v>320.07359116664435</v>
      </c>
      <c r="DA74" s="253">
        <v>441.54941873630696</v>
      </c>
      <c r="DB74" s="253">
        <v>556.58646149810295</v>
      </c>
      <c r="DC74" s="253">
        <v>663.50722032768044</v>
      </c>
      <c r="DD74" s="253">
        <v>760.75254979674776</v>
      </c>
      <c r="DE74" s="338">
        <v>846.90439402423056</v>
      </c>
      <c r="DF74" s="162">
        <f t="shared" si="77"/>
        <v>3848.2632125812825</v>
      </c>
      <c r="DG74" s="279">
        <v>13970.44078741872</v>
      </c>
      <c r="DH74" s="90">
        <f t="shared" si="72"/>
        <v>13970.44078741872</v>
      </c>
      <c r="DI74" s="91">
        <f t="shared" si="73"/>
        <v>17818.704000000002</v>
      </c>
      <c r="DJ74" s="92">
        <f t="shared" si="74"/>
        <v>3848.2632125812816</v>
      </c>
      <c r="DK74" s="64">
        <f>+DH74/DH73</f>
        <v>0.90000000000000024</v>
      </c>
      <c r="DM74" s="134">
        <f>AS74+BF74+BS74+CF74+CS74+DG74+DF74</f>
        <v>17818.704000000002</v>
      </c>
    </row>
    <row r="75" spans="1:118" ht="15" customHeight="1" outlineLevel="1">
      <c r="A75" s="607"/>
      <c r="B75" s="559"/>
      <c r="C75" s="357" t="s">
        <v>11</v>
      </c>
      <c r="D75" s="358"/>
      <c r="E75" s="143">
        <f t="shared" ref="E75:R75" si="232">+E73-E74</f>
        <v>1979.8559999999961</v>
      </c>
      <c r="F75" s="144">
        <f t="shared" si="232"/>
        <v>0</v>
      </c>
      <c r="G75" s="145">
        <f t="shared" si="232"/>
        <v>0</v>
      </c>
      <c r="H75" s="145">
        <f t="shared" si="232"/>
        <v>0</v>
      </c>
      <c r="I75" s="145">
        <f t="shared" si="232"/>
        <v>0</v>
      </c>
      <c r="J75" s="145">
        <f t="shared" si="232"/>
        <v>0</v>
      </c>
      <c r="K75" s="145">
        <f t="shared" si="232"/>
        <v>0</v>
      </c>
      <c r="L75" s="145">
        <f t="shared" si="232"/>
        <v>0</v>
      </c>
      <c r="M75" s="145">
        <f t="shared" si="232"/>
        <v>0</v>
      </c>
      <c r="N75" s="145">
        <f t="shared" si="232"/>
        <v>0</v>
      </c>
      <c r="O75" s="145">
        <f t="shared" si="232"/>
        <v>0</v>
      </c>
      <c r="P75" s="145">
        <f t="shared" si="232"/>
        <v>0</v>
      </c>
      <c r="Q75" s="145">
        <f t="shared" si="232"/>
        <v>0</v>
      </c>
      <c r="R75" s="146">
        <f t="shared" si="232"/>
        <v>0</v>
      </c>
      <c r="S75" s="147">
        <f t="shared" si="187"/>
        <v>0</v>
      </c>
      <c r="T75" s="148">
        <f t="shared" ref="T75:AE75" si="233">+T73-T74</f>
        <v>0</v>
      </c>
      <c r="U75" s="145">
        <f t="shared" si="233"/>
        <v>0</v>
      </c>
      <c r="V75" s="145">
        <f t="shared" si="233"/>
        <v>0</v>
      </c>
      <c r="W75" s="145">
        <f t="shared" si="233"/>
        <v>0</v>
      </c>
      <c r="X75" s="145">
        <f t="shared" si="233"/>
        <v>0</v>
      </c>
      <c r="Y75" s="145">
        <f t="shared" si="233"/>
        <v>0</v>
      </c>
      <c r="Z75" s="145">
        <f t="shared" si="233"/>
        <v>0</v>
      </c>
      <c r="AA75" s="145">
        <f t="shared" si="233"/>
        <v>0</v>
      </c>
      <c r="AB75" s="145">
        <f t="shared" si="233"/>
        <v>0</v>
      </c>
      <c r="AC75" s="145">
        <f t="shared" si="233"/>
        <v>0</v>
      </c>
      <c r="AD75" s="145">
        <f t="shared" si="233"/>
        <v>0</v>
      </c>
      <c r="AE75" s="146">
        <f t="shared" si="233"/>
        <v>0</v>
      </c>
      <c r="AF75" s="147">
        <f t="shared" si="222"/>
        <v>0</v>
      </c>
      <c r="AG75" s="148">
        <f t="shared" ref="AG75:AR75" si="234">+AG73-AG74</f>
        <v>0</v>
      </c>
      <c r="AH75" s="145">
        <f t="shared" si="234"/>
        <v>0</v>
      </c>
      <c r="AI75" s="145">
        <f t="shared" si="234"/>
        <v>0</v>
      </c>
      <c r="AJ75" s="145">
        <f t="shared" si="234"/>
        <v>0</v>
      </c>
      <c r="AK75" s="145">
        <f t="shared" si="234"/>
        <v>0</v>
      </c>
      <c r="AL75" s="145">
        <f t="shared" si="234"/>
        <v>0</v>
      </c>
      <c r="AM75" s="145">
        <f t="shared" si="234"/>
        <v>0</v>
      </c>
      <c r="AN75" s="145">
        <f t="shared" si="234"/>
        <v>0</v>
      </c>
      <c r="AO75" s="145">
        <f t="shared" si="234"/>
        <v>0</v>
      </c>
      <c r="AP75" s="145">
        <f t="shared" si="234"/>
        <v>0</v>
      </c>
      <c r="AQ75" s="145">
        <f t="shared" si="234"/>
        <v>0</v>
      </c>
      <c r="AR75" s="146">
        <f t="shared" si="234"/>
        <v>0</v>
      </c>
      <c r="AS75" s="408">
        <f t="shared" si="188"/>
        <v>0</v>
      </c>
      <c r="AT75" s="148">
        <f t="shared" ref="AT75:BE75" si="235">+AT73-AT74</f>
        <v>0</v>
      </c>
      <c r="AU75" s="145">
        <f t="shared" si="235"/>
        <v>0</v>
      </c>
      <c r="AV75" s="145">
        <f t="shared" si="235"/>
        <v>0</v>
      </c>
      <c r="AW75" s="145">
        <f t="shared" si="235"/>
        <v>0</v>
      </c>
      <c r="AX75" s="145">
        <f t="shared" si="235"/>
        <v>0</v>
      </c>
      <c r="AY75" s="145">
        <f t="shared" si="235"/>
        <v>0</v>
      </c>
      <c r="AZ75" s="145">
        <f t="shared" si="235"/>
        <v>0</v>
      </c>
      <c r="BA75" s="145">
        <f t="shared" si="235"/>
        <v>0</v>
      </c>
      <c r="BB75" s="145">
        <f t="shared" si="235"/>
        <v>0</v>
      </c>
      <c r="BC75" s="145">
        <f t="shared" si="235"/>
        <v>0</v>
      </c>
      <c r="BD75" s="145">
        <f t="shared" si="235"/>
        <v>0</v>
      </c>
      <c r="BE75" s="146">
        <f t="shared" si="235"/>
        <v>0</v>
      </c>
      <c r="BF75" s="147">
        <f t="shared" si="70"/>
        <v>0</v>
      </c>
      <c r="BG75" s="148">
        <f t="shared" ref="BG75:BR75" si="236">+BG73-BG74</f>
        <v>0</v>
      </c>
      <c r="BH75" s="145">
        <f t="shared" si="236"/>
        <v>0</v>
      </c>
      <c r="BI75" s="145">
        <f t="shared" si="236"/>
        <v>0</v>
      </c>
      <c r="BJ75" s="145">
        <f t="shared" si="236"/>
        <v>0</v>
      </c>
      <c r="BK75" s="145">
        <f t="shared" si="236"/>
        <v>0</v>
      </c>
      <c r="BL75" s="145">
        <f t="shared" si="236"/>
        <v>0</v>
      </c>
      <c r="BM75" s="145">
        <f t="shared" si="236"/>
        <v>0</v>
      </c>
      <c r="BN75" s="145">
        <f t="shared" si="236"/>
        <v>0</v>
      </c>
      <c r="BO75" s="145">
        <f t="shared" si="236"/>
        <v>0</v>
      </c>
      <c r="BP75" s="145">
        <f t="shared" si="236"/>
        <v>0</v>
      </c>
      <c r="BQ75" s="145">
        <f t="shared" si="236"/>
        <v>0</v>
      </c>
      <c r="BR75" s="146">
        <f t="shared" si="236"/>
        <v>0</v>
      </c>
      <c r="BS75" s="147">
        <f t="shared" si="71"/>
        <v>0</v>
      </c>
      <c r="BT75" s="148">
        <f t="shared" ref="BT75:CE75" si="237">+BT73-BT74</f>
        <v>0</v>
      </c>
      <c r="BU75" s="145">
        <f t="shared" si="237"/>
        <v>0</v>
      </c>
      <c r="BV75" s="145">
        <f t="shared" si="237"/>
        <v>0</v>
      </c>
      <c r="BW75" s="145">
        <f t="shared" si="237"/>
        <v>0</v>
      </c>
      <c r="BX75" s="145">
        <f t="shared" si="237"/>
        <v>0</v>
      </c>
      <c r="BY75" s="145">
        <f t="shared" si="237"/>
        <v>0</v>
      </c>
      <c r="BZ75" s="145">
        <f t="shared" si="237"/>
        <v>0</v>
      </c>
      <c r="CA75" s="145">
        <f t="shared" si="237"/>
        <v>0</v>
      </c>
      <c r="CB75" s="145">
        <f t="shared" si="237"/>
        <v>0</v>
      </c>
      <c r="CC75" s="145">
        <f t="shared" si="237"/>
        <v>0</v>
      </c>
      <c r="CD75" s="145">
        <f t="shared" si="237"/>
        <v>0</v>
      </c>
      <c r="CE75" s="146">
        <f t="shared" si="237"/>
        <v>0</v>
      </c>
      <c r="CF75" s="147">
        <f t="shared" si="231"/>
        <v>0</v>
      </c>
      <c r="CG75" s="148">
        <f t="shared" ref="CG75:CR75" si="238">+CG73-CG74</f>
        <v>0</v>
      </c>
      <c r="CH75" s="145">
        <f t="shared" si="238"/>
        <v>0</v>
      </c>
      <c r="CI75" s="145">
        <f t="shared" si="238"/>
        <v>0</v>
      </c>
      <c r="CJ75" s="145">
        <f t="shared" si="238"/>
        <v>0</v>
      </c>
      <c r="CK75" s="145">
        <f t="shared" si="238"/>
        <v>0</v>
      </c>
      <c r="CL75" s="145">
        <f t="shared" si="238"/>
        <v>0</v>
      </c>
      <c r="CM75" s="145">
        <f t="shared" si="238"/>
        <v>0</v>
      </c>
      <c r="CN75" s="145">
        <f t="shared" si="238"/>
        <v>0</v>
      </c>
      <c r="CO75" s="145">
        <f t="shared" si="238"/>
        <v>0</v>
      </c>
      <c r="CP75" s="145">
        <f t="shared" si="238"/>
        <v>0</v>
      </c>
      <c r="CQ75" s="145">
        <f t="shared" si="238"/>
        <v>0</v>
      </c>
      <c r="CR75" s="146">
        <f t="shared" si="238"/>
        <v>0</v>
      </c>
      <c r="CS75" s="147">
        <f t="shared" si="76"/>
        <v>0</v>
      </c>
      <c r="CT75" s="148">
        <f t="shared" ref="CT75:DE75" si="239">+CT73-CT74</f>
        <v>0</v>
      </c>
      <c r="CU75" s="145">
        <f t="shared" si="239"/>
        <v>0</v>
      </c>
      <c r="CV75" s="145">
        <f t="shared" si="239"/>
        <v>0</v>
      </c>
      <c r="CW75" s="145">
        <f t="shared" si="239"/>
        <v>0</v>
      </c>
      <c r="CX75" s="145">
        <f t="shared" si="239"/>
        <v>7.2176896818615148</v>
      </c>
      <c r="CY75" s="145">
        <f t="shared" si="239"/>
        <v>21.547818877201792</v>
      </c>
      <c r="CZ75" s="145">
        <f t="shared" si="239"/>
        <v>35.563732351849353</v>
      </c>
      <c r="DA75" s="145">
        <f t="shared" si="239"/>
        <v>49.061046526256348</v>
      </c>
      <c r="DB75" s="145">
        <f t="shared" si="239"/>
        <v>61.842940166455946</v>
      </c>
      <c r="DC75" s="145">
        <f t="shared" si="239"/>
        <v>73.723024480853383</v>
      </c>
      <c r="DD75" s="145">
        <f t="shared" si="239"/>
        <v>84.528061088527579</v>
      </c>
      <c r="DE75" s="146">
        <f t="shared" si="239"/>
        <v>94.100488224914557</v>
      </c>
      <c r="DF75" s="147">
        <f t="shared" si="77"/>
        <v>427.5848013979205</v>
      </c>
      <c r="DG75" s="146">
        <f>+DG73-DG74</f>
        <v>1552.2711986020749</v>
      </c>
      <c r="DH75" s="98">
        <f t="shared" si="72"/>
        <v>1552.2711986020749</v>
      </c>
      <c r="DI75" s="99">
        <f t="shared" si="73"/>
        <v>1979.8559999999961</v>
      </c>
      <c r="DJ75" s="100">
        <f t="shared" si="74"/>
        <v>427.58480139792118</v>
      </c>
    </row>
    <row r="76" spans="1:118" ht="15" customHeight="1" outlineLevel="1">
      <c r="A76" s="607"/>
      <c r="B76" s="557" t="s">
        <v>350</v>
      </c>
      <c r="C76" s="246" t="s">
        <v>62</v>
      </c>
      <c r="D76" s="183" t="s">
        <v>122</v>
      </c>
      <c r="E76" s="153">
        <f>AF76+AS76+BF76+BS76+CF76+CS76+DF76+S76+DG76</f>
        <v>97300.439999999988</v>
      </c>
      <c r="F76" s="153"/>
      <c r="G76" s="154"/>
      <c r="H76" s="155"/>
      <c r="I76" s="155"/>
      <c r="J76" s="155"/>
      <c r="K76" s="155"/>
      <c r="L76" s="155"/>
      <c r="M76" s="155"/>
      <c r="N76" s="155"/>
      <c r="O76" s="155"/>
      <c r="P76" s="155"/>
      <c r="Q76" s="155"/>
      <c r="R76" s="284"/>
      <c r="S76" s="157">
        <f t="shared" si="187"/>
        <v>0</v>
      </c>
      <c r="T76" s="378"/>
      <c r="U76" s="382"/>
      <c r="V76" s="382"/>
      <c r="W76" s="382"/>
      <c r="X76" s="382"/>
      <c r="Y76" s="382"/>
      <c r="Z76" s="382"/>
      <c r="AA76" s="382"/>
      <c r="AB76" s="382"/>
      <c r="AC76" s="382"/>
      <c r="AD76" s="382"/>
      <c r="AE76" s="481"/>
      <c r="AF76" s="157">
        <f>SUM(T76:AE76)</f>
        <v>0</v>
      </c>
      <c r="AG76" s="500"/>
      <c r="AH76" s="513"/>
      <c r="AI76" s="513"/>
      <c r="AJ76" s="513"/>
      <c r="AK76" s="513"/>
      <c r="AL76" s="513"/>
      <c r="AM76" s="513"/>
      <c r="AN76" s="513"/>
      <c r="AO76" s="513"/>
      <c r="AP76" s="513"/>
      <c r="AQ76" s="513"/>
      <c r="AR76" s="512"/>
      <c r="AS76" s="409">
        <f>SUM(AG76:AR76)</f>
        <v>0</v>
      </c>
      <c r="AT76" s="500"/>
      <c r="AU76" s="513"/>
      <c r="AV76" s="513"/>
      <c r="AW76" s="155"/>
      <c r="AX76" s="155"/>
      <c r="AY76" s="155"/>
      <c r="AZ76" s="155"/>
      <c r="BA76" s="155"/>
      <c r="BB76" s="155"/>
      <c r="BC76" s="155"/>
      <c r="BD76" s="155"/>
      <c r="BE76" s="156"/>
      <c r="BF76" s="157">
        <f>SUM(AT76:BE76)</f>
        <v>0</v>
      </c>
      <c r="BG76" s="158"/>
      <c r="BH76" s="155"/>
      <c r="BI76" s="155"/>
      <c r="BJ76" s="155"/>
      <c r="BK76" s="155"/>
      <c r="BL76" s="155"/>
      <c r="BM76" s="155"/>
      <c r="BN76" s="155"/>
      <c r="BO76" s="155"/>
      <c r="BP76" s="155"/>
      <c r="BQ76" s="155"/>
      <c r="BR76" s="156"/>
      <c r="BS76" s="157">
        <f>SUM(BG76:BR76)</f>
        <v>0</v>
      </c>
      <c r="BT76" s="158"/>
      <c r="BU76" s="155"/>
      <c r="BV76" s="155"/>
      <c r="BW76" s="155"/>
      <c r="BX76" s="155"/>
      <c r="BY76" s="155"/>
      <c r="BZ76" s="155"/>
      <c r="CA76" s="283"/>
      <c r="CB76" s="283"/>
      <c r="CC76" s="283"/>
      <c r="CD76" s="283"/>
      <c r="CE76" s="285"/>
      <c r="CF76" s="157">
        <f t="shared" si="231"/>
        <v>0</v>
      </c>
      <c r="CG76" s="158"/>
      <c r="CH76" s="155"/>
      <c r="CI76" s="155"/>
      <c r="CJ76" s="155"/>
      <c r="CK76" s="155"/>
      <c r="CL76" s="155"/>
      <c r="CM76" s="155"/>
      <c r="CN76" s="155"/>
      <c r="CO76" s="155"/>
      <c r="CP76" s="155"/>
      <c r="CQ76" s="155"/>
      <c r="CR76" s="156"/>
      <c r="CS76" s="157">
        <f t="shared" si="76"/>
        <v>0</v>
      </c>
      <c r="CT76" s="158"/>
      <c r="CU76" s="155"/>
      <c r="CV76" s="155"/>
      <c r="CW76" s="155"/>
      <c r="CX76" s="155"/>
      <c r="CY76" s="155"/>
      <c r="CZ76" s="155"/>
      <c r="DA76" s="155"/>
      <c r="DB76" s="155"/>
      <c r="DC76" s="155"/>
      <c r="DD76" s="155"/>
      <c r="DE76" s="156"/>
      <c r="DF76" s="157">
        <f t="shared" si="77"/>
        <v>0</v>
      </c>
      <c r="DG76" s="280">
        <v>97300.439999999988</v>
      </c>
      <c r="DH76" s="159">
        <f>+F76+S76+AF76+AS76+BF76+BS76+DG76</f>
        <v>97300.439999999988</v>
      </c>
      <c r="DI76" s="160">
        <f>+E76</f>
        <v>97300.439999999988</v>
      </c>
      <c r="DJ76" s="161">
        <f>+DI76-DH76</f>
        <v>0</v>
      </c>
      <c r="DM76" s="134">
        <f>AS76+BF76+BS76+CF76+CS76+DG76+DF76</f>
        <v>97300.439999999988</v>
      </c>
    </row>
    <row r="77" spans="1:118" ht="15" customHeight="1" outlineLevel="1">
      <c r="A77" s="607"/>
      <c r="B77" s="558"/>
      <c r="C77" s="245" t="s">
        <v>63</v>
      </c>
      <c r="D77" s="184" t="s">
        <v>124</v>
      </c>
      <c r="E77" s="136">
        <f>AF77+AS77+BF77+BS77+CF77+CS77+DF77+S77+DG77</f>
        <v>87570.396000000008</v>
      </c>
      <c r="F77" s="136"/>
      <c r="G77" s="137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9"/>
      <c r="S77" s="162">
        <f t="shared" si="187"/>
        <v>0</v>
      </c>
      <c r="T77" s="380"/>
      <c r="U77" s="381"/>
      <c r="V77" s="381"/>
      <c r="W77" s="381"/>
      <c r="X77" s="381"/>
      <c r="Y77" s="381"/>
      <c r="Z77" s="381"/>
      <c r="AA77" s="381"/>
      <c r="AB77" s="381"/>
      <c r="AC77" s="381"/>
      <c r="AD77" s="381"/>
      <c r="AE77" s="392"/>
      <c r="AF77" s="162">
        <f>SUM(T77:AE77)</f>
        <v>0</v>
      </c>
      <c r="AG77" s="501"/>
      <c r="AH77" s="499"/>
      <c r="AI77" s="499"/>
      <c r="AJ77" s="499"/>
      <c r="AK77" s="499"/>
      <c r="AL77" s="499"/>
      <c r="AM77" s="499"/>
      <c r="AN77" s="499"/>
      <c r="AO77" s="499"/>
      <c r="AP77" s="499"/>
      <c r="AQ77" s="499"/>
      <c r="AR77" s="511"/>
      <c r="AS77" s="410">
        <f>SUM(AG77:AR77)</f>
        <v>0</v>
      </c>
      <c r="AT77" s="501"/>
      <c r="AU77" s="499"/>
      <c r="AV77" s="499"/>
      <c r="AW77" s="138"/>
      <c r="AX77" s="138"/>
      <c r="AY77" s="138"/>
      <c r="AZ77" s="138"/>
      <c r="BA77" s="138"/>
      <c r="BB77" s="138"/>
      <c r="BC77" s="138"/>
      <c r="BD77" s="138"/>
      <c r="BE77" s="139"/>
      <c r="BF77" s="162">
        <f>SUM(AT77:BE77)</f>
        <v>0</v>
      </c>
      <c r="BG77" s="141"/>
      <c r="BH77" s="138"/>
      <c r="BI77" s="138"/>
      <c r="BJ77" s="138"/>
      <c r="BK77" s="138"/>
      <c r="BL77" s="138"/>
      <c r="BM77" s="138"/>
      <c r="BN77" s="138"/>
      <c r="BO77" s="138"/>
      <c r="BP77" s="138"/>
      <c r="BQ77" s="138"/>
      <c r="BR77" s="139"/>
      <c r="BS77" s="162">
        <f>SUM(BG77:BR77)</f>
        <v>0</v>
      </c>
      <c r="BT77" s="141"/>
      <c r="BU77" s="138"/>
      <c r="BV77" s="138"/>
      <c r="BW77" s="138"/>
      <c r="BX77" s="138"/>
      <c r="BY77" s="138"/>
      <c r="BZ77" s="138"/>
      <c r="CA77" s="253"/>
      <c r="CB77" s="253"/>
      <c r="CC77" s="253"/>
      <c r="CD77" s="253"/>
      <c r="CE77" s="338"/>
      <c r="CF77" s="162">
        <f t="shared" si="231"/>
        <v>0</v>
      </c>
      <c r="CG77" s="141"/>
      <c r="CH77" s="138"/>
      <c r="CI77" s="138"/>
      <c r="CJ77" s="138"/>
      <c r="CK77" s="138"/>
      <c r="CL77" s="138"/>
      <c r="CM77" s="138"/>
      <c r="CN77" s="138"/>
      <c r="CO77" s="138"/>
      <c r="CP77" s="138"/>
      <c r="CQ77" s="138"/>
      <c r="CR77" s="139"/>
      <c r="CS77" s="162">
        <f t="shared" si="76"/>
        <v>0</v>
      </c>
      <c r="CT77" s="141"/>
      <c r="CU77" s="138"/>
      <c r="CV77" s="138"/>
      <c r="CW77" s="138"/>
      <c r="CX77" s="138"/>
      <c r="CY77" s="138"/>
      <c r="CZ77" s="138"/>
      <c r="DA77" s="138"/>
      <c r="DB77" s="138"/>
      <c r="DC77" s="138"/>
      <c r="DD77" s="138"/>
      <c r="DE77" s="139"/>
      <c r="DF77" s="162">
        <f t="shared" si="77"/>
        <v>0</v>
      </c>
      <c r="DG77" s="279">
        <v>87570.396000000008</v>
      </c>
      <c r="DH77" s="90">
        <f>+F77+S77+AF77+AS77+BF77+BS77+DG77</f>
        <v>87570.396000000008</v>
      </c>
      <c r="DI77" s="91">
        <f>+E77</f>
        <v>87570.396000000008</v>
      </c>
      <c r="DJ77" s="92">
        <f>+DI77-DH77</f>
        <v>0</v>
      </c>
      <c r="DK77" s="64">
        <f>+DH77/DH76</f>
        <v>0.90000000000000024</v>
      </c>
      <c r="DM77" s="134">
        <f>AS77+BF77+BS77+CF77+CS77+DG77+DF77</f>
        <v>87570.396000000008</v>
      </c>
    </row>
    <row r="78" spans="1:118" ht="15" customHeight="1" outlineLevel="1">
      <c r="A78" s="607"/>
      <c r="B78" s="559"/>
      <c r="C78" s="357" t="s">
        <v>11</v>
      </c>
      <c r="D78" s="358"/>
      <c r="E78" s="143">
        <f t="shared" ref="E78:R78" si="240">+E76-E77</f>
        <v>9730.0439999999799</v>
      </c>
      <c r="F78" s="144">
        <f t="shared" si="240"/>
        <v>0</v>
      </c>
      <c r="G78" s="145">
        <f t="shared" si="240"/>
        <v>0</v>
      </c>
      <c r="H78" s="145">
        <f t="shared" si="240"/>
        <v>0</v>
      </c>
      <c r="I78" s="145">
        <f t="shared" si="240"/>
        <v>0</v>
      </c>
      <c r="J78" s="145">
        <f t="shared" si="240"/>
        <v>0</v>
      </c>
      <c r="K78" s="145">
        <f t="shared" si="240"/>
        <v>0</v>
      </c>
      <c r="L78" s="145">
        <f t="shared" si="240"/>
        <v>0</v>
      </c>
      <c r="M78" s="145">
        <f t="shared" si="240"/>
        <v>0</v>
      </c>
      <c r="N78" s="145">
        <f t="shared" si="240"/>
        <v>0</v>
      </c>
      <c r="O78" s="145">
        <f t="shared" si="240"/>
        <v>0</v>
      </c>
      <c r="P78" s="145">
        <f t="shared" si="240"/>
        <v>0</v>
      </c>
      <c r="Q78" s="145">
        <f t="shared" si="240"/>
        <v>0</v>
      </c>
      <c r="R78" s="146">
        <f t="shared" si="240"/>
        <v>0</v>
      </c>
      <c r="S78" s="147">
        <f t="shared" si="187"/>
        <v>0</v>
      </c>
      <c r="T78" s="148">
        <f t="shared" ref="T78:AE78" si="241">+T76-T77</f>
        <v>0</v>
      </c>
      <c r="U78" s="145">
        <f t="shared" si="241"/>
        <v>0</v>
      </c>
      <c r="V78" s="145">
        <f t="shared" si="241"/>
        <v>0</v>
      </c>
      <c r="W78" s="145">
        <f t="shared" si="241"/>
        <v>0</v>
      </c>
      <c r="X78" s="145">
        <f t="shared" si="241"/>
        <v>0</v>
      </c>
      <c r="Y78" s="145">
        <f t="shared" si="241"/>
        <v>0</v>
      </c>
      <c r="Z78" s="145">
        <f t="shared" si="241"/>
        <v>0</v>
      </c>
      <c r="AA78" s="145">
        <f t="shared" si="241"/>
        <v>0</v>
      </c>
      <c r="AB78" s="145">
        <f t="shared" si="241"/>
        <v>0</v>
      </c>
      <c r="AC78" s="145">
        <f t="shared" si="241"/>
        <v>0</v>
      </c>
      <c r="AD78" s="145">
        <f t="shared" si="241"/>
        <v>0</v>
      </c>
      <c r="AE78" s="146">
        <f t="shared" si="241"/>
        <v>0</v>
      </c>
      <c r="AF78" s="147">
        <f>SUM(T78:AE78)</f>
        <v>0</v>
      </c>
      <c r="AG78" s="148">
        <f t="shared" ref="AG78:AR78" si="242">+AG76-AG77</f>
        <v>0</v>
      </c>
      <c r="AH78" s="145">
        <f t="shared" si="242"/>
        <v>0</v>
      </c>
      <c r="AI78" s="145">
        <f t="shared" si="242"/>
        <v>0</v>
      </c>
      <c r="AJ78" s="145">
        <f t="shared" si="242"/>
        <v>0</v>
      </c>
      <c r="AK78" s="145">
        <f t="shared" si="242"/>
        <v>0</v>
      </c>
      <c r="AL78" s="145">
        <f t="shared" si="242"/>
        <v>0</v>
      </c>
      <c r="AM78" s="145">
        <f t="shared" si="242"/>
        <v>0</v>
      </c>
      <c r="AN78" s="145">
        <f t="shared" si="242"/>
        <v>0</v>
      </c>
      <c r="AO78" s="145">
        <f t="shared" si="242"/>
        <v>0</v>
      </c>
      <c r="AP78" s="145">
        <f t="shared" si="242"/>
        <v>0</v>
      </c>
      <c r="AQ78" s="145">
        <f t="shared" si="242"/>
        <v>0</v>
      </c>
      <c r="AR78" s="146">
        <f t="shared" si="242"/>
        <v>0</v>
      </c>
      <c r="AS78" s="408">
        <f>SUM(AG78:AR78)</f>
        <v>0</v>
      </c>
      <c r="AT78" s="148">
        <f t="shared" ref="AT78:BE78" si="243">+AT76-AT77</f>
        <v>0</v>
      </c>
      <c r="AU78" s="145">
        <f t="shared" si="243"/>
        <v>0</v>
      </c>
      <c r="AV78" s="145">
        <f t="shared" si="243"/>
        <v>0</v>
      </c>
      <c r="AW78" s="145">
        <f t="shared" si="243"/>
        <v>0</v>
      </c>
      <c r="AX78" s="145">
        <f t="shared" si="243"/>
        <v>0</v>
      </c>
      <c r="AY78" s="145">
        <f t="shared" si="243"/>
        <v>0</v>
      </c>
      <c r="AZ78" s="145">
        <f t="shared" si="243"/>
        <v>0</v>
      </c>
      <c r="BA78" s="145">
        <f t="shared" si="243"/>
        <v>0</v>
      </c>
      <c r="BB78" s="145">
        <f t="shared" si="243"/>
        <v>0</v>
      </c>
      <c r="BC78" s="145">
        <f t="shared" si="243"/>
        <v>0</v>
      </c>
      <c r="BD78" s="145">
        <f t="shared" si="243"/>
        <v>0</v>
      </c>
      <c r="BE78" s="146">
        <f t="shared" si="243"/>
        <v>0</v>
      </c>
      <c r="BF78" s="147">
        <f>SUM(AT78:BE78)</f>
        <v>0</v>
      </c>
      <c r="BG78" s="148">
        <f t="shared" ref="BG78:BR78" si="244">+BG76-BG77</f>
        <v>0</v>
      </c>
      <c r="BH78" s="145">
        <f t="shared" si="244"/>
        <v>0</v>
      </c>
      <c r="BI78" s="145">
        <f t="shared" si="244"/>
        <v>0</v>
      </c>
      <c r="BJ78" s="145">
        <f t="shared" si="244"/>
        <v>0</v>
      </c>
      <c r="BK78" s="145">
        <f t="shared" si="244"/>
        <v>0</v>
      </c>
      <c r="BL78" s="145">
        <f t="shared" si="244"/>
        <v>0</v>
      </c>
      <c r="BM78" s="145">
        <f t="shared" si="244"/>
        <v>0</v>
      </c>
      <c r="BN78" s="145">
        <f t="shared" si="244"/>
        <v>0</v>
      </c>
      <c r="BO78" s="145">
        <f t="shared" si="244"/>
        <v>0</v>
      </c>
      <c r="BP78" s="145">
        <f t="shared" si="244"/>
        <v>0</v>
      </c>
      <c r="BQ78" s="145">
        <f t="shared" si="244"/>
        <v>0</v>
      </c>
      <c r="BR78" s="146">
        <f t="shared" si="244"/>
        <v>0</v>
      </c>
      <c r="BS78" s="147">
        <f>SUM(BG78:BR78)</f>
        <v>0</v>
      </c>
      <c r="BT78" s="148">
        <f t="shared" ref="BT78:CE78" si="245">+BT76-BT77</f>
        <v>0</v>
      </c>
      <c r="BU78" s="145">
        <f t="shared" si="245"/>
        <v>0</v>
      </c>
      <c r="BV78" s="145">
        <f t="shared" si="245"/>
        <v>0</v>
      </c>
      <c r="BW78" s="145">
        <f t="shared" si="245"/>
        <v>0</v>
      </c>
      <c r="BX78" s="145">
        <f t="shared" si="245"/>
        <v>0</v>
      </c>
      <c r="BY78" s="145">
        <f t="shared" si="245"/>
        <v>0</v>
      </c>
      <c r="BZ78" s="145">
        <f t="shared" si="245"/>
        <v>0</v>
      </c>
      <c r="CA78" s="145">
        <f t="shared" si="245"/>
        <v>0</v>
      </c>
      <c r="CB78" s="145">
        <f t="shared" si="245"/>
        <v>0</v>
      </c>
      <c r="CC78" s="145">
        <f t="shared" si="245"/>
        <v>0</v>
      </c>
      <c r="CD78" s="145">
        <f t="shared" si="245"/>
        <v>0</v>
      </c>
      <c r="CE78" s="146">
        <f t="shared" si="245"/>
        <v>0</v>
      </c>
      <c r="CF78" s="147">
        <f t="shared" si="231"/>
        <v>0</v>
      </c>
      <c r="CG78" s="148">
        <f t="shared" ref="CG78:CR78" si="246">+CG76-CG77</f>
        <v>0</v>
      </c>
      <c r="CH78" s="145">
        <f t="shared" si="246"/>
        <v>0</v>
      </c>
      <c r="CI78" s="145">
        <f t="shared" si="246"/>
        <v>0</v>
      </c>
      <c r="CJ78" s="145">
        <f t="shared" si="246"/>
        <v>0</v>
      </c>
      <c r="CK78" s="145">
        <f t="shared" si="246"/>
        <v>0</v>
      </c>
      <c r="CL78" s="145">
        <f t="shared" si="246"/>
        <v>0</v>
      </c>
      <c r="CM78" s="145">
        <f t="shared" si="246"/>
        <v>0</v>
      </c>
      <c r="CN78" s="145">
        <f t="shared" si="246"/>
        <v>0</v>
      </c>
      <c r="CO78" s="145">
        <f t="shared" si="246"/>
        <v>0</v>
      </c>
      <c r="CP78" s="145">
        <f t="shared" si="246"/>
        <v>0</v>
      </c>
      <c r="CQ78" s="145">
        <f t="shared" si="246"/>
        <v>0</v>
      </c>
      <c r="CR78" s="146">
        <f t="shared" si="246"/>
        <v>0</v>
      </c>
      <c r="CS78" s="147">
        <f t="shared" si="76"/>
        <v>0</v>
      </c>
      <c r="CT78" s="148">
        <f t="shared" ref="CT78:DE78" si="247">+CT76-CT77</f>
        <v>0</v>
      </c>
      <c r="CU78" s="145">
        <f t="shared" si="247"/>
        <v>0</v>
      </c>
      <c r="CV78" s="145">
        <f t="shared" si="247"/>
        <v>0</v>
      </c>
      <c r="CW78" s="145">
        <f t="shared" si="247"/>
        <v>0</v>
      </c>
      <c r="CX78" s="145">
        <f t="shared" si="247"/>
        <v>0</v>
      </c>
      <c r="CY78" s="145">
        <f t="shared" si="247"/>
        <v>0</v>
      </c>
      <c r="CZ78" s="145">
        <f t="shared" si="247"/>
        <v>0</v>
      </c>
      <c r="DA78" s="145">
        <f t="shared" si="247"/>
        <v>0</v>
      </c>
      <c r="DB78" s="145">
        <f t="shared" si="247"/>
        <v>0</v>
      </c>
      <c r="DC78" s="145">
        <f t="shared" si="247"/>
        <v>0</v>
      </c>
      <c r="DD78" s="145">
        <f t="shared" si="247"/>
        <v>0</v>
      </c>
      <c r="DE78" s="146">
        <f t="shared" si="247"/>
        <v>0</v>
      </c>
      <c r="DF78" s="147">
        <f t="shared" si="77"/>
        <v>0</v>
      </c>
      <c r="DG78" s="146">
        <f>+DG76-DG77</f>
        <v>9730.0439999999799</v>
      </c>
      <c r="DH78" s="98">
        <f>+F78+S78+AF78+AS78+BF78+BS78+DG78</f>
        <v>9730.0439999999799</v>
      </c>
      <c r="DI78" s="99">
        <f>+E78</f>
        <v>9730.0439999999799</v>
      </c>
      <c r="DJ78" s="100">
        <f>+DI78-DH78</f>
        <v>0</v>
      </c>
    </row>
    <row r="79" spans="1:118" ht="15" customHeight="1" outlineLevel="1">
      <c r="A79" s="607"/>
      <c r="B79" s="557" t="s">
        <v>206</v>
      </c>
      <c r="C79" s="246" t="s">
        <v>62</v>
      </c>
      <c r="D79" s="183" t="s">
        <v>122</v>
      </c>
      <c r="E79" s="153">
        <f>AF79+AS79+BF79+BS79+CF79+CS79+DF79+S79+DG79</f>
        <v>0</v>
      </c>
      <c r="F79" s="153"/>
      <c r="G79" s="154"/>
      <c r="H79" s="155"/>
      <c r="I79" s="155"/>
      <c r="J79" s="155"/>
      <c r="K79" s="155"/>
      <c r="L79" s="155"/>
      <c r="M79" s="155"/>
      <c r="N79" s="155"/>
      <c r="O79" s="155"/>
      <c r="P79" s="155"/>
      <c r="Q79" s="155"/>
      <c r="R79" s="284"/>
      <c r="S79" s="157">
        <f t="shared" si="187"/>
        <v>0</v>
      </c>
      <c r="T79" s="378"/>
      <c r="U79" s="382"/>
      <c r="V79" s="382"/>
      <c r="W79" s="382"/>
      <c r="X79" s="382"/>
      <c r="Y79" s="382"/>
      <c r="Z79" s="382"/>
      <c r="AA79" s="382"/>
      <c r="AB79" s="382"/>
      <c r="AC79" s="382"/>
      <c r="AD79" s="382"/>
      <c r="AE79" s="481"/>
      <c r="AF79" s="157">
        <f t="shared" si="222"/>
        <v>0</v>
      </c>
      <c r="AG79" s="500"/>
      <c r="AH79" s="513"/>
      <c r="AI79" s="513"/>
      <c r="AJ79" s="513"/>
      <c r="AK79" s="513"/>
      <c r="AL79" s="513"/>
      <c r="AM79" s="513"/>
      <c r="AN79" s="513"/>
      <c r="AO79" s="513"/>
      <c r="AP79" s="513"/>
      <c r="AQ79" s="513"/>
      <c r="AR79" s="512"/>
      <c r="AS79" s="409">
        <f t="shared" si="188"/>
        <v>0</v>
      </c>
      <c r="AT79" s="500"/>
      <c r="AU79" s="513"/>
      <c r="AV79" s="513"/>
      <c r="AW79" s="155"/>
      <c r="AX79" s="155"/>
      <c r="AY79" s="155"/>
      <c r="AZ79" s="155"/>
      <c r="BA79" s="155"/>
      <c r="BB79" s="155"/>
      <c r="BC79" s="155"/>
      <c r="BD79" s="155"/>
      <c r="BE79" s="285"/>
      <c r="BF79" s="157">
        <f t="shared" si="70"/>
        <v>0</v>
      </c>
      <c r="BG79" s="359"/>
      <c r="BH79" s="283"/>
      <c r="BI79" s="283"/>
      <c r="BJ79" s="283"/>
      <c r="BK79" s="283"/>
      <c r="BL79" s="283"/>
      <c r="BM79" s="283"/>
      <c r="BN79" s="283"/>
      <c r="BO79" s="283"/>
      <c r="BP79" s="283"/>
      <c r="BQ79" s="283"/>
      <c r="BR79" s="285"/>
      <c r="BS79" s="157">
        <f t="shared" si="71"/>
        <v>0</v>
      </c>
      <c r="BT79" s="359"/>
      <c r="BU79" s="283"/>
      <c r="BV79" s="283"/>
      <c r="BW79" s="283"/>
      <c r="BX79" s="283"/>
      <c r="BY79" s="283"/>
      <c r="BZ79" s="283"/>
      <c r="CA79" s="283"/>
      <c r="CB79" s="283"/>
      <c r="CC79" s="283"/>
      <c r="CD79" s="283"/>
      <c r="CE79" s="285"/>
      <c r="CF79" s="157">
        <f t="shared" si="75"/>
        <v>0</v>
      </c>
      <c r="CG79" s="359"/>
      <c r="CH79" s="283"/>
      <c r="CI79" s="283"/>
      <c r="CJ79" s="283"/>
      <c r="CK79" s="283"/>
      <c r="CL79" s="283"/>
      <c r="CM79" s="283"/>
      <c r="CN79" s="283"/>
      <c r="CO79" s="283"/>
      <c r="CP79" s="283"/>
      <c r="CQ79" s="283"/>
      <c r="CR79" s="285"/>
      <c r="CS79" s="157">
        <f t="shared" si="76"/>
        <v>0</v>
      </c>
      <c r="CT79" s="359"/>
      <c r="CU79" s="283"/>
      <c r="CV79" s="283"/>
      <c r="CW79" s="283"/>
      <c r="CX79" s="283"/>
      <c r="CY79" s="283"/>
      <c r="CZ79" s="283"/>
      <c r="DA79" s="283"/>
      <c r="DB79" s="283"/>
      <c r="DC79" s="283"/>
      <c r="DD79" s="283"/>
      <c r="DE79" s="285"/>
      <c r="DF79" s="157">
        <f t="shared" si="77"/>
        <v>0</v>
      </c>
      <c r="DG79" s="280"/>
      <c r="DH79" s="159">
        <f t="shared" si="72"/>
        <v>0</v>
      </c>
      <c r="DI79" s="160">
        <f t="shared" si="73"/>
        <v>0</v>
      </c>
      <c r="DJ79" s="161">
        <f t="shared" si="74"/>
        <v>0</v>
      </c>
      <c r="DM79" s="134">
        <f>AS79+BF79+BS79+CF79+CS79+DG79+DF79</f>
        <v>0</v>
      </c>
    </row>
    <row r="80" spans="1:118" ht="15" customHeight="1" outlineLevel="1">
      <c r="A80" s="607"/>
      <c r="B80" s="558"/>
      <c r="C80" s="245" t="s">
        <v>63</v>
      </c>
      <c r="D80" s="184" t="s">
        <v>124</v>
      </c>
      <c r="E80" s="136">
        <f>AF80+AS80+BF80+BS80+CF80+CS80+DF80+S80+DG80</f>
        <v>0</v>
      </c>
      <c r="F80" s="136"/>
      <c r="G80" s="137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9"/>
      <c r="S80" s="162">
        <f t="shared" si="187"/>
        <v>0</v>
      </c>
      <c r="T80" s="380"/>
      <c r="U80" s="381"/>
      <c r="V80" s="381"/>
      <c r="W80" s="381"/>
      <c r="X80" s="381"/>
      <c r="Y80" s="381"/>
      <c r="Z80" s="381"/>
      <c r="AA80" s="381"/>
      <c r="AB80" s="381"/>
      <c r="AC80" s="381"/>
      <c r="AD80" s="381"/>
      <c r="AE80" s="392"/>
      <c r="AF80" s="162">
        <f t="shared" si="222"/>
        <v>0</v>
      </c>
      <c r="AG80" s="501"/>
      <c r="AH80" s="499"/>
      <c r="AI80" s="499"/>
      <c r="AJ80" s="499"/>
      <c r="AK80" s="499"/>
      <c r="AL80" s="499"/>
      <c r="AM80" s="499"/>
      <c r="AN80" s="499"/>
      <c r="AO80" s="499"/>
      <c r="AP80" s="499"/>
      <c r="AQ80" s="499"/>
      <c r="AR80" s="511"/>
      <c r="AS80" s="410">
        <f t="shared" si="188"/>
        <v>0</v>
      </c>
      <c r="AT80" s="501"/>
      <c r="AU80" s="499"/>
      <c r="AV80" s="499"/>
      <c r="AW80" s="138"/>
      <c r="AX80" s="138"/>
      <c r="AY80" s="138"/>
      <c r="AZ80" s="138"/>
      <c r="BA80" s="138"/>
      <c r="BB80" s="138"/>
      <c r="BC80" s="138"/>
      <c r="BD80" s="138"/>
      <c r="BE80" s="338"/>
      <c r="BF80" s="162">
        <f t="shared" si="70"/>
        <v>0</v>
      </c>
      <c r="BG80" s="353"/>
      <c r="BH80" s="253"/>
      <c r="BI80" s="253"/>
      <c r="BJ80" s="253"/>
      <c r="BK80" s="253"/>
      <c r="BL80" s="253"/>
      <c r="BM80" s="253"/>
      <c r="BN80" s="253"/>
      <c r="BO80" s="253"/>
      <c r="BP80" s="253"/>
      <c r="BQ80" s="253"/>
      <c r="BR80" s="338"/>
      <c r="BS80" s="162">
        <f t="shared" si="71"/>
        <v>0</v>
      </c>
      <c r="BT80" s="353"/>
      <c r="BU80" s="253"/>
      <c r="BV80" s="253"/>
      <c r="BW80" s="253"/>
      <c r="BX80" s="253"/>
      <c r="BY80" s="253"/>
      <c r="BZ80" s="253"/>
      <c r="CA80" s="253"/>
      <c r="CB80" s="253"/>
      <c r="CC80" s="253"/>
      <c r="CD80" s="253"/>
      <c r="CE80" s="338"/>
      <c r="CF80" s="162">
        <f t="shared" si="75"/>
        <v>0</v>
      </c>
      <c r="CG80" s="353"/>
      <c r="CH80" s="253"/>
      <c r="CI80" s="253"/>
      <c r="CJ80" s="253"/>
      <c r="CK80" s="253"/>
      <c r="CL80" s="253"/>
      <c r="CM80" s="253"/>
      <c r="CN80" s="253"/>
      <c r="CO80" s="253"/>
      <c r="CP80" s="253"/>
      <c r="CQ80" s="253"/>
      <c r="CR80" s="338"/>
      <c r="CS80" s="162">
        <f t="shared" si="76"/>
        <v>0</v>
      </c>
      <c r="CT80" s="353"/>
      <c r="CU80" s="253"/>
      <c r="CV80" s="253"/>
      <c r="CW80" s="253"/>
      <c r="CX80" s="253"/>
      <c r="CY80" s="253"/>
      <c r="CZ80" s="253"/>
      <c r="DA80" s="253"/>
      <c r="DB80" s="253"/>
      <c r="DC80" s="253"/>
      <c r="DD80" s="253"/>
      <c r="DE80" s="338"/>
      <c r="DF80" s="162">
        <f t="shared" si="77"/>
        <v>0</v>
      </c>
      <c r="DG80" s="279"/>
      <c r="DH80" s="90">
        <f t="shared" si="72"/>
        <v>0</v>
      </c>
      <c r="DI80" s="91">
        <f t="shared" si="73"/>
        <v>0</v>
      </c>
      <c r="DJ80" s="92">
        <f t="shared" si="74"/>
        <v>0</v>
      </c>
      <c r="DK80" s="64" t="e">
        <f>+DH80/DH79</f>
        <v>#DIV/0!</v>
      </c>
      <c r="DM80" s="134">
        <f>AS80+BF80+BS80+CF80+CS80+DG80+DF80</f>
        <v>0</v>
      </c>
    </row>
    <row r="81" spans="1:117" ht="15" customHeight="1" outlineLevel="1">
      <c r="A81" s="607"/>
      <c r="B81" s="559"/>
      <c r="C81" s="357" t="s">
        <v>11</v>
      </c>
      <c r="D81" s="358"/>
      <c r="E81" s="143">
        <f t="shared" ref="E81:R81" si="248">+E79-E80</f>
        <v>0</v>
      </c>
      <c r="F81" s="144">
        <f t="shared" si="248"/>
        <v>0</v>
      </c>
      <c r="G81" s="145">
        <f t="shared" si="248"/>
        <v>0</v>
      </c>
      <c r="H81" s="145">
        <f t="shared" si="248"/>
        <v>0</v>
      </c>
      <c r="I81" s="145">
        <f t="shared" si="248"/>
        <v>0</v>
      </c>
      <c r="J81" s="145">
        <f t="shared" si="248"/>
        <v>0</v>
      </c>
      <c r="K81" s="145">
        <f t="shared" si="248"/>
        <v>0</v>
      </c>
      <c r="L81" s="145">
        <f t="shared" si="248"/>
        <v>0</v>
      </c>
      <c r="M81" s="145">
        <f t="shared" si="248"/>
        <v>0</v>
      </c>
      <c r="N81" s="145">
        <f t="shared" si="248"/>
        <v>0</v>
      </c>
      <c r="O81" s="145">
        <f t="shared" si="248"/>
        <v>0</v>
      </c>
      <c r="P81" s="145">
        <f t="shared" si="248"/>
        <v>0</v>
      </c>
      <c r="Q81" s="145">
        <f t="shared" si="248"/>
        <v>0</v>
      </c>
      <c r="R81" s="146">
        <f t="shared" si="248"/>
        <v>0</v>
      </c>
      <c r="S81" s="147">
        <f t="shared" si="187"/>
        <v>0</v>
      </c>
      <c r="T81" s="148">
        <f t="shared" ref="T81:AE81" si="249">+T79-T80</f>
        <v>0</v>
      </c>
      <c r="U81" s="145">
        <f t="shared" si="249"/>
        <v>0</v>
      </c>
      <c r="V81" s="145">
        <f t="shared" si="249"/>
        <v>0</v>
      </c>
      <c r="W81" s="145">
        <f t="shared" si="249"/>
        <v>0</v>
      </c>
      <c r="X81" s="145">
        <f t="shared" si="249"/>
        <v>0</v>
      </c>
      <c r="Y81" s="145">
        <f t="shared" si="249"/>
        <v>0</v>
      </c>
      <c r="Z81" s="145">
        <f t="shared" si="249"/>
        <v>0</v>
      </c>
      <c r="AA81" s="145">
        <f t="shared" si="249"/>
        <v>0</v>
      </c>
      <c r="AB81" s="145">
        <f t="shared" si="249"/>
        <v>0</v>
      </c>
      <c r="AC81" s="145">
        <f t="shared" si="249"/>
        <v>0</v>
      </c>
      <c r="AD81" s="145">
        <f t="shared" si="249"/>
        <v>0</v>
      </c>
      <c r="AE81" s="146">
        <f t="shared" si="249"/>
        <v>0</v>
      </c>
      <c r="AF81" s="147">
        <f t="shared" si="222"/>
        <v>0</v>
      </c>
      <c r="AG81" s="148">
        <f t="shared" ref="AG81:AR81" si="250">+AG79-AG80</f>
        <v>0</v>
      </c>
      <c r="AH81" s="145">
        <f t="shared" si="250"/>
        <v>0</v>
      </c>
      <c r="AI81" s="145">
        <f t="shared" si="250"/>
        <v>0</v>
      </c>
      <c r="AJ81" s="145">
        <f t="shared" si="250"/>
        <v>0</v>
      </c>
      <c r="AK81" s="145">
        <f t="shared" si="250"/>
        <v>0</v>
      </c>
      <c r="AL81" s="145">
        <f t="shared" si="250"/>
        <v>0</v>
      </c>
      <c r="AM81" s="145">
        <f t="shared" si="250"/>
        <v>0</v>
      </c>
      <c r="AN81" s="145">
        <f t="shared" si="250"/>
        <v>0</v>
      </c>
      <c r="AO81" s="145">
        <f t="shared" si="250"/>
        <v>0</v>
      </c>
      <c r="AP81" s="145">
        <f t="shared" si="250"/>
        <v>0</v>
      </c>
      <c r="AQ81" s="145">
        <f t="shared" si="250"/>
        <v>0</v>
      </c>
      <c r="AR81" s="146">
        <f t="shared" si="250"/>
        <v>0</v>
      </c>
      <c r="AS81" s="408">
        <f t="shared" si="188"/>
        <v>0</v>
      </c>
      <c r="AT81" s="148">
        <f t="shared" ref="AT81:BE81" si="251">+AT79-AT80</f>
        <v>0</v>
      </c>
      <c r="AU81" s="145">
        <f t="shared" si="251"/>
        <v>0</v>
      </c>
      <c r="AV81" s="145">
        <f t="shared" si="251"/>
        <v>0</v>
      </c>
      <c r="AW81" s="145">
        <f t="shared" si="251"/>
        <v>0</v>
      </c>
      <c r="AX81" s="145">
        <f t="shared" si="251"/>
        <v>0</v>
      </c>
      <c r="AY81" s="145">
        <f t="shared" si="251"/>
        <v>0</v>
      </c>
      <c r="AZ81" s="145">
        <f t="shared" si="251"/>
        <v>0</v>
      </c>
      <c r="BA81" s="145">
        <f t="shared" si="251"/>
        <v>0</v>
      </c>
      <c r="BB81" s="145">
        <f t="shared" si="251"/>
        <v>0</v>
      </c>
      <c r="BC81" s="145">
        <f t="shared" si="251"/>
        <v>0</v>
      </c>
      <c r="BD81" s="145">
        <f t="shared" si="251"/>
        <v>0</v>
      </c>
      <c r="BE81" s="146">
        <f t="shared" si="251"/>
        <v>0</v>
      </c>
      <c r="BF81" s="147">
        <f t="shared" si="70"/>
        <v>0</v>
      </c>
      <c r="BG81" s="148">
        <f t="shared" ref="BG81:BR81" si="252">+BG79-BG80</f>
        <v>0</v>
      </c>
      <c r="BH81" s="145">
        <f t="shared" si="252"/>
        <v>0</v>
      </c>
      <c r="BI81" s="145">
        <f t="shared" si="252"/>
        <v>0</v>
      </c>
      <c r="BJ81" s="145">
        <f t="shared" si="252"/>
        <v>0</v>
      </c>
      <c r="BK81" s="145">
        <f t="shared" si="252"/>
        <v>0</v>
      </c>
      <c r="BL81" s="145">
        <f t="shared" si="252"/>
        <v>0</v>
      </c>
      <c r="BM81" s="145">
        <f t="shared" si="252"/>
        <v>0</v>
      </c>
      <c r="BN81" s="145">
        <f t="shared" si="252"/>
        <v>0</v>
      </c>
      <c r="BO81" s="145">
        <f t="shared" si="252"/>
        <v>0</v>
      </c>
      <c r="BP81" s="145">
        <f t="shared" si="252"/>
        <v>0</v>
      </c>
      <c r="BQ81" s="145">
        <f t="shared" si="252"/>
        <v>0</v>
      </c>
      <c r="BR81" s="146">
        <f t="shared" si="252"/>
        <v>0</v>
      </c>
      <c r="BS81" s="147">
        <f t="shared" si="71"/>
        <v>0</v>
      </c>
      <c r="BT81" s="148">
        <f t="shared" ref="BT81:CE81" si="253">+BT79-BT80</f>
        <v>0</v>
      </c>
      <c r="BU81" s="145">
        <f t="shared" si="253"/>
        <v>0</v>
      </c>
      <c r="BV81" s="145">
        <f t="shared" si="253"/>
        <v>0</v>
      </c>
      <c r="BW81" s="145">
        <f t="shared" si="253"/>
        <v>0</v>
      </c>
      <c r="BX81" s="145">
        <f t="shared" si="253"/>
        <v>0</v>
      </c>
      <c r="BY81" s="145">
        <f t="shared" si="253"/>
        <v>0</v>
      </c>
      <c r="BZ81" s="145">
        <f t="shared" si="253"/>
        <v>0</v>
      </c>
      <c r="CA81" s="145">
        <f t="shared" si="253"/>
        <v>0</v>
      </c>
      <c r="CB81" s="145">
        <f t="shared" si="253"/>
        <v>0</v>
      </c>
      <c r="CC81" s="145">
        <f t="shared" si="253"/>
        <v>0</v>
      </c>
      <c r="CD81" s="145">
        <f t="shared" si="253"/>
        <v>0</v>
      </c>
      <c r="CE81" s="146">
        <f t="shared" si="253"/>
        <v>0</v>
      </c>
      <c r="CF81" s="147">
        <f t="shared" si="75"/>
        <v>0</v>
      </c>
      <c r="CG81" s="148">
        <f t="shared" ref="CG81:CR81" si="254">+CG79-CG80</f>
        <v>0</v>
      </c>
      <c r="CH81" s="145">
        <f t="shared" si="254"/>
        <v>0</v>
      </c>
      <c r="CI81" s="145">
        <f t="shared" si="254"/>
        <v>0</v>
      </c>
      <c r="CJ81" s="145">
        <f t="shared" si="254"/>
        <v>0</v>
      </c>
      <c r="CK81" s="145">
        <f t="shared" si="254"/>
        <v>0</v>
      </c>
      <c r="CL81" s="145">
        <f t="shared" si="254"/>
        <v>0</v>
      </c>
      <c r="CM81" s="145">
        <f t="shared" si="254"/>
        <v>0</v>
      </c>
      <c r="CN81" s="145">
        <f t="shared" si="254"/>
        <v>0</v>
      </c>
      <c r="CO81" s="145">
        <f t="shared" si="254"/>
        <v>0</v>
      </c>
      <c r="CP81" s="145">
        <f t="shared" si="254"/>
        <v>0</v>
      </c>
      <c r="CQ81" s="145">
        <f t="shared" si="254"/>
        <v>0</v>
      </c>
      <c r="CR81" s="146">
        <f t="shared" si="254"/>
        <v>0</v>
      </c>
      <c r="CS81" s="147">
        <f t="shared" si="76"/>
        <v>0</v>
      </c>
      <c r="CT81" s="148">
        <f t="shared" ref="CT81:DE81" si="255">+CT79-CT80</f>
        <v>0</v>
      </c>
      <c r="CU81" s="145">
        <f t="shared" si="255"/>
        <v>0</v>
      </c>
      <c r="CV81" s="145">
        <f t="shared" si="255"/>
        <v>0</v>
      </c>
      <c r="CW81" s="145">
        <f t="shared" si="255"/>
        <v>0</v>
      </c>
      <c r="CX81" s="145">
        <f t="shared" si="255"/>
        <v>0</v>
      </c>
      <c r="CY81" s="145">
        <f t="shared" si="255"/>
        <v>0</v>
      </c>
      <c r="CZ81" s="145">
        <f t="shared" si="255"/>
        <v>0</v>
      </c>
      <c r="DA81" s="145">
        <f t="shared" si="255"/>
        <v>0</v>
      </c>
      <c r="DB81" s="145">
        <f t="shared" si="255"/>
        <v>0</v>
      </c>
      <c r="DC81" s="145">
        <f t="shared" si="255"/>
        <v>0</v>
      </c>
      <c r="DD81" s="145">
        <f t="shared" si="255"/>
        <v>0</v>
      </c>
      <c r="DE81" s="146">
        <f t="shared" si="255"/>
        <v>0</v>
      </c>
      <c r="DF81" s="147">
        <f t="shared" si="77"/>
        <v>0</v>
      </c>
      <c r="DG81" s="146">
        <f>+DG79-DG80</f>
        <v>0</v>
      </c>
      <c r="DH81" s="98">
        <f t="shared" si="72"/>
        <v>0</v>
      </c>
      <c r="DI81" s="99">
        <f t="shared" si="73"/>
        <v>0</v>
      </c>
      <c r="DJ81" s="100">
        <f t="shared" si="74"/>
        <v>0</v>
      </c>
    </row>
    <row r="82" spans="1:117" ht="15" customHeight="1" outlineLevel="1">
      <c r="A82" s="607"/>
      <c r="B82" s="557" t="s">
        <v>207</v>
      </c>
      <c r="C82" s="246" t="s">
        <v>62</v>
      </c>
      <c r="D82" s="183" t="s">
        <v>122</v>
      </c>
      <c r="E82" s="153">
        <f>AF82+AS82+BF82+BS82+CF82+CS82+DF82+S82+DG82</f>
        <v>0</v>
      </c>
      <c r="F82" s="153"/>
      <c r="G82" s="154"/>
      <c r="H82" s="155"/>
      <c r="I82" s="155"/>
      <c r="J82" s="155"/>
      <c r="K82" s="155"/>
      <c r="L82" s="155"/>
      <c r="M82" s="155"/>
      <c r="N82" s="155"/>
      <c r="O82" s="155"/>
      <c r="P82" s="155"/>
      <c r="Q82" s="155"/>
      <c r="R82" s="284"/>
      <c r="S82" s="157">
        <f t="shared" si="187"/>
        <v>0</v>
      </c>
      <c r="T82" s="378"/>
      <c r="U82" s="382"/>
      <c r="V82" s="382"/>
      <c r="W82" s="382"/>
      <c r="X82" s="382"/>
      <c r="Y82" s="382"/>
      <c r="Z82" s="382"/>
      <c r="AA82" s="382"/>
      <c r="AB82" s="382"/>
      <c r="AC82" s="382"/>
      <c r="AD82" s="382"/>
      <c r="AE82" s="481"/>
      <c r="AF82" s="157">
        <f t="shared" si="222"/>
        <v>0</v>
      </c>
      <c r="AG82" s="500"/>
      <c r="AH82" s="513"/>
      <c r="AI82" s="513"/>
      <c r="AJ82" s="513"/>
      <c r="AK82" s="513"/>
      <c r="AL82" s="513"/>
      <c r="AM82" s="513"/>
      <c r="AN82" s="513"/>
      <c r="AO82" s="513"/>
      <c r="AP82" s="513"/>
      <c r="AQ82" s="513"/>
      <c r="AR82" s="512"/>
      <c r="AS82" s="409">
        <f t="shared" si="188"/>
        <v>0</v>
      </c>
      <c r="AT82" s="500"/>
      <c r="AU82" s="513"/>
      <c r="AV82" s="513"/>
      <c r="AW82" s="155"/>
      <c r="AX82" s="155"/>
      <c r="AY82" s="155"/>
      <c r="AZ82" s="155"/>
      <c r="BA82" s="155"/>
      <c r="BB82" s="155"/>
      <c r="BC82" s="155"/>
      <c r="BD82" s="155"/>
      <c r="BE82" s="285"/>
      <c r="BF82" s="157">
        <f t="shared" si="70"/>
        <v>0</v>
      </c>
      <c r="BG82" s="359"/>
      <c r="BH82" s="283"/>
      <c r="BI82" s="283"/>
      <c r="BJ82" s="283"/>
      <c r="BK82" s="283"/>
      <c r="BL82" s="283"/>
      <c r="BM82" s="283"/>
      <c r="BN82" s="283"/>
      <c r="BO82" s="283"/>
      <c r="BP82" s="283"/>
      <c r="BQ82" s="283"/>
      <c r="BR82" s="285"/>
      <c r="BS82" s="157">
        <f t="shared" si="71"/>
        <v>0</v>
      </c>
      <c r="BT82" s="359"/>
      <c r="BU82" s="283"/>
      <c r="BV82" s="283"/>
      <c r="BW82" s="283"/>
      <c r="BX82" s="283"/>
      <c r="BY82" s="283"/>
      <c r="BZ82" s="283"/>
      <c r="CA82" s="283"/>
      <c r="CB82" s="283"/>
      <c r="CC82" s="283"/>
      <c r="CD82" s="283"/>
      <c r="CE82" s="285"/>
      <c r="CF82" s="157">
        <f t="shared" si="75"/>
        <v>0</v>
      </c>
      <c r="CG82" s="359"/>
      <c r="CH82" s="283"/>
      <c r="CI82" s="283"/>
      <c r="CJ82" s="283"/>
      <c r="CK82" s="283"/>
      <c r="CL82" s="283"/>
      <c r="CM82" s="283"/>
      <c r="CN82" s="283"/>
      <c r="CO82" s="283"/>
      <c r="CP82" s="283"/>
      <c r="CQ82" s="283"/>
      <c r="CR82" s="285"/>
      <c r="CS82" s="157">
        <f t="shared" si="76"/>
        <v>0</v>
      </c>
      <c r="CT82" s="359"/>
      <c r="CU82" s="283"/>
      <c r="CV82" s="283"/>
      <c r="CW82" s="283"/>
      <c r="CX82" s="283"/>
      <c r="CY82" s="283"/>
      <c r="CZ82" s="283"/>
      <c r="DA82" s="283"/>
      <c r="DB82" s="283"/>
      <c r="DC82" s="283"/>
      <c r="DD82" s="283"/>
      <c r="DE82" s="285"/>
      <c r="DF82" s="157">
        <f t="shared" si="77"/>
        <v>0</v>
      </c>
      <c r="DG82" s="280"/>
      <c r="DH82" s="159">
        <f t="shared" si="72"/>
        <v>0</v>
      </c>
      <c r="DI82" s="160">
        <f t="shared" si="73"/>
        <v>0</v>
      </c>
      <c r="DJ82" s="161">
        <f t="shared" si="74"/>
        <v>0</v>
      </c>
      <c r="DM82" s="134">
        <f>AS82+BF82+BS82+CF82+CS82+DG82</f>
        <v>0</v>
      </c>
    </row>
    <row r="83" spans="1:117" ht="15" customHeight="1" outlineLevel="1">
      <c r="A83" s="607"/>
      <c r="B83" s="558"/>
      <c r="C83" s="245" t="s">
        <v>63</v>
      </c>
      <c r="D83" s="184" t="s">
        <v>124</v>
      </c>
      <c r="E83" s="136">
        <f>AF83+AS83+BF83+BS83+CF83+CS83+DF83+S83+DG83</f>
        <v>0</v>
      </c>
      <c r="F83" s="136"/>
      <c r="G83" s="137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9"/>
      <c r="S83" s="162">
        <f t="shared" si="187"/>
        <v>0</v>
      </c>
      <c r="T83" s="380"/>
      <c r="U83" s="381"/>
      <c r="V83" s="381"/>
      <c r="W83" s="381"/>
      <c r="X83" s="381"/>
      <c r="Y83" s="381"/>
      <c r="Z83" s="381"/>
      <c r="AA83" s="381"/>
      <c r="AB83" s="381"/>
      <c r="AC83" s="381"/>
      <c r="AD83" s="381"/>
      <c r="AE83" s="392"/>
      <c r="AF83" s="162">
        <f t="shared" si="222"/>
        <v>0</v>
      </c>
      <c r="AG83" s="501"/>
      <c r="AH83" s="499"/>
      <c r="AI83" s="499"/>
      <c r="AJ83" s="499"/>
      <c r="AK83" s="499"/>
      <c r="AL83" s="499"/>
      <c r="AM83" s="499"/>
      <c r="AN83" s="499"/>
      <c r="AO83" s="499"/>
      <c r="AP83" s="499"/>
      <c r="AQ83" s="499"/>
      <c r="AR83" s="511"/>
      <c r="AS83" s="410">
        <f t="shared" si="188"/>
        <v>0</v>
      </c>
      <c r="AT83" s="501"/>
      <c r="AU83" s="499"/>
      <c r="AV83" s="499"/>
      <c r="AW83" s="138"/>
      <c r="AX83" s="138"/>
      <c r="AY83" s="138"/>
      <c r="AZ83" s="138"/>
      <c r="BA83" s="138"/>
      <c r="BB83" s="138"/>
      <c r="BC83" s="138"/>
      <c r="BD83" s="138"/>
      <c r="BE83" s="338"/>
      <c r="BF83" s="162">
        <f t="shared" si="70"/>
        <v>0</v>
      </c>
      <c r="BG83" s="353"/>
      <c r="BH83" s="253"/>
      <c r="BI83" s="253"/>
      <c r="BJ83" s="253"/>
      <c r="BK83" s="253"/>
      <c r="BL83" s="253"/>
      <c r="BM83" s="253"/>
      <c r="BN83" s="253"/>
      <c r="BO83" s="253"/>
      <c r="BP83" s="253"/>
      <c r="BQ83" s="253"/>
      <c r="BR83" s="338"/>
      <c r="BS83" s="162">
        <f t="shared" si="71"/>
        <v>0</v>
      </c>
      <c r="BT83" s="353"/>
      <c r="BU83" s="253"/>
      <c r="BV83" s="253"/>
      <c r="BW83" s="253"/>
      <c r="BX83" s="253"/>
      <c r="BY83" s="253"/>
      <c r="BZ83" s="253"/>
      <c r="CA83" s="253"/>
      <c r="CB83" s="253"/>
      <c r="CC83" s="253"/>
      <c r="CD83" s="253"/>
      <c r="CE83" s="338"/>
      <c r="CF83" s="162">
        <f t="shared" si="75"/>
        <v>0</v>
      </c>
      <c r="CG83" s="353"/>
      <c r="CH83" s="353"/>
      <c r="CI83" s="353"/>
      <c r="CJ83" s="353"/>
      <c r="CK83" s="353"/>
      <c r="CL83" s="253"/>
      <c r="CM83" s="253"/>
      <c r="CN83" s="253"/>
      <c r="CO83" s="253"/>
      <c r="CP83" s="253"/>
      <c r="CQ83" s="253"/>
      <c r="CR83" s="338"/>
      <c r="CS83" s="162">
        <f t="shared" si="76"/>
        <v>0</v>
      </c>
      <c r="CT83" s="353"/>
      <c r="CU83" s="353"/>
      <c r="CV83" s="353"/>
      <c r="CW83" s="353"/>
      <c r="CX83" s="353"/>
      <c r="CY83" s="253"/>
      <c r="CZ83" s="253"/>
      <c r="DA83" s="253"/>
      <c r="DB83" s="253"/>
      <c r="DC83" s="253"/>
      <c r="DD83" s="253"/>
      <c r="DE83" s="338"/>
      <c r="DF83" s="162">
        <f t="shared" si="77"/>
        <v>0</v>
      </c>
      <c r="DG83" s="279"/>
      <c r="DH83" s="90">
        <f t="shared" si="72"/>
        <v>0</v>
      </c>
      <c r="DI83" s="91">
        <f t="shared" si="73"/>
        <v>0</v>
      </c>
      <c r="DJ83" s="92">
        <f t="shared" si="74"/>
        <v>0</v>
      </c>
      <c r="DK83" s="64" t="e">
        <f>+DH83/DH82</f>
        <v>#DIV/0!</v>
      </c>
      <c r="DM83" s="134">
        <f>AS83+BF83+BS83+CF83+CS83+DG83</f>
        <v>0</v>
      </c>
    </row>
    <row r="84" spans="1:117" ht="15" customHeight="1" outlineLevel="1">
      <c r="A84" s="607"/>
      <c r="B84" s="559"/>
      <c r="C84" s="357" t="s">
        <v>11</v>
      </c>
      <c r="D84" s="358"/>
      <c r="E84" s="143">
        <f t="shared" ref="E84:R84" si="256">+E82-E83</f>
        <v>0</v>
      </c>
      <c r="F84" s="144">
        <f t="shared" si="256"/>
        <v>0</v>
      </c>
      <c r="G84" s="145">
        <f t="shared" si="256"/>
        <v>0</v>
      </c>
      <c r="H84" s="145">
        <f t="shared" si="256"/>
        <v>0</v>
      </c>
      <c r="I84" s="145">
        <f t="shared" si="256"/>
        <v>0</v>
      </c>
      <c r="J84" s="145">
        <f t="shared" si="256"/>
        <v>0</v>
      </c>
      <c r="K84" s="145">
        <f t="shared" si="256"/>
        <v>0</v>
      </c>
      <c r="L84" s="145">
        <f t="shared" si="256"/>
        <v>0</v>
      </c>
      <c r="M84" s="145">
        <f t="shared" si="256"/>
        <v>0</v>
      </c>
      <c r="N84" s="145">
        <f t="shared" si="256"/>
        <v>0</v>
      </c>
      <c r="O84" s="145">
        <f t="shared" si="256"/>
        <v>0</v>
      </c>
      <c r="P84" s="145">
        <f t="shared" si="256"/>
        <v>0</v>
      </c>
      <c r="Q84" s="145">
        <f t="shared" si="256"/>
        <v>0</v>
      </c>
      <c r="R84" s="146">
        <f t="shared" si="256"/>
        <v>0</v>
      </c>
      <c r="S84" s="147">
        <f t="shared" si="187"/>
        <v>0</v>
      </c>
      <c r="T84" s="148">
        <f t="shared" ref="T84:AE84" si="257">+T82-T83</f>
        <v>0</v>
      </c>
      <c r="U84" s="145">
        <f t="shared" si="257"/>
        <v>0</v>
      </c>
      <c r="V84" s="145">
        <f t="shared" si="257"/>
        <v>0</v>
      </c>
      <c r="W84" s="145">
        <f t="shared" si="257"/>
        <v>0</v>
      </c>
      <c r="X84" s="145">
        <f t="shared" si="257"/>
        <v>0</v>
      </c>
      <c r="Y84" s="145">
        <f t="shared" si="257"/>
        <v>0</v>
      </c>
      <c r="Z84" s="145">
        <f t="shared" si="257"/>
        <v>0</v>
      </c>
      <c r="AA84" s="145">
        <f t="shared" si="257"/>
        <v>0</v>
      </c>
      <c r="AB84" s="145">
        <f t="shared" si="257"/>
        <v>0</v>
      </c>
      <c r="AC84" s="145">
        <f t="shared" si="257"/>
        <v>0</v>
      </c>
      <c r="AD84" s="145">
        <f t="shared" si="257"/>
        <v>0</v>
      </c>
      <c r="AE84" s="146">
        <f t="shared" si="257"/>
        <v>0</v>
      </c>
      <c r="AF84" s="147">
        <f t="shared" si="222"/>
        <v>0</v>
      </c>
      <c r="AG84" s="148">
        <f t="shared" ref="AG84:AR84" si="258">+AG82-AG83</f>
        <v>0</v>
      </c>
      <c r="AH84" s="145">
        <f t="shared" si="258"/>
        <v>0</v>
      </c>
      <c r="AI84" s="145">
        <f t="shared" si="258"/>
        <v>0</v>
      </c>
      <c r="AJ84" s="145">
        <f t="shared" si="258"/>
        <v>0</v>
      </c>
      <c r="AK84" s="145">
        <f t="shared" si="258"/>
        <v>0</v>
      </c>
      <c r="AL84" s="145">
        <f t="shared" si="258"/>
        <v>0</v>
      </c>
      <c r="AM84" s="145">
        <f t="shared" si="258"/>
        <v>0</v>
      </c>
      <c r="AN84" s="145">
        <f t="shared" si="258"/>
        <v>0</v>
      </c>
      <c r="AO84" s="145">
        <f t="shared" si="258"/>
        <v>0</v>
      </c>
      <c r="AP84" s="145">
        <f t="shared" si="258"/>
        <v>0</v>
      </c>
      <c r="AQ84" s="145">
        <f t="shared" si="258"/>
        <v>0</v>
      </c>
      <c r="AR84" s="146">
        <f t="shared" si="258"/>
        <v>0</v>
      </c>
      <c r="AS84" s="408">
        <f t="shared" si="188"/>
        <v>0</v>
      </c>
      <c r="AT84" s="148">
        <f t="shared" ref="AT84:BE84" si="259">+AT82-AT83</f>
        <v>0</v>
      </c>
      <c r="AU84" s="145">
        <f t="shared" si="259"/>
        <v>0</v>
      </c>
      <c r="AV84" s="145">
        <f t="shared" si="259"/>
        <v>0</v>
      </c>
      <c r="AW84" s="145">
        <f t="shared" si="259"/>
        <v>0</v>
      </c>
      <c r="AX84" s="145">
        <f t="shared" si="259"/>
        <v>0</v>
      </c>
      <c r="AY84" s="145">
        <f t="shared" si="259"/>
        <v>0</v>
      </c>
      <c r="AZ84" s="145">
        <f t="shared" si="259"/>
        <v>0</v>
      </c>
      <c r="BA84" s="145">
        <f t="shared" si="259"/>
        <v>0</v>
      </c>
      <c r="BB84" s="145">
        <f t="shared" si="259"/>
        <v>0</v>
      </c>
      <c r="BC84" s="145">
        <f t="shared" si="259"/>
        <v>0</v>
      </c>
      <c r="BD84" s="145">
        <f t="shared" si="259"/>
        <v>0</v>
      </c>
      <c r="BE84" s="146">
        <f t="shared" si="259"/>
        <v>0</v>
      </c>
      <c r="BF84" s="147">
        <f t="shared" si="70"/>
        <v>0</v>
      </c>
      <c r="BG84" s="148">
        <f t="shared" ref="BG84:BR84" si="260">+BG82-BG83</f>
        <v>0</v>
      </c>
      <c r="BH84" s="145">
        <f t="shared" si="260"/>
        <v>0</v>
      </c>
      <c r="BI84" s="145">
        <f t="shared" si="260"/>
        <v>0</v>
      </c>
      <c r="BJ84" s="145">
        <f t="shared" si="260"/>
        <v>0</v>
      </c>
      <c r="BK84" s="145">
        <f t="shared" si="260"/>
        <v>0</v>
      </c>
      <c r="BL84" s="145">
        <f t="shared" si="260"/>
        <v>0</v>
      </c>
      <c r="BM84" s="145">
        <f t="shared" si="260"/>
        <v>0</v>
      </c>
      <c r="BN84" s="145">
        <f t="shared" si="260"/>
        <v>0</v>
      </c>
      <c r="BO84" s="145">
        <f t="shared" si="260"/>
        <v>0</v>
      </c>
      <c r="BP84" s="145">
        <f t="shared" si="260"/>
        <v>0</v>
      </c>
      <c r="BQ84" s="145">
        <f t="shared" si="260"/>
        <v>0</v>
      </c>
      <c r="BR84" s="146">
        <f t="shared" si="260"/>
        <v>0</v>
      </c>
      <c r="BS84" s="147">
        <f t="shared" si="71"/>
        <v>0</v>
      </c>
      <c r="BT84" s="148">
        <f t="shared" ref="BT84:CE84" si="261">+BT82-BT83</f>
        <v>0</v>
      </c>
      <c r="BU84" s="145">
        <f t="shared" si="261"/>
        <v>0</v>
      </c>
      <c r="BV84" s="145">
        <f t="shared" si="261"/>
        <v>0</v>
      </c>
      <c r="BW84" s="145">
        <f t="shared" si="261"/>
        <v>0</v>
      </c>
      <c r="BX84" s="145">
        <f t="shared" si="261"/>
        <v>0</v>
      </c>
      <c r="BY84" s="145">
        <f t="shared" si="261"/>
        <v>0</v>
      </c>
      <c r="BZ84" s="145">
        <f t="shared" si="261"/>
        <v>0</v>
      </c>
      <c r="CA84" s="145">
        <f t="shared" si="261"/>
        <v>0</v>
      </c>
      <c r="CB84" s="145">
        <f t="shared" si="261"/>
        <v>0</v>
      </c>
      <c r="CC84" s="145">
        <f t="shared" si="261"/>
        <v>0</v>
      </c>
      <c r="CD84" s="145">
        <f t="shared" si="261"/>
        <v>0</v>
      </c>
      <c r="CE84" s="146">
        <f t="shared" si="261"/>
        <v>0</v>
      </c>
      <c r="CF84" s="147">
        <f t="shared" si="75"/>
        <v>0</v>
      </c>
      <c r="CG84" s="148">
        <f t="shared" ref="CG84:CR84" si="262">+CG82-CG83</f>
        <v>0</v>
      </c>
      <c r="CH84" s="145">
        <f t="shared" si="262"/>
        <v>0</v>
      </c>
      <c r="CI84" s="145">
        <f t="shared" si="262"/>
        <v>0</v>
      </c>
      <c r="CJ84" s="145">
        <f t="shared" si="262"/>
        <v>0</v>
      </c>
      <c r="CK84" s="145">
        <f t="shared" si="262"/>
        <v>0</v>
      </c>
      <c r="CL84" s="145">
        <f t="shared" si="262"/>
        <v>0</v>
      </c>
      <c r="CM84" s="145">
        <f t="shared" si="262"/>
        <v>0</v>
      </c>
      <c r="CN84" s="145">
        <f t="shared" si="262"/>
        <v>0</v>
      </c>
      <c r="CO84" s="145">
        <f t="shared" si="262"/>
        <v>0</v>
      </c>
      <c r="CP84" s="145">
        <f t="shared" si="262"/>
        <v>0</v>
      </c>
      <c r="CQ84" s="145">
        <f t="shared" si="262"/>
        <v>0</v>
      </c>
      <c r="CR84" s="146">
        <f t="shared" si="262"/>
        <v>0</v>
      </c>
      <c r="CS84" s="147">
        <f t="shared" si="76"/>
        <v>0</v>
      </c>
      <c r="CT84" s="148">
        <f t="shared" ref="CT84:DE84" si="263">+CT82-CT83</f>
        <v>0</v>
      </c>
      <c r="CU84" s="145">
        <f t="shared" si="263"/>
        <v>0</v>
      </c>
      <c r="CV84" s="145">
        <f t="shared" si="263"/>
        <v>0</v>
      </c>
      <c r="CW84" s="145">
        <f t="shared" si="263"/>
        <v>0</v>
      </c>
      <c r="CX84" s="145">
        <f t="shared" si="263"/>
        <v>0</v>
      </c>
      <c r="CY84" s="145">
        <f t="shared" si="263"/>
        <v>0</v>
      </c>
      <c r="CZ84" s="145">
        <f t="shared" si="263"/>
        <v>0</v>
      </c>
      <c r="DA84" s="145">
        <f t="shared" si="263"/>
        <v>0</v>
      </c>
      <c r="DB84" s="145">
        <f t="shared" si="263"/>
        <v>0</v>
      </c>
      <c r="DC84" s="145">
        <f t="shared" si="263"/>
        <v>0</v>
      </c>
      <c r="DD84" s="145">
        <f t="shared" si="263"/>
        <v>0</v>
      </c>
      <c r="DE84" s="146">
        <f t="shared" si="263"/>
        <v>0</v>
      </c>
      <c r="DF84" s="147">
        <f t="shared" si="77"/>
        <v>0</v>
      </c>
      <c r="DG84" s="146">
        <f>+DG82-DG83</f>
        <v>0</v>
      </c>
      <c r="DH84" s="98">
        <f t="shared" si="72"/>
        <v>0</v>
      </c>
      <c r="DI84" s="99">
        <f t="shared" si="73"/>
        <v>0</v>
      </c>
      <c r="DJ84" s="100">
        <f t="shared" si="74"/>
        <v>0</v>
      </c>
    </row>
    <row r="85" spans="1:117" ht="15" customHeight="1" outlineLevel="1">
      <c r="A85" s="607"/>
      <c r="B85" s="557" t="s">
        <v>208</v>
      </c>
      <c r="C85" s="246" t="s">
        <v>62</v>
      </c>
      <c r="D85" s="183" t="s">
        <v>122</v>
      </c>
      <c r="E85" s="153">
        <f>AF85+AS85+BF85+BS85+CF85+CS85+DF85+S85+DG85</f>
        <v>0</v>
      </c>
      <c r="F85" s="153"/>
      <c r="G85" s="154"/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284"/>
      <c r="S85" s="157">
        <f t="shared" si="187"/>
        <v>0</v>
      </c>
      <c r="T85" s="378"/>
      <c r="U85" s="382"/>
      <c r="V85" s="382"/>
      <c r="W85" s="382"/>
      <c r="X85" s="382"/>
      <c r="Y85" s="382"/>
      <c r="Z85" s="382"/>
      <c r="AA85" s="382"/>
      <c r="AB85" s="382"/>
      <c r="AC85" s="382"/>
      <c r="AD85" s="382"/>
      <c r="AE85" s="481"/>
      <c r="AF85" s="157">
        <f t="shared" ref="AF85:AF90" si="264">SUM(T85:AE85)</f>
        <v>0</v>
      </c>
      <c r="AG85" s="500"/>
      <c r="AH85" s="513"/>
      <c r="AI85" s="513"/>
      <c r="AJ85" s="513"/>
      <c r="AK85" s="513"/>
      <c r="AL85" s="513"/>
      <c r="AM85" s="513"/>
      <c r="AN85" s="513"/>
      <c r="AO85" s="513"/>
      <c r="AP85" s="513"/>
      <c r="AQ85" s="513"/>
      <c r="AR85" s="512"/>
      <c r="AS85" s="409">
        <f t="shared" si="188"/>
        <v>0</v>
      </c>
      <c r="AT85" s="500"/>
      <c r="AU85" s="513"/>
      <c r="AV85" s="513"/>
      <c r="AW85" s="155"/>
      <c r="AX85" s="155"/>
      <c r="AY85" s="155"/>
      <c r="AZ85" s="155"/>
      <c r="BA85" s="155"/>
      <c r="BB85" s="155"/>
      <c r="BC85" s="155"/>
      <c r="BD85" s="155"/>
      <c r="BE85" s="156"/>
      <c r="BF85" s="157">
        <f t="shared" si="70"/>
        <v>0</v>
      </c>
      <c r="BG85" s="158"/>
      <c r="BH85" s="155"/>
      <c r="BI85" s="155"/>
      <c r="BJ85" s="155"/>
      <c r="BK85" s="155"/>
      <c r="BL85" s="155"/>
      <c r="BM85" s="155"/>
      <c r="BN85" s="155"/>
      <c r="BO85" s="155"/>
      <c r="BP85" s="155"/>
      <c r="BQ85" s="155"/>
      <c r="BR85" s="156"/>
      <c r="BS85" s="157">
        <f t="shared" si="71"/>
        <v>0</v>
      </c>
      <c r="BT85" s="158"/>
      <c r="BU85" s="155"/>
      <c r="BV85" s="155"/>
      <c r="BW85" s="155"/>
      <c r="BX85" s="155"/>
      <c r="BY85" s="155"/>
      <c r="BZ85" s="155"/>
      <c r="CA85" s="155"/>
      <c r="CB85" s="155"/>
      <c r="CC85" s="155"/>
      <c r="CD85" s="155"/>
      <c r="CE85" s="156"/>
      <c r="CF85" s="157">
        <f t="shared" si="75"/>
        <v>0</v>
      </c>
      <c r="CG85" s="158"/>
      <c r="CH85" s="155"/>
      <c r="CI85" s="155"/>
      <c r="CJ85" s="155"/>
      <c r="CK85" s="155"/>
      <c r="CL85" s="155"/>
      <c r="CM85" s="155"/>
      <c r="CN85" s="155"/>
      <c r="CO85" s="155"/>
      <c r="CP85" s="155"/>
      <c r="CQ85" s="155"/>
      <c r="CR85" s="156"/>
      <c r="CS85" s="157">
        <f t="shared" si="76"/>
        <v>0</v>
      </c>
      <c r="CT85" s="158"/>
      <c r="CU85" s="155"/>
      <c r="CV85" s="155"/>
      <c r="CW85" s="155"/>
      <c r="CX85" s="155"/>
      <c r="CY85" s="155"/>
      <c r="CZ85" s="155"/>
      <c r="DA85" s="155"/>
      <c r="DB85" s="155"/>
      <c r="DC85" s="155"/>
      <c r="DD85" s="155"/>
      <c r="DE85" s="156"/>
      <c r="DF85" s="157">
        <f t="shared" si="77"/>
        <v>0</v>
      </c>
      <c r="DG85" s="280"/>
      <c r="DH85" s="159">
        <f t="shared" si="72"/>
        <v>0</v>
      </c>
      <c r="DI85" s="160">
        <f t="shared" si="73"/>
        <v>0</v>
      </c>
      <c r="DJ85" s="161">
        <f t="shared" si="74"/>
        <v>0</v>
      </c>
      <c r="DM85" s="134">
        <f>AS85+BF85+BS85+CF85+CS85+DG85</f>
        <v>0</v>
      </c>
    </row>
    <row r="86" spans="1:117" ht="15" customHeight="1" outlineLevel="1">
      <c r="A86" s="607"/>
      <c r="B86" s="558"/>
      <c r="C86" s="245" t="s">
        <v>63</v>
      </c>
      <c r="D86" s="184" t="s">
        <v>124</v>
      </c>
      <c r="E86" s="136">
        <f>AF86+AS86+BF86+BS86+CF86+CS86+DF86+S86+DG86</f>
        <v>0</v>
      </c>
      <c r="F86" s="136"/>
      <c r="G86" s="137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9"/>
      <c r="S86" s="162">
        <f t="shared" si="187"/>
        <v>0</v>
      </c>
      <c r="T86" s="380"/>
      <c r="U86" s="381"/>
      <c r="V86" s="381"/>
      <c r="W86" s="381"/>
      <c r="X86" s="381"/>
      <c r="Y86" s="381"/>
      <c r="Z86" s="381"/>
      <c r="AA86" s="381"/>
      <c r="AB86" s="381"/>
      <c r="AC86" s="381"/>
      <c r="AD86" s="381"/>
      <c r="AE86" s="392"/>
      <c r="AF86" s="162">
        <f t="shared" si="264"/>
        <v>0</v>
      </c>
      <c r="AG86" s="501"/>
      <c r="AH86" s="499"/>
      <c r="AI86" s="499"/>
      <c r="AJ86" s="499"/>
      <c r="AK86" s="499"/>
      <c r="AL86" s="499"/>
      <c r="AM86" s="499"/>
      <c r="AN86" s="499"/>
      <c r="AO86" s="499"/>
      <c r="AP86" s="499"/>
      <c r="AQ86" s="499"/>
      <c r="AR86" s="511"/>
      <c r="AS86" s="410">
        <f t="shared" si="188"/>
        <v>0</v>
      </c>
      <c r="AT86" s="501"/>
      <c r="AU86" s="499"/>
      <c r="AV86" s="499"/>
      <c r="AW86" s="138"/>
      <c r="AX86" s="138"/>
      <c r="AY86" s="138"/>
      <c r="AZ86" s="138"/>
      <c r="BA86" s="138"/>
      <c r="BB86" s="138"/>
      <c r="BC86" s="138"/>
      <c r="BD86" s="138"/>
      <c r="BE86" s="139"/>
      <c r="BF86" s="162">
        <f t="shared" si="70"/>
        <v>0</v>
      </c>
      <c r="BG86" s="141"/>
      <c r="BH86" s="138"/>
      <c r="BI86" s="138"/>
      <c r="BJ86" s="138"/>
      <c r="BK86" s="138"/>
      <c r="BL86" s="138"/>
      <c r="BM86" s="138"/>
      <c r="BN86" s="138"/>
      <c r="BO86" s="138"/>
      <c r="BP86" s="138"/>
      <c r="BQ86" s="138"/>
      <c r="BR86" s="139"/>
      <c r="BS86" s="162">
        <f t="shared" si="71"/>
        <v>0</v>
      </c>
      <c r="BT86" s="141"/>
      <c r="BU86" s="138"/>
      <c r="BV86" s="138"/>
      <c r="BW86" s="138"/>
      <c r="BX86" s="138"/>
      <c r="BY86" s="138"/>
      <c r="BZ86" s="138"/>
      <c r="CA86" s="138"/>
      <c r="CB86" s="138"/>
      <c r="CC86" s="138"/>
      <c r="CD86" s="138"/>
      <c r="CE86" s="139"/>
      <c r="CF86" s="162">
        <f t="shared" si="75"/>
        <v>0</v>
      </c>
      <c r="CG86" s="141"/>
      <c r="CH86" s="138"/>
      <c r="CI86" s="138"/>
      <c r="CJ86" s="138"/>
      <c r="CK86" s="138"/>
      <c r="CL86" s="138"/>
      <c r="CM86" s="138"/>
      <c r="CN86" s="138"/>
      <c r="CO86" s="138"/>
      <c r="CP86" s="138"/>
      <c r="CQ86" s="138"/>
      <c r="CR86" s="139"/>
      <c r="CS86" s="162">
        <f t="shared" si="76"/>
        <v>0</v>
      </c>
      <c r="CT86" s="141"/>
      <c r="CU86" s="138"/>
      <c r="CV86" s="138"/>
      <c r="CW86" s="138"/>
      <c r="CX86" s="138"/>
      <c r="CY86" s="138"/>
      <c r="CZ86" s="138"/>
      <c r="DA86" s="138"/>
      <c r="DB86" s="138"/>
      <c r="DC86" s="138"/>
      <c r="DD86" s="138"/>
      <c r="DE86" s="139"/>
      <c r="DF86" s="162">
        <f t="shared" si="77"/>
        <v>0</v>
      </c>
      <c r="DG86" s="279"/>
      <c r="DH86" s="90">
        <f t="shared" si="72"/>
        <v>0</v>
      </c>
      <c r="DI86" s="91">
        <f t="shared" si="73"/>
        <v>0</v>
      </c>
      <c r="DJ86" s="92">
        <f t="shared" si="74"/>
        <v>0</v>
      </c>
      <c r="DK86" s="64" t="e">
        <f>+DH86/DH85</f>
        <v>#DIV/0!</v>
      </c>
      <c r="DM86" s="134">
        <f>AS86+BF86+BS86+CF86+CS86+DG86</f>
        <v>0</v>
      </c>
    </row>
    <row r="87" spans="1:117" ht="15" customHeight="1" outlineLevel="1">
      <c r="A87" s="607"/>
      <c r="B87" s="559"/>
      <c r="C87" s="357" t="s">
        <v>11</v>
      </c>
      <c r="D87" s="358"/>
      <c r="E87" s="143">
        <f t="shared" ref="E87:R87" si="265">+E85-E86</f>
        <v>0</v>
      </c>
      <c r="F87" s="144">
        <f t="shared" si="265"/>
        <v>0</v>
      </c>
      <c r="G87" s="145">
        <f t="shared" si="265"/>
        <v>0</v>
      </c>
      <c r="H87" s="145">
        <f t="shared" si="265"/>
        <v>0</v>
      </c>
      <c r="I87" s="145">
        <f t="shared" si="265"/>
        <v>0</v>
      </c>
      <c r="J87" s="145">
        <f t="shared" si="265"/>
        <v>0</v>
      </c>
      <c r="K87" s="145">
        <f t="shared" si="265"/>
        <v>0</v>
      </c>
      <c r="L87" s="145">
        <f t="shared" si="265"/>
        <v>0</v>
      </c>
      <c r="M87" s="145">
        <f t="shared" si="265"/>
        <v>0</v>
      </c>
      <c r="N87" s="145">
        <f t="shared" si="265"/>
        <v>0</v>
      </c>
      <c r="O87" s="145">
        <f t="shared" si="265"/>
        <v>0</v>
      </c>
      <c r="P87" s="145">
        <f t="shared" si="265"/>
        <v>0</v>
      </c>
      <c r="Q87" s="145">
        <f t="shared" si="265"/>
        <v>0</v>
      </c>
      <c r="R87" s="146">
        <f t="shared" si="265"/>
        <v>0</v>
      </c>
      <c r="S87" s="147">
        <f t="shared" si="187"/>
        <v>0</v>
      </c>
      <c r="T87" s="148">
        <f t="shared" ref="T87:AE87" si="266">+T85-T86</f>
        <v>0</v>
      </c>
      <c r="U87" s="145">
        <f t="shared" si="266"/>
        <v>0</v>
      </c>
      <c r="V87" s="145">
        <f t="shared" si="266"/>
        <v>0</v>
      </c>
      <c r="W87" s="145">
        <f t="shared" si="266"/>
        <v>0</v>
      </c>
      <c r="X87" s="145">
        <f t="shared" si="266"/>
        <v>0</v>
      </c>
      <c r="Y87" s="145">
        <f t="shared" si="266"/>
        <v>0</v>
      </c>
      <c r="Z87" s="145">
        <f t="shared" si="266"/>
        <v>0</v>
      </c>
      <c r="AA87" s="145">
        <f t="shared" si="266"/>
        <v>0</v>
      </c>
      <c r="AB87" s="145">
        <f t="shared" si="266"/>
        <v>0</v>
      </c>
      <c r="AC87" s="145">
        <f t="shared" si="266"/>
        <v>0</v>
      </c>
      <c r="AD87" s="145">
        <f t="shared" si="266"/>
        <v>0</v>
      </c>
      <c r="AE87" s="146">
        <f t="shared" si="266"/>
        <v>0</v>
      </c>
      <c r="AF87" s="147">
        <f t="shared" si="264"/>
        <v>0</v>
      </c>
      <c r="AG87" s="148">
        <f t="shared" ref="AG87:AR87" si="267">+AG85-AG86</f>
        <v>0</v>
      </c>
      <c r="AH87" s="145">
        <f t="shared" si="267"/>
        <v>0</v>
      </c>
      <c r="AI87" s="145">
        <f t="shared" si="267"/>
        <v>0</v>
      </c>
      <c r="AJ87" s="145">
        <f t="shared" si="267"/>
        <v>0</v>
      </c>
      <c r="AK87" s="145">
        <f t="shared" si="267"/>
        <v>0</v>
      </c>
      <c r="AL87" s="145">
        <f t="shared" si="267"/>
        <v>0</v>
      </c>
      <c r="AM87" s="145">
        <f t="shared" si="267"/>
        <v>0</v>
      </c>
      <c r="AN87" s="145">
        <f t="shared" si="267"/>
        <v>0</v>
      </c>
      <c r="AO87" s="145">
        <f t="shared" si="267"/>
        <v>0</v>
      </c>
      <c r="AP87" s="145">
        <f t="shared" si="267"/>
        <v>0</v>
      </c>
      <c r="AQ87" s="145">
        <f t="shared" si="267"/>
        <v>0</v>
      </c>
      <c r="AR87" s="146">
        <f t="shared" si="267"/>
        <v>0</v>
      </c>
      <c r="AS87" s="408">
        <f t="shared" si="188"/>
        <v>0</v>
      </c>
      <c r="AT87" s="148">
        <f t="shared" ref="AT87:BE87" si="268">+AT85-AT86</f>
        <v>0</v>
      </c>
      <c r="AU87" s="145">
        <f t="shared" si="268"/>
        <v>0</v>
      </c>
      <c r="AV87" s="145">
        <f t="shared" si="268"/>
        <v>0</v>
      </c>
      <c r="AW87" s="145">
        <f t="shared" si="268"/>
        <v>0</v>
      </c>
      <c r="AX87" s="145">
        <f t="shared" si="268"/>
        <v>0</v>
      </c>
      <c r="AY87" s="145">
        <f t="shared" si="268"/>
        <v>0</v>
      </c>
      <c r="AZ87" s="145">
        <f t="shared" si="268"/>
        <v>0</v>
      </c>
      <c r="BA87" s="145">
        <f t="shared" si="268"/>
        <v>0</v>
      </c>
      <c r="BB87" s="145">
        <f t="shared" si="268"/>
        <v>0</v>
      </c>
      <c r="BC87" s="145">
        <f t="shared" si="268"/>
        <v>0</v>
      </c>
      <c r="BD87" s="145">
        <f t="shared" si="268"/>
        <v>0</v>
      </c>
      <c r="BE87" s="146">
        <f t="shared" si="268"/>
        <v>0</v>
      </c>
      <c r="BF87" s="147">
        <f t="shared" si="70"/>
        <v>0</v>
      </c>
      <c r="BG87" s="148">
        <f t="shared" ref="BG87:BR87" si="269">+BG85-BG86</f>
        <v>0</v>
      </c>
      <c r="BH87" s="145">
        <f t="shared" si="269"/>
        <v>0</v>
      </c>
      <c r="BI87" s="145">
        <f t="shared" si="269"/>
        <v>0</v>
      </c>
      <c r="BJ87" s="145">
        <f t="shared" si="269"/>
        <v>0</v>
      </c>
      <c r="BK87" s="145">
        <f t="shared" si="269"/>
        <v>0</v>
      </c>
      <c r="BL87" s="145">
        <f t="shared" si="269"/>
        <v>0</v>
      </c>
      <c r="BM87" s="145">
        <f t="shared" si="269"/>
        <v>0</v>
      </c>
      <c r="BN87" s="145">
        <f t="shared" si="269"/>
        <v>0</v>
      </c>
      <c r="BO87" s="145">
        <f t="shared" si="269"/>
        <v>0</v>
      </c>
      <c r="BP87" s="145">
        <f t="shared" si="269"/>
        <v>0</v>
      </c>
      <c r="BQ87" s="145">
        <f t="shared" si="269"/>
        <v>0</v>
      </c>
      <c r="BR87" s="146">
        <f t="shared" si="269"/>
        <v>0</v>
      </c>
      <c r="BS87" s="147">
        <f t="shared" si="71"/>
        <v>0</v>
      </c>
      <c r="BT87" s="148">
        <f t="shared" ref="BT87:CE87" si="270">+BT85-BT86</f>
        <v>0</v>
      </c>
      <c r="BU87" s="145">
        <f t="shared" si="270"/>
        <v>0</v>
      </c>
      <c r="BV87" s="145">
        <f t="shared" si="270"/>
        <v>0</v>
      </c>
      <c r="BW87" s="145">
        <f t="shared" si="270"/>
        <v>0</v>
      </c>
      <c r="BX87" s="145">
        <f t="shared" si="270"/>
        <v>0</v>
      </c>
      <c r="BY87" s="145">
        <f t="shared" si="270"/>
        <v>0</v>
      </c>
      <c r="BZ87" s="145">
        <f t="shared" si="270"/>
        <v>0</v>
      </c>
      <c r="CA87" s="145">
        <f t="shared" si="270"/>
        <v>0</v>
      </c>
      <c r="CB87" s="145">
        <f t="shared" si="270"/>
        <v>0</v>
      </c>
      <c r="CC87" s="145">
        <f t="shared" si="270"/>
        <v>0</v>
      </c>
      <c r="CD87" s="145">
        <f t="shared" si="270"/>
        <v>0</v>
      </c>
      <c r="CE87" s="146">
        <f t="shared" si="270"/>
        <v>0</v>
      </c>
      <c r="CF87" s="147">
        <f t="shared" si="75"/>
        <v>0</v>
      </c>
      <c r="CG87" s="148">
        <f t="shared" ref="CG87:CR87" si="271">+CG85-CG86</f>
        <v>0</v>
      </c>
      <c r="CH87" s="145">
        <f t="shared" si="271"/>
        <v>0</v>
      </c>
      <c r="CI87" s="145">
        <f t="shared" si="271"/>
        <v>0</v>
      </c>
      <c r="CJ87" s="145">
        <f t="shared" si="271"/>
        <v>0</v>
      </c>
      <c r="CK87" s="145">
        <f t="shared" si="271"/>
        <v>0</v>
      </c>
      <c r="CL87" s="145">
        <f t="shared" si="271"/>
        <v>0</v>
      </c>
      <c r="CM87" s="145">
        <f t="shared" si="271"/>
        <v>0</v>
      </c>
      <c r="CN87" s="145">
        <f t="shared" si="271"/>
        <v>0</v>
      </c>
      <c r="CO87" s="145">
        <f t="shared" si="271"/>
        <v>0</v>
      </c>
      <c r="CP87" s="145">
        <f t="shared" si="271"/>
        <v>0</v>
      </c>
      <c r="CQ87" s="145">
        <f t="shared" si="271"/>
        <v>0</v>
      </c>
      <c r="CR87" s="146">
        <f t="shared" si="271"/>
        <v>0</v>
      </c>
      <c r="CS87" s="147">
        <f t="shared" si="76"/>
        <v>0</v>
      </c>
      <c r="CT87" s="148">
        <f t="shared" ref="CT87:DE87" si="272">+CT85-CT86</f>
        <v>0</v>
      </c>
      <c r="CU87" s="145">
        <f t="shared" si="272"/>
        <v>0</v>
      </c>
      <c r="CV87" s="145">
        <f t="shared" si="272"/>
        <v>0</v>
      </c>
      <c r="CW87" s="145">
        <f t="shared" si="272"/>
        <v>0</v>
      </c>
      <c r="CX87" s="145">
        <f t="shared" si="272"/>
        <v>0</v>
      </c>
      <c r="CY87" s="145">
        <f t="shared" si="272"/>
        <v>0</v>
      </c>
      <c r="CZ87" s="145">
        <f t="shared" si="272"/>
        <v>0</v>
      </c>
      <c r="DA87" s="145">
        <f t="shared" si="272"/>
        <v>0</v>
      </c>
      <c r="DB87" s="145">
        <f t="shared" si="272"/>
        <v>0</v>
      </c>
      <c r="DC87" s="145">
        <f t="shared" si="272"/>
        <v>0</v>
      </c>
      <c r="DD87" s="145">
        <f t="shared" si="272"/>
        <v>0</v>
      </c>
      <c r="DE87" s="146">
        <f t="shared" si="272"/>
        <v>0</v>
      </c>
      <c r="DF87" s="147">
        <f t="shared" si="77"/>
        <v>0</v>
      </c>
      <c r="DG87" s="146">
        <f>+DG85-DG86</f>
        <v>0</v>
      </c>
      <c r="DH87" s="98">
        <f t="shared" si="72"/>
        <v>0</v>
      </c>
      <c r="DI87" s="99">
        <f t="shared" si="73"/>
        <v>0</v>
      </c>
      <c r="DJ87" s="100">
        <f t="shared" si="74"/>
        <v>0</v>
      </c>
    </row>
    <row r="88" spans="1:117" ht="15" customHeight="1" outlineLevel="1">
      <c r="A88" s="607"/>
      <c r="B88" s="557" t="s">
        <v>351</v>
      </c>
      <c r="C88" s="246" t="s">
        <v>62</v>
      </c>
      <c r="D88" s="183" t="s">
        <v>122</v>
      </c>
      <c r="E88" s="153">
        <f>AF88+AS88+BF88+BS88+CF88+CS88+DF88+S88+DG88</f>
        <v>0</v>
      </c>
      <c r="F88" s="153"/>
      <c r="G88" s="154"/>
      <c r="H88" s="155"/>
      <c r="I88" s="155"/>
      <c r="J88" s="155"/>
      <c r="K88" s="155"/>
      <c r="L88" s="155"/>
      <c r="M88" s="155"/>
      <c r="N88" s="155"/>
      <c r="O88" s="155"/>
      <c r="P88" s="155"/>
      <c r="Q88" s="155"/>
      <c r="R88" s="284"/>
      <c r="S88" s="157">
        <f t="shared" si="187"/>
        <v>0</v>
      </c>
      <c r="T88" s="378"/>
      <c r="U88" s="382"/>
      <c r="V88" s="382"/>
      <c r="W88" s="382"/>
      <c r="X88" s="382"/>
      <c r="Y88" s="382"/>
      <c r="Z88" s="382"/>
      <c r="AA88" s="382"/>
      <c r="AB88" s="382"/>
      <c r="AC88" s="382"/>
      <c r="AD88" s="382"/>
      <c r="AE88" s="481"/>
      <c r="AF88" s="157">
        <f t="shared" si="264"/>
        <v>0</v>
      </c>
      <c r="AG88" s="500"/>
      <c r="AH88" s="513"/>
      <c r="AI88" s="513"/>
      <c r="AJ88" s="513"/>
      <c r="AK88" s="513"/>
      <c r="AL88" s="513"/>
      <c r="AM88" s="513"/>
      <c r="AN88" s="513"/>
      <c r="AO88" s="513"/>
      <c r="AP88" s="513"/>
      <c r="AQ88" s="513"/>
      <c r="AR88" s="512"/>
      <c r="AS88" s="409">
        <f t="shared" si="188"/>
        <v>0</v>
      </c>
      <c r="AT88" s="500"/>
      <c r="AU88" s="513"/>
      <c r="AV88" s="513"/>
      <c r="AW88" s="155"/>
      <c r="AX88" s="155"/>
      <c r="AY88" s="155"/>
      <c r="AZ88" s="155"/>
      <c r="BA88" s="155"/>
      <c r="BB88" s="155"/>
      <c r="BC88" s="155"/>
      <c r="BD88" s="155"/>
      <c r="BE88" s="285"/>
      <c r="BF88" s="157">
        <f t="shared" si="70"/>
        <v>0</v>
      </c>
      <c r="BG88" s="359"/>
      <c r="BH88" s="283"/>
      <c r="BI88" s="283"/>
      <c r="BJ88" s="283"/>
      <c r="BK88" s="283"/>
      <c r="BL88" s="283"/>
      <c r="BM88" s="283"/>
      <c r="BN88" s="283"/>
      <c r="BO88" s="283"/>
      <c r="BP88" s="283"/>
      <c r="BQ88" s="283"/>
      <c r="BR88" s="285"/>
      <c r="BS88" s="157">
        <f t="shared" si="71"/>
        <v>0</v>
      </c>
      <c r="BT88" s="359"/>
      <c r="BU88" s="283"/>
      <c r="BV88" s="283"/>
      <c r="BW88" s="283"/>
      <c r="BX88" s="283"/>
      <c r="BY88" s="283"/>
      <c r="BZ88" s="283"/>
      <c r="CA88" s="283"/>
      <c r="CB88" s="283"/>
      <c r="CC88" s="283"/>
      <c r="CD88" s="283"/>
      <c r="CE88" s="285"/>
      <c r="CF88" s="157">
        <f t="shared" ref="CF88:CF93" si="273">SUM(BT88:CE88)</f>
        <v>0</v>
      </c>
      <c r="CG88" s="359"/>
      <c r="CH88" s="283"/>
      <c r="CI88" s="283"/>
      <c r="CJ88" s="283"/>
      <c r="CK88" s="283"/>
      <c r="CL88" s="283"/>
      <c r="CM88" s="283"/>
      <c r="CN88" s="283"/>
      <c r="CO88" s="283"/>
      <c r="CP88" s="283"/>
      <c r="CQ88" s="283"/>
      <c r="CR88" s="285"/>
      <c r="CS88" s="157">
        <f t="shared" si="76"/>
        <v>0</v>
      </c>
      <c r="CT88" s="359"/>
      <c r="CU88" s="283"/>
      <c r="CV88" s="283"/>
      <c r="CW88" s="283"/>
      <c r="CX88" s="283"/>
      <c r="CY88" s="283"/>
      <c r="CZ88" s="283"/>
      <c r="DA88" s="283"/>
      <c r="DB88" s="283"/>
      <c r="DC88" s="283"/>
      <c r="DD88" s="283"/>
      <c r="DE88" s="285"/>
      <c r="DF88" s="157">
        <f t="shared" si="77"/>
        <v>0</v>
      </c>
      <c r="DG88" s="280"/>
      <c r="DH88" s="159">
        <f t="shared" si="72"/>
        <v>0</v>
      </c>
      <c r="DI88" s="160">
        <f t="shared" si="73"/>
        <v>0</v>
      </c>
      <c r="DJ88" s="161">
        <f t="shared" si="74"/>
        <v>0</v>
      </c>
      <c r="DM88" s="134">
        <f>AS88+BF88+BS88+CF88+CS88+DG88</f>
        <v>0</v>
      </c>
    </row>
    <row r="89" spans="1:117" ht="15" customHeight="1" outlineLevel="1">
      <c r="A89" s="607"/>
      <c r="B89" s="558"/>
      <c r="C89" s="245" t="s">
        <v>63</v>
      </c>
      <c r="D89" s="184" t="s">
        <v>124</v>
      </c>
      <c r="E89" s="136">
        <f>AF89+AS89+BF89+BS89+CF89+CS89+DF89+S89+DG89</f>
        <v>0</v>
      </c>
      <c r="F89" s="136"/>
      <c r="G89" s="137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9"/>
      <c r="S89" s="162">
        <f t="shared" si="187"/>
        <v>0</v>
      </c>
      <c r="T89" s="380"/>
      <c r="U89" s="381"/>
      <c r="V89" s="381"/>
      <c r="W89" s="381"/>
      <c r="X89" s="381"/>
      <c r="Y89" s="381"/>
      <c r="Z89" s="381"/>
      <c r="AA89" s="381"/>
      <c r="AB89" s="381"/>
      <c r="AC89" s="381"/>
      <c r="AD89" s="381"/>
      <c r="AE89" s="392"/>
      <c r="AF89" s="162">
        <f t="shared" si="264"/>
        <v>0</v>
      </c>
      <c r="AG89" s="501"/>
      <c r="AH89" s="499"/>
      <c r="AI89" s="499"/>
      <c r="AJ89" s="499"/>
      <c r="AK89" s="499"/>
      <c r="AL89" s="499"/>
      <c r="AM89" s="499"/>
      <c r="AN89" s="499"/>
      <c r="AO89" s="499"/>
      <c r="AP89" s="499"/>
      <c r="AQ89" s="499"/>
      <c r="AR89" s="511"/>
      <c r="AS89" s="410">
        <f t="shared" si="188"/>
        <v>0</v>
      </c>
      <c r="AT89" s="501"/>
      <c r="AU89" s="499"/>
      <c r="AV89" s="499"/>
      <c r="AW89" s="138"/>
      <c r="AX89" s="138"/>
      <c r="AY89" s="138"/>
      <c r="AZ89" s="138"/>
      <c r="BA89" s="138"/>
      <c r="BB89" s="138"/>
      <c r="BC89" s="138"/>
      <c r="BD89" s="138"/>
      <c r="BE89" s="338"/>
      <c r="BF89" s="162">
        <f t="shared" ref="BF89:BF114" si="274">SUM(AT89:BE89)</f>
        <v>0</v>
      </c>
      <c r="BG89" s="353"/>
      <c r="BH89" s="253"/>
      <c r="BI89" s="253"/>
      <c r="BJ89" s="253"/>
      <c r="BK89" s="253"/>
      <c r="BL89" s="253"/>
      <c r="BM89" s="253"/>
      <c r="BN89" s="253"/>
      <c r="BO89" s="253"/>
      <c r="BP89" s="253"/>
      <c r="BQ89" s="253"/>
      <c r="BR89" s="338"/>
      <c r="BS89" s="162">
        <f t="shared" ref="BS89:BS114" si="275">SUM(BG89:BR89)</f>
        <v>0</v>
      </c>
      <c r="BT89" s="353"/>
      <c r="BU89" s="253"/>
      <c r="BV89" s="253"/>
      <c r="BW89" s="253"/>
      <c r="BX89" s="253"/>
      <c r="BY89" s="253"/>
      <c r="BZ89" s="253"/>
      <c r="CA89" s="253"/>
      <c r="CB89" s="253"/>
      <c r="CC89" s="253"/>
      <c r="CD89" s="253"/>
      <c r="CE89" s="338"/>
      <c r="CF89" s="162">
        <f t="shared" si="273"/>
        <v>0</v>
      </c>
      <c r="CG89" s="353"/>
      <c r="CH89" s="353"/>
      <c r="CI89" s="353"/>
      <c r="CJ89" s="353"/>
      <c r="CK89" s="353"/>
      <c r="CL89" s="253"/>
      <c r="CM89" s="253"/>
      <c r="CN89" s="253"/>
      <c r="CO89" s="253"/>
      <c r="CP89" s="253"/>
      <c r="CQ89" s="253"/>
      <c r="CR89" s="338"/>
      <c r="CS89" s="162">
        <f t="shared" si="76"/>
        <v>0</v>
      </c>
      <c r="CT89" s="353"/>
      <c r="CU89" s="353"/>
      <c r="CV89" s="353"/>
      <c r="CW89" s="353"/>
      <c r="CX89" s="353"/>
      <c r="CY89" s="253"/>
      <c r="CZ89" s="253"/>
      <c r="DA89" s="253"/>
      <c r="DB89" s="253"/>
      <c r="DC89" s="253"/>
      <c r="DD89" s="253"/>
      <c r="DE89" s="338"/>
      <c r="DF89" s="162">
        <f t="shared" si="77"/>
        <v>0</v>
      </c>
      <c r="DG89" s="279"/>
      <c r="DH89" s="90">
        <f t="shared" ref="DH89:DH111" si="276">+F89+S89+AF89+AS89+BF89+BS89+DG89</f>
        <v>0</v>
      </c>
      <c r="DI89" s="91">
        <f t="shared" ref="DI89:DI111" si="277">+E89</f>
        <v>0</v>
      </c>
      <c r="DJ89" s="92">
        <f t="shared" ref="DJ89:DJ111" si="278">+DI89-DH89</f>
        <v>0</v>
      </c>
      <c r="DK89" s="64" t="e">
        <f>+DH89/DH88</f>
        <v>#DIV/0!</v>
      </c>
      <c r="DM89" s="134">
        <f>AS89+BF89+BS89+CF89+CS89+DG89</f>
        <v>0</v>
      </c>
    </row>
    <row r="90" spans="1:117" ht="15" customHeight="1" outlineLevel="1">
      <c r="A90" s="607"/>
      <c r="B90" s="559"/>
      <c r="C90" s="357" t="s">
        <v>11</v>
      </c>
      <c r="D90" s="358"/>
      <c r="E90" s="143">
        <f t="shared" ref="E90:R90" si="279">+E88-E89</f>
        <v>0</v>
      </c>
      <c r="F90" s="144">
        <f t="shared" si="279"/>
        <v>0</v>
      </c>
      <c r="G90" s="145">
        <f t="shared" si="279"/>
        <v>0</v>
      </c>
      <c r="H90" s="145">
        <f t="shared" si="279"/>
        <v>0</v>
      </c>
      <c r="I90" s="145">
        <f t="shared" si="279"/>
        <v>0</v>
      </c>
      <c r="J90" s="145">
        <f t="shared" si="279"/>
        <v>0</v>
      </c>
      <c r="K90" s="145">
        <f t="shared" si="279"/>
        <v>0</v>
      </c>
      <c r="L90" s="145">
        <f t="shared" si="279"/>
        <v>0</v>
      </c>
      <c r="M90" s="145">
        <f t="shared" si="279"/>
        <v>0</v>
      </c>
      <c r="N90" s="145">
        <f t="shared" si="279"/>
        <v>0</v>
      </c>
      <c r="O90" s="145">
        <f t="shared" si="279"/>
        <v>0</v>
      </c>
      <c r="P90" s="145">
        <f t="shared" si="279"/>
        <v>0</v>
      </c>
      <c r="Q90" s="145">
        <f t="shared" si="279"/>
        <v>0</v>
      </c>
      <c r="R90" s="146">
        <f t="shared" si="279"/>
        <v>0</v>
      </c>
      <c r="S90" s="147">
        <f t="shared" ref="S90:S114" si="280">SUM(G90:R90)</f>
        <v>0</v>
      </c>
      <c r="T90" s="148">
        <f t="shared" ref="T90:AE90" si="281">+T88-T89</f>
        <v>0</v>
      </c>
      <c r="U90" s="145">
        <f t="shared" si="281"/>
        <v>0</v>
      </c>
      <c r="V90" s="145">
        <f t="shared" si="281"/>
        <v>0</v>
      </c>
      <c r="W90" s="145">
        <f t="shared" si="281"/>
        <v>0</v>
      </c>
      <c r="X90" s="145">
        <f t="shared" si="281"/>
        <v>0</v>
      </c>
      <c r="Y90" s="145">
        <f t="shared" si="281"/>
        <v>0</v>
      </c>
      <c r="Z90" s="145">
        <f t="shared" si="281"/>
        <v>0</v>
      </c>
      <c r="AA90" s="145">
        <f t="shared" si="281"/>
        <v>0</v>
      </c>
      <c r="AB90" s="145">
        <f t="shared" si="281"/>
        <v>0</v>
      </c>
      <c r="AC90" s="145">
        <f t="shared" si="281"/>
        <v>0</v>
      </c>
      <c r="AD90" s="145">
        <f t="shared" si="281"/>
        <v>0</v>
      </c>
      <c r="AE90" s="146">
        <f t="shared" si="281"/>
        <v>0</v>
      </c>
      <c r="AF90" s="147">
        <f t="shared" si="264"/>
        <v>0</v>
      </c>
      <c r="AG90" s="148">
        <f t="shared" ref="AG90:AR90" si="282">+AG88-AG89</f>
        <v>0</v>
      </c>
      <c r="AH90" s="145">
        <f t="shared" si="282"/>
        <v>0</v>
      </c>
      <c r="AI90" s="145">
        <f t="shared" si="282"/>
        <v>0</v>
      </c>
      <c r="AJ90" s="145">
        <f t="shared" si="282"/>
        <v>0</v>
      </c>
      <c r="AK90" s="145">
        <f t="shared" si="282"/>
        <v>0</v>
      </c>
      <c r="AL90" s="145">
        <f t="shared" si="282"/>
        <v>0</v>
      </c>
      <c r="AM90" s="145">
        <f t="shared" si="282"/>
        <v>0</v>
      </c>
      <c r="AN90" s="145">
        <f t="shared" si="282"/>
        <v>0</v>
      </c>
      <c r="AO90" s="145">
        <f t="shared" si="282"/>
        <v>0</v>
      </c>
      <c r="AP90" s="145">
        <f t="shared" si="282"/>
        <v>0</v>
      </c>
      <c r="AQ90" s="145">
        <f t="shared" si="282"/>
        <v>0</v>
      </c>
      <c r="AR90" s="146">
        <f t="shared" si="282"/>
        <v>0</v>
      </c>
      <c r="AS90" s="408">
        <f t="shared" si="188"/>
        <v>0</v>
      </c>
      <c r="AT90" s="148">
        <f t="shared" ref="AT90:BE90" si="283">+AT88-AT89</f>
        <v>0</v>
      </c>
      <c r="AU90" s="145">
        <f t="shared" si="283"/>
        <v>0</v>
      </c>
      <c r="AV90" s="145">
        <f t="shared" si="283"/>
        <v>0</v>
      </c>
      <c r="AW90" s="145">
        <f t="shared" si="283"/>
        <v>0</v>
      </c>
      <c r="AX90" s="145">
        <f t="shared" si="283"/>
        <v>0</v>
      </c>
      <c r="AY90" s="145">
        <f t="shared" si="283"/>
        <v>0</v>
      </c>
      <c r="AZ90" s="145">
        <f t="shared" si="283"/>
        <v>0</v>
      </c>
      <c r="BA90" s="145">
        <f t="shared" si="283"/>
        <v>0</v>
      </c>
      <c r="BB90" s="145">
        <f t="shared" si="283"/>
        <v>0</v>
      </c>
      <c r="BC90" s="145">
        <f t="shared" si="283"/>
        <v>0</v>
      </c>
      <c r="BD90" s="145">
        <f t="shared" si="283"/>
        <v>0</v>
      </c>
      <c r="BE90" s="146">
        <f t="shared" si="283"/>
        <v>0</v>
      </c>
      <c r="BF90" s="147">
        <f t="shared" si="274"/>
        <v>0</v>
      </c>
      <c r="BG90" s="148">
        <f t="shared" ref="BG90:BR90" si="284">+BG88-BG89</f>
        <v>0</v>
      </c>
      <c r="BH90" s="145">
        <f t="shared" si="284"/>
        <v>0</v>
      </c>
      <c r="BI90" s="145">
        <f t="shared" si="284"/>
        <v>0</v>
      </c>
      <c r="BJ90" s="145">
        <f t="shared" si="284"/>
        <v>0</v>
      </c>
      <c r="BK90" s="145">
        <f t="shared" si="284"/>
        <v>0</v>
      </c>
      <c r="BL90" s="145">
        <f t="shared" si="284"/>
        <v>0</v>
      </c>
      <c r="BM90" s="145">
        <f t="shared" si="284"/>
        <v>0</v>
      </c>
      <c r="BN90" s="145">
        <f t="shared" si="284"/>
        <v>0</v>
      </c>
      <c r="BO90" s="145">
        <f t="shared" si="284"/>
        <v>0</v>
      </c>
      <c r="BP90" s="145">
        <f t="shared" si="284"/>
        <v>0</v>
      </c>
      <c r="BQ90" s="145">
        <f t="shared" si="284"/>
        <v>0</v>
      </c>
      <c r="BR90" s="146">
        <f t="shared" si="284"/>
        <v>0</v>
      </c>
      <c r="BS90" s="147">
        <f t="shared" si="275"/>
        <v>0</v>
      </c>
      <c r="BT90" s="148">
        <f t="shared" ref="BT90:CE90" si="285">+BT88-BT89</f>
        <v>0</v>
      </c>
      <c r="BU90" s="145">
        <f t="shared" si="285"/>
        <v>0</v>
      </c>
      <c r="BV90" s="145">
        <f t="shared" si="285"/>
        <v>0</v>
      </c>
      <c r="BW90" s="145">
        <f t="shared" si="285"/>
        <v>0</v>
      </c>
      <c r="BX90" s="145">
        <f t="shared" si="285"/>
        <v>0</v>
      </c>
      <c r="BY90" s="145">
        <f t="shared" si="285"/>
        <v>0</v>
      </c>
      <c r="BZ90" s="145">
        <f t="shared" si="285"/>
        <v>0</v>
      </c>
      <c r="CA90" s="145">
        <f t="shared" si="285"/>
        <v>0</v>
      </c>
      <c r="CB90" s="145">
        <f t="shared" si="285"/>
        <v>0</v>
      </c>
      <c r="CC90" s="145">
        <f t="shared" si="285"/>
        <v>0</v>
      </c>
      <c r="CD90" s="145">
        <f t="shared" si="285"/>
        <v>0</v>
      </c>
      <c r="CE90" s="146">
        <f t="shared" si="285"/>
        <v>0</v>
      </c>
      <c r="CF90" s="147">
        <f t="shared" si="273"/>
        <v>0</v>
      </c>
      <c r="CG90" s="148">
        <f t="shared" ref="CG90:CR90" si="286">+CG88-CG89</f>
        <v>0</v>
      </c>
      <c r="CH90" s="145">
        <f t="shared" si="286"/>
        <v>0</v>
      </c>
      <c r="CI90" s="145">
        <f t="shared" si="286"/>
        <v>0</v>
      </c>
      <c r="CJ90" s="145">
        <f t="shared" si="286"/>
        <v>0</v>
      </c>
      <c r="CK90" s="145">
        <f t="shared" si="286"/>
        <v>0</v>
      </c>
      <c r="CL90" s="145">
        <f t="shared" si="286"/>
        <v>0</v>
      </c>
      <c r="CM90" s="145">
        <f t="shared" si="286"/>
        <v>0</v>
      </c>
      <c r="CN90" s="145">
        <f t="shared" si="286"/>
        <v>0</v>
      </c>
      <c r="CO90" s="145">
        <f t="shared" si="286"/>
        <v>0</v>
      </c>
      <c r="CP90" s="145">
        <f t="shared" si="286"/>
        <v>0</v>
      </c>
      <c r="CQ90" s="145">
        <f t="shared" si="286"/>
        <v>0</v>
      </c>
      <c r="CR90" s="146">
        <f t="shared" si="286"/>
        <v>0</v>
      </c>
      <c r="CS90" s="147">
        <f t="shared" si="76"/>
        <v>0</v>
      </c>
      <c r="CT90" s="148">
        <f t="shared" ref="CT90:DE90" si="287">+CT88-CT89</f>
        <v>0</v>
      </c>
      <c r="CU90" s="145">
        <f t="shared" si="287"/>
        <v>0</v>
      </c>
      <c r="CV90" s="145">
        <f t="shared" si="287"/>
        <v>0</v>
      </c>
      <c r="CW90" s="145">
        <f t="shared" si="287"/>
        <v>0</v>
      </c>
      <c r="CX90" s="145">
        <f t="shared" si="287"/>
        <v>0</v>
      </c>
      <c r="CY90" s="145">
        <f t="shared" si="287"/>
        <v>0</v>
      </c>
      <c r="CZ90" s="145">
        <f t="shared" si="287"/>
        <v>0</v>
      </c>
      <c r="DA90" s="145">
        <f t="shared" si="287"/>
        <v>0</v>
      </c>
      <c r="DB90" s="145">
        <f t="shared" si="287"/>
        <v>0</v>
      </c>
      <c r="DC90" s="145">
        <f t="shared" si="287"/>
        <v>0</v>
      </c>
      <c r="DD90" s="145">
        <f t="shared" si="287"/>
        <v>0</v>
      </c>
      <c r="DE90" s="146">
        <f t="shared" si="287"/>
        <v>0</v>
      </c>
      <c r="DF90" s="147">
        <f t="shared" si="77"/>
        <v>0</v>
      </c>
      <c r="DG90" s="146">
        <f>+DG88-DG89</f>
        <v>0</v>
      </c>
      <c r="DH90" s="98">
        <f t="shared" si="276"/>
        <v>0</v>
      </c>
      <c r="DI90" s="99">
        <f t="shared" si="277"/>
        <v>0</v>
      </c>
      <c r="DJ90" s="100">
        <f t="shared" si="278"/>
        <v>0</v>
      </c>
    </row>
    <row r="91" spans="1:117" ht="15" customHeight="1" outlineLevel="1">
      <c r="A91" s="607"/>
      <c r="B91" s="557" t="s">
        <v>352</v>
      </c>
      <c r="C91" s="246" t="s">
        <v>62</v>
      </c>
      <c r="D91" s="183" t="s">
        <v>122</v>
      </c>
      <c r="E91" s="153">
        <f>AF91+AS91+BF91+BS91+CF91+CS91+DF91+S91+DG91</f>
        <v>0</v>
      </c>
      <c r="F91" s="153"/>
      <c r="G91" s="154"/>
      <c r="H91" s="155"/>
      <c r="I91" s="155"/>
      <c r="J91" s="155"/>
      <c r="K91" s="155"/>
      <c r="L91" s="155"/>
      <c r="M91" s="155"/>
      <c r="N91" s="155"/>
      <c r="O91" s="155"/>
      <c r="P91" s="155"/>
      <c r="Q91" s="155"/>
      <c r="R91" s="284"/>
      <c r="S91" s="157">
        <f t="shared" si="280"/>
        <v>0</v>
      </c>
      <c r="T91" s="378"/>
      <c r="U91" s="382"/>
      <c r="V91" s="382"/>
      <c r="W91" s="382"/>
      <c r="X91" s="382"/>
      <c r="Y91" s="382"/>
      <c r="Z91" s="382"/>
      <c r="AA91" s="382"/>
      <c r="AB91" s="382"/>
      <c r="AC91" s="382"/>
      <c r="AD91" s="382"/>
      <c r="AE91" s="481"/>
      <c r="AF91" s="157">
        <f t="shared" ref="AF91:AF96" si="288">SUM(T91:AE91)</f>
        <v>0</v>
      </c>
      <c r="AG91" s="500"/>
      <c r="AH91" s="513"/>
      <c r="AI91" s="513"/>
      <c r="AJ91" s="513"/>
      <c r="AK91" s="513"/>
      <c r="AL91" s="513"/>
      <c r="AM91" s="513"/>
      <c r="AN91" s="513"/>
      <c r="AO91" s="513"/>
      <c r="AP91" s="513"/>
      <c r="AQ91" s="513"/>
      <c r="AR91" s="512"/>
      <c r="AS91" s="409">
        <f t="shared" si="188"/>
        <v>0</v>
      </c>
      <c r="AT91" s="500"/>
      <c r="AU91" s="513"/>
      <c r="AV91" s="513"/>
      <c r="AW91" s="155"/>
      <c r="AX91" s="155"/>
      <c r="AY91" s="155"/>
      <c r="AZ91" s="155"/>
      <c r="BA91" s="155"/>
      <c r="BB91" s="155"/>
      <c r="BC91" s="155"/>
      <c r="BD91" s="155"/>
      <c r="BE91" s="156"/>
      <c r="BF91" s="157">
        <f t="shared" si="274"/>
        <v>0</v>
      </c>
      <c r="BG91" s="158"/>
      <c r="BH91" s="155"/>
      <c r="BI91" s="155"/>
      <c r="BJ91" s="155"/>
      <c r="BK91" s="155"/>
      <c r="BL91" s="155"/>
      <c r="BM91" s="155"/>
      <c r="BN91" s="155"/>
      <c r="BO91" s="155"/>
      <c r="BP91" s="155"/>
      <c r="BQ91" s="155"/>
      <c r="BR91" s="156"/>
      <c r="BS91" s="157">
        <f t="shared" si="275"/>
        <v>0</v>
      </c>
      <c r="BT91" s="158"/>
      <c r="BU91" s="155"/>
      <c r="BV91" s="155"/>
      <c r="BW91" s="155"/>
      <c r="BX91" s="155"/>
      <c r="BY91" s="155"/>
      <c r="BZ91" s="155"/>
      <c r="CA91" s="155"/>
      <c r="CB91" s="155"/>
      <c r="CC91" s="155"/>
      <c r="CD91" s="155"/>
      <c r="CE91" s="156"/>
      <c r="CF91" s="157">
        <f t="shared" si="273"/>
        <v>0</v>
      </c>
      <c r="CG91" s="158"/>
      <c r="CH91" s="155"/>
      <c r="CI91" s="155"/>
      <c r="CJ91" s="155"/>
      <c r="CK91" s="155"/>
      <c r="CL91" s="155"/>
      <c r="CM91" s="155"/>
      <c r="CN91" s="155"/>
      <c r="CO91" s="155"/>
      <c r="CP91" s="155"/>
      <c r="CQ91" s="155"/>
      <c r="CR91" s="156"/>
      <c r="CS91" s="157">
        <f t="shared" si="76"/>
        <v>0</v>
      </c>
      <c r="CT91" s="158"/>
      <c r="CU91" s="155"/>
      <c r="CV91" s="155"/>
      <c r="CW91" s="155"/>
      <c r="CX91" s="155"/>
      <c r="CY91" s="155"/>
      <c r="CZ91" s="155"/>
      <c r="DA91" s="155"/>
      <c r="DB91" s="155"/>
      <c r="DC91" s="155"/>
      <c r="DD91" s="155"/>
      <c r="DE91" s="156"/>
      <c r="DF91" s="157">
        <f t="shared" si="77"/>
        <v>0</v>
      </c>
      <c r="DG91" s="280"/>
      <c r="DH91" s="159">
        <f t="shared" si="276"/>
        <v>0</v>
      </c>
      <c r="DI91" s="160">
        <f t="shared" si="277"/>
        <v>0</v>
      </c>
      <c r="DJ91" s="161">
        <f t="shared" si="278"/>
        <v>0</v>
      </c>
      <c r="DM91" s="134">
        <f>AS91+BF91+BS91+CF91+CS91+DG91</f>
        <v>0</v>
      </c>
    </row>
    <row r="92" spans="1:117" ht="15" customHeight="1" outlineLevel="1">
      <c r="A92" s="607"/>
      <c r="B92" s="558"/>
      <c r="C92" s="245" t="s">
        <v>63</v>
      </c>
      <c r="D92" s="184" t="s">
        <v>124</v>
      </c>
      <c r="E92" s="136">
        <f>AF92+AS92+BF92+BS92+CF92+CS92+DF92+S92+DG92</f>
        <v>0</v>
      </c>
      <c r="F92" s="136"/>
      <c r="G92" s="137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9"/>
      <c r="S92" s="162">
        <f t="shared" si="280"/>
        <v>0</v>
      </c>
      <c r="T92" s="380"/>
      <c r="U92" s="381"/>
      <c r="V92" s="381"/>
      <c r="W92" s="381"/>
      <c r="X92" s="381"/>
      <c r="Y92" s="381"/>
      <c r="Z92" s="381"/>
      <c r="AA92" s="381"/>
      <c r="AB92" s="381"/>
      <c r="AC92" s="381"/>
      <c r="AD92" s="381"/>
      <c r="AE92" s="392"/>
      <c r="AF92" s="162">
        <f t="shared" si="288"/>
        <v>0</v>
      </c>
      <c r="AG92" s="501"/>
      <c r="AH92" s="499"/>
      <c r="AI92" s="499"/>
      <c r="AJ92" s="499"/>
      <c r="AK92" s="499"/>
      <c r="AL92" s="499"/>
      <c r="AM92" s="499"/>
      <c r="AN92" s="499"/>
      <c r="AO92" s="499"/>
      <c r="AP92" s="499"/>
      <c r="AQ92" s="499"/>
      <c r="AR92" s="511"/>
      <c r="AS92" s="410">
        <f t="shared" si="188"/>
        <v>0</v>
      </c>
      <c r="AT92" s="501"/>
      <c r="AU92" s="499"/>
      <c r="AV92" s="499"/>
      <c r="AW92" s="138"/>
      <c r="AX92" s="138"/>
      <c r="AY92" s="138"/>
      <c r="AZ92" s="138"/>
      <c r="BA92" s="138"/>
      <c r="BB92" s="138"/>
      <c r="BC92" s="138"/>
      <c r="BD92" s="138"/>
      <c r="BE92" s="139"/>
      <c r="BF92" s="162">
        <f t="shared" si="274"/>
        <v>0</v>
      </c>
      <c r="BG92" s="141"/>
      <c r="BH92" s="138"/>
      <c r="BI92" s="138"/>
      <c r="BJ92" s="138"/>
      <c r="BK92" s="138"/>
      <c r="BL92" s="138"/>
      <c r="BM92" s="138"/>
      <c r="BN92" s="138"/>
      <c r="BO92" s="138"/>
      <c r="BP92" s="138"/>
      <c r="BQ92" s="138"/>
      <c r="BR92" s="139"/>
      <c r="BS92" s="162">
        <f t="shared" si="275"/>
        <v>0</v>
      </c>
      <c r="BT92" s="141"/>
      <c r="BU92" s="138"/>
      <c r="BV92" s="138"/>
      <c r="BW92" s="138"/>
      <c r="BX92" s="138"/>
      <c r="BY92" s="138"/>
      <c r="BZ92" s="138"/>
      <c r="CA92" s="138"/>
      <c r="CB92" s="138"/>
      <c r="CC92" s="138"/>
      <c r="CD92" s="138"/>
      <c r="CE92" s="139"/>
      <c r="CF92" s="162">
        <f t="shared" si="273"/>
        <v>0</v>
      </c>
      <c r="CG92" s="141"/>
      <c r="CH92" s="138"/>
      <c r="CI92" s="138"/>
      <c r="CJ92" s="138"/>
      <c r="CK92" s="138"/>
      <c r="CL92" s="138"/>
      <c r="CM92" s="138"/>
      <c r="CN92" s="138"/>
      <c r="CO92" s="138"/>
      <c r="CP92" s="138"/>
      <c r="CQ92" s="138"/>
      <c r="CR92" s="139"/>
      <c r="CS92" s="162">
        <f t="shared" si="76"/>
        <v>0</v>
      </c>
      <c r="CT92" s="141"/>
      <c r="CU92" s="138"/>
      <c r="CV92" s="138"/>
      <c r="CW92" s="138"/>
      <c r="CX92" s="138"/>
      <c r="CY92" s="138"/>
      <c r="CZ92" s="138"/>
      <c r="DA92" s="138"/>
      <c r="DB92" s="138"/>
      <c r="DC92" s="138"/>
      <c r="DD92" s="138"/>
      <c r="DE92" s="139"/>
      <c r="DF92" s="162">
        <f t="shared" si="77"/>
        <v>0</v>
      </c>
      <c r="DG92" s="279"/>
      <c r="DH92" s="90">
        <f t="shared" si="276"/>
        <v>0</v>
      </c>
      <c r="DI92" s="91">
        <f t="shared" si="277"/>
        <v>0</v>
      </c>
      <c r="DJ92" s="92">
        <f t="shared" si="278"/>
        <v>0</v>
      </c>
      <c r="DK92" s="64" t="e">
        <f>+DH92/DH91</f>
        <v>#DIV/0!</v>
      </c>
      <c r="DM92" s="134">
        <f>AS92+BF92+BS92+CF92+CS92+DG92</f>
        <v>0</v>
      </c>
    </row>
    <row r="93" spans="1:117" ht="15" customHeight="1" outlineLevel="1">
      <c r="A93" s="607"/>
      <c r="B93" s="559"/>
      <c r="C93" s="357" t="s">
        <v>11</v>
      </c>
      <c r="D93" s="358"/>
      <c r="E93" s="143">
        <f t="shared" ref="E93:R93" si="289">+E91-E92</f>
        <v>0</v>
      </c>
      <c r="F93" s="144">
        <f t="shared" si="289"/>
        <v>0</v>
      </c>
      <c r="G93" s="145">
        <f t="shared" si="289"/>
        <v>0</v>
      </c>
      <c r="H93" s="145">
        <f t="shared" si="289"/>
        <v>0</v>
      </c>
      <c r="I93" s="145">
        <f t="shared" si="289"/>
        <v>0</v>
      </c>
      <c r="J93" s="145">
        <f t="shared" si="289"/>
        <v>0</v>
      </c>
      <c r="K93" s="145">
        <f t="shared" si="289"/>
        <v>0</v>
      </c>
      <c r="L93" s="145">
        <f t="shared" si="289"/>
        <v>0</v>
      </c>
      <c r="M93" s="145">
        <f t="shared" si="289"/>
        <v>0</v>
      </c>
      <c r="N93" s="145">
        <f t="shared" si="289"/>
        <v>0</v>
      </c>
      <c r="O93" s="145">
        <f t="shared" si="289"/>
        <v>0</v>
      </c>
      <c r="P93" s="145">
        <f t="shared" si="289"/>
        <v>0</v>
      </c>
      <c r="Q93" s="145">
        <f t="shared" si="289"/>
        <v>0</v>
      </c>
      <c r="R93" s="146">
        <f t="shared" si="289"/>
        <v>0</v>
      </c>
      <c r="S93" s="147">
        <f t="shared" si="280"/>
        <v>0</v>
      </c>
      <c r="T93" s="148">
        <f t="shared" ref="T93:AE93" si="290">+T91-T92</f>
        <v>0</v>
      </c>
      <c r="U93" s="145">
        <f t="shared" si="290"/>
        <v>0</v>
      </c>
      <c r="V93" s="145">
        <f t="shared" si="290"/>
        <v>0</v>
      </c>
      <c r="W93" s="145">
        <f t="shared" si="290"/>
        <v>0</v>
      </c>
      <c r="X93" s="145">
        <f t="shared" si="290"/>
        <v>0</v>
      </c>
      <c r="Y93" s="145">
        <f t="shared" si="290"/>
        <v>0</v>
      </c>
      <c r="Z93" s="145">
        <f t="shared" si="290"/>
        <v>0</v>
      </c>
      <c r="AA93" s="145">
        <f t="shared" si="290"/>
        <v>0</v>
      </c>
      <c r="AB93" s="145">
        <f t="shared" si="290"/>
        <v>0</v>
      </c>
      <c r="AC93" s="145">
        <f t="shared" si="290"/>
        <v>0</v>
      </c>
      <c r="AD93" s="145">
        <f t="shared" si="290"/>
        <v>0</v>
      </c>
      <c r="AE93" s="146">
        <f t="shared" si="290"/>
        <v>0</v>
      </c>
      <c r="AF93" s="147">
        <f t="shared" si="288"/>
        <v>0</v>
      </c>
      <c r="AG93" s="148">
        <f t="shared" ref="AG93:AR93" si="291">+AG91-AG92</f>
        <v>0</v>
      </c>
      <c r="AH93" s="145">
        <f t="shared" si="291"/>
        <v>0</v>
      </c>
      <c r="AI93" s="145">
        <f t="shared" si="291"/>
        <v>0</v>
      </c>
      <c r="AJ93" s="145">
        <f t="shared" si="291"/>
        <v>0</v>
      </c>
      <c r="AK93" s="145">
        <f t="shared" si="291"/>
        <v>0</v>
      </c>
      <c r="AL93" s="145">
        <f t="shared" si="291"/>
        <v>0</v>
      </c>
      <c r="AM93" s="145">
        <f t="shared" si="291"/>
        <v>0</v>
      </c>
      <c r="AN93" s="145">
        <f t="shared" si="291"/>
        <v>0</v>
      </c>
      <c r="AO93" s="145">
        <f t="shared" si="291"/>
        <v>0</v>
      </c>
      <c r="AP93" s="145">
        <f t="shared" si="291"/>
        <v>0</v>
      </c>
      <c r="AQ93" s="145">
        <f t="shared" si="291"/>
        <v>0</v>
      </c>
      <c r="AR93" s="146">
        <f t="shared" si="291"/>
        <v>0</v>
      </c>
      <c r="AS93" s="408">
        <f t="shared" si="188"/>
        <v>0</v>
      </c>
      <c r="AT93" s="148">
        <f t="shared" ref="AT93:BE93" si="292">+AT91-AT92</f>
        <v>0</v>
      </c>
      <c r="AU93" s="145">
        <f t="shared" si="292"/>
        <v>0</v>
      </c>
      <c r="AV93" s="145">
        <f t="shared" si="292"/>
        <v>0</v>
      </c>
      <c r="AW93" s="145">
        <f t="shared" si="292"/>
        <v>0</v>
      </c>
      <c r="AX93" s="145">
        <f t="shared" si="292"/>
        <v>0</v>
      </c>
      <c r="AY93" s="145">
        <f t="shared" si="292"/>
        <v>0</v>
      </c>
      <c r="AZ93" s="145">
        <f t="shared" si="292"/>
        <v>0</v>
      </c>
      <c r="BA93" s="145">
        <f t="shared" si="292"/>
        <v>0</v>
      </c>
      <c r="BB93" s="145">
        <f t="shared" si="292"/>
        <v>0</v>
      </c>
      <c r="BC93" s="145">
        <f t="shared" si="292"/>
        <v>0</v>
      </c>
      <c r="BD93" s="145">
        <f t="shared" si="292"/>
        <v>0</v>
      </c>
      <c r="BE93" s="146">
        <f t="shared" si="292"/>
        <v>0</v>
      </c>
      <c r="BF93" s="147">
        <f t="shared" si="274"/>
        <v>0</v>
      </c>
      <c r="BG93" s="148">
        <f t="shared" ref="BG93:BR93" si="293">+BG91-BG92</f>
        <v>0</v>
      </c>
      <c r="BH93" s="145">
        <f t="shared" si="293"/>
        <v>0</v>
      </c>
      <c r="BI93" s="145">
        <f t="shared" si="293"/>
        <v>0</v>
      </c>
      <c r="BJ93" s="145">
        <f t="shared" si="293"/>
        <v>0</v>
      </c>
      <c r="BK93" s="145">
        <f t="shared" si="293"/>
        <v>0</v>
      </c>
      <c r="BL93" s="145">
        <f t="shared" si="293"/>
        <v>0</v>
      </c>
      <c r="BM93" s="145">
        <f t="shared" si="293"/>
        <v>0</v>
      </c>
      <c r="BN93" s="145">
        <f t="shared" si="293"/>
        <v>0</v>
      </c>
      <c r="BO93" s="145">
        <f t="shared" si="293"/>
        <v>0</v>
      </c>
      <c r="BP93" s="145">
        <f t="shared" si="293"/>
        <v>0</v>
      </c>
      <c r="BQ93" s="145">
        <f t="shared" si="293"/>
        <v>0</v>
      </c>
      <c r="BR93" s="146">
        <f t="shared" si="293"/>
        <v>0</v>
      </c>
      <c r="BS93" s="147">
        <f t="shared" si="275"/>
        <v>0</v>
      </c>
      <c r="BT93" s="148">
        <f t="shared" ref="BT93:CE93" si="294">+BT91-BT92</f>
        <v>0</v>
      </c>
      <c r="BU93" s="145">
        <f t="shared" si="294"/>
        <v>0</v>
      </c>
      <c r="BV93" s="145">
        <f t="shared" si="294"/>
        <v>0</v>
      </c>
      <c r="BW93" s="145">
        <f t="shared" si="294"/>
        <v>0</v>
      </c>
      <c r="BX93" s="145">
        <f t="shared" si="294"/>
        <v>0</v>
      </c>
      <c r="BY93" s="145">
        <f t="shared" si="294"/>
        <v>0</v>
      </c>
      <c r="BZ93" s="145">
        <f t="shared" si="294"/>
        <v>0</v>
      </c>
      <c r="CA93" s="145">
        <f t="shared" si="294"/>
        <v>0</v>
      </c>
      <c r="CB93" s="145">
        <f t="shared" si="294"/>
        <v>0</v>
      </c>
      <c r="CC93" s="145">
        <f t="shared" si="294"/>
        <v>0</v>
      </c>
      <c r="CD93" s="145">
        <f t="shared" si="294"/>
        <v>0</v>
      </c>
      <c r="CE93" s="146">
        <f t="shared" si="294"/>
        <v>0</v>
      </c>
      <c r="CF93" s="147">
        <f t="shared" si="273"/>
        <v>0</v>
      </c>
      <c r="CG93" s="148">
        <f t="shared" ref="CG93:CR93" si="295">+CG91-CG92</f>
        <v>0</v>
      </c>
      <c r="CH93" s="145">
        <f t="shared" si="295"/>
        <v>0</v>
      </c>
      <c r="CI93" s="145">
        <f t="shared" si="295"/>
        <v>0</v>
      </c>
      <c r="CJ93" s="145">
        <f t="shared" si="295"/>
        <v>0</v>
      </c>
      <c r="CK93" s="145">
        <f t="shared" si="295"/>
        <v>0</v>
      </c>
      <c r="CL93" s="145">
        <f t="shared" si="295"/>
        <v>0</v>
      </c>
      <c r="CM93" s="145">
        <f t="shared" si="295"/>
        <v>0</v>
      </c>
      <c r="CN93" s="145">
        <f t="shared" si="295"/>
        <v>0</v>
      </c>
      <c r="CO93" s="145">
        <f t="shared" si="295"/>
        <v>0</v>
      </c>
      <c r="CP93" s="145">
        <f t="shared" si="295"/>
        <v>0</v>
      </c>
      <c r="CQ93" s="145">
        <f t="shared" si="295"/>
        <v>0</v>
      </c>
      <c r="CR93" s="146">
        <f t="shared" si="295"/>
        <v>0</v>
      </c>
      <c r="CS93" s="147">
        <f t="shared" si="76"/>
        <v>0</v>
      </c>
      <c r="CT93" s="148">
        <f t="shared" ref="CT93:DE93" si="296">+CT91-CT92</f>
        <v>0</v>
      </c>
      <c r="CU93" s="145">
        <f t="shared" si="296"/>
        <v>0</v>
      </c>
      <c r="CV93" s="145">
        <f t="shared" si="296"/>
        <v>0</v>
      </c>
      <c r="CW93" s="145">
        <f t="shared" si="296"/>
        <v>0</v>
      </c>
      <c r="CX93" s="145">
        <f t="shared" si="296"/>
        <v>0</v>
      </c>
      <c r="CY93" s="145">
        <f t="shared" si="296"/>
        <v>0</v>
      </c>
      <c r="CZ93" s="145">
        <f t="shared" si="296"/>
        <v>0</v>
      </c>
      <c r="DA93" s="145">
        <f t="shared" si="296"/>
        <v>0</v>
      </c>
      <c r="DB93" s="145">
        <f t="shared" si="296"/>
        <v>0</v>
      </c>
      <c r="DC93" s="145">
        <f t="shared" si="296"/>
        <v>0</v>
      </c>
      <c r="DD93" s="145">
        <f t="shared" si="296"/>
        <v>0</v>
      </c>
      <c r="DE93" s="146">
        <f t="shared" si="296"/>
        <v>0</v>
      </c>
      <c r="DF93" s="147">
        <f t="shared" si="77"/>
        <v>0</v>
      </c>
      <c r="DG93" s="146">
        <f>+DG91-DG92</f>
        <v>0</v>
      </c>
      <c r="DH93" s="98">
        <f t="shared" si="276"/>
        <v>0</v>
      </c>
      <c r="DI93" s="99">
        <f t="shared" si="277"/>
        <v>0</v>
      </c>
      <c r="DJ93" s="100">
        <f t="shared" si="278"/>
        <v>0</v>
      </c>
    </row>
    <row r="94" spans="1:117" ht="15" hidden="1" customHeight="1" outlineLevel="1">
      <c r="A94" s="607"/>
      <c r="B94" s="557"/>
      <c r="C94" s="246" t="s">
        <v>62</v>
      </c>
      <c r="D94" s="183" t="s">
        <v>122</v>
      </c>
      <c r="E94" s="153">
        <f>AF94+AS94+BF94+BS94+CF94+CS94+DF94+S94+DG94</f>
        <v>0</v>
      </c>
      <c r="F94" s="153"/>
      <c r="G94" s="154"/>
      <c r="H94" s="155"/>
      <c r="I94" s="155"/>
      <c r="J94" s="155"/>
      <c r="K94" s="155"/>
      <c r="L94" s="155"/>
      <c r="M94" s="155"/>
      <c r="N94" s="155"/>
      <c r="O94" s="155"/>
      <c r="P94" s="155"/>
      <c r="Q94" s="155"/>
      <c r="R94" s="284"/>
      <c r="S94" s="157">
        <f t="shared" si="280"/>
        <v>0</v>
      </c>
      <c r="T94" s="378"/>
      <c r="U94" s="382"/>
      <c r="V94" s="382"/>
      <c r="W94" s="382"/>
      <c r="X94" s="382"/>
      <c r="Y94" s="382"/>
      <c r="Z94" s="382"/>
      <c r="AA94" s="382"/>
      <c r="AB94" s="382"/>
      <c r="AC94" s="382"/>
      <c r="AD94" s="382"/>
      <c r="AE94" s="481"/>
      <c r="AF94" s="157">
        <f t="shared" si="288"/>
        <v>0</v>
      </c>
      <c r="AG94" s="500"/>
      <c r="AH94" s="513"/>
      <c r="AI94" s="513"/>
      <c r="AJ94" s="513"/>
      <c r="AK94" s="513"/>
      <c r="AL94" s="513"/>
      <c r="AM94" s="513"/>
      <c r="AN94" s="513"/>
      <c r="AO94" s="513"/>
      <c r="AP94" s="155"/>
      <c r="AQ94" s="155"/>
      <c r="AR94" s="156"/>
      <c r="AS94" s="409">
        <f t="shared" si="188"/>
        <v>0</v>
      </c>
      <c r="AT94" s="155"/>
      <c r="AU94" s="155"/>
      <c r="AV94" s="155"/>
      <c r="AW94" s="155"/>
      <c r="AX94" s="155"/>
      <c r="AY94" s="155"/>
      <c r="AZ94" s="155"/>
      <c r="BA94" s="155"/>
      <c r="BB94" s="155"/>
      <c r="BC94" s="155"/>
      <c r="BD94" s="155"/>
      <c r="BE94" s="156"/>
      <c r="BF94" s="157">
        <f t="shared" si="274"/>
        <v>0</v>
      </c>
      <c r="BG94" s="158"/>
      <c r="BH94" s="155"/>
      <c r="BI94" s="155"/>
      <c r="BJ94" s="155"/>
      <c r="BK94" s="155"/>
      <c r="BL94" s="155"/>
      <c r="BM94" s="155"/>
      <c r="BN94" s="155"/>
      <c r="BO94" s="155"/>
      <c r="BP94" s="155"/>
      <c r="BQ94" s="155"/>
      <c r="BR94" s="156"/>
      <c r="BS94" s="157">
        <f t="shared" si="275"/>
        <v>0</v>
      </c>
      <c r="BT94" s="158"/>
      <c r="BU94" s="155"/>
      <c r="BV94" s="155"/>
      <c r="BW94" s="155"/>
      <c r="BX94" s="155"/>
      <c r="BY94" s="155"/>
      <c r="BZ94" s="155"/>
      <c r="CA94" s="155"/>
      <c r="CB94" s="155"/>
      <c r="CC94" s="155"/>
      <c r="CD94" s="155"/>
      <c r="CE94" s="156"/>
      <c r="CF94" s="157">
        <f>SUM(BT94:CE94)</f>
        <v>0</v>
      </c>
      <c r="CG94" s="158"/>
      <c r="CH94" s="155"/>
      <c r="CI94" s="155"/>
      <c r="CJ94" s="155"/>
      <c r="CK94" s="155"/>
      <c r="CL94" s="155"/>
      <c r="CM94" s="155"/>
      <c r="CN94" s="155"/>
      <c r="CO94" s="155"/>
      <c r="CP94" s="155"/>
      <c r="CQ94" s="155"/>
      <c r="CR94" s="156"/>
      <c r="CS94" s="157">
        <f>SUM(CG94:CR94)</f>
        <v>0</v>
      </c>
      <c r="CT94" s="158"/>
      <c r="CU94" s="155"/>
      <c r="CV94" s="155"/>
      <c r="CW94" s="155"/>
      <c r="CX94" s="155"/>
      <c r="CY94" s="155"/>
      <c r="CZ94" s="155"/>
      <c r="DA94" s="155"/>
      <c r="DB94" s="155"/>
      <c r="DC94" s="155"/>
      <c r="DD94" s="155"/>
      <c r="DE94" s="156"/>
      <c r="DF94" s="157">
        <f t="shared" si="77"/>
        <v>0</v>
      </c>
      <c r="DG94" s="280"/>
      <c r="DH94" s="159">
        <f t="shared" si="276"/>
        <v>0</v>
      </c>
      <c r="DI94" s="160">
        <f t="shared" si="277"/>
        <v>0</v>
      </c>
      <c r="DJ94" s="161">
        <f t="shared" si="278"/>
        <v>0</v>
      </c>
    </row>
    <row r="95" spans="1:117" ht="15" hidden="1" customHeight="1" outlineLevel="1">
      <c r="A95" s="607"/>
      <c r="B95" s="558"/>
      <c r="C95" s="245" t="s">
        <v>63</v>
      </c>
      <c r="D95" s="184" t="s">
        <v>124</v>
      </c>
      <c r="E95" s="136">
        <f>AF95+AS95+BF95+BS95+CF95+CS95+DF95+S95+DG95</f>
        <v>0</v>
      </c>
      <c r="F95" s="136"/>
      <c r="G95" s="137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9"/>
      <c r="S95" s="162">
        <f t="shared" si="280"/>
        <v>0</v>
      </c>
      <c r="T95" s="380"/>
      <c r="U95" s="381"/>
      <c r="V95" s="381"/>
      <c r="W95" s="381"/>
      <c r="X95" s="381"/>
      <c r="Y95" s="381"/>
      <c r="Z95" s="381"/>
      <c r="AA95" s="381"/>
      <c r="AB95" s="381"/>
      <c r="AC95" s="381"/>
      <c r="AD95" s="381"/>
      <c r="AE95" s="392"/>
      <c r="AF95" s="162">
        <f t="shared" si="288"/>
        <v>0</v>
      </c>
      <c r="AG95" s="501"/>
      <c r="AH95" s="499"/>
      <c r="AI95" s="499"/>
      <c r="AJ95" s="499"/>
      <c r="AK95" s="499"/>
      <c r="AL95" s="499"/>
      <c r="AM95" s="499"/>
      <c r="AN95" s="499"/>
      <c r="AO95" s="499"/>
      <c r="AP95" s="138"/>
      <c r="AQ95" s="138"/>
      <c r="AR95" s="139"/>
      <c r="AS95" s="410">
        <f t="shared" si="188"/>
        <v>0</v>
      </c>
      <c r="AT95" s="138"/>
      <c r="AU95" s="138"/>
      <c r="AV95" s="138"/>
      <c r="AW95" s="138"/>
      <c r="AX95" s="138"/>
      <c r="AY95" s="138"/>
      <c r="AZ95" s="138"/>
      <c r="BA95" s="138"/>
      <c r="BB95" s="138"/>
      <c r="BC95" s="138"/>
      <c r="BD95" s="138"/>
      <c r="BE95" s="139"/>
      <c r="BF95" s="162">
        <f t="shared" si="274"/>
        <v>0</v>
      </c>
      <c r="BG95" s="141"/>
      <c r="BH95" s="138"/>
      <c r="BI95" s="138"/>
      <c r="BJ95" s="138"/>
      <c r="BK95" s="138"/>
      <c r="BL95" s="138"/>
      <c r="BM95" s="138"/>
      <c r="BN95" s="138"/>
      <c r="BO95" s="138"/>
      <c r="BP95" s="138"/>
      <c r="BQ95" s="138"/>
      <c r="BR95" s="139"/>
      <c r="BS95" s="162">
        <f t="shared" si="275"/>
        <v>0</v>
      </c>
      <c r="BT95" s="141"/>
      <c r="BU95" s="138"/>
      <c r="BV95" s="138"/>
      <c r="BW95" s="138"/>
      <c r="BX95" s="138"/>
      <c r="BY95" s="138"/>
      <c r="BZ95" s="138"/>
      <c r="CA95" s="138"/>
      <c r="CB95" s="138"/>
      <c r="CC95" s="138"/>
      <c r="CD95" s="138"/>
      <c r="CE95" s="139"/>
      <c r="CF95" s="162">
        <f>SUM(BT95:CE95)</f>
        <v>0</v>
      </c>
      <c r="CG95" s="141"/>
      <c r="CH95" s="138"/>
      <c r="CI95" s="138"/>
      <c r="CJ95" s="138"/>
      <c r="CK95" s="138"/>
      <c r="CL95" s="138"/>
      <c r="CM95" s="138"/>
      <c r="CN95" s="138"/>
      <c r="CO95" s="138"/>
      <c r="CP95" s="138"/>
      <c r="CQ95" s="138"/>
      <c r="CR95" s="139"/>
      <c r="CS95" s="162">
        <f>SUM(CG95:CR95)</f>
        <v>0</v>
      </c>
      <c r="CT95" s="141"/>
      <c r="CU95" s="138"/>
      <c r="CV95" s="138"/>
      <c r="CW95" s="138"/>
      <c r="CX95" s="138"/>
      <c r="CY95" s="138"/>
      <c r="CZ95" s="138"/>
      <c r="DA95" s="138"/>
      <c r="DB95" s="138"/>
      <c r="DC95" s="138"/>
      <c r="DD95" s="138"/>
      <c r="DE95" s="139"/>
      <c r="DF95" s="162">
        <f t="shared" si="77"/>
        <v>0</v>
      </c>
      <c r="DG95" s="279"/>
      <c r="DH95" s="90">
        <f t="shared" si="276"/>
        <v>0</v>
      </c>
      <c r="DI95" s="91">
        <f t="shared" si="277"/>
        <v>0</v>
      </c>
      <c r="DJ95" s="92">
        <f t="shared" si="278"/>
        <v>0</v>
      </c>
      <c r="DK95" s="64" t="e">
        <f>+DH95/DH94</f>
        <v>#DIV/0!</v>
      </c>
    </row>
    <row r="96" spans="1:117" ht="15" hidden="1" customHeight="1" outlineLevel="1">
      <c r="A96" s="607"/>
      <c r="B96" s="559"/>
      <c r="C96" s="357" t="s">
        <v>11</v>
      </c>
      <c r="D96" s="358"/>
      <c r="E96" s="143">
        <f t="shared" ref="E96:R96" si="297">+E94-E95</f>
        <v>0</v>
      </c>
      <c r="F96" s="144">
        <f t="shared" si="297"/>
        <v>0</v>
      </c>
      <c r="G96" s="145">
        <f t="shared" si="297"/>
        <v>0</v>
      </c>
      <c r="H96" s="145">
        <f t="shared" si="297"/>
        <v>0</v>
      </c>
      <c r="I96" s="145">
        <f t="shared" si="297"/>
        <v>0</v>
      </c>
      <c r="J96" s="145">
        <f t="shared" si="297"/>
        <v>0</v>
      </c>
      <c r="K96" s="145">
        <f t="shared" si="297"/>
        <v>0</v>
      </c>
      <c r="L96" s="145">
        <f t="shared" si="297"/>
        <v>0</v>
      </c>
      <c r="M96" s="145">
        <f t="shared" si="297"/>
        <v>0</v>
      </c>
      <c r="N96" s="145">
        <f t="shared" si="297"/>
        <v>0</v>
      </c>
      <c r="O96" s="145">
        <f t="shared" si="297"/>
        <v>0</v>
      </c>
      <c r="P96" s="145">
        <f t="shared" si="297"/>
        <v>0</v>
      </c>
      <c r="Q96" s="145">
        <f t="shared" si="297"/>
        <v>0</v>
      </c>
      <c r="R96" s="146">
        <f t="shared" si="297"/>
        <v>0</v>
      </c>
      <c r="S96" s="147">
        <f t="shared" si="280"/>
        <v>0</v>
      </c>
      <c r="T96" s="148">
        <f t="shared" ref="T96:AE96" si="298">+T94-T95</f>
        <v>0</v>
      </c>
      <c r="U96" s="145">
        <f t="shared" si="298"/>
        <v>0</v>
      </c>
      <c r="V96" s="145">
        <f t="shared" si="298"/>
        <v>0</v>
      </c>
      <c r="W96" s="145">
        <f t="shared" si="298"/>
        <v>0</v>
      </c>
      <c r="X96" s="145">
        <f t="shared" si="298"/>
        <v>0</v>
      </c>
      <c r="Y96" s="145">
        <f t="shared" si="298"/>
        <v>0</v>
      </c>
      <c r="Z96" s="145">
        <f t="shared" si="298"/>
        <v>0</v>
      </c>
      <c r="AA96" s="145">
        <f t="shared" si="298"/>
        <v>0</v>
      </c>
      <c r="AB96" s="145">
        <f t="shared" si="298"/>
        <v>0</v>
      </c>
      <c r="AC96" s="145">
        <f t="shared" si="298"/>
        <v>0</v>
      </c>
      <c r="AD96" s="145">
        <f t="shared" si="298"/>
        <v>0</v>
      </c>
      <c r="AE96" s="146">
        <f t="shared" si="298"/>
        <v>0</v>
      </c>
      <c r="AF96" s="147">
        <f t="shared" si="288"/>
        <v>0</v>
      </c>
      <c r="AG96" s="148">
        <f t="shared" ref="AG96:AR96" si="299">+AG94-AG95</f>
        <v>0</v>
      </c>
      <c r="AH96" s="145">
        <f t="shared" si="299"/>
        <v>0</v>
      </c>
      <c r="AI96" s="145">
        <f t="shared" si="299"/>
        <v>0</v>
      </c>
      <c r="AJ96" s="145">
        <f t="shared" si="299"/>
        <v>0</v>
      </c>
      <c r="AK96" s="145">
        <f t="shared" si="299"/>
        <v>0</v>
      </c>
      <c r="AL96" s="145">
        <f t="shared" si="299"/>
        <v>0</v>
      </c>
      <c r="AM96" s="145">
        <f t="shared" si="299"/>
        <v>0</v>
      </c>
      <c r="AN96" s="145">
        <f t="shared" si="299"/>
        <v>0</v>
      </c>
      <c r="AO96" s="145">
        <f t="shared" si="299"/>
        <v>0</v>
      </c>
      <c r="AP96" s="145">
        <f t="shared" si="299"/>
        <v>0</v>
      </c>
      <c r="AQ96" s="145">
        <f t="shared" si="299"/>
        <v>0</v>
      </c>
      <c r="AR96" s="146">
        <f t="shared" si="299"/>
        <v>0</v>
      </c>
      <c r="AS96" s="408">
        <f t="shared" si="188"/>
        <v>0</v>
      </c>
      <c r="AT96" s="148">
        <f t="shared" ref="AT96:BE96" si="300">+AT94-AT95</f>
        <v>0</v>
      </c>
      <c r="AU96" s="145">
        <f t="shared" si="300"/>
        <v>0</v>
      </c>
      <c r="AV96" s="145">
        <f t="shared" si="300"/>
        <v>0</v>
      </c>
      <c r="AW96" s="145">
        <f t="shared" si="300"/>
        <v>0</v>
      </c>
      <c r="AX96" s="145">
        <f t="shared" si="300"/>
        <v>0</v>
      </c>
      <c r="AY96" s="145">
        <f t="shared" si="300"/>
        <v>0</v>
      </c>
      <c r="AZ96" s="145">
        <f t="shared" si="300"/>
        <v>0</v>
      </c>
      <c r="BA96" s="145">
        <f t="shared" si="300"/>
        <v>0</v>
      </c>
      <c r="BB96" s="145">
        <f t="shared" si="300"/>
        <v>0</v>
      </c>
      <c r="BC96" s="145">
        <f t="shared" si="300"/>
        <v>0</v>
      </c>
      <c r="BD96" s="145">
        <f t="shared" si="300"/>
        <v>0</v>
      </c>
      <c r="BE96" s="146">
        <f t="shared" si="300"/>
        <v>0</v>
      </c>
      <c r="BF96" s="147">
        <f t="shared" si="274"/>
        <v>0</v>
      </c>
      <c r="BG96" s="148">
        <f t="shared" ref="BG96:BR96" si="301">+BG94-BG95</f>
        <v>0</v>
      </c>
      <c r="BH96" s="145">
        <f t="shared" si="301"/>
        <v>0</v>
      </c>
      <c r="BI96" s="145">
        <f t="shared" si="301"/>
        <v>0</v>
      </c>
      <c r="BJ96" s="145">
        <f t="shared" si="301"/>
        <v>0</v>
      </c>
      <c r="BK96" s="145">
        <f t="shared" si="301"/>
        <v>0</v>
      </c>
      <c r="BL96" s="145">
        <f t="shared" si="301"/>
        <v>0</v>
      </c>
      <c r="BM96" s="145">
        <f t="shared" si="301"/>
        <v>0</v>
      </c>
      <c r="BN96" s="145">
        <f t="shared" si="301"/>
        <v>0</v>
      </c>
      <c r="BO96" s="145">
        <f t="shared" si="301"/>
        <v>0</v>
      </c>
      <c r="BP96" s="145">
        <f t="shared" si="301"/>
        <v>0</v>
      </c>
      <c r="BQ96" s="145">
        <f t="shared" si="301"/>
        <v>0</v>
      </c>
      <c r="BR96" s="146">
        <f t="shared" si="301"/>
        <v>0</v>
      </c>
      <c r="BS96" s="147">
        <f t="shared" si="275"/>
        <v>0</v>
      </c>
      <c r="BT96" s="148">
        <f t="shared" ref="BT96:CE96" si="302">+BT94-BT95</f>
        <v>0</v>
      </c>
      <c r="BU96" s="145">
        <f t="shared" si="302"/>
        <v>0</v>
      </c>
      <c r="BV96" s="145">
        <f t="shared" si="302"/>
        <v>0</v>
      </c>
      <c r="BW96" s="145">
        <f t="shared" si="302"/>
        <v>0</v>
      </c>
      <c r="BX96" s="145">
        <f t="shared" si="302"/>
        <v>0</v>
      </c>
      <c r="BY96" s="145">
        <f t="shared" si="302"/>
        <v>0</v>
      </c>
      <c r="BZ96" s="145">
        <f t="shared" si="302"/>
        <v>0</v>
      </c>
      <c r="CA96" s="145">
        <f t="shared" si="302"/>
        <v>0</v>
      </c>
      <c r="CB96" s="145">
        <f t="shared" si="302"/>
        <v>0</v>
      </c>
      <c r="CC96" s="145">
        <f t="shared" si="302"/>
        <v>0</v>
      </c>
      <c r="CD96" s="145">
        <f t="shared" si="302"/>
        <v>0</v>
      </c>
      <c r="CE96" s="146">
        <f t="shared" si="302"/>
        <v>0</v>
      </c>
      <c r="CF96" s="147">
        <f>SUM(BT96:CE96)</f>
        <v>0</v>
      </c>
      <c r="CG96" s="148">
        <f t="shared" ref="CG96:CR96" si="303">+CG94-CG95</f>
        <v>0</v>
      </c>
      <c r="CH96" s="145">
        <f t="shared" si="303"/>
        <v>0</v>
      </c>
      <c r="CI96" s="145">
        <f t="shared" si="303"/>
        <v>0</v>
      </c>
      <c r="CJ96" s="145">
        <f t="shared" si="303"/>
        <v>0</v>
      </c>
      <c r="CK96" s="145">
        <f t="shared" si="303"/>
        <v>0</v>
      </c>
      <c r="CL96" s="145">
        <f t="shared" si="303"/>
        <v>0</v>
      </c>
      <c r="CM96" s="145">
        <f t="shared" si="303"/>
        <v>0</v>
      </c>
      <c r="CN96" s="145">
        <f t="shared" si="303"/>
        <v>0</v>
      </c>
      <c r="CO96" s="145">
        <f t="shared" si="303"/>
        <v>0</v>
      </c>
      <c r="CP96" s="145">
        <f t="shared" si="303"/>
        <v>0</v>
      </c>
      <c r="CQ96" s="145">
        <f t="shared" si="303"/>
        <v>0</v>
      </c>
      <c r="CR96" s="146">
        <f t="shared" si="303"/>
        <v>0</v>
      </c>
      <c r="CS96" s="147">
        <f>SUM(CG96:CR96)</f>
        <v>0</v>
      </c>
      <c r="CT96" s="148">
        <f t="shared" ref="CT96:DE96" si="304">+CT94-CT95</f>
        <v>0</v>
      </c>
      <c r="CU96" s="145">
        <f t="shared" si="304"/>
        <v>0</v>
      </c>
      <c r="CV96" s="145">
        <f t="shared" si="304"/>
        <v>0</v>
      </c>
      <c r="CW96" s="145">
        <f t="shared" si="304"/>
        <v>0</v>
      </c>
      <c r="CX96" s="145">
        <f t="shared" si="304"/>
        <v>0</v>
      </c>
      <c r="CY96" s="145">
        <f t="shared" si="304"/>
        <v>0</v>
      </c>
      <c r="CZ96" s="145">
        <f t="shared" si="304"/>
        <v>0</v>
      </c>
      <c r="DA96" s="145">
        <f t="shared" si="304"/>
        <v>0</v>
      </c>
      <c r="DB96" s="145">
        <f t="shared" si="304"/>
        <v>0</v>
      </c>
      <c r="DC96" s="145">
        <f t="shared" si="304"/>
        <v>0</v>
      </c>
      <c r="DD96" s="145">
        <f t="shared" si="304"/>
        <v>0</v>
      </c>
      <c r="DE96" s="146">
        <f t="shared" si="304"/>
        <v>0</v>
      </c>
      <c r="DF96" s="147">
        <f t="shared" si="77"/>
        <v>0</v>
      </c>
      <c r="DG96" s="146">
        <f>+DG94-DG95</f>
        <v>0</v>
      </c>
      <c r="DH96" s="98">
        <f t="shared" si="276"/>
        <v>0</v>
      </c>
      <c r="DI96" s="99">
        <f t="shared" si="277"/>
        <v>0</v>
      </c>
      <c r="DJ96" s="100">
        <f t="shared" si="278"/>
        <v>0</v>
      </c>
    </row>
    <row r="97" spans="1:117" ht="15" hidden="1" customHeight="1" outlineLevel="1">
      <c r="A97" s="607"/>
      <c r="B97" s="557"/>
      <c r="C97" s="246" t="s">
        <v>62</v>
      </c>
      <c r="D97" s="183" t="s">
        <v>122</v>
      </c>
      <c r="E97" s="153">
        <f>AF97+AS97+BF97+BS97+CF97+CS97+DF97+S97+DG97</f>
        <v>0</v>
      </c>
      <c r="F97" s="153"/>
      <c r="G97" s="154"/>
      <c r="H97" s="155"/>
      <c r="I97" s="155"/>
      <c r="J97" s="155"/>
      <c r="K97" s="155"/>
      <c r="L97" s="155"/>
      <c r="M97" s="155"/>
      <c r="N97" s="155"/>
      <c r="O97" s="155"/>
      <c r="P97" s="155"/>
      <c r="Q97" s="155"/>
      <c r="R97" s="284"/>
      <c r="S97" s="157">
        <f t="shared" si="280"/>
        <v>0</v>
      </c>
      <c r="T97" s="378"/>
      <c r="U97" s="382"/>
      <c r="V97" s="382"/>
      <c r="W97" s="382"/>
      <c r="X97" s="382"/>
      <c r="Y97" s="382"/>
      <c r="Z97" s="382"/>
      <c r="AA97" s="382"/>
      <c r="AB97" s="382"/>
      <c r="AC97" s="382"/>
      <c r="AD97" s="382"/>
      <c r="AE97" s="481"/>
      <c r="AF97" s="157">
        <f t="shared" ref="AF97:AF102" si="305">SUM(T97:AE97)</f>
        <v>0</v>
      </c>
      <c r="AG97" s="500"/>
      <c r="AH97" s="513"/>
      <c r="AI97" s="513"/>
      <c r="AJ97" s="513"/>
      <c r="AK97" s="513"/>
      <c r="AL97" s="513"/>
      <c r="AM97" s="513"/>
      <c r="AN97" s="513"/>
      <c r="AO97" s="513"/>
      <c r="AP97" s="155"/>
      <c r="AQ97" s="155"/>
      <c r="AR97" s="156"/>
      <c r="AS97" s="409">
        <f t="shared" si="188"/>
        <v>0</v>
      </c>
      <c r="AT97" s="158"/>
      <c r="AU97" s="155"/>
      <c r="AV97" s="155"/>
      <c r="AW97" s="155"/>
      <c r="AX97" s="155"/>
      <c r="AY97" s="155"/>
      <c r="AZ97" s="155"/>
      <c r="BA97" s="155"/>
      <c r="BB97" s="155"/>
      <c r="BC97" s="155"/>
      <c r="BD97" s="155"/>
      <c r="BE97" s="156"/>
      <c r="BF97" s="157">
        <f t="shared" si="274"/>
        <v>0</v>
      </c>
      <c r="BG97" s="158"/>
      <c r="BH97" s="155"/>
      <c r="BI97" s="155"/>
      <c r="BJ97" s="155"/>
      <c r="BK97" s="155"/>
      <c r="BL97" s="155"/>
      <c r="BM97" s="155"/>
      <c r="BN97" s="155"/>
      <c r="BO97" s="155"/>
      <c r="BP97" s="155"/>
      <c r="BQ97" s="155"/>
      <c r="BR97" s="156"/>
      <c r="BS97" s="157">
        <f t="shared" si="275"/>
        <v>0</v>
      </c>
      <c r="BT97" s="158"/>
      <c r="BU97" s="155"/>
      <c r="BV97" s="155"/>
      <c r="BW97" s="155"/>
      <c r="BX97" s="155"/>
      <c r="BY97" s="155"/>
      <c r="BZ97" s="155"/>
      <c r="CA97" s="155"/>
      <c r="CB97" s="155"/>
      <c r="CC97" s="155"/>
      <c r="CD97" s="155"/>
      <c r="CE97" s="156"/>
      <c r="CF97" s="157">
        <f t="shared" si="75"/>
        <v>0</v>
      </c>
      <c r="CG97" s="158"/>
      <c r="CH97" s="155"/>
      <c r="CI97" s="155"/>
      <c r="CJ97" s="155"/>
      <c r="CK97" s="155"/>
      <c r="CL97" s="155"/>
      <c r="CM97" s="155"/>
      <c r="CN97" s="155"/>
      <c r="CO97" s="155"/>
      <c r="CP97" s="155"/>
      <c r="CQ97" s="155"/>
      <c r="CR97" s="156"/>
      <c r="CS97" s="157">
        <f t="shared" si="76"/>
        <v>0</v>
      </c>
      <c r="CT97" s="158"/>
      <c r="CU97" s="155"/>
      <c r="CV97" s="155"/>
      <c r="CW97" s="155"/>
      <c r="CX97" s="155"/>
      <c r="CY97" s="155"/>
      <c r="CZ97" s="155"/>
      <c r="DA97" s="155"/>
      <c r="DB97" s="155"/>
      <c r="DC97" s="155"/>
      <c r="DD97" s="155"/>
      <c r="DE97" s="156"/>
      <c r="DF97" s="157">
        <f t="shared" si="77"/>
        <v>0</v>
      </c>
      <c r="DG97" s="280"/>
      <c r="DH97" s="159">
        <f t="shared" si="276"/>
        <v>0</v>
      </c>
      <c r="DI97" s="160">
        <f t="shared" si="277"/>
        <v>0</v>
      </c>
      <c r="DJ97" s="161">
        <f t="shared" si="278"/>
        <v>0</v>
      </c>
    </row>
    <row r="98" spans="1:117" ht="15" hidden="1" customHeight="1" outlineLevel="1">
      <c r="A98" s="607"/>
      <c r="B98" s="558"/>
      <c r="C98" s="245" t="s">
        <v>63</v>
      </c>
      <c r="D98" s="184" t="s">
        <v>124</v>
      </c>
      <c r="E98" s="136">
        <f>AF98+AS98+BF98+BS98+CF98+CS98+DF98+S98+DG98</f>
        <v>0</v>
      </c>
      <c r="F98" s="136"/>
      <c r="G98" s="137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9"/>
      <c r="S98" s="162">
        <f t="shared" si="280"/>
        <v>0</v>
      </c>
      <c r="T98" s="380"/>
      <c r="U98" s="381"/>
      <c r="V98" s="381"/>
      <c r="W98" s="381"/>
      <c r="X98" s="381"/>
      <c r="Y98" s="381"/>
      <c r="Z98" s="381"/>
      <c r="AA98" s="381"/>
      <c r="AB98" s="381"/>
      <c r="AC98" s="381"/>
      <c r="AD98" s="381"/>
      <c r="AE98" s="392"/>
      <c r="AF98" s="162">
        <f t="shared" si="305"/>
        <v>0</v>
      </c>
      <c r="AG98" s="501"/>
      <c r="AH98" s="499"/>
      <c r="AI98" s="499"/>
      <c r="AJ98" s="499"/>
      <c r="AK98" s="499"/>
      <c r="AL98" s="499"/>
      <c r="AM98" s="499"/>
      <c r="AN98" s="499"/>
      <c r="AO98" s="499"/>
      <c r="AP98" s="138"/>
      <c r="AQ98" s="138"/>
      <c r="AR98" s="139"/>
      <c r="AS98" s="410">
        <f t="shared" si="188"/>
        <v>0</v>
      </c>
      <c r="AT98" s="141"/>
      <c r="AU98" s="138"/>
      <c r="AV98" s="138"/>
      <c r="AW98" s="138"/>
      <c r="AX98" s="138"/>
      <c r="AY98" s="138"/>
      <c r="AZ98" s="138"/>
      <c r="BA98" s="138"/>
      <c r="BB98" s="138"/>
      <c r="BC98" s="138"/>
      <c r="BD98" s="138"/>
      <c r="BE98" s="139"/>
      <c r="BF98" s="162">
        <f t="shared" si="274"/>
        <v>0</v>
      </c>
      <c r="BG98" s="141"/>
      <c r="BH98" s="138"/>
      <c r="BI98" s="138"/>
      <c r="BJ98" s="138"/>
      <c r="BK98" s="138"/>
      <c r="BL98" s="138"/>
      <c r="BM98" s="138"/>
      <c r="BN98" s="138"/>
      <c r="BO98" s="138"/>
      <c r="BP98" s="138"/>
      <c r="BQ98" s="138"/>
      <c r="BR98" s="139"/>
      <c r="BS98" s="162">
        <f t="shared" si="275"/>
        <v>0</v>
      </c>
      <c r="BT98" s="141"/>
      <c r="BU98" s="138"/>
      <c r="BV98" s="138"/>
      <c r="BW98" s="138"/>
      <c r="BX98" s="138"/>
      <c r="BY98" s="138"/>
      <c r="BZ98" s="138"/>
      <c r="CA98" s="138"/>
      <c r="CB98" s="138"/>
      <c r="CC98" s="138"/>
      <c r="CD98" s="138"/>
      <c r="CE98" s="139"/>
      <c r="CF98" s="162">
        <f t="shared" si="75"/>
        <v>0</v>
      </c>
      <c r="CG98" s="141"/>
      <c r="CH98" s="138"/>
      <c r="CI98" s="138"/>
      <c r="CJ98" s="138"/>
      <c r="CK98" s="138"/>
      <c r="CL98" s="138"/>
      <c r="CM98" s="138"/>
      <c r="CN98" s="138"/>
      <c r="CO98" s="138"/>
      <c r="CP98" s="138"/>
      <c r="CQ98" s="138"/>
      <c r="CR98" s="138"/>
      <c r="CS98" s="162">
        <f t="shared" si="76"/>
        <v>0</v>
      </c>
      <c r="CT98" s="141"/>
      <c r="CU98" s="138"/>
      <c r="CV98" s="138"/>
      <c r="CW98" s="138"/>
      <c r="CX98" s="138"/>
      <c r="CY98" s="138"/>
      <c r="CZ98" s="138"/>
      <c r="DA98" s="138"/>
      <c r="DB98" s="138"/>
      <c r="DC98" s="138"/>
      <c r="DD98" s="138"/>
      <c r="DE98" s="138"/>
      <c r="DF98" s="162">
        <f t="shared" si="77"/>
        <v>0</v>
      </c>
      <c r="DG98" s="279"/>
      <c r="DH98" s="90">
        <f t="shared" si="276"/>
        <v>0</v>
      </c>
      <c r="DI98" s="91">
        <f t="shared" si="277"/>
        <v>0</v>
      </c>
      <c r="DJ98" s="92">
        <f t="shared" si="278"/>
        <v>0</v>
      </c>
      <c r="DK98" s="64" t="e">
        <f>+DH98/DH97</f>
        <v>#DIV/0!</v>
      </c>
    </row>
    <row r="99" spans="1:117" ht="15" hidden="1" customHeight="1" outlineLevel="1">
      <c r="A99" s="607"/>
      <c r="B99" s="559"/>
      <c r="C99" s="357" t="s">
        <v>11</v>
      </c>
      <c r="D99" s="358"/>
      <c r="E99" s="143">
        <f t="shared" ref="E99:R99" si="306">+E97-E98</f>
        <v>0</v>
      </c>
      <c r="F99" s="144">
        <f t="shared" si="306"/>
        <v>0</v>
      </c>
      <c r="G99" s="145">
        <f t="shared" si="306"/>
        <v>0</v>
      </c>
      <c r="H99" s="145">
        <f t="shared" si="306"/>
        <v>0</v>
      </c>
      <c r="I99" s="145">
        <f t="shared" si="306"/>
        <v>0</v>
      </c>
      <c r="J99" s="145">
        <f t="shared" si="306"/>
        <v>0</v>
      </c>
      <c r="K99" s="145">
        <f t="shared" si="306"/>
        <v>0</v>
      </c>
      <c r="L99" s="145">
        <f t="shared" si="306"/>
        <v>0</v>
      </c>
      <c r="M99" s="145">
        <f t="shared" si="306"/>
        <v>0</v>
      </c>
      <c r="N99" s="145">
        <f t="shared" si="306"/>
        <v>0</v>
      </c>
      <c r="O99" s="145">
        <f t="shared" si="306"/>
        <v>0</v>
      </c>
      <c r="P99" s="145">
        <f t="shared" si="306"/>
        <v>0</v>
      </c>
      <c r="Q99" s="145">
        <f t="shared" si="306"/>
        <v>0</v>
      </c>
      <c r="R99" s="146">
        <f t="shared" si="306"/>
        <v>0</v>
      </c>
      <c r="S99" s="147">
        <f t="shared" si="280"/>
        <v>0</v>
      </c>
      <c r="T99" s="148">
        <f t="shared" ref="T99:AE99" si="307">+T97-T98</f>
        <v>0</v>
      </c>
      <c r="U99" s="145">
        <f t="shared" si="307"/>
        <v>0</v>
      </c>
      <c r="V99" s="145">
        <f t="shared" si="307"/>
        <v>0</v>
      </c>
      <c r="W99" s="145">
        <f t="shared" si="307"/>
        <v>0</v>
      </c>
      <c r="X99" s="145">
        <f t="shared" si="307"/>
        <v>0</v>
      </c>
      <c r="Y99" s="145">
        <f t="shared" si="307"/>
        <v>0</v>
      </c>
      <c r="Z99" s="145">
        <f t="shared" si="307"/>
        <v>0</v>
      </c>
      <c r="AA99" s="145">
        <f t="shared" si="307"/>
        <v>0</v>
      </c>
      <c r="AB99" s="145">
        <f t="shared" si="307"/>
        <v>0</v>
      </c>
      <c r="AC99" s="145">
        <f t="shared" si="307"/>
        <v>0</v>
      </c>
      <c r="AD99" s="145">
        <f t="shared" si="307"/>
        <v>0</v>
      </c>
      <c r="AE99" s="146">
        <f t="shared" si="307"/>
        <v>0</v>
      </c>
      <c r="AF99" s="147">
        <f t="shared" si="305"/>
        <v>0</v>
      </c>
      <c r="AG99" s="148">
        <f t="shared" ref="AG99:AR99" si="308">+AG97-AG98</f>
        <v>0</v>
      </c>
      <c r="AH99" s="145">
        <f t="shared" si="308"/>
        <v>0</v>
      </c>
      <c r="AI99" s="145">
        <f t="shared" si="308"/>
        <v>0</v>
      </c>
      <c r="AJ99" s="145">
        <f t="shared" si="308"/>
        <v>0</v>
      </c>
      <c r="AK99" s="145">
        <f t="shared" si="308"/>
        <v>0</v>
      </c>
      <c r="AL99" s="145">
        <f t="shared" si="308"/>
        <v>0</v>
      </c>
      <c r="AM99" s="145">
        <f t="shared" si="308"/>
        <v>0</v>
      </c>
      <c r="AN99" s="145">
        <f t="shared" si="308"/>
        <v>0</v>
      </c>
      <c r="AO99" s="145">
        <f t="shared" si="308"/>
        <v>0</v>
      </c>
      <c r="AP99" s="145">
        <f t="shared" si="308"/>
        <v>0</v>
      </c>
      <c r="AQ99" s="145">
        <f t="shared" si="308"/>
        <v>0</v>
      </c>
      <c r="AR99" s="146">
        <f t="shared" si="308"/>
        <v>0</v>
      </c>
      <c r="AS99" s="408">
        <f t="shared" si="188"/>
        <v>0</v>
      </c>
      <c r="AT99" s="148">
        <f t="shared" ref="AT99:BE99" si="309">+AT97-AT98</f>
        <v>0</v>
      </c>
      <c r="AU99" s="145">
        <f t="shared" si="309"/>
        <v>0</v>
      </c>
      <c r="AV99" s="145">
        <f t="shared" si="309"/>
        <v>0</v>
      </c>
      <c r="AW99" s="145">
        <f t="shared" si="309"/>
        <v>0</v>
      </c>
      <c r="AX99" s="145">
        <f t="shared" si="309"/>
        <v>0</v>
      </c>
      <c r="AY99" s="145">
        <f t="shared" si="309"/>
        <v>0</v>
      </c>
      <c r="AZ99" s="145">
        <f t="shared" si="309"/>
        <v>0</v>
      </c>
      <c r="BA99" s="145">
        <f t="shared" si="309"/>
        <v>0</v>
      </c>
      <c r="BB99" s="145">
        <f t="shared" si="309"/>
        <v>0</v>
      </c>
      <c r="BC99" s="145">
        <f t="shared" si="309"/>
        <v>0</v>
      </c>
      <c r="BD99" s="145">
        <f t="shared" si="309"/>
        <v>0</v>
      </c>
      <c r="BE99" s="146">
        <f t="shared" si="309"/>
        <v>0</v>
      </c>
      <c r="BF99" s="147">
        <f t="shared" si="274"/>
        <v>0</v>
      </c>
      <c r="BG99" s="148">
        <f t="shared" ref="BG99:BR99" si="310">+BG97-BG98</f>
        <v>0</v>
      </c>
      <c r="BH99" s="145">
        <f t="shared" si="310"/>
        <v>0</v>
      </c>
      <c r="BI99" s="145">
        <f t="shared" si="310"/>
        <v>0</v>
      </c>
      <c r="BJ99" s="145">
        <f t="shared" si="310"/>
        <v>0</v>
      </c>
      <c r="BK99" s="145">
        <f t="shared" si="310"/>
        <v>0</v>
      </c>
      <c r="BL99" s="145">
        <f t="shared" si="310"/>
        <v>0</v>
      </c>
      <c r="BM99" s="145">
        <f t="shared" si="310"/>
        <v>0</v>
      </c>
      <c r="BN99" s="145">
        <f t="shared" si="310"/>
        <v>0</v>
      </c>
      <c r="BO99" s="145">
        <f t="shared" si="310"/>
        <v>0</v>
      </c>
      <c r="BP99" s="145">
        <f t="shared" si="310"/>
        <v>0</v>
      </c>
      <c r="BQ99" s="145">
        <f t="shared" si="310"/>
        <v>0</v>
      </c>
      <c r="BR99" s="146">
        <f t="shared" si="310"/>
        <v>0</v>
      </c>
      <c r="BS99" s="147">
        <f t="shared" si="275"/>
        <v>0</v>
      </c>
      <c r="BT99" s="148">
        <f t="shared" ref="BT99:CE99" si="311">+BT97-BT98</f>
        <v>0</v>
      </c>
      <c r="BU99" s="145">
        <f t="shared" si="311"/>
        <v>0</v>
      </c>
      <c r="BV99" s="145">
        <f t="shared" si="311"/>
        <v>0</v>
      </c>
      <c r="BW99" s="145">
        <f t="shared" si="311"/>
        <v>0</v>
      </c>
      <c r="BX99" s="145">
        <f t="shared" si="311"/>
        <v>0</v>
      </c>
      <c r="BY99" s="145">
        <f t="shared" si="311"/>
        <v>0</v>
      </c>
      <c r="BZ99" s="145">
        <f t="shared" si="311"/>
        <v>0</v>
      </c>
      <c r="CA99" s="145">
        <f t="shared" si="311"/>
        <v>0</v>
      </c>
      <c r="CB99" s="145">
        <f t="shared" si="311"/>
        <v>0</v>
      </c>
      <c r="CC99" s="145">
        <f t="shared" si="311"/>
        <v>0</v>
      </c>
      <c r="CD99" s="145">
        <f t="shared" si="311"/>
        <v>0</v>
      </c>
      <c r="CE99" s="146">
        <f t="shared" si="311"/>
        <v>0</v>
      </c>
      <c r="CF99" s="147">
        <f t="shared" si="75"/>
        <v>0</v>
      </c>
      <c r="CG99" s="148">
        <f t="shared" ref="CG99:CR99" si="312">+CG97-CG98</f>
        <v>0</v>
      </c>
      <c r="CH99" s="145">
        <f t="shared" si="312"/>
        <v>0</v>
      </c>
      <c r="CI99" s="145">
        <f t="shared" si="312"/>
        <v>0</v>
      </c>
      <c r="CJ99" s="145">
        <f t="shared" si="312"/>
        <v>0</v>
      </c>
      <c r="CK99" s="145">
        <f t="shared" si="312"/>
        <v>0</v>
      </c>
      <c r="CL99" s="145">
        <f t="shared" si="312"/>
        <v>0</v>
      </c>
      <c r="CM99" s="145">
        <f t="shared" si="312"/>
        <v>0</v>
      </c>
      <c r="CN99" s="145">
        <f t="shared" si="312"/>
        <v>0</v>
      </c>
      <c r="CO99" s="145">
        <f t="shared" si="312"/>
        <v>0</v>
      </c>
      <c r="CP99" s="145">
        <f t="shared" si="312"/>
        <v>0</v>
      </c>
      <c r="CQ99" s="145">
        <f t="shared" si="312"/>
        <v>0</v>
      </c>
      <c r="CR99" s="146">
        <f t="shared" si="312"/>
        <v>0</v>
      </c>
      <c r="CS99" s="147">
        <f t="shared" si="76"/>
        <v>0</v>
      </c>
      <c r="CT99" s="148">
        <f t="shared" ref="CT99:DE99" si="313">+CT97-CT98</f>
        <v>0</v>
      </c>
      <c r="CU99" s="145">
        <f t="shared" si="313"/>
        <v>0</v>
      </c>
      <c r="CV99" s="145">
        <f t="shared" si="313"/>
        <v>0</v>
      </c>
      <c r="CW99" s="145">
        <f t="shared" si="313"/>
        <v>0</v>
      </c>
      <c r="CX99" s="145">
        <f t="shared" si="313"/>
        <v>0</v>
      </c>
      <c r="CY99" s="145">
        <f t="shared" si="313"/>
        <v>0</v>
      </c>
      <c r="CZ99" s="145">
        <f t="shared" si="313"/>
        <v>0</v>
      </c>
      <c r="DA99" s="145">
        <f t="shared" si="313"/>
        <v>0</v>
      </c>
      <c r="DB99" s="145">
        <f t="shared" si="313"/>
        <v>0</v>
      </c>
      <c r="DC99" s="145">
        <f t="shared" si="313"/>
        <v>0</v>
      </c>
      <c r="DD99" s="145">
        <f t="shared" si="313"/>
        <v>0</v>
      </c>
      <c r="DE99" s="146">
        <f t="shared" si="313"/>
        <v>0</v>
      </c>
      <c r="DF99" s="147">
        <f t="shared" si="77"/>
        <v>0</v>
      </c>
      <c r="DG99" s="146">
        <f>+DG97-DG98</f>
        <v>0</v>
      </c>
      <c r="DH99" s="98">
        <f t="shared" si="276"/>
        <v>0</v>
      </c>
      <c r="DI99" s="99">
        <f t="shared" si="277"/>
        <v>0</v>
      </c>
      <c r="DJ99" s="100">
        <f t="shared" si="278"/>
        <v>0</v>
      </c>
    </row>
    <row r="100" spans="1:117" ht="15" hidden="1" customHeight="1" outlineLevel="1">
      <c r="A100" s="607"/>
      <c r="B100" s="557"/>
      <c r="C100" s="246" t="s">
        <v>62</v>
      </c>
      <c r="D100" s="183" t="s">
        <v>122</v>
      </c>
      <c r="E100" s="153">
        <f>AF100+AS100+BF100+BS100+CF100+CS100+DF100+S100+DG100</f>
        <v>0</v>
      </c>
      <c r="F100" s="153"/>
      <c r="G100" s="154"/>
      <c r="H100" s="155"/>
      <c r="I100" s="155"/>
      <c r="J100" s="155"/>
      <c r="K100" s="155"/>
      <c r="L100" s="155"/>
      <c r="M100" s="155"/>
      <c r="N100" s="155"/>
      <c r="O100" s="155"/>
      <c r="P100" s="155"/>
      <c r="Q100" s="155"/>
      <c r="R100" s="284"/>
      <c r="S100" s="157">
        <f t="shared" si="280"/>
        <v>0</v>
      </c>
      <c r="T100" s="378"/>
      <c r="U100" s="382"/>
      <c r="V100" s="382"/>
      <c r="W100" s="382"/>
      <c r="X100" s="389"/>
      <c r="Y100" s="389"/>
      <c r="Z100" s="389"/>
      <c r="AA100" s="389"/>
      <c r="AB100" s="389"/>
      <c r="AC100" s="389"/>
      <c r="AD100" s="389"/>
      <c r="AE100" s="482"/>
      <c r="AF100" s="157">
        <f t="shared" si="305"/>
        <v>0</v>
      </c>
      <c r="AG100" s="500"/>
      <c r="AH100" s="513"/>
      <c r="AI100" s="513"/>
      <c r="AJ100" s="513"/>
      <c r="AK100" s="513"/>
      <c r="AL100" s="513"/>
      <c r="AM100" s="513"/>
      <c r="AN100" s="513"/>
      <c r="AO100" s="513"/>
      <c r="AP100" s="155"/>
      <c r="AQ100" s="155"/>
      <c r="AR100" s="156"/>
      <c r="AS100" s="409">
        <f t="shared" si="188"/>
        <v>0</v>
      </c>
      <c r="AT100" s="158"/>
      <c r="AU100" s="155"/>
      <c r="AV100" s="155"/>
      <c r="AW100" s="155"/>
      <c r="AX100" s="155"/>
      <c r="AY100" s="155"/>
      <c r="AZ100" s="155"/>
      <c r="BA100" s="155"/>
      <c r="BB100" s="155"/>
      <c r="BC100" s="155"/>
      <c r="BD100" s="155"/>
      <c r="BE100" s="156"/>
      <c r="BF100" s="157">
        <f t="shared" si="274"/>
        <v>0</v>
      </c>
      <c r="BG100" s="158"/>
      <c r="BH100" s="155"/>
      <c r="BI100" s="155"/>
      <c r="BJ100" s="155"/>
      <c r="BK100" s="155"/>
      <c r="BL100" s="155"/>
      <c r="BM100" s="155"/>
      <c r="BN100" s="155"/>
      <c r="BO100" s="155"/>
      <c r="BP100" s="155"/>
      <c r="BQ100" s="155"/>
      <c r="BR100" s="156"/>
      <c r="BS100" s="157">
        <f t="shared" si="275"/>
        <v>0</v>
      </c>
      <c r="BT100" s="158"/>
      <c r="BU100" s="155"/>
      <c r="BV100" s="155"/>
      <c r="BW100" s="155"/>
      <c r="BX100" s="155"/>
      <c r="BY100" s="155"/>
      <c r="BZ100" s="155"/>
      <c r="CA100" s="155"/>
      <c r="CB100" s="155"/>
      <c r="CC100" s="155"/>
      <c r="CD100" s="155"/>
      <c r="CE100" s="156"/>
      <c r="CF100" s="157">
        <f t="shared" si="75"/>
        <v>0</v>
      </c>
      <c r="CG100" s="158"/>
      <c r="CH100" s="155"/>
      <c r="CI100" s="155"/>
      <c r="CJ100" s="155"/>
      <c r="CK100" s="155"/>
      <c r="CL100" s="155"/>
      <c r="CM100" s="155"/>
      <c r="CN100" s="155"/>
      <c r="CO100" s="155"/>
      <c r="CP100" s="155"/>
      <c r="CQ100" s="155"/>
      <c r="CR100" s="156"/>
      <c r="CS100" s="157">
        <f t="shared" si="76"/>
        <v>0</v>
      </c>
      <c r="CT100" s="158"/>
      <c r="CU100" s="155"/>
      <c r="CV100" s="155"/>
      <c r="CW100" s="155"/>
      <c r="CX100" s="155"/>
      <c r="CY100" s="155"/>
      <c r="CZ100" s="155"/>
      <c r="DA100" s="155"/>
      <c r="DB100" s="155"/>
      <c r="DC100" s="155"/>
      <c r="DD100" s="155"/>
      <c r="DE100" s="156"/>
      <c r="DF100" s="157">
        <f t="shared" si="77"/>
        <v>0</v>
      </c>
      <c r="DG100" s="280"/>
      <c r="DH100" s="159">
        <f t="shared" si="276"/>
        <v>0</v>
      </c>
      <c r="DI100" s="160">
        <f t="shared" si="277"/>
        <v>0</v>
      </c>
      <c r="DJ100" s="161">
        <f t="shared" si="278"/>
        <v>0</v>
      </c>
    </row>
    <row r="101" spans="1:117" ht="15" hidden="1" customHeight="1" outlineLevel="1">
      <c r="A101" s="607"/>
      <c r="B101" s="560"/>
      <c r="C101" s="245" t="s">
        <v>63</v>
      </c>
      <c r="D101" s="184" t="s">
        <v>124</v>
      </c>
      <c r="E101" s="136">
        <f>AF101+AS101+BF101+BS101+CF101+CS101+DF101+S101+DG101</f>
        <v>0</v>
      </c>
      <c r="F101" s="136"/>
      <c r="G101" s="137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9"/>
      <c r="S101" s="162">
        <f t="shared" si="280"/>
        <v>0</v>
      </c>
      <c r="T101" s="380"/>
      <c r="U101" s="381"/>
      <c r="V101" s="381"/>
      <c r="W101" s="381"/>
      <c r="X101" s="388"/>
      <c r="Y101" s="388"/>
      <c r="Z101" s="388"/>
      <c r="AA101" s="388"/>
      <c r="AB101" s="388"/>
      <c r="AC101" s="388"/>
      <c r="AD101" s="388"/>
      <c r="AE101" s="483"/>
      <c r="AF101" s="162">
        <f t="shared" si="305"/>
        <v>0</v>
      </c>
      <c r="AG101" s="501"/>
      <c r="AH101" s="499"/>
      <c r="AI101" s="499"/>
      <c r="AJ101" s="499"/>
      <c r="AK101" s="499"/>
      <c r="AL101" s="499"/>
      <c r="AM101" s="499"/>
      <c r="AN101" s="499"/>
      <c r="AO101" s="499"/>
      <c r="AP101" s="138"/>
      <c r="AQ101" s="138"/>
      <c r="AR101" s="139"/>
      <c r="AS101" s="410">
        <f t="shared" si="188"/>
        <v>0</v>
      </c>
      <c r="AT101" s="141"/>
      <c r="AU101" s="138"/>
      <c r="AV101" s="138"/>
      <c r="AW101" s="138"/>
      <c r="AX101" s="138"/>
      <c r="AY101" s="138"/>
      <c r="AZ101" s="138"/>
      <c r="BA101" s="138"/>
      <c r="BB101" s="138"/>
      <c r="BC101" s="138"/>
      <c r="BD101" s="138"/>
      <c r="BE101" s="139"/>
      <c r="BF101" s="162">
        <f t="shared" si="274"/>
        <v>0</v>
      </c>
      <c r="BG101" s="141"/>
      <c r="BH101" s="138"/>
      <c r="BI101" s="138"/>
      <c r="BJ101" s="138"/>
      <c r="BK101" s="138"/>
      <c r="BL101" s="138"/>
      <c r="BM101" s="138"/>
      <c r="BN101" s="138"/>
      <c r="BO101" s="138"/>
      <c r="BP101" s="138"/>
      <c r="BQ101" s="138"/>
      <c r="BR101" s="139"/>
      <c r="BS101" s="162">
        <f t="shared" si="275"/>
        <v>0</v>
      </c>
      <c r="BT101" s="141"/>
      <c r="BU101" s="138"/>
      <c r="BV101" s="138"/>
      <c r="BW101" s="138"/>
      <c r="BX101" s="138"/>
      <c r="BY101" s="138"/>
      <c r="BZ101" s="138"/>
      <c r="CA101" s="138"/>
      <c r="CB101" s="138"/>
      <c r="CC101" s="138"/>
      <c r="CD101" s="138"/>
      <c r="CE101" s="139"/>
      <c r="CF101" s="162">
        <f t="shared" si="75"/>
        <v>0</v>
      </c>
      <c r="CG101" s="141"/>
      <c r="CH101" s="138"/>
      <c r="CI101" s="138"/>
      <c r="CJ101" s="138"/>
      <c r="CK101" s="138"/>
      <c r="CL101" s="138"/>
      <c r="CM101" s="138"/>
      <c r="CN101" s="138"/>
      <c r="CO101" s="138"/>
      <c r="CP101" s="138"/>
      <c r="CQ101" s="138"/>
      <c r="CR101" s="139"/>
      <c r="CS101" s="162">
        <f t="shared" si="76"/>
        <v>0</v>
      </c>
      <c r="CT101" s="141"/>
      <c r="CU101" s="138"/>
      <c r="CV101" s="138"/>
      <c r="CW101" s="138"/>
      <c r="CX101" s="138"/>
      <c r="CY101" s="138"/>
      <c r="CZ101" s="138"/>
      <c r="DA101" s="138"/>
      <c r="DB101" s="138"/>
      <c r="DC101" s="138"/>
      <c r="DD101" s="138"/>
      <c r="DE101" s="139"/>
      <c r="DF101" s="162">
        <f t="shared" si="77"/>
        <v>0</v>
      </c>
      <c r="DG101" s="279"/>
      <c r="DH101" s="90">
        <f t="shared" si="276"/>
        <v>0</v>
      </c>
      <c r="DI101" s="91">
        <f t="shared" si="277"/>
        <v>0</v>
      </c>
      <c r="DJ101" s="92">
        <f t="shared" si="278"/>
        <v>0</v>
      </c>
      <c r="DK101" s="64" t="e">
        <f>+DH101/DH100</f>
        <v>#DIV/0!</v>
      </c>
    </row>
    <row r="102" spans="1:117" ht="15" hidden="1" customHeight="1" outlineLevel="1">
      <c r="A102" s="607"/>
      <c r="B102" s="561"/>
      <c r="C102" s="554" t="s">
        <v>11</v>
      </c>
      <c r="D102" s="555"/>
      <c r="E102" s="143">
        <f>+E100-E101</f>
        <v>0</v>
      </c>
      <c r="F102" s="144">
        <f t="shared" ref="F102:R102" si="314">+F100-F101</f>
        <v>0</v>
      </c>
      <c r="G102" s="145">
        <f t="shared" si="314"/>
        <v>0</v>
      </c>
      <c r="H102" s="145">
        <f t="shared" si="314"/>
        <v>0</v>
      </c>
      <c r="I102" s="145">
        <f t="shared" si="314"/>
        <v>0</v>
      </c>
      <c r="J102" s="145">
        <f t="shared" si="314"/>
        <v>0</v>
      </c>
      <c r="K102" s="145">
        <f t="shared" si="314"/>
        <v>0</v>
      </c>
      <c r="L102" s="145">
        <f t="shared" si="314"/>
        <v>0</v>
      </c>
      <c r="M102" s="145">
        <f t="shared" si="314"/>
        <v>0</v>
      </c>
      <c r="N102" s="145">
        <f t="shared" si="314"/>
        <v>0</v>
      </c>
      <c r="O102" s="145">
        <f t="shared" si="314"/>
        <v>0</v>
      </c>
      <c r="P102" s="145">
        <f t="shared" si="314"/>
        <v>0</v>
      </c>
      <c r="Q102" s="145">
        <f t="shared" si="314"/>
        <v>0</v>
      </c>
      <c r="R102" s="146">
        <f t="shared" si="314"/>
        <v>0</v>
      </c>
      <c r="S102" s="147">
        <f t="shared" si="280"/>
        <v>0</v>
      </c>
      <c r="T102" s="148">
        <f t="shared" ref="T102:AE102" si="315">+T100-T101</f>
        <v>0</v>
      </c>
      <c r="U102" s="145">
        <f t="shared" si="315"/>
        <v>0</v>
      </c>
      <c r="V102" s="145">
        <f t="shared" si="315"/>
        <v>0</v>
      </c>
      <c r="W102" s="145">
        <f t="shared" si="315"/>
        <v>0</v>
      </c>
      <c r="X102" s="145">
        <f t="shared" si="315"/>
        <v>0</v>
      </c>
      <c r="Y102" s="145">
        <f t="shared" si="315"/>
        <v>0</v>
      </c>
      <c r="Z102" s="145">
        <f t="shared" si="315"/>
        <v>0</v>
      </c>
      <c r="AA102" s="145">
        <f t="shared" si="315"/>
        <v>0</v>
      </c>
      <c r="AB102" s="145">
        <f t="shared" si="315"/>
        <v>0</v>
      </c>
      <c r="AC102" s="145">
        <f t="shared" si="315"/>
        <v>0</v>
      </c>
      <c r="AD102" s="145">
        <f t="shared" si="315"/>
        <v>0</v>
      </c>
      <c r="AE102" s="146">
        <f t="shared" si="315"/>
        <v>0</v>
      </c>
      <c r="AF102" s="147">
        <f t="shared" si="305"/>
        <v>0</v>
      </c>
      <c r="AG102" s="148">
        <f t="shared" ref="AG102:AR102" si="316">+AG100-AG101</f>
        <v>0</v>
      </c>
      <c r="AH102" s="145">
        <f t="shared" si="316"/>
        <v>0</v>
      </c>
      <c r="AI102" s="145">
        <f t="shared" si="316"/>
        <v>0</v>
      </c>
      <c r="AJ102" s="145">
        <f t="shared" si="316"/>
        <v>0</v>
      </c>
      <c r="AK102" s="145">
        <f t="shared" si="316"/>
        <v>0</v>
      </c>
      <c r="AL102" s="145">
        <f t="shared" si="316"/>
        <v>0</v>
      </c>
      <c r="AM102" s="145">
        <f t="shared" si="316"/>
        <v>0</v>
      </c>
      <c r="AN102" s="145">
        <f t="shared" si="316"/>
        <v>0</v>
      </c>
      <c r="AO102" s="145">
        <f t="shared" si="316"/>
        <v>0</v>
      </c>
      <c r="AP102" s="145">
        <f t="shared" si="316"/>
        <v>0</v>
      </c>
      <c r="AQ102" s="145">
        <f t="shared" si="316"/>
        <v>0</v>
      </c>
      <c r="AR102" s="146">
        <f t="shared" si="316"/>
        <v>0</v>
      </c>
      <c r="AS102" s="408">
        <f t="shared" si="188"/>
        <v>0</v>
      </c>
      <c r="AT102" s="148">
        <f t="shared" ref="AT102:BE102" si="317">+AT100-AT101</f>
        <v>0</v>
      </c>
      <c r="AU102" s="145">
        <f t="shared" si="317"/>
        <v>0</v>
      </c>
      <c r="AV102" s="145">
        <f t="shared" si="317"/>
        <v>0</v>
      </c>
      <c r="AW102" s="145">
        <f t="shared" si="317"/>
        <v>0</v>
      </c>
      <c r="AX102" s="145">
        <f t="shared" si="317"/>
        <v>0</v>
      </c>
      <c r="AY102" s="145">
        <f t="shared" si="317"/>
        <v>0</v>
      </c>
      <c r="AZ102" s="145">
        <f t="shared" si="317"/>
        <v>0</v>
      </c>
      <c r="BA102" s="145">
        <f t="shared" si="317"/>
        <v>0</v>
      </c>
      <c r="BB102" s="145">
        <f t="shared" si="317"/>
        <v>0</v>
      </c>
      <c r="BC102" s="145">
        <f t="shared" si="317"/>
        <v>0</v>
      </c>
      <c r="BD102" s="145">
        <f t="shared" si="317"/>
        <v>0</v>
      </c>
      <c r="BE102" s="146">
        <f t="shared" si="317"/>
        <v>0</v>
      </c>
      <c r="BF102" s="147">
        <f t="shared" si="274"/>
        <v>0</v>
      </c>
      <c r="BG102" s="148">
        <f t="shared" ref="BG102:BR102" si="318">+BG100-BG101</f>
        <v>0</v>
      </c>
      <c r="BH102" s="145">
        <f t="shared" si="318"/>
        <v>0</v>
      </c>
      <c r="BI102" s="145">
        <f t="shared" si="318"/>
        <v>0</v>
      </c>
      <c r="BJ102" s="145">
        <f t="shared" si="318"/>
        <v>0</v>
      </c>
      <c r="BK102" s="145">
        <f t="shared" si="318"/>
        <v>0</v>
      </c>
      <c r="BL102" s="145">
        <f t="shared" si="318"/>
        <v>0</v>
      </c>
      <c r="BM102" s="145">
        <f t="shared" si="318"/>
        <v>0</v>
      </c>
      <c r="BN102" s="145">
        <f t="shared" si="318"/>
        <v>0</v>
      </c>
      <c r="BO102" s="145">
        <f t="shared" si="318"/>
        <v>0</v>
      </c>
      <c r="BP102" s="145">
        <f t="shared" si="318"/>
        <v>0</v>
      </c>
      <c r="BQ102" s="145">
        <f t="shared" si="318"/>
        <v>0</v>
      </c>
      <c r="BR102" s="146">
        <f t="shared" si="318"/>
        <v>0</v>
      </c>
      <c r="BS102" s="147">
        <f t="shared" si="275"/>
        <v>0</v>
      </c>
      <c r="BT102" s="148">
        <f t="shared" ref="BT102:CE102" si="319">+BT100-BT101</f>
        <v>0</v>
      </c>
      <c r="BU102" s="145">
        <f t="shared" si="319"/>
        <v>0</v>
      </c>
      <c r="BV102" s="145">
        <f t="shared" si="319"/>
        <v>0</v>
      </c>
      <c r="BW102" s="145">
        <f t="shared" si="319"/>
        <v>0</v>
      </c>
      <c r="BX102" s="145">
        <f t="shared" si="319"/>
        <v>0</v>
      </c>
      <c r="BY102" s="145">
        <f t="shared" si="319"/>
        <v>0</v>
      </c>
      <c r="BZ102" s="145">
        <f t="shared" si="319"/>
        <v>0</v>
      </c>
      <c r="CA102" s="145">
        <f t="shared" si="319"/>
        <v>0</v>
      </c>
      <c r="CB102" s="145">
        <f t="shared" si="319"/>
        <v>0</v>
      </c>
      <c r="CC102" s="145">
        <f t="shared" si="319"/>
        <v>0</v>
      </c>
      <c r="CD102" s="145">
        <f t="shared" si="319"/>
        <v>0</v>
      </c>
      <c r="CE102" s="146">
        <f t="shared" si="319"/>
        <v>0</v>
      </c>
      <c r="CF102" s="147">
        <f t="shared" si="75"/>
        <v>0</v>
      </c>
      <c r="CG102" s="148">
        <f t="shared" ref="CG102:CR102" si="320">+CG100-CG101</f>
        <v>0</v>
      </c>
      <c r="CH102" s="145">
        <f t="shared" si="320"/>
        <v>0</v>
      </c>
      <c r="CI102" s="145">
        <f t="shared" si="320"/>
        <v>0</v>
      </c>
      <c r="CJ102" s="145">
        <f t="shared" si="320"/>
        <v>0</v>
      </c>
      <c r="CK102" s="145">
        <f t="shared" si="320"/>
        <v>0</v>
      </c>
      <c r="CL102" s="145">
        <f t="shared" si="320"/>
        <v>0</v>
      </c>
      <c r="CM102" s="145">
        <f t="shared" si="320"/>
        <v>0</v>
      </c>
      <c r="CN102" s="145">
        <f t="shared" si="320"/>
        <v>0</v>
      </c>
      <c r="CO102" s="145">
        <f t="shared" si="320"/>
        <v>0</v>
      </c>
      <c r="CP102" s="145">
        <f t="shared" si="320"/>
        <v>0</v>
      </c>
      <c r="CQ102" s="145">
        <f t="shared" si="320"/>
        <v>0</v>
      </c>
      <c r="CR102" s="146">
        <f t="shared" si="320"/>
        <v>0</v>
      </c>
      <c r="CS102" s="147">
        <f t="shared" si="76"/>
        <v>0</v>
      </c>
      <c r="CT102" s="148">
        <f t="shared" ref="CT102:DE102" si="321">+CT100-CT101</f>
        <v>0</v>
      </c>
      <c r="CU102" s="145">
        <f t="shared" si="321"/>
        <v>0</v>
      </c>
      <c r="CV102" s="145">
        <f t="shared" si="321"/>
        <v>0</v>
      </c>
      <c r="CW102" s="145">
        <f t="shared" si="321"/>
        <v>0</v>
      </c>
      <c r="CX102" s="145">
        <f t="shared" si="321"/>
        <v>0</v>
      </c>
      <c r="CY102" s="145">
        <f t="shared" si="321"/>
        <v>0</v>
      </c>
      <c r="CZ102" s="145">
        <f t="shared" si="321"/>
        <v>0</v>
      </c>
      <c r="DA102" s="145">
        <f t="shared" si="321"/>
        <v>0</v>
      </c>
      <c r="DB102" s="145">
        <f t="shared" si="321"/>
        <v>0</v>
      </c>
      <c r="DC102" s="145">
        <f t="shared" si="321"/>
        <v>0</v>
      </c>
      <c r="DD102" s="145">
        <f t="shared" si="321"/>
        <v>0</v>
      </c>
      <c r="DE102" s="146">
        <f t="shared" si="321"/>
        <v>0</v>
      </c>
      <c r="DF102" s="147">
        <f t="shared" si="77"/>
        <v>0</v>
      </c>
      <c r="DG102" s="146">
        <f>+DG100-DG101</f>
        <v>0</v>
      </c>
      <c r="DH102" s="98">
        <f t="shared" si="276"/>
        <v>0</v>
      </c>
      <c r="DI102" s="99">
        <f t="shared" si="277"/>
        <v>0</v>
      </c>
      <c r="DJ102" s="100">
        <f t="shared" si="278"/>
        <v>0</v>
      </c>
    </row>
    <row r="103" spans="1:117" ht="15" hidden="1" customHeight="1" outlineLevel="1">
      <c r="A103" s="607"/>
      <c r="B103" s="557"/>
      <c r="C103" s="246" t="s">
        <v>62</v>
      </c>
      <c r="D103" s="183" t="s">
        <v>122</v>
      </c>
      <c r="E103" s="153">
        <f>AF103+AS103+BF103+BS103+CF103+CS103+DF103+S103+DG103</f>
        <v>0</v>
      </c>
      <c r="F103" s="153"/>
      <c r="G103" s="154"/>
      <c r="H103" s="155"/>
      <c r="I103" s="155"/>
      <c r="J103" s="155"/>
      <c r="K103" s="155"/>
      <c r="L103" s="155"/>
      <c r="M103" s="155"/>
      <c r="N103" s="155"/>
      <c r="O103" s="155"/>
      <c r="P103" s="155"/>
      <c r="Q103" s="155"/>
      <c r="R103" s="284"/>
      <c r="S103" s="157">
        <f t="shared" si="280"/>
        <v>0</v>
      </c>
      <c r="T103" s="378"/>
      <c r="U103" s="382"/>
      <c r="V103" s="382"/>
      <c r="W103" s="382"/>
      <c r="X103" s="389"/>
      <c r="Y103" s="389"/>
      <c r="Z103" s="389"/>
      <c r="AA103" s="389"/>
      <c r="AB103" s="389"/>
      <c r="AC103" s="389"/>
      <c r="AD103" s="389"/>
      <c r="AE103" s="482"/>
      <c r="AF103" s="157">
        <v>0</v>
      </c>
      <c r="AG103" s="500"/>
      <c r="AH103" s="513"/>
      <c r="AI103" s="513"/>
      <c r="AJ103" s="513"/>
      <c r="AK103" s="513"/>
      <c r="AL103" s="513"/>
      <c r="AM103" s="513"/>
      <c r="AN103" s="513"/>
      <c r="AO103" s="513"/>
      <c r="AP103" s="155"/>
      <c r="AQ103" s="155"/>
      <c r="AR103" s="285"/>
      <c r="AS103" s="409">
        <f t="shared" ref="AS103:AS114" si="322">SUM(AG103:AR103)</f>
        <v>0</v>
      </c>
      <c r="AT103" s="158"/>
      <c r="AU103" s="155"/>
      <c r="AV103" s="155"/>
      <c r="AW103" s="155"/>
      <c r="AX103" s="155"/>
      <c r="AY103" s="155"/>
      <c r="AZ103" s="155"/>
      <c r="BA103" s="155"/>
      <c r="BB103" s="155"/>
      <c r="BC103" s="155"/>
      <c r="BD103" s="155"/>
      <c r="BE103" s="156"/>
      <c r="BF103" s="157">
        <f t="shared" si="274"/>
        <v>0</v>
      </c>
      <c r="BG103" s="158"/>
      <c r="BH103" s="155"/>
      <c r="BI103" s="155"/>
      <c r="BJ103" s="155"/>
      <c r="BK103" s="155"/>
      <c r="BL103" s="155"/>
      <c r="BM103" s="155"/>
      <c r="BN103" s="155"/>
      <c r="BO103" s="155"/>
      <c r="BP103" s="155"/>
      <c r="BQ103" s="155"/>
      <c r="BR103" s="156"/>
      <c r="BS103" s="157">
        <f t="shared" si="275"/>
        <v>0</v>
      </c>
      <c r="BT103" s="158"/>
      <c r="BU103" s="155"/>
      <c r="BV103" s="155"/>
      <c r="BW103" s="155"/>
      <c r="BX103" s="155"/>
      <c r="BY103" s="155"/>
      <c r="BZ103" s="155"/>
      <c r="CA103" s="155"/>
      <c r="CB103" s="155"/>
      <c r="CC103" s="155"/>
      <c r="CD103" s="155"/>
      <c r="CE103" s="156"/>
      <c r="CF103" s="157">
        <f t="shared" ref="CF103:CF108" si="323">SUM(BT103:CE103)</f>
        <v>0</v>
      </c>
      <c r="CG103" s="158"/>
      <c r="CH103" s="155"/>
      <c r="CI103" s="155"/>
      <c r="CJ103" s="155"/>
      <c r="CK103" s="155"/>
      <c r="CL103" s="155"/>
      <c r="CM103" s="155"/>
      <c r="CN103" s="155"/>
      <c r="CO103" s="155"/>
      <c r="CP103" s="155"/>
      <c r="CQ103" s="155"/>
      <c r="CR103" s="156"/>
      <c r="CS103" s="157">
        <f t="shared" si="76"/>
        <v>0</v>
      </c>
      <c r="CT103" s="158"/>
      <c r="CU103" s="155"/>
      <c r="CV103" s="155"/>
      <c r="CW103" s="155"/>
      <c r="CX103" s="155"/>
      <c r="CY103" s="155"/>
      <c r="CZ103" s="155"/>
      <c r="DA103" s="155"/>
      <c r="DB103" s="155"/>
      <c r="DC103" s="155"/>
      <c r="DD103" s="155"/>
      <c r="DE103" s="156"/>
      <c r="DF103" s="157">
        <f t="shared" si="77"/>
        <v>0</v>
      </c>
      <c r="DG103" s="280"/>
      <c r="DH103" s="159">
        <f t="shared" si="276"/>
        <v>0</v>
      </c>
      <c r="DI103" s="160">
        <f t="shared" si="277"/>
        <v>0</v>
      </c>
      <c r="DJ103" s="161">
        <f t="shared" si="278"/>
        <v>0</v>
      </c>
    </row>
    <row r="104" spans="1:117" ht="15" hidden="1" customHeight="1" outlineLevel="1">
      <c r="A104" s="607"/>
      <c r="B104" s="560"/>
      <c r="C104" s="245" t="s">
        <v>63</v>
      </c>
      <c r="D104" s="184" t="s">
        <v>124</v>
      </c>
      <c r="E104" s="136">
        <f>AF104+AS104+BF104+BS104+CF104+CS104+DF104+S104+DG104</f>
        <v>0</v>
      </c>
      <c r="F104" s="136"/>
      <c r="G104" s="137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9"/>
      <c r="S104" s="162">
        <f t="shared" si="280"/>
        <v>0</v>
      </c>
      <c r="T104" s="380"/>
      <c r="U104" s="381"/>
      <c r="V104" s="381"/>
      <c r="W104" s="381"/>
      <c r="X104" s="388"/>
      <c r="Y104" s="388"/>
      <c r="Z104" s="388"/>
      <c r="AA104" s="388"/>
      <c r="AB104" s="388"/>
      <c r="AC104" s="388"/>
      <c r="AD104" s="388"/>
      <c r="AE104" s="483"/>
      <c r="AF104" s="162">
        <v>0</v>
      </c>
      <c r="AG104" s="501"/>
      <c r="AH104" s="499"/>
      <c r="AI104" s="499"/>
      <c r="AJ104" s="499"/>
      <c r="AK104" s="499"/>
      <c r="AL104" s="499"/>
      <c r="AM104" s="499"/>
      <c r="AN104" s="499"/>
      <c r="AO104" s="499"/>
      <c r="AP104" s="138"/>
      <c r="AQ104" s="138"/>
      <c r="AR104" s="139"/>
      <c r="AS104" s="410">
        <f t="shared" si="322"/>
        <v>0</v>
      </c>
      <c r="AT104" s="141"/>
      <c r="AU104" s="138"/>
      <c r="AV104" s="138"/>
      <c r="AW104" s="138"/>
      <c r="AX104" s="138"/>
      <c r="AY104" s="138"/>
      <c r="AZ104" s="138"/>
      <c r="BA104" s="138"/>
      <c r="BB104" s="138"/>
      <c r="BC104" s="138"/>
      <c r="BD104" s="138"/>
      <c r="BE104" s="139"/>
      <c r="BF104" s="162">
        <f t="shared" si="274"/>
        <v>0</v>
      </c>
      <c r="BG104" s="141"/>
      <c r="BH104" s="138"/>
      <c r="BI104" s="138"/>
      <c r="BJ104" s="138"/>
      <c r="BK104" s="138"/>
      <c r="BL104" s="138"/>
      <c r="BM104" s="138"/>
      <c r="BN104" s="138"/>
      <c r="BO104" s="138"/>
      <c r="BP104" s="138"/>
      <c r="BQ104" s="138"/>
      <c r="BR104" s="139"/>
      <c r="BS104" s="162">
        <f t="shared" si="275"/>
        <v>0</v>
      </c>
      <c r="BT104" s="141"/>
      <c r="BU104" s="138"/>
      <c r="BV104" s="138"/>
      <c r="BW104" s="138"/>
      <c r="BX104" s="138"/>
      <c r="BY104" s="138"/>
      <c r="BZ104" s="138"/>
      <c r="CA104" s="138"/>
      <c r="CB104" s="138"/>
      <c r="CC104" s="138"/>
      <c r="CD104" s="138"/>
      <c r="CE104" s="139"/>
      <c r="CF104" s="162">
        <f t="shared" si="323"/>
        <v>0</v>
      </c>
      <c r="CG104" s="141"/>
      <c r="CH104" s="138"/>
      <c r="CI104" s="138"/>
      <c r="CJ104" s="138"/>
      <c r="CK104" s="138"/>
      <c r="CL104" s="138"/>
      <c r="CM104" s="138"/>
      <c r="CN104" s="138"/>
      <c r="CO104" s="138"/>
      <c r="CP104" s="138"/>
      <c r="CQ104" s="138"/>
      <c r="CR104" s="139"/>
      <c r="CS104" s="162">
        <f t="shared" si="76"/>
        <v>0</v>
      </c>
      <c r="CT104" s="141"/>
      <c r="CU104" s="138"/>
      <c r="CV104" s="138"/>
      <c r="CW104" s="138"/>
      <c r="CX104" s="138"/>
      <c r="CY104" s="138"/>
      <c r="CZ104" s="138"/>
      <c r="DA104" s="138"/>
      <c r="DB104" s="138"/>
      <c r="DC104" s="138"/>
      <c r="DD104" s="138"/>
      <c r="DE104" s="139"/>
      <c r="DF104" s="162">
        <f t="shared" si="77"/>
        <v>0</v>
      </c>
      <c r="DG104" s="279"/>
      <c r="DH104" s="90">
        <f t="shared" si="276"/>
        <v>0</v>
      </c>
      <c r="DI104" s="91">
        <f t="shared" si="277"/>
        <v>0</v>
      </c>
      <c r="DJ104" s="92">
        <f t="shared" si="278"/>
        <v>0</v>
      </c>
      <c r="DK104" s="64" t="e">
        <f>+DH104/DH103</f>
        <v>#DIV/0!</v>
      </c>
    </row>
    <row r="105" spans="1:117" ht="15" hidden="1" customHeight="1" outlineLevel="1">
      <c r="A105" s="607"/>
      <c r="B105" s="561"/>
      <c r="C105" s="554" t="s">
        <v>11</v>
      </c>
      <c r="D105" s="555"/>
      <c r="E105" s="143">
        <f>+E103-E104</f>
        <v>0</v>
      </c>
      <c r="F105" s="144">
        <f t="shared" ref="F105:R105" si="324">+F103-F104</f>
        <v>0</v>
      </c>
      <c r="G105" s="145">
        <f t="shared" si="324"/>
        <v>0</v>
      </c>
      <c r="H105" s="145">
        <f t="shared" si="324"/>
        <v>0</v>
      </c>
      <c r="I105" s="145">
        <f t="shared" si="324"/>
        <v>0</v>
      </c>
      <c r="J105" s="145">
        <f t="shared" si="324"/>
        <v>0</v>
      </c>
      <c r="K105" s="145">
        <f t="shared" si="324"/>
        <v>0</v>
      </c>
      <c r="L105" s="145">
        <f t="shared" si="324"/>
        <v>0</v>
      </c>
      <c r="M105" s="145">
        <f t="shared" si="324"/>
        <v>0</v>
      </c>
      <c r="N105" s="145">
        <f t="shared" si="324"/>
        <v>0</v>
      </c>
      <c r="O105" s="145">
        <f t="shared" si="324"/>
        <v>0</v>
      </c>
      <c r="P105" s="145">
        <f t="shared" si="324"/>
        <v>0</v>
      </c>
      <c r="Q105" s="145">
        <f t="shared" si="324"/>
        <v>0</v>
      </c>
      <c r="R105" s="146">
        <f t="shared" si="324"/>
        <v>0</v>
      </c>
      <c r="S105" s="147">
        <f t="shared" si="280"/>
        <v>0</v>
      </c>
      <c r="T105" s="148">
        <f t="shared" ref="T105:AE105" si="325">+T103-T104</f>
        <v>0</v>
      </c>
      <c r="U105" s="145">
        <f t="shared" si="325"/>
        <v>0</v>
      </c>
      <c r="V105" s="145">
        <f t="shared" si="325"/>
        <v>0</v>
      </c>
      <c r="W105" s="145">
        <f t="shared" si="325"/>
        <v>0</v>
      </c>
      <c r="X105" s="145">
        <f t="shared" si="325"/>
        <v>0</v>
      </c>
      <c r="Y105" s="145">
        <f t="shared" si="325"/>
        <v>0</v>
      </c>
      <c r="Z105" s="145">
        <f t="shared" si="325"/>
        <v>0</v>
      </c>
      <c r="AA105" s="145">
        <f t="shared" si="325"/>
        <v>0</v>
      </c>
      <c r="AB105" s="145">
        <f t="shared" si="325"/>
        <v>0</v>
      </c>
      <c r="AC105" s="145">
        <f t="shared" si="325"/>
        <v>0</v>
      </c>
      <c r="AD105" s="145">
        <f t="shared" si="325"/>
        <v>0</v>
      </c>
      <c r="AE105" s="146">
        <f t="shared" si="325"/>
        <v>0</v>
      </c>
      <c r="AF105" s="147">
        <v>0</v>
      </c>
      <c r="AG105" s="148">
        <f t="shared" ref="AG105:AR105" si="326">+AG103-AG104</f>
        <v>0</v>
      </c>
      <c r="AH105" s="145">
        <f t="shared" si="326"/>
        <v>0</v>
      </c>
      <c r="AI105" s="145">
        <f t="shared" si="326"/>
        <v>0</v>
      </c>
      <c r="AJ105" s="145">
        <f t="shared" si="326"/>
        <v>0</v>
      </c>
      <c r="AK105" s="145">
        <f t="shared" si="326"/>
        <v>0</v>
      </c>
      <c r="AL105" s="145">
        <f t="shared" si="326"/>
        <v>0</v>
      </c>
      <c r="AM105" s="145">
        <f t="shared" si="326"/>
        <v>0</v>
      </c>
      <c r="AN105" s="145">
        <f t="shared" si="326"/>
        <v>0</v>
      </c>
      <c r="AO105" s="145">
        <f t="shared" si="326"/>
        <v>0</v>
      </c>
      <c r="AP105" s="145">
        <f t="shared" si="326"/>
        <v>0</v>
      </c>
      <c r="AQ105" s="145">
        <f t="shared" si="326"/>
        <v>0</v>
      </c>
      <c r="AR105" s="146">
        <f t="shared" si="326"/>
        <v>0</v>
      </c>
      <c r="AS105" s="408">
        <f t="shared" si="322"/>
        <v>0</v>
      </c>
      <c r="AT105" s="148">
        <f t="shared" ref="AT105:BE105" si="327">+AT103-AT104</f>
        <v>0</v>
      </c>
      <c r="AU105" s="145">
        <f t="shared" si="327"/>
        <v>0</v>
      </c>
      <c r="AV105" s="145">
        <f t="shared" si="327"/>
        <v>0</v>
      </c>
      <c r="AW105" s="145">
        <f t="shared" si="327"/>
        <v>0</v>
      </c>
      <c r="AX105" s="145">
        <f t="shared" si="327"/>
        <v>0</v>
      </c>
      <c r="AY105" s="145">
        <f t="shared" si="327"/>
        <v>0</v>
      </c>
      <c r="AZ105" s="145">
        <f t="shared" si="327"/>
        <v>0</v>
      </c>
      <c r="BA105" s="145">
        <f t="shared" si="327"/>
        <v>0</v>
      </c>
      <c r="BB105" s="145">
        <f t="shared" si="327"/>
        <v>0</v>
      </c>
      <c r="BC105" s="145">
        <f t="shared" si="327"/>
        <v>0</v>
      </c>
      <c r="BD105" s="145">
        <f t="shared" si="327"/>
        <v>0</v>
      </c>
      <c r="BE105" s="146">
        <f t="shared" si="327"/>
        <v>0</v>
      </c>
      <c r="BF105" s="147">
        <f t="shared" si="274"/>
        <v>0</v>
      </c>
      <c r="BG105" s="148">
        <f t="shared" ref="BG105:BR105" si="328">+BG103-BG104</f>
        <v>0</v>
      </c>
      <c r="BH105" s="145">
        <f t="shared" si="328"/>
        <v>0</v>
      </c>
      <c r="BI105" s="145">
        <f t="shared" si="328"/>
        <v>0</v>
      </c>
      <c r="BJ105" s="145">
        <f t="shared" si="328"/>
        <v>0</v>
      </c>
      <c r="BK105" s="145">
        <f t="shared" si="328"/>
        <v>0</v>
      </c>
      <c r="BL105" s="145">
        <f t="shared" si="328"/>
        <v>0</v>
      </c>
      <c r="BM105" s="145">
        <f t="shared" si="328"/>
        <v>0</v>
      </c>
      <c r="BN105" s="145">
        <f t="shared" si="328"/>
        <v>0</v>
      </c>
      <c r="BO105" s="145">
        <f t="shared" si="328"/>
        <v>0</v>
      </c>
      <c r="BP105" s="145">
        <f t="shared" si="328"/>
        <v>0</v>
      </c>
      <c r="BQ105" s="145">
        <f t="shared" si="328"/>
        <v>0</v>
      </c>
      <c r="BR105" s="146">
        <f t="shared" si="328"/>
        <v>0</v>
      </c>
      <c r="BS105" s="147">
        <f t="shared" si="275"/>
        <v>0</v>
      </c>
      <c r="BT105" s="148">
        <f t="shared" ref="BT105:CE105" si="329">+BT103-BT104</f>
        <v>0</v>
      </c>
      <c r="BU105" s="145">
        <f t="shared" si="329"/>
        <v>0</v>
      </c>
      <c r="BV105" s="145">
        <f t="shared" si="329"/>
        <v>0</v>
      </c>
      <c r="BW105" s="145">
        <f t="shared" si="329"/>
        <v>0</v>
      </c>
      <c r="BX105" s="145">
        <f t="shared" si="329"/>
        <v>0</v>
      </c>
      <c r="BY105" s="145">
        <f t="shared" si="329"/>
        <v>0</v>
      </c>
      <c r="BZ105" s="145">
        <f t="shared" si="329"/>
        <v>0</v>
      </c>
      <c r="CA105" s="145">
        <f t="shared" si="329"/>
        <v>0</v>
      </c>
      <c r="CB105" s="145">
        <f t="shared" si="329"/>
        <v>0</v>
      </c>
      <c r="CC105" s="145">
        <f t="shared" si="329"/>
        <v>0</v>
      </c>
      <c r="CD105" s="145">
        <f t="shared" si="329"/>
        <v>0</v>
      </c>
      <c r="CE105" s="146">
        <f t="shared" si="329"/>
        <v>0</v>
      </c>
      <c r="CF105" s="147">
        <f t="shared" si="323"/>
        <v>0</v>
      </c>
      <c r="CG105" s="148">
        <f t="shared" ref="CG105:CR105" si="330">+CG103-CG104</f>
        <v>0</v>
      </c>
      <c r="CH105" s="145">
        <f t="shared" si="330"/>
        <v>0</v>
      </c>
      <c r="CI105" s="145">
        <f t="shared" si="330"/>
        <v>0</v>
      </c>
      <c r="CJ105" s="145">
        <f t="shared" si="330"/>
        <v>0</v>
      </c>
      <c r="CK105" s="145">
        <f t="shared" si="330"/>
        <v>0</v>
      </c>
      <c r="CL105" s="145">
        <f t="shared" si="330"/>
        <v>0</v>
      </c>
      <c r="CM105" s="145">
        <f t="shared" si="330"/>
        <v>0</v>
      </c>
      <c r="CN105" s="145">
        <f t="shared" si="330"/>
        <v>0</v>
      </c>
      <c r="CO105" s="145">
        <f t="shared" si="330"/>
        <v>0</v>
      </c>
      <c r="CP105" s="145">
        <f t="shared" si="330"/>
        <v>0</v>
      </c>
      <c r="CQ105" s="145">
        <f t="shared" si="330"/>
        <v>0</v>
      </c>
      <c r="CR105" s="146">
        <f t="shared" si="330"/>
        <v>0</v>
      </c>
      <c r="CS105" s="147">
        <f t="shared" si="76"/>
        <v>0</v>
      </c>
      <c r="CT105" s="148">
        <f t="shared" ref="CT105:DE105" si="331">+CT103-CT104</f>
        <v>0</v>
      </c>
      <c r="CU105" s="145">
        <f t="shared" si="331"/>
        <v>0</v>
      </c>
      <c r="CV105" s="145">
        <f t="shared" si="331"/>
        <v>0</v>
      </c>
      <c r="CW105" s="145">
        <f t="shared" si="331"/>
        <v>0</v>
      </c>
      <c r="CX105" s="145">
        <f t="shared" si="331"/>
        <v>0</v>
      </c>
      <c r="CY105" s="145">
        <f t="shared" si="331"/>
        <v>0</v>
      </c>
      <c r="CZ105" s="145">
        <f t="shared" si="331"/>
        <v>0</v>
      </c>
      <c r="DA105" s="145">
        <f t="shared" si="331"/>
        <v>0</v>
      </c>
      <c r="DB105" s="145">
        <f t="shared" si="331"/>
        <v>0</v>
      </c>
      <c r="DC105" s="145">
        <f t="shared" si="331"/>
        <v>0</v>
      </c>
      <c r="DD105" s="145">
        <f t="shared" si="331"/>
        <v>0</v>
      </c>
      <c r="DE105" s="146">
        <f t="shared" si="331"/>
        <v>0</v>
      </c>
      <c r="DF105" s="147">
        <f t="shared" si="77"/>
        <v>0</v>
      </c>
      <c r="DG105" s="146">
        <f>+DG103-DG104</f>
        <v>0</v>
      </c>
      <c r="DH105" s="98">
        <f t="shared" si="276"/>
        <v>0</v>
      </c>
      <c r="DI105" s="99">
        <f t="shared" si="277"/>
        <v>0</v>
      </c>
      <c r="DJ105" s="100">
        <f t="shared" si="278"/>
        <v>0</v>
      </c>
    </row>
    <row r="106" spans="1:117" ht="15" hidden="1" customHeight="1" outlineLevel="1">
      <c r="A106" s="607"/>
      <c r="B106" s="557"/>
      <c r="C106" s="246" t="s">
        <v>62</v>
      </c>
      <c r="D106" s="183" t="s">
        <v>122</v>
      </c>
      <c r="E106" s="153">
        <f>AF106+AS106+BF106+BS106+CF106+CS106+DF106+S106+DG106</f>
        <v>0</v>
      </c>
      <c r="F106" s="153"/>
      <c r="G106" s="154"/>
      <c r="H106" s="155"/>
      <c r="I106" s="155"/>
      <c r="J106" s="155"/>
      <c r="K106" s="155"/>
      <c r="L106" s="155"/>
      <c r="M106" s="155"/>
      <c r="N106" s="155"/>
      <c r="O106" s="155"/>
      <c r="P106" s="155"/>
      <c r="Q106" s="155"/>
      <c r="R106" s="284"/>
      <c r="S106" s="157">
        <f t="shared" si="280"/>
        <v>0</v>
      </c>
      <c r="T106" s="378"/>
      <c r="U106" s="382"/>
      <c r="V106" s="382"/>
      <c r="W106" s="382"/>
      <c r="X106" s="389"/>
      <c r="Y106" s="389"/>
      <c r="Z106" s="389"/>
      <c r="AA106" s="389"/>
      <c r="AB106" s="389"/>
      <c r="AC106" s="389"/>
      <c r="AD106" s="389"/>
      <c r="AE106" s="482"/>
      <c r="AF106" s="157">
        <v>0</v>
      </c>
      <c r="AG106" s="500"/>
      <c r="AH106" s="513"/>
      <c r="AI106" s="513"/>
      <c r="AJ106" s="513"/>
      <c r="AK106" s="513"/>
      <c r="AL106" s="513"/>
      <c r="AM106" s="513"/>
      <c r="AN106" s="513"/>
      <c r="AO106" s="513"/>
      <c r="AP106" s="155"/>
      <c r="AQ106" s="155"/>
      <c r="AR106" s="285"/>
      <c r="AS106" s="409">
        <f t="shared" si="322"/>
        <v>0</v>
      </c>
      <c r="AT106" s="158"/>
      <c r="AU106" s="155"/>
      <c r="AV106" s="155"/>
      <c r="AW106" s="155"/>
      <c r="AX106" s="155"/>
      <c r="AY106" s="155"/>
      <c r="AZ106" s="155"/>
      <c r="BA106" s="155"/>
      <c r="BB106" s="155"/>
      <c r="BC106" s="155"/>
      <c r="BD106" s="155"/>
      <c r="BE106" s="156"/>
      <c r="BF106" s="157">
        <f t="shared" si="274"/>
        <v>0</v>
      </c>
      <c r="BG106" s="158"/>
      <c r="BH106" s="155"/>
      <c r="BI106" s="155"/>
      <c r="BJ106" s="155"/>
      <c r="BK106" s="155"/>
      <c r="BL106" s="155"/>
      <c r="BM106" s="155"/>
      <c r="BN106" s="155"/>
      <c r="BO106" s="155"/>
      <c r="BP106" s="155"/>
      <c r="BQ106" s="155"/>
      <c r="BR106" s="156"/>
      <c r="BS106" s="157">
        <f t="shared" si="275"/>
        <v>0</v>
      </c>
      <c r="BT106" s="158"/>
      <c r="BU106" s="155"/>
      <c r="BV106" s="155"/>
      <c r="BW106" s="155"/>
      <c r="BX106" s="155"/>
      <c r="BY106" s="155"/>
      <c r="BZ106" s="155"/>
      <c r="CA106" s="155"/>
      <c r="CB106" s="155"/>
      <c r="CC106" s="155"/>
      <c r="CD106" s="155"/>
      <c r="CE106" s="156"/>
      <c r="CF106" s="157">
        <f t="shared" si="323"/>
        <v>0</v>
      </c>
      <c r="CG106" s="158"/>
      <c r="CH106" s="155"/>
      <c r="CI106" s="155"/>
      <c r="CJ106" s="155"/>
      <c r="CK106" s="155"/>
      <c r="CL106" s="155"/>
      <c r="CM106" s="155"/>
      <c r="CN106" s="155"/>
      <c r="CO106" s="155"/>
      <c r="CP106" s="155"/>
      <c r="CQ106" s="155"/>
      <c r="CR106" s="156"/>
      <c r="CS106" s="157">
        <f t="shared" si="76"/>
        <v>0</v>
      </c>
      <c r="CT106" s="158"/>
      <c r="CU106" s="155"/>
      <c r="CV106" s="155"/>
      <c r="CW106" s="155"/>
      <c r="CX106" s="155"/>
      <c r="CY106" s="155"/>
      <c r="CZ106" s="155"/>
      <c r="DA106" s="155"/>
      <c r="DB106" s="155"/>
      <c r="DC106" s="155"/>
      <c r="DD106" s="155"/>
      <c r="DE106" s="156"/>
      <c r="DF106" s="157">
        <f t="shared" si="77"/>
        <v>0</v>
      </c>
      <c r="DG106" s="280"/>
      <c r="DH106" s="159">
        <f t="shared" si="276"/>
        <v>0</v>
      </c>
      <c r="DI106" s="160">
        <f t="shared" si="277"/>
        <v>0</v>
      </c>
      <c r="DJ106" s="161">
        <f t="shared" si="278"/>
        <v>0</v>
      </c>
    </row>
    <row r="107" spans="1:117" ht="15" hidden="1" customHeight="1" outlineLevel="1">
      <c r="A107" s="607"/>
      <c r="B107" s="560"/>
      <c r="C107" s="245" t="s">
        <v>63</v>
      </c>
      <c r="D107" s="184" t="s">
        <v>124</v>
      </c>
      <c r="E107" s="136">
        <f>AF107+AS107+BF107+BS107+CF107+CS107+DF107+S107+DG107</f>
        <v>0</v>
      </c>
      <c r="F107" s="136"/>
      <c r="G107" s="137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9"/>
      <c r="S107" s="162">
        <f t="shared" si="280"/>
        <v>0</v>
      </c>
      <c r="T107" s="380"/>
      <c r="U107" s="381"/>
      <c r="V107" s="381"/>
      <c r="W107" s="381"/>
      <c r="X107" s="388"/>
      <c r="Y107" s="388"/>
      <c r="Z107" s="388"/>
      <c r="AA107" s="388"/>
      <c r="AB107" s="388"/>
      <c r="AC107" s="388"/>
      <c r="AD107" s="388"/>
      <c r="AE107" s="483"/>
      <c r="AF107" s="162">
        <v>0</v>
      </c>
      <c r="AG107" s="501"/>
      <c r="AH107" s="499"/>
      <c r="AI107" s="499"/>
      <c r="AJ107" s="499"/>
      <c r="AK107" s="499"/>
      <c r="AL107" s="499"/>
      <c r="AM107" s="499"/>
      <c r="AN107" s="499"/>
      <c r="AO107" s="499"/>
      <c r="AP107" s="138"/>
      <c r="AQ107" s="138"/>
      <c r="AR107" s="338"/>
      <c r="AS107" s="410">
        <f t="shared" si="322"/>
        <v>0</v>
      </c>
      <c r="AT107" s="141"/>
      <c r="AU107" s="138"/>
      <c r="AV107" s="138"/>
      <c r="AW107" s="138"/>
      <c r="AX107" s="138"/>
      <c r="AY107" s="138"/>
      <c r="AZ107" s="138"/>
      <c r="BA107" s="138"/>
      <c r="BB107" s="138"/>
      <c r="BC107" s="138"/>
      <c r="BD107" s="138"/>
      <c r="BE107" s="139"/>
      <c r="BF107" s="162">
        <f t="shared" si="274"/>
        <v>0</v>
      </c>
      <c r="BG107" s="141"/>
      <c r="BH107" s="138"/>
      <c r="BI107" s="138"/>
      <c r="BJ107" s="138"/>
      <c r="BK107" s="138"/>
      <c r="BL107" s="138"/>
      <c r="BM107" s="138"/>
      <c r="BN107" s="138"/>
      <c r="BO107" s="138"/>
      <c r="BP107" s="138"/>
      <c r="BQ107" s="138"/>
      <c r="BR107" s="139"/>
      <c r="BS107" s="162">
        <f t="shared" si="275"/>
        <v>0</v>
      </c>
      <c r="BT107" s="141"/>
      <c r="BU107" s="138"/>
      <c r="BV107" s="138"/>
      <c r="BW107" s="138"/>
      <c r="BX107" s="138"/>
      <c r="BY107" s="138"/>
      <c r="BZ107" s="138"/>
      <c r="CA107" s="138"/>
      <c r="CB107" s="138"/>
      <c r="CC107" s="138"/>
      <c r="CD107" s="138"/>
      <c r="CE107" s="139"/>
      <c r="CF107" s="162">
        <f t="shared" si="323"/>
        <v>0</v>
      </c>
      <c r="CG107" s="141"/>
      <c r="CH107" s="138"/>
      <c r="CI107" s="138"/>
      <c r="CJ107" s="138"/>
      <c r="CK107" s="138"/>
      <c r="CL107" s="138"/>
      <c r="CM107" s="138"/>
      <c r="CN107" s="138"/>
      <c r="CO107" s="138"/>
      <c r="CP107" s="138"/>
      <c r="CQ107" s="138"/>
      <c r="CR107" s="139"/>
      <c r="CS107" s="162">
        <f t="shared" si="76"/>
        <v>0</v>
      </c>
      <c r="CT107" s="141"/>
      <c r="CU107" s="138"/>
      <c r="CV107" s="138"/>
      <c r="CW107" s="138"/>
      <c r="CX107" s="138"/>
      <c r="CY107" s="138"/>
      <c r="CZ107" s="138"/>
      <c r="DA107" s="138"/>
      <c r="DB107" s="138"/>
      <c r="DC107" s="138"/>
      <c r="DD107" s="138"/>
      <c r="DE107" s="139"/>
      <c r="DF107" s="162">
        <f t="shared" si="77"/>
        <v>0</v>
      </c>
      <c r="DG107" s="279"/>
      <c r="DH107" s="90">
        <f t="shared" si="276"/>
        <v>0</v>
      </c>
      <c r="DI107" s="91">
        <f t="shared" si="277"/>
        <v>0</v>
      </c>
      <c r="DJ107" s="92">
        <f t="shared" si="278"/>
        <v>0</v>
      </c>
      <c r="DK107" s="64" t="e">
        <f>+DH107/DH106</f>
        <v>#DIV/0!</v>
      </c>
    </row>
    <row r="108" spans="1:117" ht="15" hidden="1" customHeight="1" outlineLevel="1">
      <c r="A108" s="607"/>
      <c r="B108" s="561"/>
      <c r="C108" s="554" t="s">
        <v>11</v>
      </c>
      <c r="D108" s="555"/>
      <c r="E108" s="143">
        <f>+E106-E107</f>
        <v>0</v>
      </c>
      <c r="F108" s="144">
        <f t="shared" ref="F108:R108" si="332">+F106-F107</f>
        <v>0</v>
      </c>
      <c r="G108" s="145">
        <f t="shared" si="332"/>
        <v>0</v>
      </c>
      <c r="H108" s="145">
        <f t="shared" si="332"/>
        <v>0</v>
      </c>
      <c r="I108" s="145">
        <f t="shared" si="332"/>
        <v>0</v>
      </c>
      <c r="J108" s="145">
        <f t="shared" si="332"/>
        <v>0</v>
      </c>
      <c r="K108" s="145">
        <f t="shared" si="332"/>
        <v>0</v>
      </c>
      <c r="L108" s="145">
        <f t="shared" si="332"/>
        <v>0</v>
      </c>
      <c r="M108" s="145">
        <f t="shared" si="332"/>
        <v>0</v>
      </c>
      <c r="N108" s="145">
        <f t="shared" si="332"/>
        <v>0</v>
      </c>
      <c r="O108" s="145">
        <f t="shared" si="332"/>
        <v>0</v>
      </c>
      <c r="P108" s="145">
        <f t="shared" si="332"/>
        <v>0</v>
      </c>
      <c r="Q108" s="145">
        <f t="shared" si="332"/>
        <v>0</v>
      </c>
      <c r="R108" s="146">
        <f t="shared" si="332"/>
        <v>0</v>
      </c>
      <c r="S108" s="147">
        <f t="shared" si="280"/>
        <v>0</v>
      </c>
      <c r="T108" s="148">
        <f t="shared" ref="T108:AE108" si="333">+T106-T107</f>
        <v>0</v>
      </c>
      <c r="U108" s="145">
        <f t="shared" si="333"/>
        <v>0</v>
      </c>
      <c r="V108" s="145">
        <f t="shared" si="333"/>
        <v>0</v>
      </c>
      <c r="W108" s="145">
        <f t="shared" si="333"/>
        <v>0</v>
      </c>
      <c r="X108" s="145">
        <f t="shared" si="333"/>
        <v>0</v>
      </c>
      <c r="Y108" s="145">
        <f t="shared" si="333"/>
        <v>0</v>
      </c>
      <c r="Z108" s="145">
        <f t="shared" si="333"/>
        <v>0</v>
      </c>
      <c r="AA108" s="145">
        <f t="shared" si="333"/>
        <v>0</v>
      </c>
      <c r="AB108" s="145">
        <f t="shared" si="333"/>
        <v>0</v>
      </c>
      <c r="AC108" s="145">
        <f t="shared" si="333"/>
        <v>0</v>
      </c>
      <c r="AD108" s="145">
        <f t="shared" si="333"/>
        <v>0</v>
      </c>
      <c r="AE108" s="146">
        <f t="shared" si="333"/>
        <v>0</v>
      </c>
      <c r="AF108" s="147">
        <v>0</v>
      </c>
      <c r="AG108" s="148">
        <f t="shared" ref="AG108:AR108" si="334">+AG106-AG107</f>
        <v>0</v>
      </c>
      <c r="AH108" s="145">
        <f t="shared" si="334"/>
        <v>0</v>
      </c>
      <c r="AI108" s="145">
        <f t="shared" si="334"/>
        <v>0</v>
      </c>
      <c r="AJ108" s="145">
        <f t="shared" si="334"/>
        <v>0</v>
      </c>
      <c r="AK108" s="145">
        <f t="shared" si="334"/>
        <v>0</v>
      </c>
      <c r="AL108" s="145">
        <f t="shared" si="334"/>
        <v>0</v>
      </c>
      <c r="AM108" s="145">
        <f t="shared" si="334"/>
        <v>0</v>
      </c>
      <c r="AN108" s="145">
        <f t="shared" si="334"/>
        <v>0</v>
      </c>
      <c r="AO108" s="145">
        <f t="shared" si="334"/>
        <v>0</v>
      </c>
      <c r="AP108" s="145">
        <f t="shared" si="334"/>
        <v>0</v>
      </c>
      <c r="AQ108" s="145">
        <f t="shared" si="334"/>
        <v>0</v>
      </c>
      <c r="AR108" s="146">
        <f t="shared" si="334"/>
        <v>0</v>
      </c>
      <c r="AS108" s="408">
        <f t="shared" si="322"/>
        <v>0</v>
      </c>
      <c r="AT108" s="148">
        <f t="shared" ref="AT108:BE108" si="335">+AT106-AT107</f>
        <v>0</v>
      </c>
      <c r="AU108" s="145">
        <f t="shared" si="335"/>
        <v>0</v>
      </c>
      <c r="AV108" s="145">
        <f t="shared" si="335"/>
        <v>0</v>
      </c>
      <c r="AW108" s="145">
        <f t="shared" si="335"/>
        <v>0</v>
      </c>
      <c r="AX108" s="145">
        <f t="shared" si="335"/>
        <v>0</v>
      </c>
      <c r="AY108" s="145">
        <f t="shared" si="335"/>
        <v>0</v>
      </c>
      <c r="AZ108" s="145">
        <f t="shared" si="335"/>
        <v>0</v>
      </c>
      <c r="BA108" s="145">
        <f t="shared" si="335"/>
        <v>0</v>
      </c>
      <c r="BB108" s="145">
        <f t="shared" si="335"/>
        <v>0</v>
      </c>
      <c r="BC108" s="145">
        <f t="shared" si="335"/>
        <v>0</v>
      </c>
      <c r="BD108" s="145">
        <f t="shared" si="335"/>
        <v>0</v>
      </c>
      <c r="BE108" s="146">
        <f t="shared" si="335"/>
        <v>0</v>
      </c>
      <c r="BF108" s="147">
        <f t="shared" si="274"/>
        <v>0</v>
      </c>
      <c r="BG108" s="148">
        <f t="shared" ref="BG108:BR108" si="336">+BG106-BG107</f>
        <v>0</v>
      </c>
      <c r="BH108" s="145">
        <f t="shared" si="336"/>
        <v>0</v>
      </c>
      <c r="BI108" s="145">
        <f t="shared" si="336"/>
        <v>0</v>
      </c>
      <c r="BJ108" s="145">
        <f t="shared" si="336"/>
        <v>0</v>
      </c>
      <c r="BK108" s="145">
        <f t="shared" si="336"/>
        <v>0</v>
      </c>
      <c r="BL108" s="145">
        <f t="shared" si="336"/>
        <v>0</v>
      </c>
      <c r="BM108" s="145">
        <f t="shared" si="336"/>
        <v>0</v>
      </c>
      <c r="BN108" s="145">
        <f t="shared" si="336"/>
        <v>0</v>
      </c>
      <c r="BO108" s="145">
        <f t="shared" si="336"/>
        <v>0</v>
      </c>
      <c r="BP108" s="145">
        <f t="shared" si="336"/>
        <v>0</v>
      </c>
      <c r="BQ108" s="145">
        <f t="shared" si="336"/>
        <v>0</v>
      </c>
      <c r="BR108" s="146">
        <f t="shared" si="336"/>
        <v>0</v>
      </c>
      <c r="BS108" s="147">
        <f t="shared" si="275"/>
        <v>0</v>
      </c>
      <c r="BT108" s="148">
        <f t="shared" ref="BT108:CE108" si="337">+BT106-BT107</f>
        <v>0</v>
      </c>
      <c r="BU108" s="145">
        <f t="shared" si="337"/>
        <v>0</v>
      </c>
      <c r="BV108" s="145">
        <f t="shared" si="337"/>
        <v>0</v>
      </c>
      <c r="BW108" s="145">
        <f t="shared" si="337"/>
        <v>0</v>
      </c>
      <c r="BX108" s="145">
        <f t="shared" si="337"/>
        <v>0</v>
      </c>
      <c r="BY108" s="145">
        <f t="shared" si="337"/>
        <v>0</v>
      </c>
      <c r="BZ108" s="145">
        <f t="shared" si="337"/>
        <v>0</v>
      </c>
      <c r="CA108" s="145">
        <f t="shared" si="337"/>
        <v>0</v>
      </c>
      <c r="CB108" s="145">
        <f t="shared" si="337"/>
        <v>0</v>
      </c>
      <c r="CC108" s="145">
        <f t="shared" si="337"/>
        <v>0</v>
      </c>
      <c r="CD108" s="145">
        <f t="shared" si="337"/>
        <v>0</v>
      </c>
      <c r="CE108" s="146">
        <f t="shared" si="337"/>
        <v>0</v>
      </c>
      <c r="CF108" s="147">
        <f t="shared" si="323"/>
        <v>0</v>
      </c>
      <c r="CG108" s="148">
        <f t="shared" ref="CG108:CR108" si="338">+CG106-CG107</f>
        <v>0</v>
      </c>
      <c r="CH108" s="145">
        <f t="shared" si="338"/>
        <v>0</v>
      </c>
      <c r="CI108" s="145">
        <f t="shared" si="338"/>
        <v>0</v>
      </c>
      <c r="CJ108" s="145">
        <f t="shared" si="338"/>
        <v>0</v>
      </c>
      <c r="CK108" s="145">
        <f t="shared" si="338"/>
        <v>0</v>
      </c>
      <c r="CL108" s="145">
        <f t="shared" si="338"/>
        <v>0</v>
      </c>
      <c r="CM108" s="145">
        <f t="shared" si="338"/>
        <v>0</v>
      </c>
      <c r="CN108" s="145">
        <f t="shared" si="338"/>
        <v>0</v>
      </c>
      <c r="CO108" s="145">
        <f t="shared" si="338"/>
        <v>0</v>
      </c>
      <c r="CP108" s="145">
        <f t="shared" si="338"/>
        <v>0</v>
      </c>
      <c r="CQ108" s="145">
        <f t="shared" si="338"/>
        <v>0</v>
      </c>
      <c r="CR108" s="146">
        <f t="shared" si="338"/>
        <v>0</v>
      </c>
      <c r="CS108" s="147">
        <f t="shared" si="76"/>
        <v>0</v>
      </c>
      <c r="CT108" s="148">
        <f t="shared" ref="CT108:DE108" si="339">+CT106-CT107</f>
        <v>0</v>
      </c>
      <c r="CU108" s="145">
        <f t="shared" si="339"/>
        <v>0</v>
      </c>
      <c r="CV108" s="145">
        <f t="shared" si="339"/>
        <v>0</v>
      </c>
      <c r="CW108" s="145">
        <f t="shared" si="339"/>
        <v>0</v>
      </c>
      <c r="CX108" s="145">
        <f t="shared" si="339"/>
        <v>0</v>
      </c>
      <c r="CY108" s="145">
        <f t="shared" si="339"/>
        <v>0</v>
      </c>
      <c r="CZ108" s="145">
        <f t="shared" si="339"/>
        <v>0</v>
      </c>
      <c r="DA108" s="145">
        <f t="shared" si="339"/>
        <v>0</v>
      </c>
      <c r="DB108" s="145">
        <f t="shared" si="339"/>
        <v>0</v>
      </c>
      <c r="DC108" s="145">
        <f t="shared" si="339"/>
        <v>0</v>
      </c>
      <c r="DD108" s="145">
        <f t="shared" si="339"/>
        <v>0</v>
      </c>
      <c r="DE108" s="146">
        <f t="shared" si="339"/>
        <v>0</v>
      </c>
      <c r="DF108" s="147">
        <f t="shared" si="77"/>
        <v>0</v>
      </c>
      <c r="DG108" s="146">
        <f>+DG106-DG107</f>
        <v>0</v>
      </c>
      <c r="DH108" s="98">
        <f t="shared" si="276"/>
        <v>0</v>
      </c>
      <c r="DI108" s="99">
        <f t="shared" si="277"/>
        <v>0</v>
      </c>
      <c r="DJ108" s="100">
        <f t="shared" si="278"/>
        <v>0</v>
      </c>
    </row>
    <row r="109" spans="1:117" ht="15" hidden="1" customHeight="1" outlineLevel="1">
      <c r="A109" s="607"/>
      <c r="B109" s="628" t="s">
        <v>211</v>
      </c>
      <c r="C109" s="246" t="s">
        <v>62</v>
      </c>
      <c r="D109" s="183" t="s">
        <v>122</v>
      </c>
      <c r="E109" s="153">
        <f>AF109+AS109+BF109+BS109+CF109+CS109+DF109+S109+DG109</f>
        <v>1680.8499616556721</v>
      </c>
      <c r="F109" s="153"/>
      <c r="G109" s="154"/>
      <c r="H109" s="155"/>
      <c r="I109" s="155"/>
      <c r="J109" s="155"/>
      <c r="K109" s="155"/>
      <c r="L109" s="155"/>
      <c r="M109" s="155"/>
      <c r="N109" s="155"/>
      <c r="O109" s="155"/>
      <c r="P109" s="155"/>
      <c r="Q109" s="155"/>
      <c r="R109" s="284"/>
      <c r="S109" s="157">
        <f t="shared" si="280"/>
        <v>0</v>
      </c>
      <c r="T109" s="378"/>
      <c r="U109" s="382"/>
      <c r="V109" s="382"/>
      <c r="W109" s="382"/>
      <c r="X109" s="389"/>
      <c r="Y109" s="389"/>
      <c r="Z109" s="389"/>
      <c r="AA109" s="389"/>
      <c r="AB109" s="389">
        <v>56.623627157886183</v>
      </c>
      <c r="AC109" s="389"/>
      <c r="AD109" s="389">
        <v>201.22916215789888</v>
      </c>
      <c r="AE109" s="482">
        <v>875.03490293205641</v>
      </c>
      <c r="AF109" s="157">
        <f t="shared" ref="AF109:AF114" si="340">SUM(T109:AE109)</f>
        <v>1132.8876922478414</v>
      </c>
      <c r="AG109" s="500">
        <v>332.54514194088119</v>
      </c>
      <c r="AH109" s="513"/>
      <c r="AI109" s="513"/>
      <c r="AJ109" s="513"/>
      <c r="AK109" s="513"/>
      <c r="AL109" s="513"/>
      <c r="AM109" s="513"/>
      <c r="AN109" s="513">
        <v>215.41712746694952</v>
      </c>
      <c r="AO109" s="513"/>
      <c r="AP109" s="513"/>
      <c r="AQ109" s="513"/>
      <c r="AR109" s="512"/>
      <c r="AS109" s="409">
        <f t="shared" si="322"/>
        <v>547.96226940783072</v>
      </c>
      <c r="AT109" s="500"/>
      <c r="AU109" s="513"/>
      <c r="AV109" s="513"/>
      <c r="AW109" s="155"/>
      <c r="AX109" s="155"/>
      <c r="AY109" s="155"/>
      <c r="AZ109" s="155"/>
      <c r="BA109" s="155"/>
      <c r="BB109" s="155"/>
      <c r="BC109" s="155"/>
      <c r="BD109" s="155"/>
      <c r="BE109" s="156"/>
      <c r="BF109" s="157"/>
      <c r="BG109" s="158"/>
      <c r="BH109" s="155"/>
      <c r="BI109" s="155"/>
      <c r="BJ109" s="155"/>
      <c r="BK109" s="155"/>
      <c r="BL109" s="155"/>
      <c r="BM109" s="155"/>
      <c r="BN109" s="155"/>
      <c r="BO109" s="155"/>
      <c r="BP109" s="155"/>
      <c r="BQ109" s="155"/>
      <c r="BR109" s="156"/>
      <c r="BS109" s="157"/>
      <c r="BT109" s="158"/>
      <c r="BU109" s="155"/>
      <c r="BV109" s="155"/>
      <c r="BW109" s="155"/>
      <c r="BX109" s="155"/>
      <c r="BY109" s="155"/>
      <c r="BZ109" s="155"/>
      <c r="CA109" s="155"/>
      <c r="CB109" s="155"/>
      <c r="CC109" s="155"/>
      <c r="CD109" s="155"/>
      <c r="CE109" s="156"/>
      <c r="CF109" s="157"/>
      <c r="CG109" s="158"/>
      <c r="CH109" s="155"/>
      <c r="CI109" s="155"/>
      <c r="CJ109" s="155"/>
      <c r="CK109" s="155"/>
      <c r="CL109" s="155"/>
      <c r="CM109" s="155"/>
      <c r="CN109" s="155"/>
      <c r="CO109" s="155"/>
      <c r="CP109" s="155"/>
      <c r="CQ109" s="155"/>
      <c r="CR109" s="156"/>
      <c r="CS109" s="157"/>
      <c r="CT109" s="158"/>
      <c r="CU109" s="155"/>
      <c r="CV109" s="155"/>
      <c r="CW109" s="155"/>
      <c r="CX109" s="155"/>
      <c r="CY109" s="155"/>
      <c r="CZ109" s="155"/>
      <c r="DA109" s="155"/>
      <c r="DB109" s="155"/>
      <c r="DC109" s="155"/>
      <c r="DD109" s="155"/>
      <c r="DE109" s="156"/>
      <c r="DF109" s="157"/>
      <c r="DG109" s="280"/>
      <c r="DH109" s="159">
        <f t="shared" si="276"/>
        <v>1680.8499616556721</v>
      </c>
      <c r="DI109" s="160">
        <f t="shared" si="277"/>
        <v>1680.8499616556721</v>
      </c>
      <c r="DJ109" s="161">
        <f t="shared" si="278"/>
        <v>0</v>
      </c>
    </row>
    <row r="110" spans="1:117" ht="15" hidden="1" customHeight="1" outlineLevel="1">
      <c r="A110" s="607"/>
      <c r="B110" s="629"/>
      <c r="C110" s="245" t="s">
        <v>63</v>
      </c>
      <c r="D110" s="184" t="s">
        <v>124</v>
      </c>
      <c r="E110" s="136">
        <f>AF110+AS110+BF110+BS110+CF110+CS110+DF110+S110+DG110</f>
        <v>1394.9509908714294</v>
      </c>
      <c r="F110" s="136"/>
      <c r="G110" s="137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9"/>
      <c r="S110" s="162">
        <f t="shared" si="280"/>
        <v>0</v>
      </c>
      <c r="T110" s="380"/>
      <c r="U110" s="381"/>
      <c r="V110" s="381"/>
      <c r="W110" s="381"/>
      <c r="X110" s="388"/>
      <c r="Y110" s="388"/>
      <c r="Z110" s="388">
        <v>14.512245148435943</v>
      </c>
      <c r="AA110" s="388">
        <v>38.756792568165366</v>
      </c>
      <c r="AB110" s="388">
        <v>82.341304561517532</v>
      </c>
      <c r="AC110" s="388">
        <v>172.10832417256515</v>
      </c>
      <c r="AD110" s="388">
        <v>411.11540204274786</v>
      </c>
      <c r="AE110" s="483">
        <v>266.80577136240532</v>
      </c>
      <c r="AF110" s="162">
        <f t="shared" si="340"/>
        <v>985.63983985583718</v>
      </c>
      <c r="AG110" s="501">
        <v>274.22781403872204</v>
      </c>
      <c r="AH110" s="499">
        <v>61.003888423114596</v>
      </c>
      <c r="AI110" s="499">
        <v>19.467220997929122</v>
      </c>
      <c r="AJ110" s="499">
        <v>6.0965674470457083</v>
      </c>
      <c r="AK110" s="499">
        <v>-6.4929828560445895</v>
      </c>
      <c r="AL110" s="499">
        <v>5.9426522522522527</v>
      </c>
      <c r="AM110" s="499">
        <v>3.3114990645641633</v>
      </c>
      <c r="AN110" s="499">
        <v>43.289618621917498</v>
      </c>
      <c r="AO110" s="499">
        <v>2.4648730260915666</v>
      </c>
      <c r="AP110" s="499"/>
      <c r="AQ110" s="499"/>
      <c r="AR110" s="511"/>
      <c r="AS110" s="410">
        <f t="shared" si="322"/>
        <v>409.31115101559226</v>
      </c>
      <c r="AT110" s="501"/>
      <c r="AU110" s="499"/>
      <c r="AV110" s="499"/>
      <c r="AW110" s="138"/>
      <c r="AX110" s="138"/>
      <c r="AY110" s="138"/>
      <c r="AZ110" s="138"/>
      <c r="BA110" s="138"/>
      <c r="BB110" s="138"/>
      <c r="BC110" s="138"/>
      <c r="BD110" s="138"/>
      <c r="BE110" s="139"/>
      <c r="BF110" s="162"/>
      <c r="BG110" s="141"/>
      <c r="BH110" s="138"/>
      <c r="BI110" s="138"/>
      <c r="BJ110" s="138"/>
      <c r="BK110" s="138"/>
      <c r="BL110" s="138"/>
      <c r="BM110" s="138"/>
      <c r="BN110" s="138"/>
      <c r="BO110" s="138"/>
      <c r="BP110" s="138"/>
      <c r="BQ110" s="138"/>
      <c r="BR110" s="139"/>
      <c r="BS110" s="162"/>
      <c r="BT110" s="141"/>
      <c r="BU110" s="138"/>
      <c r="BV110" s="138"/>
      <c r="BW110" s="138"/>
      <c r="BX110" s="138"/>
      <c r="BY110" s="138"/>
      <c r="BZ110" s="138"/>
      <c r="CA110" s="138"/>
      <c r="CB110" s="138"/>
      <c r="CC110" s="138"/>
      <c r="CD110" s="138"/>
      <c r="CE110" s="139"/>
      <c r="CF110" s="162"/>
      <c r="CG110" s="141"/>
      <c r="CH110" s="138"/>
      <c r="CI110" s="138"/>
      <c r="CJ110" s="138"/>
      <c r="CK110" s="138"/>
      <c r="CL110" s="138"/>
      <c r="CM110" s="138"/>
      <c r="CN110" s="138"/>
      <c r="CO110" s="138"/>
      <c r="CP110" s="138"/>
      <c r="CQ110" s="138"/>
      <c r="CR110" s="139"/>
      <c r="CS110" s="162"/>
      <c r="CT110" s="141"/>
      <c r="CU110" s="138"/>
      <c r="CV110" s="138"/>
      <c r="CW110" s="138"/>
      <c r="CX110" s="138"/>
      <c r="CY110" s="138"/>
      <c r="CZ110" s="138"/>
      <c r="DA110" s="138"/>
      <c r="DB110" s="138"/>
      <c r="DC110" s="138"/>
      <c r="DD110" s="138"/>
      <c r="DE110" s="139"/>
      <c r="DF110" s="162"/>
      <c r="DG110" s="279"/>
      <c r="DH110" s="90">
        <f t="shared" si="276"/>
        <v>1394.9509908714294</v>
      </c>
      <c r="DI110" s="91">
        <f t="shared" si="277"/>
        <v>1394.9509908714294</v>
      </c>
      <c r="DJ110" s="92">
        <f t="shared" si="278"/>
        <v>0</v>
      </c>
      <c r="DK110" s="64">
        <f>+DH110/DH109</f>
        <v>0.82990809572162749</v>
      </c>
    </row>
    <row r="111" spans="1:117" ht="15" hidden="1" customHeight="1" outlineLevel="1">
      <c r="A111" s="607"/>
      <c r="B111" s="630"/>
      <c r="C111" s="554" t="s">
        <v>11</v>
      </c>
      <c r="D111" s="555"/>
      <c r="E111" s="143">
        <v>47.072000000000003</v>
      </c>
      <c r="F111" s="144">
        <f t="shared" ref="F111:R111" si="341">+F109-F110</f>
        <v>0</v>
      </c>
      <c r="G111" s="145">
        <f t="shared" si="341"/>
        <v>0</v>
      </c>
      <c r="H111" s="145">
        <f t="shared" si="341"/>
        <v>0</v>
      </c>
      <c r="I111" s="145">
        <f t="shared" si="341"/>
        <v>0</v>
      </c>
      <c r="J111" s="145">
        <f t="shared" si="341"/>
        <v>0</v>
      </c>
      <c r="K111" s="145">
        <f t="shared" si="341"/>
        <v>0</v>
      </c>
      <c r="L111" s="145">
        <f t="shared" si="341"/>
        <v>0</v>
      </c>
      <c r="M111" s="145">
        <f t="shared" si="341"/>
        <v>0</v>
      </c>
      <c r="N111" s="145">
        <f t="shared" si="341"/>
        <v>0</v>
      </c>
      <c r="O111" s="145">
        <f t="shared" si="341"/>
        <v>0</v>
      </c>
      <c r="P111" s="145">
        <f t="shared" si="341"/>
        <v>0</v>
      </c>
      <c r="Q111" s="145">
        <f t="shared" si="341"/>
        <v>0</v>
      </c>
      <c r="R111" s="146">
        <f t="shared" si="341"/>
        <v>0</v>
      </c>
      <c r="S111" s="147">
        <f t="shared" si="280"/>
        <v>0</v>
      </c>
      <c r="T111" s="148">
        <f t="shared" ref="T111:AE111" si="342">+T109-T110</f>
        <v>0</v>
      </c>
      <c r="U111" s="145">
        <f t="shared" si="342"/>
        <v>0</v>
      </c>
      <c r="V111" s="145">
        <f t="shared" si="342"/>
        <v>0</v>
      </c>
      <c r="W111" s="145">
        <f t="shared" si="342"/>
        <v>0</v>
      </c>
      <c r="X111" s="145">
        <f t="shared" si="342"/>
        <v>0</v>
      </c>
      <c r="Y111" s="145">
        <f t="shared" si="342"/>
        <v>0</v>
      </c>
      <c r="Z111" s="145">
        <f t="shared" si="342"/>
        <v>-14.512245148435943</v>
      </c>
      <c r="AA111" s="145">
        <f t="shared" si="342"/>
        <v>-38.756792568165366</v>
      </c>
      <c r="AB111" s="145">
        <f t="shared" si="342"/>
        <v>-25.717677403631349</v>
      </c>
      <c r="AC111" s="145">
        <f t="shared" si="342"/>
        <v>-172.10832417256515</v>
      </c>
      <c r="AD111" s="145">
        <f t="shared" si="342"/>
        <v>-209.88623988484898</v>
      </c>
      <c r="AE111" s="146">
        <f t="shared" si="342"/>
        <v>608.22913156965114</v>
      </c>
      <c r="AF111" s="147">
        <f t="shared" si="340"/>
        <v>147.24785239200435</v>
      </c>
      <c r="AG111" s="148">
        <f t="shared" ref="AG111:AR111" si="343">+AG109-AG110</f>
        <v>58.31732790215915</v>
      </c>
      <c r="AH111" s="145">
        <f t="shared" si="343"/>
        <v>-61.003888423114596</v>
      </c>
      <c r="AI111" s="145">
        <f t="shared" si="343"/>
        <v>-19.467220997929122</v>
      </c>
      <c r="AJ111" s="145">
        <f t="shared" si="343"/>
        <v>-6.0965674470457083</v>
      </c>
      <c r="AK111" s="145">
        <f t="shared" si="343"/>
        <v>6.4929828560445895</v>
      </c>
      <c r="AL111" s="145">
        <f t="shared" si="343"/>
        <v>-5.9426522522522527</v>
      </c>
      <c r="AM111" s="145">
        <f t="shared" si="343"/>
        <v>-3.3114990645641633</v>
      </c>
      <c r="AN111" s="145">
        <f t="shared" si="343"/>
        <v>172.12750884503203</v>
      </c>
      <c r="AO111" s="145">
        <f t="shared" si="343"/>
        <v>-2.4648730260915666</v>
      </c>
      <c r="AP111" s="145">
        <f t="shared" si="343"/>
        <v>0</v>
      </c>
      <c r="AQ111" s="145">
        <f t="shared" si="343"/>
        <v>0</v>
      </c>
      <c r="AR111" s="146">
        <f t="shared" si="343"/>
        <v>0</v>
      </c>
      <c r="AS111" s="408">
        <f t="shared" si="322"/>
        <v>138.65111839223835</v>
      </c>
      <c r="AT111" s="148">
        <f t="shared" ref="AT111:BE111" si="344">+AT109-AT110</f>
        <v>0</v>
      </c>
      <c r="AU111" s="145">
        <f t="shared" si="344"/>
        <v>0</v>
      </c>
      <c r="AV111" s="145">
        <f t="shared" si="344"/>
        <v>0</v>
      </c>
      <c r="AW111" s="145">
        <f t="shared" si="344"/>
        <v>0</v>
      </c>
      <c r="AX111" s="145">
        <f t="shared" si="344"/>
        <v>0</v>
      </c>
      <c r="AY111" s="145">
        <f t="shared" si="344"/>
        <v>0</v>
      </c>
      <c r="AZ111" s="145">
        <f t="shared" si="344"/>
        <v>0</v>
      </c>
      <c r="BA111" s="145">
        <f t="shared" si="344"/>
        <v>0</v>
      </c>
      <c r="BB111" s="145">
        <f t="shared" si="344"/>
        <v>0</v>
      </c>
      <c r="BC111" s="145">
        <f t="shared" si="344"/>
        <v>0</v>
      </c>
      <c r="BD111" s="145">
        <f t="shared" si="344"/>
        <v>0</v>
      </c>
      <c r="BE111" s="146">
        <f t="shared" si="344"/>
        <v>0</v>
      </c>
      <c r="BF111" s="147">
        <f t="shared" si="274"/>
        <v>0</v>
      </c>
      <c r="BG111" s="148">
        <f t="shared" ref="BG111:BR111" si="345">+BG109-BG110</f>
        <v>0</v>
      </c>
      <c r="BH111" s="145">
        <f t="shared" si="345"/>
        <v>0</v>
      </c>
      <c r="BI111" s="145">
        <f t="shared" si="345"/>
        <v>0</v>
      </c>
      <c r="BJ111" s="145">
        <f t="shared" si="345"/>
        <v>0</v>
      </c>
      <c r="BK111" s="145">
        <f t="shared" si="345"/>
        <v>0</v>
      </c>
      <c r="BL111" s="145">
        <f t="shared" si="345"/>
        <v>0</v>
      </c>
      <c r="BM111" s="145">
        <f t="shared" si="345"/>
        <v>0</v>
      </c>
      <c r="BN111" s="145">
        <f t="shared" si="345"/>
        <v>0</v>
      </c>
      <c r="BO111" s="145">
        <f t="shared" si="345"/>
        <v>0</v>
      </c>
      <c r="BP111" s="145">
        <f t="shared" si="345"/>
        <v>0</v>
      </c>
      <c r="BQ111" s="145">
        <f t="shared" si="345"/>
        <v>0</v>
      </c>
      <c r="BR111" s="146">
        <f t="shared" si="345"/>
        <v>0</v>
      </c>
      <c r="BS111" s="147">
        <f t="shared" si="275"/>
        <v>0</v>
      </c>
      <c r="BT111" s="148">
        <f t="shared" ref="BT111:CE111" si="346">+BT109-BT110</f>
        <v>0</v>
      </c>
      <c r="BU111" s="145">
        <f t="shared" si="346"/>
        <v>0</v>
      </c>
      <c r="BV111" s="145">
        <f t="shared" si="346"/>
        <v>0</v>
      </c>
      <c r="BW111" s="145">
        <f t="shared" si="346"/>
        <v>0</v>
      </c>
      <c r="BX111" s="145">
        <f t="shared" si="346"/>
        <v>0</v>
      </c>
      <c r="BY111" s="145">
        <f t="shared" si="346"/>
        <v>0</v>
      </c>
      <c r="BZ111" s="145">
        <f t="shared" si="346"/>
        <v>0</v>
      </c>
      <c r="CA111" s="145">
        <f t="shared" si="346"/>
        <v>0</v>
      </c>
      <c r="CB111" s="145">
        <f t="shared" si="346"/>
        <v>0</v>
      </c>
      <c r="CC111" s="145">
        <f t="shared" si="346"/>
        <v>0</v>
      </c>
      <c r="CD111" s="145">
        <f t="shared" si="346"/>
        <v>0</v>
      </c>
      <c r="CE111" s="146">
        <f t="shared" si="346"/>
        <v>0</v>
      </c>
      <c r="CF111" s="147">
        <f t="shared" si="75"/>
        <v>0</v>
      </c>
      <c r="CG111" s="148">
        <f t="shared" ref="CG111:CR111" si="347">+CG109-CG110</f>
        <v>0</v>
      </c>
      <c r="CH111" s="145">
        <f t="shared" si="347"/>
        <v>0</v>
      </c>
      <c r="CI111" s="145">
        <f t="shared" si="347"/>
        <v>0</v>
      </c>
      <c r="CJ111" s="145">
        <f t="shared" si="347"/>
        <v>0</v>
      </c>
      <c r="CK111" s="145">
        <f t="shared" si="347"/>
        <v>0</v>
      </c>
      <c r="CL111" s="145">
        <f t="shared" si="347"/>
        <v>0</v>
      </c>
      <c r="CM111" s="145">
        <f t="shared" si="347"/>
        <v>0</v>
      </c>
      <c r="CN111" s="145">
        <f t="shared" si="347"/>
        <v>0</v>
      </c>
      <c r="CO111" s="145">
        <f t="shared" si="347"/>
        <v>0</v>
      </c>
      <c r="CP111" s="145">
        <f t="shared" si="347"/>
        <v>0</v>
      </c>
      <c r="CQ111" s="145">
        <f t="shared" si="347"/>
        <v>0</v>
      </c>
      <c r="CR111" s="146">
        <f t="shared" si="347"/>
        <v>0</v>
      </c>
      <c r="CS111" s="147">
        <f t="shared" si="76"/>
        <v>0</v>
      </c>
      <c r="CT111" s="148">
        <f t="shared" ref="CT111:DE111" si="348">+CT109-CT110</f>
        <v>0</v>
      </c>
      <c r="CU111" s="145">
        <f t="shared" si="348"/>
        <v>0</v>
      </c>
      <c r="CV111" s="145">
        <f t="shared" si="348"/>
        <v>0</v>
      </c>
      <c r="CW111" s="145">
        <f t="shared" si="348"/>
        <v>0</v>
      </c>
      <c r="CX111" s="145">
        <f t="shared" si="348"/>
        <v>0</v>
      </c>
      <c r="CY111" s="145">
        <f t="shared" si="348"/>
        <v>0</v>
      </c>
      <c r="CZ111" s="145">
        <f t="shared" si="348"/>
        <v>0</v>
      </c>
      <c r="DA111" s="145">
        <f t="shared" si="348"/>
        <v>0</v>
      </c>
      <c r="DB111" s="145">
        <f t="shared" si="348"/>
        <v>0</v>
      </c>
      <c r="DC111" s="145">
        <f t="shared" si="348"/>
        <v>0</v>
      </c>
      <c r="DD111" s="145">
        <f t="shared" si="348"/>
        <v>0</v>
      </c>
      <c r="DE111" s="146">
        <f t="shared" si="348"/>
        <v>0</v>
      </c>
      <c r="DF111" s="147">
        <f t="shared" si="77"/>
        <v>0</v>
      </c>
      <c r="DG111" s="146">
        <f>+DG109-DG110</f>
        <v>0</v>
      </c>
      <c r="DH111" s="98">
        <f t="shared" si="276"/>
        <v>285.89897078424269</v>
      </c>
      <c r="DI111" s="99">
        <f t="shared" si="277"/>
        <v>47.072000000000003</v>
      </c>
      <c r="DJ111" s="100">
        <f t="shared" si="278"/>
        <v>-238.82697078424269</v>
      </c>
    </row>
    <row r="112" spans="1:117" ht="15" customHeight="1" outlineLevel="1">
      <c r="A112" s="607"/>
      <c r="B112" s="611" t="s">
        <v>64</v>
      </c>
      <c r="C112" s="249" t="s">
        <v>62</v>
      </c>
      <c r="D112" s="267" t="s">
        <v>121</v>
      </c>
      <c r="E112" s="153">
        <f>E16+E22+E34+E37+E40+E43+E46+E49+E58+E61+E64+E67+E70+E73+E76+E79+E82+E85+E88+E91+E94+E97+E100+E103+E106+E109+E52+E55+E25+E28+E31</f>
        <v>1531146.9145809389</v>
      </c>
      <c r="F112" s="153">
        <f>F16+F22+F34+F37+F40+F43+F46+F49+F58+F61+F64+F67+F70+F73+F76+F79+F82+F85+F88+F91+F94+F97+F100+F103+F106+F109+F52+F55</f>
        <v>0</v>
      </c>
      <c r="G112" s="154">
        <f t="shared" ref="G112:R113" si="349">G16+G22+G34+G37+G40+G43+G46+G49+G58+G61+G64+G67+G70+G73+G76+G79+G82+G85+G88+G91+G94+G97+G100+G103+G106+G109+G52+G55+G19</f>
        <v>963.8136184006878</v>
      </c>
      <c r="H112" s="155">
        <f t="shared" si="349"/>
        <v>984.46804766751484</v>
      </c>
      <c r="I112" s="155">
        <f t="shared" si="349"/>
        <v>1446.3651858676978</v>
      </c>
      <c r="J112" s="155">
        <f t="shared" si="349"/>
        <v>891.82752501074333</v>
      </c>
      <c r="K112" s="155">
        <f t="shared" si="349"/>
        <v>735.25743896995709</v>
      </c>
      <c r="L112" s="155">
        <f t="shared" si="349"/>
        <v>811.6274367599915</v>
      </c>
      <c r="M112" s="155">
        <f t="shared" si="349"/>
        <v>907.1002998935943</v>
      </c>
      <c r="N112" s="155">
        <f t="shared" si="349"/>
        <v>388.15004468174203</v>
      </c>
      <c r="O112" s="155">
        <f t="shared" si="349"/>
        <v>499.1107967634855</v>
      </c>
      <c r="P112" s="155">
        <f t="shared" si="349"/>
        <v>536.08242523594583</v>
      </c>
      <c r="Q112" s="155">
        <f t="shared" si="349"/>
        <v>25683.972726339838</v>
      </c>
      <c r="R112" s="156">
        <f t="shared" si="349"/>
        <v>1024.9701701871102</v>
      </c>
      <c r="S112" s="157">
        <f t="shared" si="280"/>
        <v>34872.745715778306</v>
      </c>
      <c r="T112" s="383">
        <f t="shared" ref="T112:AE113" si="350">T16+T22+T34+T37+T40+T43+T46+T49+T58+T61+T64+T67+T70+T73+T76+T79+T82+T85+T88+T91+T94+T97+T100+T103+T106+T109+T52+T55+T19</f>
        <v>2183.6690997317937</v>
      </c>
      <c r="U112" s="382">
        <f t="shared" si="350"/>
        <v>866.31960699100568</v>
      </c>
      <c r="V112" s="382">
        <f t="shared" si="350"/>
        <v>291.51444102355811</v>
      </c>
      <c r="W112" s="382">
        <f t="shared" si="350"/>
        <v>561.14362671491631</v>
      </c>
      <c r="X112" s="382">
        <f t="shared" si="350"/>
        <v>390.39660553221847</v>
      </c>
      <c r="Y112" s="382">
        <f t="shared" si="350"/>
        <v>536.66353465699683</v>
      </c>
      <c r="Z112" s="382">
        <f t="shared" si="350"/>
        <v>828.74842111974499</v>
      </c>
      <c r="AA112" s="382">
        <f t="shared" si="350"/>
        <v>1400.968964811389</v>
      </c>
      <c r="AB112" s="382">
        <f t="shared" si="350"/>
        <v>467.82957443437994</v>
      </c>
      <c r="AC112" s="382">
        <f t="shared" si="350"/>
        <v>591.84925279765901</v>
      </c>
      <c r="AD112" s="382">
        <f t="shared" si="350"/>
        <v>3754.1665665667638</v>
      </c>
      <c r="AE112" s="485">
        <f t="shared" si="350"/>
        <v>31389.545795658829</v>
      </c>
      <c r="AF112" s="157">
        <f t="shared" si="340"/>
        <v>43262.815490039255</v>
      </c>
      <c r="AG112" s="498">
        <f t="shared" ref="AG112:AR113" si="351">AG16+AG22+AG34+AG37+AG40+AG43+AG46+AG49+AG58+AG61+AG64+AG67+AG70+AG73+AG76+AG79+AG82+AG85+AG88+AG91+AG94+AG97+AG100+AG103+AG106+AG109+AG52+AG55+AG19</f>
        <v>5081.504172058003</v>
      </c>
      <c r="AH112" s="513">
        <f t="shared" si="351"/>
        <v>838.93162942213519</v>
      </c>
      <c r="AI112" s="513">
        <f t="shared" si="351"/>
        <v>1056.5826290391901</v>
      </c>
      <c r="AJ112" s="513">
        <f t="shared" si="351"/>
        <v>2533.0283525544919</v>
      </c>
      <c r="AK112" s="513">
        <f t="shared" si="351"/>
        <v>4139.9102824139918</v>
      </c>
      <c r="AL112" s="513">
        <f t="shared" si="351"/>
        <v>2671.8611396971401</v>
      </c>
      <c r="AM112" s="513">
        <f t="shared" si="351"/>
        <v>3126.7230718185638</v>
      </c>
      <c r="AN112" s="513">
        <f t="shared" si="351"/>
        <v>4089.0437582484183</v>
      </c>
      <c r="AO112" s="513">
        <f t="shared" si="351"/>
        <v>1410.4854570379066</v>
      </c>
      <c r="AP112" s="513">
        <f t="shared" si="351"/>
        <v>1419.0347688067814</v>
      </c>
      <c r="AQ112" s="513">
        <f t="shared" si="351"/>
        <v>2970.156763535786</v>
      </c>
      <c r="AR112" s="525">
        <f t="shared" si="351"/>
        <v>8382.871058789955</v>
      </c>
      <c r="AS112" s="409">
        <f t="shared" si="322"/>
        <v>37720.133083422363</v>
      </c>
      <c r="AT112" s="500">
        <f>AT16+AT22+AT34+AT37+AT40+AT43+AT46+AT49+AT58+AT61+AT64+AT67+AT70+AT73+AT76+AT79+AT82+AT85+AT88+AT91+AT94+AT97+AT100+AT103+AT106+AT109+AT52+AT55+AT19+AT25+AT28+AT31</f>
        <v>8217.4099145154469</v>
      </c>
      <c r="AU112" s="513">
        <f t="shared" ref="AU112:BE113" si="352">AU16+AU22+AU34+AU37+AU40+AU43+AU46+AU49+AU58+AU61+AU64+AU67+AU70+AU73+AU76+AU79+AU82+AU85+AU88+AU91+AU94+AU97+AU100+AU103+AU106+AU109+AU52+AU55+AU19+AU25+AU28+AU31</f>
        <v>7098.023416251438</v>
      </c>
      <c r="AV112" s="513">
        <f t="shared" si="352"/>
        <v>3151.6712860122889</v>
      </c>
      <c r="AW112" s="155">
        <f t="shared" si="352"/>
        <v>1961.2670000000001</v>
      </c>
      <c r="AX112" s="155">
        <f t="shared" si="352"/>
        <v>0</v>
      </c>
      <c r="AY112" s="155">
        <f t="shared" si="352"/>
        <v>0</v>
      </c>
      <c r="AZ112" s="155">
        <f>AZ16+AZ22+AZ34+AZ37+AZ40+AZ43+AZ46+AZ49+AZ58+AZ61+AZ64+AZ67+AZ70+AZ73+AZ76+AZ79+AZ82+AZ85+AZ88+AZ91+AZ94+AZ97+AZ100+AZ103+AZ106+AZ109+AZ52+AZ55+AZ19+AZ25+AZ28+AZ31</f>
        <v>0</v>
      </c>
      <c r="BA112" s="155">
        <f t="shared" si="352"/>
        <v>0</v>
      </c>
      <c r="BB112" s="155">
        <f t="shared" si="352"/>
        <v>2665.751115562929</v>
      </c>
      <c r="BC112" s="155">
        <f t="shared" si="352"/>
        <v>6917.083381446676</v>
      </c>
      <c r="BD112" s="155">
        <f t="shared" si="352"/>
        <v>9797.4341442322202</v>
      </c>
      <c r="BE112" s="156">
        <f t="shared" si="352"/>
        <v>12628.376578722493</v>
      </c>
      <c r="BF112" s="157">
        <f t="shared" si="274"/>
        <v>52437.016836743489</v>
      </c>
      <c r="BG112" s="154">
        <f t="shared" ref="BG112:BR113" si="353">BG16+BG22+BG34+BG37+BG40+BG43+BG46+BG49+BG58+BG61+BG64+BG67+BG70+BG73+BG76+BG79+BG82+BG85+BG88+BG91+BG94+BG97+BG100+BG103+BG106+BG109+BG52+BG55+BG19+BG25+BG28+BG31</f>
        <v>18214.265086632236</v>
      </c>
      <c r="BH112" s="155">
        <f t="shared" si="353"/>
        <v>15662.410217219567</v>
      </c>
      <c r="BI112" s="155">
        <f t="shared" si="353"/>
        <v>18462.238724510986</v>
      </c>
      <c r="BJ112" s="155">
        <f t="shared" si="353"/>
        <v>22770.000695384297</v>
      </c>
      <c r="BK112" s="155">
        <f t="shared" si="353"/>
        <v>23182.903522406385</v>
      </c>
      <c r="BL112" s="155">
        <f t="shared" si="353"/>
        <v>25252.75220190153</v>
      </c>
      <c r="BM112" s="155">
        <f t="shared" si="353"/>
        <v>122714.23947474654</v>
      </c>
      <c r="BN112" s="155">
        <f t="shared" si="353"/>
        <v>26519.667021673864</v>
      </c>
      <c r="BO112" s="155">
        <f t="shared" si="353"/>
        <v>26663.059453109643</v>
      </c>
      <c r="BP112" s="155">
        <f t="shared" si="353"/>
        <v>24503.24275613646</v>
      </c>
      <c r="BQ112" s="155">
        <f t="shared" si="353"/>
        <v>29158.205072379176</v>
      </c>
      <c r="BR112" s="156">
        <f t="shared" si="353"/>
        <v>32694.372208882771</v>
      </c>
      <c r="BS112" s="157">
        <f t="shared" si="275"/>
        <v>385797.35643498349</v>
      </c>
      <c r="BT112" s="154">
        <f t="shared" ref="BT112:CE113" si="354">BT16+BT22+BT34+BT37+BT40+BT43+BT46+BT49+BT58+BT61+BT64+BT67+BT70+BT73+BT76+BT79+BT82+BT85+BT88+BT91+BT94+BT97+BT100+BT103+BT106+BT109+BT52+BT55+BT19+BT25+BT28+BT31</f>
        <v>33970.750756383262</v>
      </c>
      <c r="BU112" s="155">
        <f t="shared" si="354"/>
        <v>33405.783583820572</v>
      </c>
      <c r="BV112" s="155">
        <f t="shared" si="354"/>
        <v>30145.692966348975</v>
      </c>
      <c r="BW112" s="155">
        <f t="shared" si="354"/>
        <v>31685.906580399875</v>
      </c>
      <c r="BX112" s="155">
        <f t="shared" si="354"/>
        <v>31291.307114493306</v>
      </c>
      <c r="BY112" s="155">
        <f t="shared" si="354"/>
        <v>32173.641344990891</v>
      </c>
      <c r="BZ112" s="155">
        <f t="shared" si="354"/>
        <v>33787.001254180563</v>
      </c>
      <c r="CA112" s="155">
        <f t="shared" si="354"/>
        <v>36191.492172835467</v>
      </c>
      <c r="CB112" s="155">
        <f t="shared" si="354"/>
        <v>33473.488521437321</v>
      </c>
      <c r="CC112" s="155">
        <f t="shared" si="354"/>
        <v>34350.640093910959</v>
      </c>
      <c r="CD112" s="155">
        <f t="shared" si="354"/>
        <v>34890.368591200058</v>
      </c>
      <c r="CE112" s="156">
        <f t="shared" si="354"/>
        <v>35079.819982108733</v>
      </c>
      <c r="CF112" s="157">
        <f t="shared" si="75"/>
        <v>400445.89296211</v>
      </c>
      <c r="CG112" s="154">
        <f t="shared" ref="CG112:CR113" si="355">CG16+CG22+CG34+CG37+CG40+CG43+CG46+CG49+CG58+CG61+CG64+CG67+CG70+CG73+CG76+CG79+CG82+CG85+CG88+CG91+CG94+CG97+CG100+CG103+CG106+CG109+CG52+CG55+CG19+CG25+CG28+CG31</f>
        <v>34181.189974393637</v>
      </c>
      <c r="CH112" s="155">
        <f t="shared" si="355"/>
        <v>34693.557681554536</v>
      </c>
      <c r="CI112" s="155">
        <f t="shared" si="355"/>
        <v>35224.997333278152</v>
      </c>
      <c r="CJ112" s="155">
        <f t="shared" si="355"/>
        <v>33013.630851999558</v>
      </c>
      <c r="CK112" s="155">
        <f t="shared" si="355"/>
        <v>32899.272787808746</v>
      </c>
      <c r="CL112" s="155">
        <f t="shared" si="355"/>
        <v>32459.90678768721</v>
      </c>
      <c r="CM112" s="155">
        <f t="shared" si="355"/>
        <v>28980.18328785769</v>
      </c>
      <c r="CN112" s="155">
        <f t="shared" si="355"/>
        <v>27908.371370133638</v>
      </c>
      <c r="CO112" s="155">
        <f t="shared" si="355"/>
        <v>26537.045405370558</v>
      </c>
      <c r="CP112" s="155">
        <f t="shared" si="355"/>
        <v>23563.79560237236</v>
      </c>
      <c r="CQ112" s="155">
        <f t="shared" si="355"/>
        <v>14376.687762513902</v>
      </c>
      <c r="CR112" s="156">
        <f t="shared" si="355"/>
        <v>13011.112677745361</v>
      </c>
      <c r="CS112" s="157">
        <f t="shared" si="76"/>
        <v>336849.75152271538</v>
      </c>
      <c r="CT112" s="154">
        <f t="shared" ref="CT112:DE113" si="356">CT16+CT22+CT34+CT37+CT40+CT43+CT46+CT49+CT58+CT61+CT64+CT67+CT70+CT73+CT76+CT79+CT82+CT85+CT88+CT91+CT94+CT97+CT100+CT103+CT106+CT109+CT52+CT55+CT19+CT25+CT28+CT31</f>
        <v>12131.076395350083</v>
      </c>
      <c r="CU112" s="155">
        <f t="shared" si="356"/>
        <v>11120.574647499436</v>
      </c>
      <c r="CV112" s="155">
        <f t="shared" si="356"/>
        <v>9988.7294377680719</v>
      </c>
      <c r="CW112" s="155">
        <f t="shared" si="356"/>
        <v>9046.4852726452045</v>
      </c>
      <c r="CX112" s="155">
        <f t="shared" si="356"/>
        <v>8374.7635937188315</v>
      </c>
      <c r="CY112" s="155">
        <f t="shared" si="356"/>
        <v>7678.9695695081919</v>
      </c>
      <c r="CZ112" s="155">
        <f t="shared" si="356"/>
        <v>6892.8569956916172</v>
      </c>
      <c r="DA112" s="155">
        <f t="shared" si="356"/>
        <v>6023.5648036737075</v>
      </c>
      <c r="DB112" s="155">
        <f t="shared" si="356"/>
        <v>5366.81550185162</v>
      </c>
      <c r="DC112" s="155">
        <f t="shared" si="356"/>
        <v>4929.6161372494525</v>
      </c>
      <c r="DD112" s="155">
        <f t="shared" si="356"/>
        <v>4430.1731299810317</v>
      </c>
      <c r="DE112" s="156">
        <f t="shared" si="356"/>
        <v>3875.0220955471141</v>
      </c>
      <c r="DF112" s="157">
        <f t="shared" si="77"/>
        <v>89858.647580484379</v>
      </c>
      <c r="DG112" s="280">
        <f>DG16+DG22+DG34+DG37+DG40+DG43+DG46+DG49+DG58+DG61+DG64+DG67+DG70+DG73+DG76+DG79+DG82+DG85+DG88+DG91+DG94+DG97+DG100+DG103+DG106+DG109+DG52+DG55+DG19+DG25+DG28+DG31</f>
        <v>119679.57644382703</v>
      </c>
      <c r="DH112" s="159">
        <f>+F112+S112+AF112+AS112+BF112+BS112+DG112</f>
        <v>673769.64400479395</v>
      </c>
      <c r="DI112" s="160">
        <f>+E112</f>
        <v>1531146.9145809389</v>
      </c>
      <c r="DJ112" s="161">
        <f>+DI112-DH112</f>
        <v>857377.27057614492</v>
      </c>
      <c r="DM112" s="134"/>
    </row>
    <row r="113" spans="1:117" ht="15" customHeight="1" outlineLevel="1">
      <c r="A113" s="607"/>
      <c r="B113" s="612"/>
      <c r="C113" s="248" t="s">
        <v>63</v>
      </c>
      <c r="D113" s="268" t="s">
        <v>118</v>
      </c>
      <c r="E113" s="136">
        <f>E17+E23+E35+E38+E41+E44+E47+E50+E59+E62+E65+E68+E71+E74+E77+E80+E83+E86+E89+E92+E95+E98+E101+E104+E107+E110+E53+E56+E26+E29+E32</f>
        <v>1285777.3640099005</v>
      </c>
      <c r="F113" s="136">
        <f>F17+F23+F35+F38+F41+F44+F47+F50+F59+F62+F65+F68+F71+F74+F77+F80+F83+F86+F89+F92+F95+F98+F101+F104+F107+F110+F53+F56</f>
        <v>0</v>
      </c>
      <c r="G113" s="137">
        <f t="shared" si="349"/>
        <v>812.82429174548588</v>
      </c>
      <c r="H113" s="138">
        <f t="shared" si="349"/>
        <v>790.49666361323148</v>
      </c>
      <c r="I113" s="138">
        <f t="shared" si="349"/>
        <v>1190.4957644329897</v>
      </c>
      <c r="J113" s="138">
        <f t="shared" si="349"/>
        <v>701.77750678985808</v>
      </c>
      <c r="K113" s="138">
        <f t="shared" si="349"/>
        <v>1550.5221106008585</v>
      </c>
      <c r="L113" s="138">
        <f t="shared" si="349"/>
        <v>673.2195201111349</v>
      </c>
      <c r="M113" s="138">
        <f t="shared" si="349"/>
        <v>715.57458735901298</v>
      </c>
      <c r="N113" s="138">
        <f t="shared" si="349"/>
        <v>330.66627064489114</v>
      </c>
      <c r="O113" s="138">
        <f t="shared" si="349"/>
        <v>403.77169626556019</v>
      </c>
      <c r="P113" s="138">
        <f t="shared" si="349"/>
        <v>434.08113385309809</v>
      </c>
      <c r="Q113" s="138">
        <f t="shared" si="349"/>
        <v>721.60620889073539</v>
      </c>
      <c r="R113" s="139">
        <f t="shared" si="349"/>
        <v>883.11913654885666</v>
      </c>
      <c r="S113" s="162">
        <f t="shared" si="280"/>
        <v>9208.1548908557161</v>
      </c>
      <c r="T113" s="384">
        <f t="shared" si="350"/>
        <v>1508.0802998143179</v>
      </c>
      <c r="U113" s="381">
        <f t="shared" si="350"/>
        <v>564.75295049059685</v>
      </c>
      <c r="V113" s="381">
        <f t="shared" si="350"/>
        <v>260.96712038992689</v>
      </c>
      <c r="W113" s="381">
        <f t="shared" si="350"/>
        <v>550.49119839344655</v>
      </c>
      <c r="X113" s="381">
        <f t="shared" si="350"/>
        <v>453.89596298644688</v>
      </c>
      <c r="Y113" s="381">
        <f t="shared" si="350"/>
        <v>562.61050790631316</v>
      </c>
      <c r="Z113" s="381">
        <f t="shared" si="350"/>
        <v>752.42214146244271</v>
      </c>
      <c r="AA113" s="381">
        <f t="shared" si="350"/>
        <v>763.87346280061126</v>
      </c>
      <c r="AB113" s="381">
        <f t="shared" si="350"/>
        <v>611.07383220277029</v>
      </c>
      <c r="AC113" s="381">
        <f t="shared" si="350"/>
        <v>757.53354620586038</v>
      </c>
      <c r="AD113" s="381">
        <f t="shared" si="350"/>
        <v>2072.3433559428977</v>
      </c>
      <c r="AE113" s="486">
        <f t="shared" si="350"/>
        <v>5483.4120894532325</v>
      </c>
      <c r="AF113" s="162">
        <f t="shared" si="340"/>
        <v>14341.456468048862</v>
      </c>
      <c r="AG113" s="497">
        <f t="shared" si="351"/>
        <v>4555.4647741215849</v>
      </c>
      <c r="AH113" s="499">
        <f t="shared" si="351"/>
        <v>583.51437954946141</v>
      </c>
      <c r="AI113" s="499">
        <f t="shared" si="351"/>
        <v>838.65838541788753</v>
      </c>
      <c r="AJ113" s="499">
        <f t="shared" si="351"/>
        <v>2268.0467104140239</v>
      </c>
      <c r="AK113" s="499">
        <f t="shared" si="351"/>
        <v>3571.2726400538149</v>
      </c>
      <c r="AL113" s="499">
        <f t="shared" si="351"/>
        <v>2707.5759537281965</v>
      </c>
      <c r="AM113" s="499">
        <f t="shared" si="351"/>
        <v>2173.0331328318885</v>
      </c>
      <c r="AN113" s="499">
        <f t="shared" si="351"/>
        <v>2336.3705502481153</v>
      </c>
      <c r="AO113" s="499">
        <f t="shared" si="351"/>
        <v>2233.1675945771954</v>
      </c>
      <c r="AP113" s="499">
        <f t="shared" si="351"/>
        <v>1523.2350495305432</v>
      </c>
      <c r="AQ113" s="499">
        <f t="shared" si="351"/>
        <v>3219.4307916493008</v>
      </c>
      <c r="AR113" s="526">
        <f t="shared" si="351"/>
        <v>6734.825704261797</v>
      </c>
      <c r="AS113" s="410">
        <f t="shared" si="322"/>
        <v>32744.595666383815</v>
      </c>
      <c r="AT113" s="501">
        <f>AT17+AT23+AT35+AT38+AT41+AT44+AT47+AT50+AT59+AT62+AT65+AT68+AT71+AT74+AT77+AT80+AT83+AT86+AT89+AT92+AT95+AT98+AT101+AT104+AT107+AT110+AT53+AT56+AT20+AT26+AT29+AT32</f>
        <v>6899.4974725118309</v>
      </c>
      <c r="AU113" s="499">
        <f t="shared" si="352"/>
        <v>4159.5676441931782</v>
      </c>
      <c r="AV113" s="499">
        <f t="shared" si="352"/>
        <v>2418.5289922248353</v>
      </c>
      <c r="AW113" s="138">
        <f t="shared" si="352"/>
        <v>6303.8334828839997</v>
      </c>
      <c r="AX113" s="138">
        <f t="shared" si="352"/>
        <v>7793.6471708915551</v>
      </c>
      <c r="AY113" s="138">
        <f t="shared" si="352"/>
        <v>10972.194753843572</v>
      </c>
      <c r="AZ113" s="138">
        <f>AZ17+AZ23+AZ35+AZ38+AZ41+AZ44+AZ47+AZ50+AZ59+AZ62+AZ65+AZ68+AZ71+AZ74+AZ77+AZ80+AZ83+AZ86+AZ89+AZ92+AZ95+AZ98+AZ101+AZ104+AZ107+AZ110+AZ53+AZ56+AZ20+AZ26+AZ29+AZ32</f>
        <v>9122.8572228518042</v>
      </c>
      <c r="BA113" s="138">
        <f t="shared" si="352"/>
        <v>10419.221302617107</v>
      </c>
      <c r="BB113" s="138">
        <f t="shared" si="352"/>
        <v>7998.3095155776</v>
      </c>
      <c r="BC113" s="138">
        <f t="shared" si="352"/>
        <v>7609.7733411237559</v>
      </c>
      <c r="BD113" s="138">
        <f t="shared" si="352"/>
        <v>10030.235705658524</v>
      </c>
      <c r="BE113" s="139">
        <f t="shared" si="352"/>
        <v>10243.076287218197</v>
      </c>
      <c r="BF113" s="162">
        <f t="shared" si="274"/>
        <v>93970.742891595961</v>
      </c>
      <c r="BG113" s="137">
        <f t="shared" si="353"/>
        <v>10770.863466555935</v>
      </c>
      <c r="BH113" s="138">
        <f t="shared" si="353"/>
        <v>16390.054905589866</v>
      </c>
      <c r="BI113" s="138">
        <f t="shared" si="353"/>
        <v>20931.699282175468</v>
      </c>
      <c r="BJ113" s="138">
        <f t="shared" si="353"/>
        <v>23693.69642583526</v>
      </c>
      <c r="BK113" s="138">
        <f t="shared" si="353"/>
        <v>27138.461831944471</v>
      </c>
      <c r="BL113" s="138">
        <f t="shared" si="353"/>
        <v>27384.57679816557</v>
      </c>
      <c r="BM113" s="138">
        <f t="shared" si="353"/>
        <v>37875.356964901599</v>
      </c>
      <c r="BN113" s="138">
        <f t="shared" si="353"/>
        <v>24181.400741242414</v>
      </c>
      <c r="BO113" s="138">
        <f t="shared" si="353"/>
        <v>23735.854674765833</v>
      </c>
      <c r="BP113" s="138">
        <f t="shared" si="353"/>
        <v>22642.123393784677</v>
      </c>
      <c r="BQ113" s="138">
        <f t="shared" si="353"/>
        <v>24076.108599276107</v>
      </c>
      <c r="BR113" s="139">
        <f t="shared" si="353"/>
        <v>25461.452175659091</v>
      </c>
      <c r="BS113" s="162">
        <f t="shared" si="275"/>
        <v>284281.64925989631</v>
      </c>
      <c r="BT113" s="137">
        <f t="shared" si="354"/>
        <v>25132.343657892528</v>
      </c>
      <c r="BU113" s="138">
        <f t="shared" si="354"/>
        <v>28013.540654579949</v>
      </c>
      <c r="BV113" s="138">
        <f t="shared" si="354"/>
        <v>28163.349929499011</v>
      </c>
      <c r="BW113" s="138">
        <f t="shared" si="354"/>
        <v>28949.959587251593</v>
      </c>
      <c r="BX113" s="138">
        <f t="shared" si="354"/>
        <v>27726.540928537732</v>
      </c>
      <c r="BY113" s="138">
        <f t="shared" si="354"/>
        <v>29067.737433621569</v>
      </c>
      <c r="BZ113" s="138">
        <f t="shared" si="354"/>
        <v>29805.635289279184</v>
      </c>
      <c r="CA113" s="138">
        <f t="shared" si="354"/>
        <v>41778.11840628244</v>
      </c>
      <c r="CB113" s="138">
        <f t="shared" si="354"/>
        <v>29596.328614963168</v>
      </c>
      <c r="CC113" s="138">
        <f t="shared" si="354"/>
        <v>30401.131786333826</v>
      </c>
      <c r="CD113" s="138">
        <f t="shared" si="354"/>
        <v>30906.232963121234</v>
      </c>
      <c r="CE113" s="139">
        <f t="shared" si="354"/>
        <v>31099.901395282712</v>
      </c>
      <c r="CF113" s="162">
        <f t="shared" si="75"/>
        <v>360640.82064664492</v>
      </c>
      <c r="CG113" s="137">
        <f t="shared" si="355"/>
        <v>30354.410722414472</v>
      </c>
      <c r="CH113" s="138">
        <f t="shared" si="355"/>
        <v>30810.143356869292</v>
      </c>
      <c r="CI113" s="138">
        <f t="shared" si="355"/>
        <v>31283.575164404581</v>
      </c>
      <c r="CJ113" s="138">
        <f t="shared" si="355"/>
        <v>29410.172899862686</v>
      </c>
      <c r="CK113" s="138">
        <f t="shared" si="355"/>
        <v>29303.608145757371</v>
      </c>
      <c r="CL113" s="138">
        <f t="shared" si="355"/>
        <v>28905.221954228302</v>
      </c>
      <c r="CM113" s="138">
        <f t="shared" si="355"/>
        <v>25907.239383676144</v>
      </c>
      <c r="CN113" s="138">
        <f t="shared" si="355"/>
        <v>24941.165511231953</v>
      </c>
      <c r="CO113" s="138">
        <f t="shared" si="355"/>
        <v>23706.351796814659</v>
      </c>
      <c r="CP113" s="138">
        <f t="shared" si="355"/>
        <v>21101.206536055557</v>
      </c>
      <c r="CQ113" s="138">
        <f t="shared" si="355"/>
        <v>12833.948481857879</v>
      </c>
      <c r="CR113" s="139">
        <f t="shared" si="355"/>
        <v>11606.996982951601</v>
      </c>
      <c r="CS113" s="162">
        <f t="shared" si="76"/>
        <v>300164.04093612451</v>
      </c>
      <c r="CT113" s="137">
        <f t="shared" si="356"/>
        <v>10817.981561074503</v>
      </c>
      <c r="CU113" s="138">
        <f t="shared" si="356"/>
        <v>9912.5159345037173</v>
      </c>
      <c r="CV113" s="138">
        <f t="shared" si="356"/>
        <v>8898.8202808768565</v>
      </c>
      <c r="CW113" s="138">
        <f t="shared" si="356"/>
        <v>8065.7566473761335</v>
      </c>
      <c r="CX113" s="138">
        <f t="shared" si="356"/>
        <v>7486.0498209371763</v>
      </c>
      <c r="CY113" s="138">
        <f t="shared" si="356"/>
        <v>6885.3440237560199</v>
      </c>
      <c r="CZ113" s="138">
        <f t="shared" si="356"/>
        <v>6203.8006063382627</v>
      </c>
      <c r="DA113" s="138">
        <f t="shared" si="356"/>
        <v>5447.623262566105</v>
      </c>
      <c r="DB113" s="138">
        <f t="shared" si="356"/>
        <v>4868.3660443669505</v>
      </c>
      <c r="DC113" s="138">
        <f t="shared" si="356"/>
        <v>4472.2265797099817</v>
      </c>
      <c r="DD113" s="138">
        <f t="shared" si="356"/>
        <v>4019.9703361199622</v>
      </c>
      <c r="DE113" s="139">
        <f t="shared" si="356"/>
        <v>3517.4869257649507</v>
      </c>
      <c r="DF113" s="162">
        <f t="shared" si="77"/>
        <v>80595.942023390642</v>
      </c>
      <c r="DG113" s="279">
        <f>DG17+DG23+DG35+DG38+DG41+DG44+DG47+DG50+DG59+DG62+DG65+DG68+DG71+DG74+DG77+DG80+DG83+DG86+DG89+DG92+DG95+DG98+DG101+DG104+DG107+DG110+DG53+DG56+DG20+DG26+DG29+DG32</f>
        <v>107882.38685474546</v>
      </c>
      <c r="DH113" s="90">
        <f>+F113+S113+AF113+AS113+BF113+BS113+DG113</f>
        <v>542428.98603152612</v>
      </c>
      <c r="DI113" s="91">
        <f>+E113</f>
        <v>1285777.3640099005</v>
      </c>
      <c r="DJ113" s="92">
        <f>+DI113-DH113</f>
        <v>743348.37797837437</v>
      </c>
      <c r="DK113" s="64">
        <f>+DH113/DH112</f>
        <v>0.80506593144713812</v>
      </c>
      <c r="DM113" s="134"/>
    </row>
    <row r="114" spans="1:117" ht="15" customHeight="1" outlineLevel="1">
      <c r="A114" s="607"/>
      <c r="B114" s="613"/>
      <c r="C114" s="617" t="s">
        <v>11</v>
      </c>
      <c r="D114" s="618"/>
      <c r="E114" s="169">
        <f t="shared" ref="E114:R114" si="357">+E112-E113</f>
        <v>245369.55057103839</v>
      </c>
      <c r="F114" s="170">
        <f t="shared" si="357"/>
        <v>0</v>
      </c>
      <c r="G114" s="171">
        <f t="shared" si="357"/>
        <v>150.98932665520192</v>
      </c>
      <c r="H114" s="171">
        <f t="shared" si="357"/>
        <v>193.97138405428336</v>
      </c>
      <c r="I114" s="171">
        <f t="shared" si="357"/>
        <v>255.8694214347081</v>
      </c>
      <c r="J114" s="171">
        <f t="shared" si="357"/>
        <v>190.05001822088525</v>
      </c>
      <c r="K114" s="171">
        <f t="shared" si="357"/>
        <v>-815.26467163090138</v>
      </c>
      <c r="L114" s="171">
        <f t="shared" si="357"/>
        <v>138.4079166488566</v>
      </c>
      <c r="M114" s="171">
        <f t="shared" si="357"/>
        <v>191.52571253458132</v>
      </c>
      <c r="N114" s="171">
        <f t="shared" si="357"/>
        <v>57.483774036850889</v>
      </c>
      <c r="O114" s="171">
        <f t="shared" si="357"/>
        <v>95.339100497925301</v>
      </c>
      <c r="P114" s="171">
        <f t="shared" si="357"/>
        <v>102.00129138284774</v>
      </c>
      <c r="Q114" s="171">
        <f t="shared" si="357"/>
        <v>24962.366517449103</v>
      </c>
      <c r="R114" s="172">
        <f t="shared" si="357"/>
        <v>141.85103363825351</v>
      </c>
      <c r="S114" s="173">
        <f t="shared" si="280"/>
        <v>25664.590824922598</v>
      </c>
      <c r="T114" s="174">
        <f t="shared" ref="T114:AE114" si="358">+T112-T113</f>
        <v>675.58879991747585</v>
      </c>
      <c r="U114" s="171">
        <f t="shared" si="358"/>
        <v>301.56665650040884</v>
      </c>
      <c r="V114" s="171">
        <f t="shared" si="358"/>
        <v>30.547320633631216</v>
      </c>
      <c r="W114" s="171">
        <f t="shared" si="358"/>
        <v>10.652428321469756</v>
      </c>
      <c r="X114" s="171">
        <f t="shared" si="358"/>
        <v>-63.499357454228402</v>
      </c>
      <c r="Y114" s="171">
        <f t="shared" si="358"/>
        <v>-25.946973249316329</v>
      </c>
      <c r="Z114" s="171">
        <f t="shared" si="358"/>
        <v>76.32627965730228</v>
      </c>
      <c r="AA114" s="171">
        <f t="shared" si="358"/>
        <v>637.09550201077775</v>
      </c>
      <c r="AB114" s="171">
        <f t="shared" si="358"/>
        <v>-143.24425776839036</v>
      </c>
      <c r="AC114" s="171">
        <f t="shared" si="358"/>
        <v>-165.68429340820137</v>
      </c>
      <c r="AD114" s="171">
        <f t="shared" si="358"/>
        <v>1681.8232106238661</v>
      </c>
      <c r="AE114" s="172">
        <f t="shared" si="358"/>
        <v>25906.133706205597</v>
      </c>
      <c r="AF114" s="173">
        <f t="shared" si="340"/>
        <v>28921.359021990393</v>
      </c>
      <c r="AG114" s="174">
        <f t="shared" ref="AG114:AR114" si="359">+AG112-AG113</f>
        <v>526.03939793641803</v>
      </c>
      <c r="AH114" s="171">
        <f t="shared" si="359"/>
        <v>255.41724987267378</v>
      </c>
      <c r="AI114" s="171">
        <f t="shared" si="359"/>
        <v>217.92424362130259</v>
      </c>
      <c r="AJ114" s="171">
        <f t="shared" si="359"/>
        <v>264.98164214046801</v>
      </c>
      <c r="AK114" s="171">
        <f t="shared" si="359"/>
        <v>568.63764236017687</v>
      </c>
      <c r="AL114" s="171">
        <f t="shared" si="359"/>
        <v>-35.714814031056449</v>
      </c>
      <c r="AM114" s="171">
        <f t="shared" si="359"/>
        <v>953.68993898667532</v>
      </c>
      <c r="AN114" s="171">
        <f t="shared" si="359"/>
        <v>1752.673208000303</v>
      </c>
      <c r="AO114" s="171">
        <f t="shared" si="359"/>
        <v>-822.68213753928876</v>
      </c>
      <c r="AP114" s="171">
        <f t="shared" si="359"/>
        <v>-104.20028072376181</v>
      </c>
      <c r="AQ114" s="171">
        <f t="shared" si="359"/>
        <v>-249.27402811351476</v>
      </c>
      <c r="AR114" s="520">
        <f t="shared" si="359"/>
        <v>1648.045354528158</v>
      </c>
      <c r="AS114" s="411">
        <f t="shared" si="322"/>
        <v>4975.5374170385539</v>
      </c>
      <c r="AT114" s="174">
        <f t="shared" ref="AT114:BE114" si="360">+AT112-AT113</f>
        <v>1317.912442003616</v>
      </c>
      <c r="AU114" s="171">
        <f t="shared" si="360"/>
        <v>2938.4557720582598</v>
      </c>
      <c r="AV114" s="171">
        <f t="shared" si="360"/>
        <v>733.14229378745358</v>
      </c>
      <c r="AW114" s="171">
        <f t="shared" si="360"/>
        <v>-4342.5664828839999</v>
      </c>
      <c r="AX114" s="171">
        <f t="shared" si="360"/>
        <v>-7793.6471708915551</v>
      </c>
      <c r="AY114" s="171">
        <f t="shared" si="360"/>
        <v>-10972.194753843572</v>
      </c>
      <c r="AZ114" s="171">
        <f t="shared" si="360"/>
        <v>-9122.8572228518042</v>
      </c>
      <c r="BA114" s="171">
        <f t="shared" si="360"/>
        <v>-10419.221302617107</v>
      </c>
      <c r="BB114" s="171">
        <f t="shared" si="360"/>
        <v>-5332.558400014671</v>
      </c>
      <c r="BC114" s="171">
        <f t="shared" si="360"/>
        <v>-692.68995967707997</v>
      </c>
      <c r="BD114" s="171">
        <f t="shared" si="360"/>
        <v>-232.80156142630403</v>
      </c>
      <c r="BE114" s="172">
        <f t="shared" si="360"/>
        <v>2385.3002915042962</v>
      </c>
      <c r="BF114" s="173">
        <f t="shared" si="274"/>
        <v>-41533.726054852472</v>
      </c>
      <c r="BG114" s="174">
        <f t="shared" ref="BG114:BR114" si="361">+BG112-BG113</f>
        <v>7443.4016200763017</v>
      </c>
      <c r="BH114" s="171">
        <f t="shared" si="361"/>
        <v>-727.64468837029926</v>
      </c>
      <c r="BI114" s="171">
        <f t="shared" si="361"/>
        <v>-2469.4605576644826</v>
      </c>
      <c r="BJ114" s="171">
        <f t="shared" si="361"/>
        <v>-923.69573045096331</v>
      </c>
      <c r="BK114" s="171">
        <f t="shared" si="361"/>
        <v>-3955.5583095380862</v>
      </c>
      <c r="BL114" s="171">
        <f t="shared" si="361"/>
        <v>-2131.8245962640394</v>
      </c>
      <c r="BM114" s="171">
        <f t="shared" si="361"/>
        <v>84838.882509844945</v>
      </c>
      <c r="BN114" s="171">
        <f t="shared" si="361"/>
        <v>2338.2662804314496</v>
      </c>
      <c r="BO114" s="171">
        <f t="shared" si="361"/>
        <v>2927.2047783438102</v>
      </c>
      <c r="BP114" s="171">
        <f t="shared" si="361"/>
        <v>1861.1193623517829</v>
      </c>
      <c r="BQ114" s="171">
        <f t="shared" si="361"/>
        <v>5082.096473103069</v>
      </c>
      <c r="BR114" s="172">
        <f t="shared" si="361"/>
        <v>7232.9200332236796</v>
      </c>
      <c r="BS114" s="173">
        <f t="shared" si="275"/>
        <v>101515.70717508717</v>
      </c>
      <c r="BT114" s="174">
        <f t="shared" ref="BT114:CE114" si="362">+BT112-BT113</f>
        <v>8838.4070984907339</v>
      </c>
      <c r="BU114" s="171">
        <f t="shared" si="362"/>
        <v>5392.2429292406232</v>
      </c>
      <c r="BV114" s="171">
        <f t="shared" si="362"/>
        <v>1982.3430368499648</v>
      </c>
      <c r="BW114" s="171">
        <f t="shared" si="362"/>
        <v>2735.9469931482818</v>
      </c>
      <c r="BX114" s="171">
        <f t="shared" si="362"/>
        <v>3564.7661859555737</v>
      </c>
      <c r="BY114" s="171">
        <f t="shared" si="362"/>
        <v>3105.9039113693216</v>
      </c>
      <c r="BZ114" s="171">
        <f t="shared" si="362"/>
        <v>3981.3659649013789</v>
      </c>
      <c r="CA114" s="171">
        <f t="shared" si="362"/>
        <v>-5586.626233446972</v>
      </c>
      <c r="CB114" s="171">
        <f t="shared" si="362"/>
        <v>3877.1599064741531</v>
      </c>
      <c r="CC114" s="171">
        <f t="shared" si="362"/>
        <v>3949.5083075771327</v>
      </c>
      <c r="CD114" s="171">
        <f t="shared" si="362"/>
        <v>3984.1356280788241</v>
      </c>
      <c r="CE114" s="172">
        <f t="shared" si="362"/>
        <v>3979.9185868260211</v>
      </c>
      <c r="CF114" s="173">
        <f t="shared" si="75"/>
        <v>39805.072315465033</v>
      </c>
      <c r="CG114" s="174">
        <f t="shared" ref="CG114:CR114" si="363">+CG112-CG113</f>
        <v>3826.7792519791656</v>
      </c>
      <c r="CH114" s="171">
        <f t="shared" si="363"/>
        <v>3883.4143246852436</v>
      </c>
      <c r="CI114" s="171">
        <f t="shared" si="363"/>
        <v>3941.4221688735706</v>
      </c>
      <c r="CJ114" s="171">
        <f t="shared" si="363"/>
        <v>3603.4579521368723</v>
      </c>
      <c r="CK114" s="171">
        <f t="shared" si="363"/>
        <v>3595.6646420513753</v>
      </c>
      <c r="CL114" s="171">
        <f t="shared" si="363"/>
        <v>3554.6848334589085</v>
      </c>
      <c r="CM114" s="171">
        <f t="shared" si="363"/>
        <v>3072.9439041815458</v>
      </c>
      <c r="CN114" s="171">
        <f t="shared" si="363"/>
        <v>2967.2058589016851</v>
      </c>
      <c r="CO114" s="171">
        <f t="shared" si="363"/>
        <v>2830.6936085558991</v>
      </c>
      <c r="CP114" s="171">
        <f t="shared" si="363"/>
        <v>2462.5890663168029</v>
      </c>
      <c r="CQ114" s="171">
        <f t="shared" si="363"/>
        <v>1542.7392806560238</v>
      </c>
      <c r="CR114" s="172">
        <f t="shared" si="363"/>
        <v>1404.1156947937598</v>
      </c>
      <c r="CS114" s="173">
        <f t="shared" si="76"/>
        <v>36685.710586590852</v>
      </c>
      <c r="CT114" s="174">
        <f t="shared" ref="CT114:DE114" si="364">+CT112-CT113</f>
        <v>1313.0948342755801</v>
      </c>
      <c r="CU114" s="171">
        <f t="shared" si="364"/>
        <v>1208.0587129957185</v>
      </c>
      <c r="CV114" s="171">
        <f t="shared" si="364"/>
        <v>1089.9091568912154</v>
      </c>
      <c r="CW114" s="171">
        <f t="shared" si="364"/>
        <v>980.72862526907102</v>
      </c>
      <c r="CX114" s="171">
        <f t="shared" si="364"/>
        <v>888.71377278165528</v>
      </c>
      <c r="CY114" s="171">
        <f t="shared" si="364"/>
        <v>793.625545752172</v>
      </c>
      <c r="CZ114" s="171">
        <f t="shared" si="364"/>
        <v>689.05638935335446</v>
      </c>
      <c r="DA114" s="171">
        <f t="shared" si="364"/>
        <v>575.94154110760246</v>
      </c>
      <c r="DB114" s="171">
        <f t="shared" si="364"/>
        <v>498.44945748466944</v>
      </c>
      <c r="DC114" s="171">
        <f t="shared" si="364"/>
        <v>457.38955753947084</v>
      </c>
      <c r="DD114" s="171">
        <f t="shared" si="364"/>
        <v>410.20279386106949</v>
      </c>
      <c r="DE114" s="172">
        <f t="shared" si="364"/>
        <v>357.53516978216339</v>
      </c>
      <c r="DF114" s="173">
        <f t="shared" si="77"/>
        <v>9262.7055570937446</v>
      </c>
      <c r="DG114" s="172">
        <f>+DG112-DG113</f>
        <v>11797.189589081565</v>
      </c>
      <c r="DH114" s="98">
        <f>+F114+S114+AF114+AS114+BF114+BS114+DG114</f>
        <v>131340.65797326781</v>
      </c>
      <c r="DI114" s="99">
        <f>+E114</f>
        <v>245369.55057103839</v>
      </c>
      <c r="DJ114" s="100">
        <f>+DI114-DH114</f>
        <v>114028.89259777058</v>
      </c>
    </row>
    <row r="115" spans="1:117" ht="6" customHeight="1">
      <c r="A115" s="175"/>
      <c r="B115" s="176"/>
      <c r="C115" s="269"/>
      <c r="D115" s="266"/>
      <c r="E115" s="177"/>
      <c r="F115" s="177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  <c r="Q115" s="178"/>
      <c r="R115" s="178"/>
      <c r="S115" s="177"/>
      <c r="T115" s="178"/>
      <c r="U115" s="178"/>
      <c r="V115" s="178"/>
      <c r="W115" s="178"/>
      <c r="X115" s="178"/>
      <c r="Y115" s="178"/>
      <c r="Z115" s="178"/>
      <c r="AA115" s="178"/>
      <c r="AB115" s="178"/>
      <c r="AC115" s="178"/>
      <c r="AD115" s="178"/>
      <c r="AE115" s="178"/>
      <c r="AF115" s="177"/>
      <c r="AG115" s="178"/>
      <c r="AH115" s="178"/>
      <c r="AI115" s="178"/>
      <c r="AJ115" s="178"/>
      <c r="AK115" s="178"/>
      <c r="AL115" s="178"/>
      <c r="AM115" s="178"/>
      <c r="AN115" s="178"/>
      <c r="AO115" s="178"/>
      <c r="AP115" s="178"/>
      <c r="AQ115" s="178"/>
      <c r="AR115" s="178"/>
      <c r="AS115" s="412"/>
      <c r="AT115" s="178"/>
      <c r="AU115" s="178"/>
      <c r="AV115" s="178"/>
      <c r="AW115" s="178"/>
      <c r="AX115" s="178"/>
      <c r="AY115" s="178"/>
      <c r="AZ115" s="178"/>
      <c r="BA115" s="178"/>
      <c r="BB115" s="178"/>
      <c r="BC115" s="178"/>
      <c r="BD115" s="178"/>
      <c r="BE115" s="178"/>
      <c r="BF115" s="177"/>
      <c r="BG115" s="178"/>
      <c r="BH115" s="178"/>
      <c r="BI115" s="178"/>
      <c r="BJ115" s="178"/>
      <c r="BK115" s="178"/>
      <c r="BL115" s="178"/>
      <c r="BM115" s="178"/>
      <c r="BN115" s="178"/>
      <c r="BO115" s="178"/>
      <c r="BP115" s="178"/>
      <c r="BQ115" s="178"/>
      <c r="BR115" s="178"/>
      <c r="BS115" s="177"/>
      <c r="BT115" s="178"/>
      <c r="BU115" s="178"/>
      <c r="BV115" s="178"/>
      <c r="BW115" s="178"/>
      <c r="BX115" s="178"/>
      <c r="BY115" s="178"/>
      <c r="BZ115" s="178"/>
      <c r="CA115" s="178"/>
      <c r="CB115" s="178"/>
      <c r="CC115" s="178"/>
      <c r="CD115" s="178"/>
      <c r="CE115" s="178"/>
      <c r="CF115" s="177"/>
      <c r="CG115" s="178"/>
      <c r="CH115" s="178"/>
      <c r="CI115" s="178"/>
      <c r="CJ115" s="178"/>
      <c r="CK115" s="178"/>
      <c r="CL115" s="178"/>
      <c r="CM115" s="178"/>
      <c r="CN115" s="178"/>
      <c r="CO115" s="178"/>
      <c r="CP115" s="178"/>
      <c r="CQ115" s="178"/>
      <c r="CR115" s="178"/>
      <c r="CS115" s="177"/>
      <c r="CT115" s="178"/>
      <c r="CU115" s="178"/>
      <c r="CV115" s="178"/>
      <c r="CW115" s="178"/>
      <c r="CX115" s="178"/>
      <c r="CY115" s="178"/>
      <c r="CZ115" s="178"/>
      <c r="DA115" s="178"/>
      <c r="DB115" s="178"/>
      <c r="DC115" s="178"/>
      <c r="DD115" s="178"/>
      <c r="DE115" s="178"/>
      <c r="DF115" s="177"/>
      <c r="DG115" s="281"/>
      <c r="DH115" s="179"/>
      <c r="DI115" s="179"/>
      <c r="DJ115" s="179"/>
    </row>
    <row r="116" spans="1:117" ht="15" customHeight="1" outlineLevel="1">
      <c r="A116" s="601" t="s">
        <v>79</v>
      </c>
      <c r="B116" s="593" t="s">
        <v>72</v>
      </c>
      <c r="C116" s="246" t="s">
        <v>62</v>
      </c>
      <c r="D116" s="183" t="s">
        <v>122</v>
      </c>
      <c r="E116" s="153">
        <f>AF116+AS116+BF116+BS116+CF116+CS116+DF116+S116+DG116</f>
        <v>7111.2688608122553</v>
      </c>
      <c r="F116" s="153"/>
      <c r="G116" s="154">
        <v>198.795040627687</v>
      </c>
      <c r="H116" s="155">
        <v>213.49922659033081</v>
      </c>
      <c r="I116" s="155">
        <v>197.49988019759451</v>
      </c>
      <c r="J116" s="155">
        <v>203.76240601633</v>
      </c>
      <c r="K116" s="155">
        <v>203.52472583690988</v>
      </c>
      <c r="L116" s="155">
        <v>205.16041423381066</v>
      </c>
      <c r="M116" s="155">
        <v>202.53425388380506</v>
      </c>
      <c r="N116" s="155">
        <v>177.96394790619766</v>
      </c>
      <c r="O116" s="155">
        <v>178.52270941908714</v>
      </c>
      <c r="P116" s="155">
        <v>174.52563032416907</v>
      </c>
      <c r="Q116" s="155">
        <v>174.9569280847528</v>
      </c>
      <c r="R116" s="156">
        <v>173.83148037422038</v>
      </c>
      <c r="S116" s="180">
        <f t="shared" ref="S116:S130" si="365">SUM(G116:R116)</f>
        <v>2304.5766434948951</v>
      </c>
      <c r="T116" s="378">
        <v>174.16715362079637</v>
      </c>
      <c r="U116" s="382">
        <v>181.208549182339</v>
      </c>
      <c r="V116" s="382">
        <v>157.73237575142161</v>
      </c>
      <c r="W116" s="382">
        <v>165.98700604445858</v>
      </c>
      <c r="X116" s="382">
        <v>168.17176373147342</v>
      </c>
      <c r="Y116" s="382">
        <v>168.23651182974677</v>
      </c>
      <c r="Z116" s="382">
        <v>169.06759434150229</v>
      </c>
      <c r="AA116" s="382">
        <v>181.57102067079546</v>
      </c>
      <c r="AB116" s="382">
        <v>175.57543836061578</v>
      </c>
      <c r="AC116" s="394">
        <v>175.33152477361699</v>
      </c>
      <c r="AD116" s="382">
        <v>194.54844798485686</v>
      </c>
      <c r="AE116" s="481">
        <v>171.47604714055814</v>
      </c>
      <c r="AF116" s="180">
        <f t="shared" ref="AF116:AF139" si="366">SUM(T116:AE116)</f>
        <v>2083.0734334321814</v>
      </c>
      <c r="AG116" s="498">
        <v>181.36443191777499</v>
      </c>
      <c r="AH116" s="513">
        <v>170.53877422135162</v>
      </c>
      <c r="AI116" s="513">
        <v>168.79275094752469</v>
      </c>
      <c r="AJ116" s="513">
        <v>167.7747049552147</v>
      </c>
      <c r="AK116" s="513">
        <v>169.61753369210072</v>
      </c>
      <c r="AL116" s="513">
        <v>168.82172156411701</v>
      </c>
      <c r="AM116" s="513">
        <v>101.19415871864381</v>
      </c>
      <c r="AN116" s="513">
        <v>233.27865199439373</v>
      </c>
      <c r="AO116" s="513">
        <v>167.60296731927141</v>
      </c>
      <c r="AP116" s="513">
        <v>171.879087277151</v>
      </c>
      <c r="AQ116" s="513">
        <v>177.30380797938849</v>
      </c>
      <c r="AR116" s="512">
        <v>168.30061544901065</v>
      </c>
      <c r="AS116" s="413">
        <f t="shared" ref="AS116:AS147" si="367">SUM(AG116:AR116)</f>
        <v>2046.4692060359428</v>
      </c>
      <c r="AT116" s="500">
        <v>169.38381294964</v>
      </c>
      <c r="AU116" s="513">
        <v>168.767888922959</v>
      </c>
      <c r="AV116" s="513">
        <v>166.99787597663658</v>
      </c>
      <c r="AW116" s="283">
        <v>172</v>
      </c>
      <c r="AX116" s="283"/>
      <c r="AY116" s="283"/>
      <c r="AZ116" s="283"/>
      <c r="BA116" s="283"/>
      <c r="BB116" s="283"/>
      <c r="BC116" s="283"/>
      <c r="BD116" s="283"/>
      <c r="BE116" s="285"/>
      <c r="BF116" s="180">
        <f t="shared" ref="BF116:BF179" si="368">SUM(AT116:BE116)</f>
        <v>677.14957784923558</v>
      </c>
      <c r="BG116" s="359"/>
      <c r="BH116" s="283"/>
      <c r="BI116" s="283"/>
      <c r="BJ116" s="283"/>
      <c r="BK116" s="283"/>
      <c r="BL116" s="283"/>
      <c r="BM116" s="283"/>
      <c r="BN116" s="283"/>
      <c r="BO116" s="283"/>
      <c r="BP116" s="283"/>
      <c r="BQ116" s="283"/>
      <c r="BR116" s="285"/>
      <c r="BS116" s="180">
        <f t="shared" ref="BS116:BS130" si="369">SUM(BG116:BR116)</f>
        <v>0</v>
      </c>
      <c r="BT116" s="359"/>
      <c r="BU116" s="283"/>
      <c r="BV116" s="283"/>
      <c r="BW116" s="283"/>
      <c r="BX116" s="283"/>
      <c r="BY116" s="283"/>
      <c r="BZ116" s="283"/>
      <c r="CA116" s="283"/>
      <c r="CB116" s="283"/>
      <c r="CC116" s="283"/>
      <c r="CD116" s="283"/>
      <c r="CE116" s="285"/>
      <c r="CF116" s="180">
        <f t="shared" ref="CF116:CF157" si="370">SUM(BT116:CE116)</f>
        <v>0</v>
      </c>
      <c r="CG116" s="359"/>
      <c r="CH116" s="283"/>
      <c r="CI116" s="283"/>
      <c r="CJ116" s="283"/>
      <c r="CK116" s="283"/>
      <c r="CL116" s="283"/>
      <c r="CM116" s="283"/>
      <c r="CN116" s="283"/>
      <c r="CO116" s="283"/>
      <c r="CP116" s="283"/>
      <c r="CQ116" s="283"/>
      <c r="CR116" s="285"/>
      <c r="CS116" s="180">
        <f t="shared" ref="CS116:CS157" si="371">SUM(CG116:CR116)</f>
        <v>0</v>
      </c>
      <c r="CT116" s="359"/>
      <c r="CU116" s="283"/>
      <c r="CV116" s="283"/>
      <c r="CW116" s="283"/>
      <c r="CX116" s="283"/>
      <c r="CY116" s="283"/>
      <c r="CZ116" s="283"/>
      <c r="DA116" s="283"/>
      <c r="DB116" s="283"/>
      <c r="DC116" s="283"/>
      <c r="DD116" s="283"/>
      <c r="DE116" s="285"/>
      <c r="DF116" s="180">
        <f t="shared" ref="DF116:DF157" si="372">SUM(CT116:DE116)</f>
        <v>0</v>
      </c>
      <c r="DG116" s="280"/>
      <c r="DH116" s="159">
        <f t="shared" ref="DH116:DH190" si="373">+F116+S116+AF116+AS116+BF116+BS116+DG116</f>
        <v>7111.2688608122553</v>
      </c>
      <c r="DI116" s="160">
        <f t="shared" ref="DI116:DI190" si="374">+E116</f>
        <v>7111.2688608122553</v>
      </c>
      <c r="DJ116" s="161">
        <f t="shared" ref="DJ116:DJ179" si="375">+DI116-DH116</f>
        <v>0</v>
      </c>
    </row>
    <row r="117" spans="1:117" ht="15" customHeight="1" outlineLevel="1">
      <c r="A117" s="607"/>
      <c r="B117" s="548"/>
      <c r="C117" s="245" t="s">
        <v>63</v>
      </c>
      <c r="D117" s="184" t="s">
        <v>124</v>
      </c>
      <c r="E117" s="136">
        <f>AF117+AS117+BF117+BS117+CF117+CS117+DF117+S117+DG117</f>
        <v>5975.3854897182719</v>
      </c>
      <c r="F117" s="136"/>
      <c r="G117" s="137">
        <f>189.847176827171+0.279576010318143</f>
        <v>190.12675283748916</v>
      </c>
      <c r="H117" s="138">
        <v>179.735022985581</v>
      </c>
      <c r="I117" s="138">
        <v>176.01765932130584</v>
      </c>
      <c r="J117" s="138">
        <v>181.77808865492048</v>
      </c>
      <c r="K117" s="138">
        <v>181.3165566523605</v>
      </c>
      <c r="L117" s="138">
        <v>183.4303013891857</v>
      </c>
      <c r="M117" s="138">
        <v>172.88622251542881</v>
      </c>
      <c r="N117" s="138">
        <v>157.26090171691791</v>
      </c>
      <c r="O117" s="138">
        <v>144.33791717842323</v>
      </c>
      <c r="P117" s="138">
        <v>154.96132782109152</v>
      </c>
      <c r="Q117" s="138">
        <v>152.45781981719983</v>
      </c>
      <c r="R117" s="139">
        <v>151.00113692307693</v>
      </c>
      <c r="S117" s="140">
        <f t="shared" si="365"/>
        <v>2025.3097078129811</v>
      </c>
      <c r="T117" s="380">
        <v>160.27484576026407</v>
      </c>
      <c r="U117" s="381">
        <v>149.79423704006541</v>
      </c>
      <c r="V117" s="381">
        <v>139.32793736799348</v>
      </c>
      <c r="W117" s="381">
        <v>148.08740183719729</v>
      </c>
      <c r="X117" s="381">
        <v>133.37818867401126</v>
      </c>
      <c r="Y117" s="381">
        <v>141.36109400388381</v>
      </c>
      <c r="Z117" s="381">
        <v>152.66914951185495</v>
      </c>
      <c r="AA117" s="381">
        <v>148.86984798520066</v>
      </c>
      <c r="AB117" s="381">
        <v>148.74277281774241</v>
      </c>
      <c r="AC117" s="390">
        <v>144.10453877179802</v>
      </c>
      <c r="AD117" s="381">
        <v>157.18770758734917</v>
      </c>
      <c r="AE117" s="392">
        <v>136.90003885857831</v>
      </c>
      <c r="AF117" s="140">
        <f t="shared" si="366"/>
        <v>1760.6977602159391</v>
      </c>
      <c r="AG117" s="497">
        <v>158.875206995459</v>
      </c>
      <c r="AH117" s="499">
        <v>138.36782738491675</v>
      </c>
      <c r="AI117" s="499">
        <v>142.4737784941195</v>
      </c>
      <c r="AJ117" s="499">
        <v>135.75996040441316</v>
      </c>
      <c r="AK117" s="499">
        <v>132.80889775129734</v>
      </c>
      <c r="AL117" s="499">
        <v>139.0240865631589</v>
      </c>
      <c r="AM117" s="499">
        <v>137.70393551219885</v>
      </c>
      <c r="AN117" s="499">
        <v>131.06190628432896</v>
      </c>
      <c r="AO117" s="499">
        <v>135.87025508387927</v>
      </c>
      <c r="AP117" s="499">
        <v>140.53028627361539</v>
      </c>
      <c r="AQ117" s="499">
        <v>130.16157856249762</v>
      </c>
      <c r="AR117" s="511">
        <v>125.6243095129376</v>
      </c>
      <c r="AS117" s="407">
        <f t="shared" si="367"/>
        <v>1648.2620288228222</v>
      </c>
      <c r="AT117" s="501">
        <v>136.51666556380565</v>
      </c>
      <c r="AU117" s="499">
        <v>140.99992985818301</v>
      </c>
      <c r="AV117" s="499">
        <v>127.83943704012744</v>
      </c>
      <c r="AW117" s="253">
        <v>135.75996040441316</v>
      </c>
      <c r="AX117" s="253"/>
      <c r="AY117" s="253"/>
      <c r="AZ117" s="253"/>
      <c r="BA117" s="253"/>
      <c r="BB117" s="253"/>
      <c r="BC117" s="253"/>
      <c r="BD117" s="253"/>
      <c r="BE117" s="338"/>
      <c r="BF117" s="140">
        <f t="shared" si="368"/>
        <v>541.11599286652927</v>
      </c>
      <c r="BG117" s="353"/>
      <c r="BH117" s="253"/>
      <c r="BI117" s="253"/>
      <c r="BJ117" s="253"/>
      <c r="BK117" s="253"/>
      <c r="BL117" s="253"/>
      <c r="BM117" s="253"/>
      <c r="BN117" s="253"/>
      <c r="BO117" s="253"/>
      <c r="BP117" s="253"/>
      <c r="BQ117" s="253"/>
      <c r="BR117" s="338"/>
      <c r="BS117" s="140">
        <f t="shared" si="369"/>
        <v>0</v>
      </c>
      <c r="BT117" s="353"/>
      <c r="BU117" s="253"/>
      <c r="BV117" s="253"/>
      <c r="BW117" s="253"/>
      <c r="BX117" s="253"/>
      <c r="BY117" s="253"/>
      <c r="BZ117" s="253"/>
      <c r="CA117" s="253"/>
      <c r="CB117" s="253"/>
      <c r="CC117" s="253"/>
      <c r="CD117" s="253"/>
      <c r="CE117" s="338"/>
      <c r="CF117" s="140">
        <f t="shared" si="370"/>
        <v>0</v>
      </c>
      <c r="CG117" s="353"/>
      <c r="CH117" s="353"/>
      <c r="CI117" s="353"/>
      <c r="CJ117" s="353"/>
      <c r="CK117" s="353"/>
      <c r="CL117" s="353"/>
      <c r="CM117" s="353"/>
      <c r="CN117" s="353"/>
      <c r="CO117" s="353"/>
      <c r="CP117" s="353"/>
      <c r="CQ117" s="353"/>
      <c r="CR117" s="353"/>
      <c r="CS117" s="140">
        <f t="shared" si="371"/>
        <v>0</v>
      </c>
      <c r="CT117" s="353"/>
      <c r="CU117" s="353"/>
      <c r="CV117" s="353"/>
      <c r="CW117" s="353"/>
      <c r="CX117" s="353"/>
      <c r="CY117" s="353"/>
      <c r="CZ117" s="353"/>
      <c r="DA117" s="353"/>
      <c r="DB117" s="353"/>
      <c r="DC117" s="353"/>
      <c r="DD117" s="353"/>
      <c r="DE117" s="353"/>
      <c r="DF117" s="140">
        <f t="shared" si="372"/>
        <v>0</v>
      </c>
      <c r="DG117" s="279"/>
      <c r="DH117" s="90">
        <f t="shared" si="373"/>
        <v>5975.3854897182719</v>
      </c>
      <c r="DI117" s="91">
        <f t="shared" si="374"/>
        <v>5975.3854897182719</v>
      </c>
      <c r="DJ117" s="92">
        <f t="shared" si="375"/>
        <v>0</v>
      </c>
      <c r="DK117" s="64">
        <f>+DH117/DH116</f>
        <v>0.84026994431986057</v>
      </c>
    </row>
    <row r="118" spans="1:117" ht="15" customHeight="1" outlineLevel="1">
      <c r="A118" s="607"/>
      <c r="B118" s="549"/>
      <c r="C118" s="554" t="s">
        <v>11</v>
      </c>
      <c r="D118" s="555"/>
      <c r="E118" s="143">
        <f t="shared" ref="E118:R118" si="376">+E116-E117</f>
        <v>1135.8833710939834</v>
      </c>
      <c r="F118" s="144">
        <f t="shared" si="376"/>
        <v>0</v>
      </c>
      <c r="G118" s="145">
        <f t="shared" si="376"/>
        <v>8.6682877901978372</v>
      </c>
      <c r="H118" s="145">
        <f t="shared" si="376"/>
        <v>33.76420360474981</v>
      </c>
      <c r="I118" s="145">
        <f t="shared" si="376"/>
        <v>21.482220876288665</v>
      </c>
      <c r="J118" s="145">
        <f t="shared" si="376"/>
        <v>21.984317361409524</v>
      </c>
      <c r="K118" s="145">
        <f t="shared" si="376"/>
        <v>22.208169184549376</v>
      </c>
      <c r="L118" s="145">
        <f t="shared" si="376"/>
        <v>21.730112844624955</v>
      </c>
      <c r="M118" s="145">
        <f t="shared" si="376"/>
        <v>29.648031368376252</v>
      </c>
      <c r="N118" s="145">
        <f t="shared" si="376"/>
        <v>20.703046189279746</v>
      </c>
      <c r="O118" s="145">
        <f t="shared" si="376"/>
        <v>34.18479224066391</v>
      </c>
      <c r="P118" s="145">
        <f t="shared" si="376"/>
        <v>19.564302503077556</v>
      </c>
      <c r="Q118" s="145">
        <f t="shared" si="376"/>
        <v>22.49910826755297</v>
      </c>
      <c r="R118" s="146">
        <f t="shared" si="376"/>
        <v>22.830343451143449</v>
      </c>
      <c r="S118" s="147">
        <f t="shared" si="365"/>
        <v>279.26693568191405</v>
      </c>
      <c r="T118" s="148">
        <f t="shared" ref="T118:AE118" si="377">+T116-T117</f>
        <v>13.892307860532298</v>
      </c>
      <c r="U118" s="145">
        <f t="shared" si="377"/>
        <v>31.414312142273587</v>
      </c>
      <c r="V118" s="145">
        <f t="shared" si="377"/>
        <v>18.404438383428129</v>
      </c>
      <c r="W118" s="145">
        <f t="shared" si="377"/>
        <v>17.899604207261291</v>
      </c>
      <c r="X118" s="145">
        <f t="shared" si="377"/>
        <v>34.793575057462164</v>
      </c>
      <c r="Y118" s="145">
        <f t="shared" si="377"/>
        <v>26.875417825862968</v>
      </c>
      <c r="Z118" s="145">
        <f t="shared" si="377"/>
        <v>16.398444829647332</v>
      </c>
      <c r="AA118" s="145">
        <f t="shared" si="377"/>
        <v>32.701172685594798</v>
      </c>
      <c r="AB118" s="145">
        <f t="shared" si="377"/>
        <v>26.832665542873372</v>
      </c>
      <c r="AC118" s="145">
        <f t="shared" si="377"/>
        <v>31.226986001818972</v>
      </c>
      <c r="AD118" s="145">
        <f t="shared" si="377"/>
        <v>37.360740397507698</v>
      </c>
      <c r="AE118" s="146">
        <f t="shared" si="377"/>
        <v>34.576008281979824</v>
      </c>
      <c r="AF118" s="147">
        <f t="shared" si="366"/>
        <v>322.37567321624249</v>
      </c>
      <c r="AG118" s="148">
        <f t="shared" ref="AG118:AR118" si="378">+AG116-AG117</f>
        <v>22.489224922315998</v>
      </c>
      <c r="AH118" s="145">
        <f t="shared" si="378"/>
        <v>32.170946836434865</v>
      </c>
      <c r="AI118" s="145">
        <f t="shared" si="378"/>
        <v>26.318972453405195</v>
      </c>
      <c r="AJ118" s="145">
        <f t="shared" si="378"/>
        <v>32.014744550801538</v>
      </c>
      <c r="AK118" s="145">
        <f t="shared" si="378"/>
        <v>36.808635940803384</v>
      </c>
      <c r="AL118" s="145">
        <f t="shared" si="378"/>
        <v>29.79763500095811</v>
      </c>
      <c r="AM118" s="145">
        <f t="shared" si="378"/>
        <v>-36.509776793555048</v>
      </c>
      <c r="AN118" s="145">
        <f t="shared" si="378"/>
        <v>102.21674571006477</v>
      </c>
      <c r="AO118" s="145">
        <f t="shared" si="378"/>
        <v>31.732712235392142</v>
      </c>
      <c r="AP118" s="145">
        <f t="shared" si="378"/>
        <v>31.348801003535613</v>
      </c>
      <c r="AQ118" s="145">
        <f t="shared" si="378"/>
        <v>47.142229416890871</v>
      </c>
      <c r="AR118" s="146">
        <f t="shared" si="378"/>
        <v>42.676305936073049</v>
      </c>
      <c r="AS118" s="408">
        <f t="shared" si="367"/>
        <v>398.20717721312047</v>
      </c>
      <c r="AT118" s="148">
        <f t="shared" ref="AT118:BE118" si="379">+AT116-AT117</f>
        <v>32.867147385834357</v>
      </c>
      <c r="AU118" s="145">
        <f t="shared" si="379"/>
        <v>27.767959064775994</v>
      </c>
      <c r="AV118" s="145">
        <f t="shared" si="379"/>
        <v>39.158438936509143</v>
      </c>
      <c r="AW118" s="145">
        <f t="shared" si="379"/>
        <v>36.240039595586836</v>
      </c>
      <c r="AX118" s="145">
        <f t="shared" si="379"/>
        <v>0</v>
      </c>
      <c r="AY118" s="145">
        <f t="shared" si="379"/>
        <v>0</v>
      </c>
      <c r="AZ118" s="145">
        <f t="shared" si="379"/>
        <v>0</v>
      </c>
      <c r="BA118" s="145">
        <f t="shared" si="379"/>
        <v>0</v>
      </c>
      <c r="BB118" s="145">
        <f t="shared" si="379"/>
        <v>0</v>
      </c>
      <c r="BC118" s="145">
        <f t="shared" si="379"/>
        <v>0</v>
      </c>
      <c r="BD118" s="145">
        <f t="shared" si="379"/>
        <v>0</v>
      </c>
      <c r="BE118" s="146">
        <f t="shared" si="379"/>
        <v>0</v>
      </c>
      <c r="BF118" s="147">
        <f t="shared" si="368"/>
        <v>136.03358498270632</v>
      </c>
      <c r="BG118" s="148">
        <f t="shared" ref="BG118:BR118" si="380">+BG116-BG117</f>
        <v>0</v>
      </c>
      <c r="BH118" s="145">
        <f t="shared" si="380"/>
        <v>0</v>
      </c>
      <c r="BI118" s="145">
        <f t="shared" si="380"/>
        <v>0</v>
      </c>
      <c r="BJ118" s="145">
        <f t="shared" si="380"/>
        <v>0</v>
      </c>
      <c r="BK118" s="145">
        <f t="shared" si="380"/>
        <v>0</v>
      </c>
      <c r="BL118" s="145">
        <f t="shared" si="380"/>
        <v>0</v>
      </c>
      <c r="BM118" s="145">
        <f t="shared" si="380"/>
        <v>0</v>
      </c>
      <c r="BN118" s="145">
        <f t="shared" si="380"/>
        <v>0</v>
      </c>
      <c r="BO118" s="145">
        <f t="shared" si="380"/>
        <v>0</v>
      </c>
      <c r="BP118" s="145">
        <f t="shared" si="380"/>
        <v>0</v>
      </c>
      <c r="BQ118" s="145">
        <f t="shared" si="380"/>
        <v>0</v>
      </c>
      <c r="BR118" s="146">
        <f t="shared" si="380"/>
        <v>0</v>
      </c>
      <c r="BS118" s="147">
        <f t="shared" si="369"/>
        <v>0</v>
      </c>
      <c r="BT118" s="148">
        <f t="shared" ref="BT118:CE118" si="381">+BT116-BT117</f>
        <v>0</v>
      </c>
      <c r="BU118" s="145">
        <f t="shared" si="381"/>
        <v>0</v>
      </c>
      <c r="BV118" s="145">
        <f t="shared" si="381"/>
        <v>0</v>
      </c>
      <c r="BW118" s="145">
        <f t="shared" si="381"/>
        <v>0</v>
      </c>
      <c r="BX118" s="145">
        <f t="shared" si="381"/>
        <v>0</v>
      </c>
      <c r="BY118" s="145">
        <f t="shared" si="381"/>
        <v>0</v>
      </c>
      <c r="BZ118" s="145">
        <f t="shared" si="381"/>
        <v>0</v>
      </c>
      <c r="CA118" s="145">
        <f t="shared" si="381"/>
        <v>0</v>
      </c>
      <c r="CB118" s="145">
        <f t="shared" si="381"/>
        <v>0</v>
      </c>
      <c r="CC118" s="145">
        <f t="shared" si="381"/>
        <v>0</v>
      </c>
      <c r="CD118" s="145">
        <f t="shared" si="381"/>
        <v>0</v>
      </c>
      <c r="CE118" s="146">
        <f t="shared" si="381"/>
        <v>0</v>
      </c>
      <c r="CF118" s="147">
        <f t="shared" si="370"/>
        <v>0</v>
      </c>
      <c r="CG118" s="148">
        <f t="shared" ref="CG118:CR118" si="382">+CG116-CG117</f>
        <v>0</v>
      </c>
      <c r="CH118" s="145">
        <f>+CH116-CH117</f>
        <v>0</v>
      </c>
      <c r="CI118" s="145">
        <f t="shared" si="382"/>
        <v>0</v>
      </c>
      <c r="CJ118" s="145">
        <f t="shared" si="382"/>
        <v>0</v>
      </c>
      <c r="CK118" s="145">
        <f t="shared" si="382"/>
        <v>0</v>
      </c>
      <c r="CL118" s="145">
        <f t="shared" si="382"/>
        <v>0</v>
      </c>
      <c r="CM118" s="145">
        <f t="shared" si="382"/>
        <v>0</v>
      </c>
      <c r="CN118" s="145">
        <f t="shared" si="382"/>
        <v>0</v>
      </c>
      <c r="CO118" s="145">
        <f t="shared" si="382"/>
        <v>0</v>
      </c>
      <c r="CP118" s="145">
        <f t="shared" si="382"/>
        <v>0</v>
      </c>
      <c r="CQ118" s="145">
        <f>+CQ116-CQ117</f>
        <v>0</v>
      </c>
      <c r="CR118" s="146">
        <f t="shared" si="382"/>
        <v>0</v>
      </c>
      <c r="CS118" s="147">
        <f t="shared" si="371"/>
        <v>0</v>
      </c>
      <c r="CT118" s="148">
        <f>+CT116-CT117</f>
        <v>0</v>
      </c>
      <c r="CU118" s="145">
        <f>+CU116-CU117</f>
        <v>0</v>
      </c>
      <c r="CV118" s="145">
        <f t="shared" ref="CV118:DC118" si="383">+CV116-CV117</f>
        <v>0</v>
      </c>
      <c r="CW118" s="145">
        <f t="shared" si="383"/>
        <v>0</v>
      </c>
      <c r="CX118" s="145">
        <f t="shared" si="383"/>
        <v>0</v>
      </c>
      <c r="CY118" s="145">
        <f t="shared" si="383"/>
        <v>0</v>
      </c>
      <c r="CZ118" s="145">
        <f t="shared" si="383"/>
        <v>0</v>
      </c>
      <c r="DA118" s="145">
        <f t="shared" si="383"/>
        <v>0</v>
      </c>
      <c r="DB118" s="145">
        <f t="shared" si="383"/>
        <v>0</v>
      </c>
      <c r="DC118" s="145">
        <f t="shared" si="383"/>
        <v>0</v>
      </c>
      <c r="DD118" s="145">
        <f>+DD116-DD117</f>
        <v>0</v>
      </c>
      <c r="DE118" s="146">
        <f>+DE116-DE117</f>
        <v>0</v>
      </c>
      <c r="DF118" s="147">
        <f t="shared" si="372"/>
        <v>0</v>
      </c>
      <c r="DG118" s="146">
        <f>+DG116-DG117</f>
        <v>0</v>
      </c>
      <c r="DH118" s="98">
        <f t="shared" si="373"/>
        <v>1135.8833710939834</v>
      </c>
      <c r="DI118" s="99">
        <f t="shared" si="374"/>
        <v>1135.8833710939834</v>
      </c>
      <c r="DJ118" s="100">
        <f t="shared" si="375"/>
        <v>0</v>
      </c>
    </row>
    <row r="119" spans="1:117" ht="15" customHeight="1" outlineLevel="1">
      <c r="A119" s="607"/>
      <c r="B119" s="593" t="s">
        <v>95</v>
      </c>
      <c r="C119" s="246" t="s">
        <v>62</v>
      </c>
      <c r="D119" s="183" t="s">
        <v>122</v>
      </c>
      <c r="E119" s="153">
        <f>AF119+AS119+BF119+BS119+CF119+CS119+DF119+S119+DG119</f>
        <v>1818.2012828789495</v>
      </c>
      <c r="F119" s="128">
        <v>4080</v>
      </c>
      <c r="G119" s="129"/>
      <c r="H119" s="130">
        <v>1387.07294317218</v>
      </c>
      <c r="I119" s="130"/>
      <c r="J119" s="130"/>
      <c r="K119" s="130"/>
      <c r="L119" s="130">
        <v>153.08313742252616</v>
      </c>
      <c r="M119" s="130"/>
      <c r="N119" s="130"/>
      <c r="O119" s="130"/>
      <c r="P119" s="130"/>
      <c r="Q119" s="130"/>
      <c r="R119" s="131"/>
      <c r="S119" s="132">
        <f t="shared" si="365"/>
        <v>1540.1560805947061</v>
      </c>
      <c r="T119" s="385"/>
      <c r="U119" s="379"/>
      <c r="V119" s="379"/>
      <c r="W119" s="379"/>
      <c r="X119" s="379"/>
      <c r="Y119" s="379"/>
      <c r="Z119" s="379"/>
      <c r="AA119" s="379">
        <v>216.04520228424354</v>
      </c>
      <c r="AB119" s="379"/>
      <c r="AC119" s="379"/>
      <c r="AD119" s="379"/>
      <c r="AE119" s="480"/>
      <c r="AF119" s="132">
        <f t="shared" si="366"/>
        <v>216.04520228424354</v>
      </c>
      <c r="AG119" s="496"/>
      <c r="AH119" s="510"/>
      <c r="AI119" s="510"/>
      <c r="AJ119" s="510"/>
      <c r="AK119" s="510"/>
      <c r="AL119" s="510"/>
      <c r="AM119" s="510"/>
      <c r="AN119" s="510"/>
      <c r="AO119" s="510"/>
      <c r="AP119" s="510"/>
      <c r="AQ119" s="510"/>
      <c r="AR119" s="515"/>
      <c r="AS119" s="406">
        <f t="shared" si="367"/>
        <v>0</v>
      </c>
      <c r="AT119" s="516"/>
      <c r="AU119" s="510"/>
      <c r="AV119" s="510"/>
      <c r="AW119" s="130"/>
      <c r="AX119" s="130"/>
      <c r="AY119" s="130">
        <v>62</v>
      </c>
      <c r="AZ119" s="130"/>
      <c r="BA119" s="130"/>
      <c r="BB119" s="130"/>
      <c r="BC119" s="130"/>
      <c r="BD119" s="130"/>
      <c r="BE119" s="131"/>
      <c r="BF119" s="132">
        <f t="shared" si="368"/>
        <v>62</v>
      </c>
      <c r="BG119" s="133"/>
      <c r="BH119" s="130"/>
      <c r="BI119" s="130"/>
      <c r="BJ119" s="130"/>
      <c r="BK119" s="130"/>
      <c r="BL119" s="130"/>
      <c r="BM119" s="130"/>
      <c r="BN119" s="130"/>
      <c r="BO119" s="130"/>
      <c r="BP119" s="130"/>
      <c r="BQ119" s="130"/>
      <c r="BR119" s="131"/>
      <c r="BS119" s="132">
        <f t="shared" si="369"/>
        <v>0</v>
      </c>
      <c r="BT119" s="133"/>
      <c r="BU119" s="130"/>
      <c r="BV119" s="130"/>
      <c r="BW119" s="130"/>
      <c r="BX119" s="130"/>
      <c r="BY119" s="130"/>
      <c r="BZ119" s="130"/>
      <c r="CA119" s="130"/>
      <c r="CB119" s="130"/>
      <c r="CC119" s="130"/>
      <c r="CD119" s="130"/>
      <c r="CE119" s="131"/>
      <c r="CF119" s="132">
        <f t="shared" si="370"/>
        <v>0</v>
      </c>
      <c r="CG119" s="133"/>
      <c r="CH119" s="130"/>
      <c r="CI119" s="130"/>
      <c r="CJ119" s="130"/>
      <c r="CK119" s="130"/>
      <c r="CL119" s="130"/>
      <c r="CM119" s="130"/>
      <c r="CN119" s="130"/>
      <c r="CO119" s="130"/>
      <c r="CP119" s="130"/>
      <c r="CQ119" s="130"/>
      <c r="CR119" s="131"/>
      <c r="CS119" s="132">
        <f t="shared" si="371"/>
        <v>0</v>
      </c>
      <c r="CT119" s="133"/>
      <c r="CU119" s="130"/>
      <c r="CV119" s="130"/>
      <c r="CW119" s="130"/>
      <c r="CX119" s="130"/>
      <c r="CY119" s="130"/>
      <c r="CZ119" s="130"/>
      <c r="DA119" s="130"/>
      <c r="DB119" s="130"/>
      <c r="DC119" s="130"/>
      <c r="DD119" s="130"/>
      <c r="DE119" s="131"/>
      <c r="DF119" s="132">
        <f t="shared" si="372"/>
        <v>0</v>
      </c>
      <c r="DG119" s="278"/>
      <c r="DH119" s="159">
        <f t="shared" si="373"/>
        <v>5898.2012828789502</v>
      </c>
      <c r="DI119" s="165">
        <f t="shared" si="374"/>
        <v>1818.2012828789495</v>
      </c>
      <c r="DJ119" s="166">
        <f t="shared" si="375"/>
        <v>-4080.0000000000009</v>
      </c>
    </row>
    <row r="120" spans="1:117" ht="15" customHeight="1" outlineLevel="1">
      <c r="A120" s="607"/>
      <c r="B120" s="548"/>
      <c r="C120" s="245" t="s">
        <v>63</v>
      </c>
      <c r="D120" s="184" t="s">
        <v>124</v>
      </c>
      <c r="E120" s="136">
        <f>AF120+AS120+BF120+BS120+CF120+CS120+DF120+S120+DG120</f>
        <v>282.38751815625261</v>
      </c>
      <c r="F120" s="136">
        <v>561.58299999999997</v>
      </c>
      <c r="G120" s="137">
        <v>20.211385253654342</v>
      </c>
      <c r="H120" s="138">
        <v>20.869140542832909</v>
      </c>
      <c r="I120" s="138">
        <v>15.071784278350515</v>
      </c>
      <c r="J120" s="138">
        <v>13.490045724108294</v>
      </c>
      <c r="K120" s="138">
        <v>12.055576824034334</v>
      </c>
      <c r="L120" s="138">
        <v>11.539856849754219</v>
      </c>
      <c r="M120" s="138">
        <v>16.63790789529687</v>
      </c>
      <c r="N120" s="138">
        <v>17.781249790619764</v>
      </c>
      <c r="O120" s="138">
        <v>17.673135435684646</v>
      </c>
      <c r="P120" s="138">
        <v>18.108956709068526</v>
      </c>
      <c r="Q120" s="138">
        <v>17.44494686331533</v>
      </c>
      <c r="R120" s="139">
        <v>17.02701738045738</v>
      </c>
      <c r="S120" s="140">
        <f t="shared" si="365"/>
        <v>197.91100354717713</v>
      </c>
      <c r="T120" s="380">
        <v>8.4710345780895402</v>
      </c>
      <c r="U120" s="381">
        <v>4.0786959934587079</v>
      </c>
      <c r="V120" s="381">
        <v>3.9760543054427293</v>
      </c>
      <c r="W120" s="381">
        <v>5.7108853541177877</v>
      </c>
      <c r="X120" s="381">
        <v>4.5818018150114925</v>
      </c>
      <c r="Y120" s="381">
        <v>4.9145858597867873</v>
      </c>
      <c r="Z120" s="381">
        <v>4.6981451683602309</v>
      </c>
      <c r="AA120" s="381">
        <v>5.9675350277487329</v>
      </c>
      <c r="AB120" s="381">
        <v>5.0669231487875219</v>
      </c>
      <c r="AC120" s="381">
        <v>3.9785477084898573</v>
      </c>
      <c r="AD120" s="381">
        <v>3.8953537345216498</v>
      </c>
      <c r="AE120" s="392">
        <v>3.1463630333241746</v>
      </c>
      <c r="AF120" s="140">
        <f t="shared" si="366"/>
        <v>58.485925727139204</v>
      </c>
      <c r="AG120" s="497">
        <v>1.2907939208031232</v>
      </c>
      <c r="AH120" s="499">
        <v>0.55998201762977473</v>
      </c>
      <c r="AI120" s="499">
        <v>3.3689899581916931</v>
      </c>
      <c r="AJ120" s="499">
        <v>1.8000494752623688</v>
      </c>
      <c r="AK120" s="499">
        <v>0.30003836248318277</v>
      </c>
      <c r="AL120" s="499">
        <v>0</v>
      </c>
      <c r="AM120" s="499"/>
      <c r="AN120" s="499"/>
      <c r="AO120" s="499"/>
      <c r="AP120" s="499"/>
      <c r="AQ120" s="499"/>
      <c r="AR120" s="511"/>
      <c r="AS120" s="407">
        <f t="shared" si="367"/>
        <v>7.3198537343701426</v>
      </c>
      <c r="AT120" s="501"/>
      <c r="AU120" s="499">
        <v>0.67073514756611696</v>
      </c>
      <c r="AV120" s="499"/>
      <c r="AW120" s="138">
        <v>6</v>
      </c>
      <c r="AX120" s="138">
        <v>6</v>
      </c>
      <c r="AY120" s="138">
        <v>6</v>
      </c>
      <c r="AZ120" s="138"/>
      <c r="BA120" s="138"/>
      <c r="BB120" s="138"/>
      <c r="BC120" s="138"/>
      <c r="BD120" s="138"/>
      <c r="BE120" s="139"/>
      <c r="BF120" s="140">
        <f t="shared" si="368"/>
        <v>18.670735147566116</v>
      </c>
      <c r="BG120" s="141"/>
      <c r="BH120" s="138"/>
      <c r="BI120" s="138"/>
      <c r="BJ120" s="138"/>
      <c r="BK120" s="138"/>
      <c r="BL120" s="138"/>
      <c r="BM120" s="138"/>
      <c r="BN120" s="138"/>
      <c r="BO120" s="138"/>
      <c r="BP120" s="138"/>
      <c r="BQ120" s="138"/>
      <c r="BR120" s="139"/>
      <c r="BS120" s="140">
        <f t="shared" si="369"/>
        <v>0</v>
      </c>
      <c r="BT120" s="141"/>
      <c r="BU120" s="138"/>
      <c r="BV120" s="138"/>
      <c r="BW120" s="138"/>
      <c r="BX120" s="138"/>
      <c r="BY120" s="138"/>
      <c r="BZ120" s="138"/>
      <c r="CA120" s="138"/>
      <c r="CB120" s="138"/>
      <c r="CC120" s="138"/>
      <c r="CD120" s="138"/>
      <c r="CE120" s="139"/>
      <c r="CF120" s="140">
        <f t="shared" si="370"/>
        <v>0</v>
      </c>
      <c r="CG120" s="141"/>
      <c r="CH120" s="138"/>
      <c r="CI120" s="138"/>
      <c r="CJ120" s="138"/>
      <c r="CK120" s="138"/>
      <c r="CL120" s="138"/>
      <c r="CM120" s="138"/>
      <c r="CN120" s="138"/>
      <c r="CO120" s="138"/>
      <c r="CP120" s="138"/>
      <c r="CQ120" s="138"/>
      <c r="CR120" s="139"/>
      <c r="CS120" s="140">
        <f t="shared" si="371"/>
        <v>0</v>
      </c>
      <c r="CT120" s="141"/>
      <c r="CU120" s="138"/>
      <c r="CV120" s="138"/>
      <c r="CW120" s="138"/>
      <c r="CX120" s="138"/>
      <c r="CY120" s="138"/>
      <c r="CZ120" s="138"/>
      <c r="DA120" s="138"/>
      <c r="DB120" s="138"/>
      <c r="DC120" s="138"/>
      <c r="DD120" s="138"/>
      <c r="DE120" s="139"/>
      <c r="DF120" s="140">
        <f t="shared" si="372"/>
        <v>0</v>
      </c>
      <c r="DG120" s="279"/>
      <c r="DH120" s="90">
        <f t="shared" si="373"/>
        <v>843.97051815625241</v>
      </c>
      <c r="DI120" s="91">
        <f t="shared" si="374"/>
        <v>282.38751815625261</v>
      </c>
      <c r="DJ120" s="92">
        <f t="shared" si="375"/>
        <v>-561.58299999999986</v>
      </c>
      <c r="DK120" s="64">
        <f>+DH120/DH119</f>
        <v>0.14308947383774345</v>
      </c>
    </row>
    <row r="121" spans="1:117" ht="15" customHeight="1" outlineLevel="1">
      <c r="A121" s="607"/>
      <c r="B121" s="549"/>
      <c r="C121" s="554" t="s">
        <v>11</v>
      </c>
      <c r="D121" s="555"/>
      <c r="E121" s="143">
        <f>+E119-E120</f>
        <v>1535.813764722697</v>
      </c>
      <c r="F121" s="144">
        <f t="shared" ref="F121:R121" si="384">+F119-F120</f>
        <v>3518.4169999999999</v>
      </c>
      <c r="G121" s="145">
        <f t="shared" si="384"/>
        <v>-20.211385253654342</v>
      </c>
      <c r="H121" s="145">
        <f t="shared" si="384"/>
        <v>1366.2038026293471</v>
      </c>
      <c r="I121" s="145">
        <f t="shared" si="384"/>
        <v>-15.071784278350515</v>
      </c>
      <c r="J121" s="145">
        <f t="shared" si="384"/>
        <v>-13.490045724108294</v>
      </c>
      <c r="K121" s="145">
        <f t="shared" si="384"/>
        <v>-12.055576824034334</v>
      </c>
      <c r="L121" s="145">
        <f t="shared" si="384"/>
        <v>141.54328057277195</v>
      </c>
      <c r="M121" s="145">
        <f t="shared" si="384"/>
        <v>-16.63790789529687</v>
      </c>
      <c r="N121" s="145">
        <f t="shared" si="384"/>
        <v>-17.781249790619764</v>
      </c>
      <c r="O121" s="145">
        <f t="shared" si="384"/>
        <v>-17.673135435684646</v>
      </c>
      <c r="P121" s="145">
        <f t="shared" si="384"/>
        <v>-18.108956709068526</v>
      </c>
      <c r="Q121" s="145">
        <f t="shared" si="384"/>
        <v>-17.44494686331533</v>
      </c>
      <c r="R121" s="146">
        <f t="shared" si="384"/>
        <v>-17.02701738045738</v>
      </c>
      <c r="S121" s="147">
        <f t="shared" si="365"/>
        <v>1342.2450770475291</v>
      </c>
      <c r="T121" s="148">
        <f t="shared" ref="T121:AE121" si="385">+T119-T120</f>
        <v>-8.4710345780895402</v>
      </c>
      <c r="U121" s="145">
        <f t="shared" si="385"/>
        <v>-4.0786959934587079</v>
      </c>
      <c r="V121" s="145">
        <f t="shared" si="385"/>
        <v>-3.9760543054427293</v>
      </c>
      <c r="W121" s="145">
        <f t="shared" si="385"/>
        <v>-5.7108853541177877</v>
      </c>
      <c r="X121" s="145">
        <f t="shared" si="385"/>
        <v>-4.5818018150114925</v>
      </c>
      <c r="Y121" s="145">
        <f t="shared" si="385"/>
        <v>-4.9145858597867873</v>
      </c>
      <c r="Z121" s="145">
        <f t="shared" si="385"/>
        <v>-4.6981451683602309</v>
      </c>
      <c r="AA121" s="145">
        <f t="shared" si="385"/>
        <v>210.07766725649481</v>
      </c>
      <c r="AB121" s="145">
        <f t="shared" si="385"/>
        <v>-5.0669231487875219</v>
      </c>
      <c r="AC121" s="145">
        <f>+AC119-AC120</f>
        <v>-3.9785477084898573</v>
      </c>
      <c r="AD121" s="145">
        <f t="shared" si="385"/>
        <v>-3.8953537345216498</v>
      </c>
      <c r="AE121" s="146">
        <f t="shared" si="385"/>
        <v>-3.1463630333241746</v>
      </c>
      <c r="AF121" s="147">
        <f t="shared" si="366"/>
        <v>157.55927655710434</v>
      </c>
      <c r="AG121" s="148">
        <f t="shared" ref="AG121:AR121" si="386">+AG119-AG120</f>
        <v>-1.2907939208031232</v>
      </c>
      <c r="AH121" s="145">
        <f t="shared" si="386"/>
        <v>-0.55998201762977473</v>
      </c>
      <c r="AI121" s="145">
        <f t="shared" si="386"/>
        <v>-3.3689899581916931</v>
      </c>
      <c r="AJ121" s="145">
        <f t="shared" si="386"/>
        <v>-1.8000494752623688</v>
      </c>
      <c r="AK121" s="145">
        <f t="shared" si="386"/>
        <v>-0.30003836248318277</v>
      </c>
      <c r="AL121" s="145">
        <f t="shared" si="386"/>
        <v>0</v>
      </c>
      <c r="AM121" s="145">
        <f t="shared" si="386"/>
        <v>0</v>
      </c>
      <c r="AN121" s="145">
        <f t="shared" si="386"/>
        <v>0</v>
      </c>
      <c r="AO121" s="145">
        <f t="shared" si="386"/>
        <v>0</v>
      </c>
      <c r="AP121" s="145">
        <f t="shared" si="386"/>
        <v>0</v>
      </c>
      <c r="AQ121" s="145">
        <f t="shared" si="386"/>
        <v>0</v>
      </c>
      <c r="AR121" s="146">
        <f t="shared" si="386"/>
        <v>0</v>
      </c>
      <c r="AS121" s="408">
        <f t="shared" si="367"/>
        <v>-7.3198537343701426</v>
      </c>
      <c r="AT121" s="148">
        <f t="shared" ref="AT121:BE121" si="387">+AT119-AT120</f>
        <v>0</v>
      </c>
      <c r="AU121" s="145">
        <f t="shared" si="387"/>
        <v>-0.67073514756611696</v>
      </c>
      <c r="AV121" s="145">
        <f t="shared" si="387"/>
        <v>0</v>
      </c>
      <c r="AW121" s="145">
        <f t="shared" si="387"/>
        <v>-6</v>
      </c>
      <c r="AX121" s="145">
        <f t="shared" si="387"/>
        <v>-6</v>
      </c>
      <c r="AY121" s="145">
        <f t="shared" si="387"/>
        <v>56</v>
      </c>
      <c r="AZ121" s="145">
        <f t="shared" si="387"/>
        <v>0</v>
      </c>
      <c r="BA121" s="145">
        <f t="shared" si="387"/>
        <v>0</v>
      </c>
      <c r="BB121" s="145">
        <f t="shared" si="387"/>
        <v>0</v>
      </c>
      <c r="BC121" s="145">
        <f t="shared" si="387"/>
        <v>0</v>
      </c>
      <c r="BD121" s="145">
        <f t="shared" si="387"/>
        <v>0</v>
      </c>
      <c r="BE121" s="146">
        <f t="shared" si="387"/>
        <v>0</v>
      </c>
      <c r="BF121" s="147">
        <f t="shared" si="368"/>
        <v>43.32926485243388</v>
      </c>
      <c r="BG121" s="148">
        <f t="shared" ref="BG121:BR121" si="388">+BG119-BG120</f>
        <v>0</v>
      </c>
      <c r="BH121" s="145">
        <f t="shared" si="388"/>
        <v>0</v>
      </c>
      <c r="BI121" s="145">
        <f t="shared" si="388"/>
        <v>0</v>
      </c>
      <c r="BJ121" s="145">
        <f t="shared" si="388"/>
        <v>0</v>
      </c>
      <c r="BK121" s="145">
        <f t="shared" si="388"/>
        <v>0</v>
      </c>
      <c r="BL121" s="145">
        <f t="shared" si="388"/>
        <v>0</v>
      </c>
      <c r="BM121" s="145">
        <f t="shared" si="388"/>
        <v>0</v>
      </c>
      <c r="BN121" s="145">
        <f t="shared" si="388"/>
        <v>0</v>
      </c>
      <c r="BO121" s="145">
        <f t="shared" si="388"/>
        <v>0</v>
      </c>
      <c r="BP121" s="145">
        <f t="shared" si="388"/>
        <v>0</v>
      </c>
      <c r="BQ121" s="145">
        <f t="shared" si="388"/>
        <v>0</v>
      </c>
      <c r="BR121" s="146">
        <f t="shared" si="388"/>
        <v>0</v>
      </c>
      <c r="BS121" s="147">
        <f t="shared" si="369"/>
        <v>0</v>
      </c>
      <c r="BT121" s="148">
        <f t="shared" ref="BT121:CE121" si="389">+BT119-BT120</f>
        <v>0</v>
      </c>
      <c r="BU121" s="145">
        <f t="shared" si="389"/>
        <v>0</v>
      </c>
      <c r="BV121" s="145">
        <f t="shared" si="389"/>
        <v>0</v>
      </c>
      <c r="BW121" s="145">
        <f t="shared" si="389"/>
        <v>0</v>
      </c>
      <c r="BX121" s="145">
        <f t="shared" si="389"/>
        <v>0</v>
      </c>
      <c r="BY121" s="145">
        <f t="shared" si="389"/>
        <v>0</v>
      </c>
      <c r="BZ121" s="145">
        <f t="shared" si="389"/>
        <v>0</v>
      </c>
      <c r="CA121" s="145">
        <f t="shared" si="389"/>
        <v>0</v>
      </c>
      <c r="CB121" s="145">
        <f t="shared" si="389"/>
        <v>0</v>
      </c>
      <c r="CC121" s="145">
        <f t="shared" si="389"/>
        <v>0</v>
      </c>
      <c r="CD121" s="145">
        <f t="shared" si="389"/>
        <v>0</v>
      </c>
      <c r="CE121" s="146">
        <f t="shared" si="389"/>
        <v>0</v>
      </c>
      <c r="CF121" s="147">
        <f t="shared" si="370"/>
        <v>0</v>
      </c>
      <c r="CG121" s="148">
        <f t="shared" ref="CG121:CR121" si="390">+CG119-CG120</f>
        <v>0</v>
      </c>
      <c r="CH121" s="145">
        <f t="shared" si="390"/>
        <v>0</v>
      </c>
      <c r="CI121" s="145">
        <f t="shared" si="390"/>
        <v>0</v>
      </c>
      <c r="CJ121" s="145">
        <f t="shared" si="390"/>
        <v>0</v>
      </c>
      <c r="CK121" s="145">
        <f t="shared" si="390"/>
        <v>0</v>
      </c>
      <c r="CL121" s="145">
        <f t="shared" si="390"/>
        <v>0</v>
      </c>
      <c r="CM121" s="145">
        <f t="shared" si="390"/>
        <v>0</v>
      </c>
      <c r="CN121" s="145">
        <f t="shared" si="390"/>
        <v>0</v>
      </c>
      <c r="CO121" s="145">
        <f t="shared" si="390"/>
        <v>0</v>
      </c>
      <c r="CP121" s="145">
        <f t="shared" si="390"/>
        <v>0</v>
      </c>
      <c r="CQ121" s="145">
        <f t="shared" si="390"/>
        <v>0</v>
      </c>
      <c r="CR121" s="146">
        <f t="shared" si="390"/>
        <v>0</v>
      </c>
      <c r="CS121" s="147">
        <f t="shared" si="371"/>
        <v>0</v>
      </c>
      <c r="CT121" s="148">
        <f t="shared" ref="CT121:DE121" si="391">+CT119-CT120</f>
        <v>0</v>
      </c>
      <c r="CU121" s="145">
        <f t="shared" si="391"/>
        <v>0</v>
      </c>
      <c r="CV121" s="145">
        <f t="shared" si="391"/>
        <v>0</v>
      </c>
      <c r="CW121" s="145">
        <f t="shared" si="391"/>
        <v>0</v>
      </c>
      <c r="CX121" s="145">
        <f t="shared" si="391"/>
        <v>0</v>
      </c>
      <c r="CY121" s="145">
        <f t="shared" si="391"/>
        <v>0</v>
      </c>
      <c r="CZ121" s="145">
        <f t="shared" si="391"/>
        <v>0</v>
      </c>
      <c r="DA121" s="145">
        <f t="shared" si="391"/>
        <v>0</v>
      </c>
      <c r="DB121" s="145">
        <f t="shared" si="391"/>
        <v>0</v>
      </c>
      <c r="DC121" s="145">
        <f t="shared" si="391"/>
        <v>0</v>
      </c>
      <c r="DD121" s="145">
        <f t="shared" si="391"/>
        <v>0</v>
      </c>
      <c r="DE121" s="146">
        <f t="shared" si="391"/>
        <v>0</v>
      </c>
      <c r="DF121" s="147">
        <f t="shared" si="372"/>
        <v>0</v>
      </c>
      <c r="DG121" s="146">
        <f>+DG119-DG120</f>
        <v>0</v>
      </c>
      <c r="DH121" s="98">
        <f t="shared" si="373"/>
        <v>5054.2307647226971</v>
      </c>
      <c r="DI121" s="150">
        <f t="shared" si="374"/>
        <v>1535.813764722697</v>
      </c>
      <c r="DJ121" s="151">
        <f t="shared" si="375"/>
        <v>-3518.4170000000004</v>
      </c>
    </row>
    <row r="122" spans="1:117" ht="15" hidden="1" customHeight="1" outlineLevel="1">
      <c r="A122" s="607"/>
      <c r="B122" s="593" t="s">
        <v>96</v>
      </c>
      <c r="C122" s="246" t="s">
        <v>62</v>
      </c>
      <c r="D122" s="183" t="s">
        <v>122</v>
      </c>
      <c r="E122" s="153">
        <f>79.6*4</f>
        <v>318.39999999999998</v>
      </c>
      <c r="F122" s="153">
        <v>238.79999999999998</v>
      </c>
      <c r="G122" s="154">
        <v>87.560189165950121</v>
      </c>
      <c r="H122" s="155"/>
      <c r="I122" s="155"/>
      <c r="J122" s="155"/>
      <c r="K122" s="155"/>
      <c r="L122" s="155"/>
      <c r="M122" s="155"/>
      <c r="N122" s="155"/>
      <c r="O122" s="155"/>
      <c r="P122" s="155"/>
      <c r="Q122" s="155"/>
      <c r="R122" s="156"/>
      <c r="S122" s="157">
        <f t="shared" si="365"/>
        <v>87.560189165950121</v>
      </c>
      <c r="T122" s="378"/>
      <c r="U122" s="382"/>
      <c r="V122" s="382"/>
      <c r="W122" s="382"/>
      <c r="X122" s="382"/>
      <c r="Y122" s="382"/>
      <c r="Z122" s="382"/>
      <c r="AA122" s="382"/>
      <c r="AB122" s="382"/>
      <c r="AC122" s="382"/>
      <c r="AD122" s="382"/>
      <c r="AE122" s="481"/>
      <c r="AF122" s="157">
        <f t="shared" si="366"/>
        <v>0</v>
      </c>
      <c r="AG122" s="154"/>
      <c r="AH122" s="155"/>
      <c r="AI122" s="155"/>
      <c r="AJ122" s="155"/>
      <c r="AK122" s="155"/>
      <c r="AL122" s="155"/>
      <c r="AM122" s="155"/>
      <c r="AN122" s="155"/>
      <c r="AO122" s="155"/>
      <c r="AP122" s="155"/>
      <c r="AQ122" s="155"/>
      <c r="AR122" s="156"/>
      <c r="AS122" s="409">
        <f t="shared" si="367"/>
        <v>0</v>
      </c>
      <c r="AT122" s="158"/>
      <c r="AU122" s="155"/>
      <c r="AV122" s="155"/>
      <c r="AW122" s="155"/>
      <c r="AX122" s="155"/>
      <c r="AY122" s="155"/>
      <c r="AZ122" s="155"/>
      <c r="BA122" s="155"/>
      <c r="BB122" s="155"/>
      <c r="BC122" s="155"/>
      <c r="BD122" s="155"/>
      <c r="BE122" s="156"/>
      <c r="BF122" s="157">
        <f t="shared" si="368"/>
        <v>0</v>
      </c>
      <c r="BG122" s="158"/>
      <c r="BH122" s="155"/>
      <c r="BI122" s="155"/>
      <c r="BJ122" s="155"/>
      <c r="BK122" s="155"/>
      <c r="BL122" s="155"/>
      <c r="BM122" s="155"/>
      <c r="BN122" s="155"/>
      <c r="BO122" s="155"/>
      <c r="BP122" s="155"/>
      <c r="BQ122" s="155"/>
      <c r="BR122" s="156"/>
      <c r="BS122" s="157">
        <f t="shared" si="369"/>
        <v>0</v>
      </c>
      <c r="BT122" s="158"/>
      <c r="BU122" s="155"/>
      <c r="BV122" s="155"/>
      <c r="BW122" s="155"/>
      <c r="BX122" s="155"/>
      <c r="BY122" s="155"/>
      <c r="BZ122" s="155"/>
      <c r="CA122" s="155"/>
      <c r="CB122" s="155"/>
      <c r="CC122" s="155"/>
      <c r="CD122" s="155"/>
      <c r="CE122" s="156"/>
      <c r="CF122" s="157">
        <f t="shared" si="370"/>
        <v>0</v>
      </c>
      <c r="CG122" s="158"/>
      <c r="CH122" s="155"/>
      <c r="CI122" s="155"/>
      <c r="CJ122" s="155"/>
      <c r="CK122" s="155"/>
      <c r="CL122" s="155"/>
      <c r="CM122" s="155"/>
      <c r="CN122" s="155"/>
      <c r="CO122" s="155"/>
      <c r="CP122" s="155"/>
      <c r="CQ122" s="155"/>
      <c r="CR122" s="156"/>
      <c r="CS122" s="157">
        <f t="shared" si="371"/>
        <v>0</v>
      </c>
      <c r="CT122" s="158"/>
      <c r="CU122" s="155"/>
      <c r="CV122" s="155"/>
      <c r="CW122" s="155"/>
      <c r="CX122" s="155"/>
      <c r="CY122" s="155"/>
      <c r="CZ122" s="155"/>
      <c r="DA122" s="155"/>
      <c r="DB122" s="155"/>
      <c r="DC122" s="155"/>
      <c r="DD122" s="155"/>
      <c r="DE122" s="156"/>
      <c r="DF122" s="157">
        <f t="shared" si="372"/>
        <v>0</v>
      </c>
      <c r="DG122" s="280"/>
      <c r="DH122" s="159">
        <f t="shared" si="373"/>
        <v>326.36018916595009</v>
      </c>
      <c r="DI122" s="160">
        <f t="shared" si="374"/>
        <v>318.39999999999998</v>
      </c>
      <c r="DJ122" s="161">
        <f t="shared" si="375"/>
        <v>-7.9601891659501121</v>
      </c>
    </row>
    <row r="123" spans="1:117" ht="15" hidden="1" customHeight="1" outlineLevel="1">
      <c r="A123" s="607"/>
      <c r="B123" s="548"/>
      <c r="C123" s="245" t="s">
        <v>63</v>
      </c>
      <c r="D123" s="184" t="s">
        <v>124</v>
      </c>
      <c r="E123" s="136">
        <f>+E122*85%</f>
        <v>270.64</v>
      </c>
      <c r="F123" s="136">
        <v>202.98</v>
      </c>
      <c r="G123" s="137">
        <v>10.049526354256233</v>
      </c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9"/>
      <c r="S123" s="162">
        <f t="shared" si="365"/>
        <v>10.049526354256233</v>
      </c>
      <c r="T123" s="380"/>
      <c r="U123" s="381"/>
      <c r="V123" s="381"/>
      <c r="W123" s="381"/>
      <c r="X123" s="381"/>
      <c r="Y123" s="381"/>
      <c r="Z123" s="381"/>
      <c r="AA123" s="381"/>
      <c r="AB123" s="381"/>
      <c r="AC123" s="381"/>
      <c r="AD123" s="381"/>
      <c r="AE123" s="392"/>
      <c r="AF123" s="162">
        <f t="shared" si="366"/>
        <v>0</v>
      </c>
      <c r="AG123" s="137"/>
      <c r="AH123" s="138"/>
      <c r="AI123" s="138"/>
      <c r="AJ123" s="138"/>
      <c r="AK123" s="138"/>
      <c r="AL123" s="138"/>
      <c r="AM123" s="138"/>
      <c r="AN123" s="138"/>
      <c r="AO123" s="138"/>
      <c r="AP123" s="138"/>
      <c r="AQ123" s="138"/>
      <c r="AR123" s="139"/>
      <c r="AS123" s="410">
        <f t="shared" si="367"/>
        <v>0</v>
      </c>
      <c r="AT123" s="141"/>
      <c r="AU123" s="138"/>
      <c r="AV123" s="138"/>
      <c r="AW123" s="138"/>
      <c r="AX123" s="138"/>
      <c r="AY123" s="138"/>
      <c r="AZ123" s="138"/>
      <c r="BA123" s="138"/>
      <c r="BB123" s="138"/>
      <c r="BC123" s="138"/>
      <c r="BD123" s="138"/>
      <c r="BE123" s="139"/>
      <c r="BF123" s="162">
        <f t="shared" si="368"/>
        <v>0</v>
      </c>
      <c r="BG123" s="141"/>
      <c r="BH123" s="138"/>
      <c r="BI123" s="138"/>
      <c r="BJ123" s="138"/>
      <c r="BK123" s="138"/>
      <c r="BL123" s="138"/>
      <c r="BM123" s="138"/>
      <c r="BN123" s="138"/>
      <c r="BO123" s="138"/>
      <c r="BP123" s="138"/>
      <c r="BQ123" s="138"/>
      <c r="BR123" s="139"/>
      <c r="BS123" s="162">
        <f t="shared" si="369"/>
        <v>0</v>
      </c>
      <c r="BT123" s="141"/>
      <c r="BU123" s="138"/>
      <c r="BV123" s="138"/>
      <c r="BW123" s="138"/>
      <c r="BX123" s="138"/>
      <c r="BY123" s="138"/>
      <c r="BZ123" s="138"/>
      <c r="CA123" s="138"/>
      <c r="CB123" s="138"/>
      <c r="CC123" s="138"/>
      <c r="CD123" s="138"/>
      <c r="CE123" s="139"/>
      <c r="CF123" s="162">
        <f t="shared" si="370"/>
        <v>0</v>
      </c>
      <c r="CG123" s="141"/>
      <c r="CH123" s="138"/>
      <c r="CI123" s="138"/>
      <c r="CJ123" s="138"/>
      <c r="CK123" s="138"/>
      <c r="CL123" s="138"/>
      <c r="CM123" s="138"/>
      <c r="CN123" s="138"/>
      <c r="CO123" s="138"/>
      <c r="CP123" s="138"/>
      <c r="CQ123" s="138"/>
      <c r="CR123" s="139"/>
      <c r="CS123" s="162">
        <f t="shared" si="371"/>
        <v>0</v>
      </c>
      <c r="CT123" s="141"/>
      <c r="CU123" s="138"/>
      <c r="CV123" s="138"/>
      <c r="CW123" s="138"/>
      <c r="CX123" s="138"/>
      <c r="CY123" s="138"/>
      <c r="CZ123" s="138"/>
      <c r="DA123" s="138"/>
      <c r="DB123" s="138"/>
      <c r="DC123" s="138"/>
      <c r="DD123" s="138"/>
      <c r="DE123" s="139"/>
      <c r="DF123" s="162">
        <f t="shared" si="372"/>
        <v>0</v>
      </c>
      <c r="DG123" s="279"/>
      <c r="DH123" s="90">
        <f t="shared" si="373"/>
        <v>213.02952635425623</v>
      </c>
      <c r="DI123" s="91">
        <f t="shared" si="374"/>
        <v>270.64</v>
      </c>
      <c r="DJ123" s="92">
        <f t="shared" si="375"/>
        <v>57.610473645743753</v>
      </c>
      <c r="DK123" s="64">
        <f>+DH123/DH122</f>
        <v>0.65274360484554494</v>
      </c>
    </row>
    <row r="124" spans="1:117" ht="15" hidden="1" customHeight="1" outlineLevel="1">
      <c r="A124" s="607"/>
      <c r="B124" s="549"/>
      <c r="C124" s="554" t="s">
        <v>11</v>
      </c>
      <c r="D124" s="555"/>
      <c r="E124" s="143">
        <f>+E122-E123</f>
        <v>47.759999999999991</v>
      </c>
      <c r="F124" s="144">
        <f t="shared" ref="F124:R124" si="392">+F122-F123</f>
        <v>35.819999999999993</v>
      </c>
      <c r="G124" s="145">
        <f t="shared" si="392"/>
        <v>77.510662811693891</v>
      </c>
      <c r="H124" s="145">
        <f t="shared" si="392"/>
        <v>0</v>
      </c>
      <c r="I124" s="145">
        <f t="shared" si="392"/>
        <v>0</v>
      </c>
      <c r="J124" s="145">
        <f t="shared" si="392"/>
        <v>0</v>
      </c>
      <c r="K124" s="145">
        <f t="shared" si="392"/>
        <v>0</v>
      </c>
      <c r="L124" s="145">
        <f t="shared" si="392"/>
        <v>0</v>
      </c>
      <c r="M124" s="145">
        <f t="shared" si="392"/>
        <v>0</v>
      </c>
      <c r="N124" s="145">
        <f t="shared" si="392"/>
        <v>0</v>
      </c>
      <c r="O124" s="145">
        <f t="shared" si="392"/>
        <v>0</v>
      </c>
      <c r="P124" s="145">
        <f t="shared" si="392"/>
        <v>0</v>
      </c>
      <c r="Q124" s="145">
        <f t="shared" si="392"/>
        <v>0</v>
      </c>
      <c r="R124" s="146">
        <f t="shared" si="392"/>
        <v>0</v>
      </c>
      <c r="S124" s="147">
        <f t="shared" si="365"/>
        <v>77.510662811693891</v>
      </c>
      <c r="T124" s="148">
        <f t="shared" ref="T124:AE124" si="393">+T122-T123</f>
        <v>0</v>
      </c>
      <c r="U124" s="145">
        <f t="shared" si="393"/>
        <v>0</v>
      </c>
      <c r="V124" s="145">
        <f t="shared" si="393"/>
        <v>0</v>
      </c>
      <c r="W124" s="145">
        <f t="shared" si="393"/>
        <v>0</v>
      </c>
      <c r="X124" s="145">
        <f t="shared" si="393"/>
        <v>0</v>
      </c>
      <c r="Y124" s="145">
        <f t="shared" si="393"/>
        <v>0</v>
      </c>
      <c r="Z124" s="145">
        <f t="shared" si="393"/>
        <v>0</v>
      </c>
      <c r="AA124" s="145">
        <f t="shared" si="393"/>
        <v>0</v>
      </c>
      <c r="AB124" s="145">
        <f t="shared" si="393"/>
        <v>0</v>
      </c>
      <c r="AC124" s="145">
        <f t="shared" si="393"/>
        <v>0</v>
      </c>
      <c r="AD124" s="145">
        <f t="shared" si="393"/>
        <v>0</v>
      </c>
      <c r="AE124" s="146">
        <f t="shared" si="393"/>
        <v>0</v>
      </c>
      <c r="AF124" s="147">
        <f t="shared" si="366"/>
        <v>0</v>
      </c>
      <c r="AG124" s="148">
        <f t="shared" ref="AG124:AR124" si="394">+AG122-AG123</f>
        <v>0</v>
      </c>
      <c r="AH124" s="145">
        <f t="shared" si="394"/>
        <v>0</v>
      </c>
      <c r="AI124" s="145">
        <f t="shared" si="394"/>
        <v>0</v>
      </c>
      <c r="AJ124" s="145">
        <f t="shared" si="394"/>
        <v>0</v>
      </c>
      <c r="AK124" s="145">
        <f t="shared" si="394"/>
        <v>0</v>
      </c>
      <c r="AL124" s="145">
        <f t="shared" si="394"/>
        <v>0</v>
      </c>
      <c r="AM124" s="145">
        <f t="shared" si="394"/>
        <v>0</v>
      </c>
      <c r="AN124" s="145">
        <f t="shared" si="394"/>
        <v>0</v>
      </c>
      <c r="AO124" s="145">
        <f t="shared" si="394"/>
        <v>0</v>
      </c>
      <c r="AP124" s="145">
        <f t="shared" si="394"/>
        <v>0</v>
      </c>
      <c r="AQ124" s="145">
        <f t="shared" si="394"/>
        <v>0</v>
      </c>
      <c r="AR124" s="146">
        <f t="shared" si="394"/>
        <v>0</v>
      </c>
      <c r="AS124" s="408">
        <f t="shared" si="367"/>
        <v>0</v>
      </c>
      <c r="AT124" s="148">
        <f t="shared" ref="AT124:BE124" si="395">+AT122-AT123</f>
        <v>0</v>
      </c>
      <c r="AU124" s="145">
        <f t="shared" si="395"/>
        <v>0</v>
      </c>
      <c r="AV124" s="145">
        <f t="shared" si="395"/>
        <v>0</v>
      </c>
      <c r="AW124" s="145">
        <f t="shared" si="395"/>
        <v>0</v>
      </c>
      <c r="AX124" s="145">
        <f t="shared" si="395"/>
        <v>0</v>
      </c>
      <c r="AY124" s="145">
        <f t="shared" si="395"/>
        <v>0</v>
      </c>
      <c r="AZ124" s="145">
        <f t="shared" si="395"/>
        <v>0</v>
      </c>
      <c r="BA124" s="145">
        <f t="shared" si="395"/>
        <v>0</v>
      </c>
      <c r="BB124" s="145">
        <f t="shared" si="395"/>
        <v>0</v>
      </c>
      <c r="BC124" s="145">
        <f t="shared" si="395"/>
        <v>0</v>
      </c>
      <c r="BD124" s="145">
        <f t="shared" si="395"/>
        <v>0</v>
      </c>
      <c r="BE124" s="146">
        <f t="shared" si="395"/>
        <v>0</v>
      </c>
      <c r="BF124" s="147">
        <f t="shared" si="368"/>
        <v>0</v>
      </c>
      <c r="BG124" s="148">
        <f t="shared" ref="BG124:BR124" si="396">+BG122-BG123</f>
        <v>0</v>
      </c>
      <c r="BH124" s="145">
        <f t="shared" si="396"/>
        <v>0</v>
      </c>
      <c r="BI124" s="145">
        <f t="shared" si="396"/>
        <v>0</v>
      </c>
      <c r="BJ124" s="145">
        <f t="shared" si="396"/>
        <v>0</v>
      </c>
      <c r="BK124" s="145">
        <f t="shared" si="396"/>
        <v>0</v>
      </c>
      <c r="BL124" s="145">
        <f t="shared" si="396"/>
        <v>0</v>
      </c>
      <c r="BM124" s="145">
        <f t="shared" si="396"/>
        <v>0</v>
      </c>
      <c r="BN124" s="145">
        <f t="shared" si="396"/>
        <v>0</v>
      </c>
      <c r="BO124" s="145">
        <f t="shared" si="396"/>
        <v>0</v>
      </c>
      <c r="BP124" s="145">
        <f t="shared" si="396"/>
        <v>0</v>
      </c>
      <c r="BQ124" s="145">
        <f t="shared" si="396"/>
        <v>0</v>
      </c>
      <c r="BR124" s="146">
        <f t="shared" si="396"/>
        <v>0</v>
      </c>
      <c r="BS124" s="147">
        <f t="shared" si="369"/>
        <v>0</v>
      </c>
      <c r="BT124" s="148">
        <f t="shared" ref="BT124:CE124" si="397">+BT122-BT123</f>
        <v>0</v>
      </c>
      <c r="BU124" s="145">
        <f t="shared" si="397"/>
        <v>0</v>
      </c>
      <c r="BV124" s="145">
        <f t="shared" si="397"/>
        <v>0</v>
      </c>
      <c r="BW124" s="145">
        <f t="shared" si="397"/>
        <v>0</v>
      </c>
      <c r="BX124" s="145">
        <f t="shared" si="397"/>
        <v>0</v>
      </c>
      <c r="BY124" s="145">
        <f t="shared" si="397"/>
        <v>0</v>
      </c>
      <c r="BZ124" s="145">
        <f t="shared" si="397"/>
        <v>0</v>
      </c>
      <c r="CA124" s="145">
        <f t="shared" si="397"/>
        <v>0</v>
      </c>
      <c r="CB124" s="145">
        <f t="shared" si="397"/>
        <v>0</v>
      </c>
      <c r="CC124" s="145">
        <f t="shared" si="397"/>
        <v>0</v>
      </c>
      <c r="CD124" s="145">
        <f t="shared" si="397"/>
        <v>0</v>
      </c>
      <c r="CE124" s="146">
        <f t="shared" si="397"/>
        <v>0</v>
      </c>
      <c r="CF124" s="147">
        <f t="shared" si="370"/>
        <v>0</v>
      </c>
      <c r="CG124" s="148">
        <f t="shared" ref="CG124:CR124" si="398">+CG122-CG123</f>
        <v>0</v>
      </c>
      <c r="CH124" s="145">
        <f t="shared" si="398"/>
        <v>0</v>
      </c>
      <c r="CI124" s="145">
        <f t="shared" si="398"/>
        <v>0</v>
      </c>
      <c r="CJ124" s="145">
        <f t="shared" si="398"/>
        <v>0</v>
      </c>
      <c r="CK124" s="145">
        <f t="shared" si="398"/>
        <v>0</v>
      </c>
      <c r="CL124" s="145">
        <f t="shared" si="398"/>
        <v>0</v>
      </c>
      <c r="CM124" s="145">
        <f t="shared" si="398"/>
        <v>0</v>
      </c>
      <c r="CN124" s="145">
        <f t="shared" si="398"/>
        <v>0</v>
      </c>
      <c r="CO124" s="145">
        <f t="shared" si="398"/>
        <v>0</v>
      </c>
      <c r="CP124" s="145">
        <f t="shared" si="398"/>
        <v>0</v>
      </c>
      <c r="CQ124" s="145">
        <f t="shared" si="398"/>
        <v>0</v>
      </c>
      <c r="CR124" s="146">
        <f t="shared" si="398"/>
        <v>0</v>
      </c>
      <c r="CS124" s="147">
        <f t="shared" si="371"/>
        <v>0</v>
      </c>
      <c r="CT124" s="148">
        <f t="shared" ref="CT124:DE124" si="399">+CT122-CT123</f>
        <v>0</v>
      </c>
      <c r="CU124" s="145">
        <f t="shared" si="399"/>
        <v>0</v>
      </c>
      <c r="CV124" s="145">
        <f t="shared" si="399"/>
        <v>0</v>
      </c>
      <c r="CW124" s="145">
        <f t="shared" si="399"/>
        <v>0</v>
      </c>
      <c r="CX124" s="145">
        <f t="shared" si="399"/>
        <v>0</v>
      </c>
      <c r="CY124" s="145">
        <f t="shared" si="399"/>
        <v>0</v>
      </c>
      <c r="CZ124" s="145">
        <f t="shared" si="399"/>
        <v>0</v>
      </c>
      <c r="DA124" s="145">
        <f t="shared" si="399"/>
        <v>0</v>
      </c>
      <c r="DB124" s="145">
        <f t="shared" si="399"/>
        <v>0</v>
      </c>
      <c r="DC124" s="145">
        <f t="shared" si="399"/>
        <v>0</v>
      </c>
      <c r="DD124" s="145">
        <f t="shared" si="399"/>
        <v>0</v>
      </c>
      <c r="DE124" s="146">
        <f t="shared" si="399"/>
        <v>0</v>
      </c>
      <c r="DF124" s="147">
        <f t="shared" si="372"/>
        <v>0</v>
      </c>
      <c r="DG124" s="146">
        <f>+DG122-DG123</f>
        <v>0</v>
      </c>
      <c r="DH124" s="98">
        <f t="shared" si="373"/>
        <v>113.33066281169388</v>
      </c>
      <c r="DI124" s="99">
        <f t="shared" si="374"/>
        <v>47.759999999999991</v>
      </c>
      <c r="DJ124" s="100">
        <f t="shared" si="375"/>
        <v>-65.570662811693893</v>
      </c>
    </row>
    <row r="125" spans="1:117" ht="15" customHeight="1" outlineLevel="1">
      <c r="A125" s="607"/>
      <c r="B125" s="609" t="s">
        <v>97</v>
      </c>
      <c r="C125" s="246" t="s">
        <v>62</v>
      </c>
      <c r="D125" s="183" t="s">
        <v>122</v>
      </c>
      <c r="E125" s="153">
        <f>AF125+AS125+BF125+BS125+CF125+CS125+DF125+S125+DG125</f>
        <v>2106.593075924337</v>
      </c>
      <c r="F125" s="128">
        <v>200</v>
      </c>
      <c r="G125" s="129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355">
        <v>655.06029106029109</v>
      </c>
      <c r="S125" s="163">
        <f t="shared" si="365"/>
        <v>655.06029106029109</v>
      </c>
      <c r="T125" s="386"/>
      <c r="U125" s="387"/>
      <c r="V125" s="387"/>
      <c r="W125" s="387"/>
      <c r="X125" s="387"/>
      <c r="Y125" s="387"/>
      <c r="Z125" s="387"/>
      <c r="AA125" s="386"/>
      <c r="AB125" s="387"/>
      <c r="AC125" s="387"/>
      <c r="AD125" s="387"/>
      <c r="AE125" s="387"/>
      <c r="AF125" s="163">
        <f t="shared" si="366"/>
        <v>0</v>
      </c>
      <c r="AG125" s="503"/>
      <c r="AH125" s="507"/>
      <c r="AI125" s="507"/>
      <c r="AJ125" s="507"/>
      <c r="AK125" s="507"/>
      <c r="AL125" s="507">
        <v>402.63753114816899</v>
      </c>
      <c r="AM125" s="507"/>
      <c r="AN125" s="507"/>
      <c r="AO125" s="507">
        <v>198.86393759230506</v>
      </c>
      <c r="AP125" s="507"/>
      <c r="AQ125" s="507"/>
      <c r="AR125" s="503"/>
      <c r="AS125" s="414">
        <f t="shared" si="367"/>
        <v>601.50146874047402</v>
      </c>
      <c r="AT125" s="516">
        <v>202.03131612357174</v>
      </c>
      <c r="AU125" s="510"/>
      <c r="AV125" s="516"/>
      <c r="AW125" s="352"/>
      <c r="AX125" s="282"/>
      <c r="AY125" s="282"/>
      <c r="AZ125" s="282"/>
      <c r="BA125" s="282"/>
      <c r="BB125" s="282"/>
      <c r="BC125" s="282"/>
      <c r="BD125" s="282"/>
      <c r="BE125" s="284"/>
      <c r="BF125" s="163">
        <f t="shared" si="368"/>
        <v>202.03131612357174</v>
      </c>
      <c r="BG125" s="352"/>
      <c r="BH125" s="282"/>
      <c r="BI125" s="282">
        <v>216</v>
      </c>
      <c r="BJ125" s="282"/>
      <c r="BK125" s="282"/>
      <c r="BL125" s="282"/>
      <c r="BM125" s="282"/>
      <c r="BN125" s="282"/>
      <c r="BO125" s="282"/>
      <c r="BP125" s="282"/>
      <c r="BQ125" s="282"/>
      <c r="BR125" s="284"/>
      <c r="BS125" s="163">
        <f t="shared" si="369"/>
        <v>216</v>
      </c>
      <c r="BT125" s="352"/>
      <c r="BU125" s="282"/>
      <c r="BV125" s="282"/>
      <c r="BW125" s="282"/>
      <c r="BX125" s="282"/>
      <c r="BY125" s="282"/>
      <c r="BZ125" s="282"/>
      <c r="CA125" s="282"/>
      <c r="CB125" s="282"/>
      <c r="CC125" s="282"/>
      <c r="CD125" s="282"/>
      <c r="CE125" s="284"/>
      <c r="CF125" s="163">
        <f t="shared" si="370"/>
        <v>0</v>
      </c>
      <c r="CG125" s="352"/>
      <c r="CH125" s="282"/>
      <c r="CI125" s="282"/>
      <c r="CJ125" s="282"/>
      <c r="CK125" s="282"/>
      <c r="CL125" s="282"/>
      <c r="CM125" s="282">
        <v>216</v>
      </c>
      <c r="CN125" s="282"/>
      <c r="CO125" s="282"/>
      <c r="CP125" s="282"/>
      <c r="CQ125" s="282"/>
      <c r="CR125" s="284">
        <v>216</v>
      </c>
      <c r="CS125" s="163">
        <f t="shared" si="371"/>
        <v>432</v>
      </c>
      <c r="CT125" s="352"/>
      <c r="CU125" s="282"/>
      <c r="CV125" s="282"/>
      <c r="CW125" s="282"/>
      <c r="CX125" s="282"/>
      <c r="CY125" s="282"/>
      <c r="CZ125" s="282"/>
      <c r="DA125" s="282"/>
      <c r="DB125" s="282"/>
      <c r="DC125" s="282"/>
      <c r="DD125" s="282"/>
      <c r="DE125" s="284"/>
      <c r="DF125" s="163">
        <f t="shared" si="372"/>
        <v>0</v>
      </c>
      <c r="DG125" s="278"/>
      <c r="DH125" s="159">
        <f t="shared" si="373"/>
        <v>1874.593075924337</v>
      </c>
      <c r="DI125" s="165">
        <f t="shared" si="374"/>
        <v>2106.593075924337</v>
      </c>
      <c r="DJ125" s="166">
        <f t="shared" si="375"/>
        <v>232</v>
      </c>
    </row>
    <row r="126" spans="1:117" ht="15" customHeight="1" outlineLevel="1">
      <c r="A126" s="607"/>
      <c r="B126" s="548"/>
      <c r="C126" s="245" t="s">
        <v>63</v>
      </c>
      <c r="D126" s="184" t="s">
        <v>124</v>
      </c>
      <c r="E126" s="136">
        <f>AF126+AS126+BF126+BS126+CF126+CS126+DF126+S126+DG126</f>
        <v>809.13175488299316</v>
      </c>
      <c r="F126" s="136"/>
      <c r="G126" s="137">
        <v>27.272379105760962</v>
      </c>
      <c r="H126" s="138">
        <v>25.005415592783507</v>
      </c>
      <c r="I126" s="138">
        <v>25.005415592783507</v>
      </c>
      <c r="J126" s="138">
        <v>25.130148689299528</v>
      </c>
      <c r="K126" s="138">
        <v>25.930276051502148</v>
      </c>
      <c r="L126" s="138">
        <v>24.229837016456511</v>
      </c>
      <c r="M126" s="138">
        <v>28.149459714832943</v>
      </c>
      <c r="N126" s="138">
        <v>25.160016541038527</v>
      </c>
      <c r="O126" s="138">
        <v>23.512089294605808</v>
      </c>
      <c r="P126" s="138">
        <v>23.568561181780879</v>
      </c>
      <c r="Q126" s="138">
        <v>22.20438612380557</v>
      </c>
      <c r="R126" s="139">
        <v>22.478460498960498</v>
      </c>
      <c r="S126" s="162">
        <f t="shared" si="365"/>
        <v>297.64644540361041</v>
      </c>
      <c r="T126" s="388">
        <v>20.124380524035484</v>
      </c>
      <c r="U126" s="388">
        <v>9.6007906377759618</v>
      </c>
      <c r="V126" s="388">
        <v>8.0905353777416735</v>
      </c>
      <c r="W126" s="388">
        <v>8.6564749671929064</v>
      </c>
      <c r="X126" s="388">
        <v>7.9908504795117699</v>
      </c>
      <c r="Y126" s="388">
        <v>8.6955295842745617</v>
      </c>
      <c r="Z126" s="388">
        <v>9.1743307830245069</v>
      </c>
      <c r="AA126" s="388">
        <v>8.1384527869379877</v>
      </c>
      <c r="AB126" s="388">
        <v>42.003246841870101</v>
      </c>
      <c r="AC126" s="388">
        <v>5.6774745541539797</v>
      </c>
      <c r="AD126" s="388">
        <v>5.4536909850934618</v>
      </c>
      <c r="AE126" s="388">
        <v>3.9598017427483612</v>
      </c>
      <c r="AF126" s="162">
        <f t="shared" si="366"/>
        <v>137.56555926436076</v>
      </c>
      <c r="AG126" s="504">
        <v>4.8366868377021746</v>
      </c>
      <c r="AH126" s="504">
        <v>6.0268766699314398</v>
      </c>
      <c r="AI126" s="504"/>
      <c r="AJ126" s="504">
        <v>4.2845690231807172</v>
      </c>
      <c r="AK126" s="504">
        <v>3.7347717470689985</v>
      </c>
      <c r="AL126" s="504">
        <v>9.9442563925627763</v>
      </c>
      <c r="AM126" s="504">
        <v>5.011089572753999</v>
      </c>
      <c r="AN126" s="504">
        <v>16.090710519337854</v>
      </c>
      <c r="AO126" s="504">
        <v>6.7552352027871398</v>
      </c>
      <c r="AP126" s="504">
        <v>5.1282719428289045</v>
      </c>
      <c r="AQ126" s="504">
        <v>6.9228123366044025</v>
      </c>
      <c r="AR126" s="504">
        <v>48.374883219178081</v>
      </c>
      <c r="AS126" s="410">
        <f t="shared" si="367"/>
        <v>117.11016346393649</v>
      </c>
      <c r="AT126" s="501">
        <v>5.6144578155657294</v>
      </c>
      <c r="AU126" s="499">
        <v>5.7779293982368696</v>
      </c>
      <c r="AV126" s="499">
        <v>5.4171995372828645</v>
      </c>
      <c r="AW126" s="253">
        <v>6</v>
      </c>
      <c r="AX126" s="253">
        <v>6</v>
      </c>
      <c r="AY126" s="253">
        <v>6</v>
      </c>
      <c r="AZ126" s="253">
        <v>6</v>
      </c>
      <c r="BA126" s="253">
        <v>6</v>
      </c>
      <c r="BB126" s="253">
        <v>6</v>
      </c>
      <c r="BC126" s="253">
        <v>6</v>
      </c>
      <c r="BD126" s="253">
        <v>6</v>
      </c>
      <c r="BE126" s="338">
        <v>6</v>
      </c>
      <c r="BF126" s="162">
        <f t="shared" si="368"/>
        <v>70.809586751085462</v>
      </c>
      <c r="BG126" s="353">
        <v>6</v>
      </c>
      <c r="BH126" s="253">
        <v>6</v>
      </c>
      <c r="BI126" s="253">
        <v>6</v>
      </c>
      <c r="BJ126" s="253">
        <v>6</v>
      </c>
      <c r="BK126" s="253">
        <v>6</v>
      </c>
      <c r="BL126" s="253">
        <v>6</v>
      </c>
      <c r="BM126" s="253">
        <v>6</v>
      </c>
      <c r="BN126" s="253">
        <v>6</v>
      </c>
      <c r="BO126" s="253">
        <v>6</v>
      </c>
      <c r="BP126" s="253">
        <v>6</v>
      </c>
      <c r="BQ126" s="253">
        <v>6</v>
      </c>
      <c r="BR126" s="338">
        <v>6</v>
      </c>
      <c r="BS126" s="162">
        <f t="shared" si="369"/>
        <v>72</v>
      </c>
      <c r="BT126" s="353">
        <v>6</v>
      </c>
      <c r="BU126" s="253">
        <v>6</v>
      </c>
      <c r="BV126" s="253">
        <v>6</v>
      </c>
      <c r="BW126" s="253">
        <v>6</v>
      </c>
      <c r="BX126" s="253">
        <v>6</v>
      </c>
      <c r="BY126" s="253">
        <v>6</v>
      </c>
      <c r="BZ126" s="253">
        <v>6</v>
      </c>
      <c r="CA126" s="253">
        <v>6</v>
      </c>
      <c r="CB126" s="253">
        <v>6</v>
      </c>
      <c r="CC126" s="253">
        <v>6</v>
      </c>
      <c r="CD126" s="253">
        <v>6</v>
      </c>
      <c r="CE126" s="338">
        <v>6</v>
      </c>
      <c r="CF126" s="162">
        <f t="shared" si="370"/>
        <v>72</v>
      </c>
      <c r="CG126" s="353">
        <v>6</v>
      </c>
      <c r="CH126" s="253">
        <v>6</v>
      </c>
      <c r="CI126" s="253">
        <v>6</v>
      </c>
      <c r="CJ126" s="253">
        <v>6</v>
      </c>
      <c r="CK126" s="253">
        <v>6</v>
      </c>
      <c r="CL126" s="253">
        <v>6</v>
      </c>
      <c r="CM126" s="253">
        <v>6</v>
      </c>
      <c r="CN126" s="253"/>
      <c r="CO126" s="253"/>
      <c r="CP126" s="253"/>
      <c r="CQ126" s="253"/>
      <c r="CR126" s="338"/>
      <c r="CS126" s="162">
        <f t="shared" si="371"/>
        <v>42</v>
      </c>
      <c r="CT126" s="353"/>
      <c r="CU126" s="253"/>
      <c r="CV126" s="253"/>
      <c r="CW126" s="253"/>
      <c r="CX126" s="253"/>
      <c r="CY126" s="253"/>
      <c r="CZ126" s="253"/>
      <c r="DA126" s="253"/>
      <c r="DB126" s="253"/>
      <c r="DC126" s="253"/>
      <c r="DD126" s="253"/>
      <c r="DE126" s="338"/>
      <c r="DF126" s="162">
        <f t="shared" si="372"/>
        <v>0</v>
      </c>
      <c r="DG126" s="279"/>
      <c r="DH126" s="90">
        <f t="shared" si="373"/>
        <v>695.13175488299316</v>
      </c>
      <c r="DI126" s="91">
        <f t="shared" si="374"/>
        <v>809.13175488299316</v>
      </c>
      <c r="DJ126" s="92">
        <f t="shared" si="375"/>
        <v>114</v>
      </c>
      <c r="DK126" s="64">
        <f>+DH126/DH125</f>
        <v>0.37081741302188098</v>
      </c>
    </row>
    <row r="127" spans="1:117" ht="15" customHeight="1" outlineLevel="1">
      <c r="A127" s="607"/>
      <c r="B127" s="556"/>
      <c r="C127" s="554" t="s">
        <v>11</v>
      </c>
      <c r="D127" s="555"/>
      <c r="E127" s="143">
        <f>+E125-E126</f>
        <v>1297.4613210413438</v>
      </c>
      <c r="F127" s="144">
        <f t="shared" ref="F127:R127" si="400">+F125-F126</f>
        <v>200</v>
      </c>
      <c r="G127" s="145">
        <f t="shared" si="400"/>
        <v>-27.272379105760962</v>
      </c>
      <c r="H127" s="145">
        <f t="shared" si="400"/>
        <v>-25.005415592783507</v>
      </c>
      <c r="I127" s="145">
        <f t="shared" si="400"/>
        <v>-25.005415592783507</v>
      </c>
      <c r="J127" s="145">
        <f t="shared" si="400"/>
        <v>-25.130148689299528</v>
      </c>
      <c r="K127" s="145">
        <f t="shared" si="400"/>
        <v>-25.930276051502148</v>
      </c>
      <c r="L127" s="145">
        <f t="shared" si="400"/>
        <v>-24.229837016456511</v>
      </c>
      <c r="M127" s="145">
        <f t="shared" si="400"/>
        <v>-28.149459714832943</v>
      </c>
      <c r="N127" s="145">
        <f t="shared" si="400"/>
        <v>-25.160016541038527</v>
      </c>
      <c r="O127" s="145">
        <f t="shared" si="400"/>
        <v>-23.512089294605808</v>
      </c>
      <c r="P127" s="145">
        <f t="shared" si="400"/>
        <v>-23.568561181780879</v>
      </c>
      <c r="Q127" s="145">
        <f t="shared" si="400"/>
        <v>-22.20438612380557</v>
      </c>
      <c r="R127" s="146">
        <f t="shared" si="400"/>
        <v>632.58183056133055</v>
      </c>
      <c r="S127" s="147">
        <f t="shared" si="365"/>
        <v>357.41384565668062</v>
      </c>
      <c r="T127" s="148">
        <f t="shared" ref="T127:AE127" si="401">+T125-T126</f>
        <v>-20.124380524035484</v>
      </c>
      <c r="U127" s="145">
        <f t="shared" si="401"/>
        <v>-9.6007906377759618</v>
      </c>
      <c r="V127" s="145">
        <f t="shared" si="401"/>
        <v>-8.0905353777416735</v>
      </c>
      <c r="W127" s="145">
        <f t="shared" si="401"/>
        <v>-8.6564749671929064</v>
      </c>
      <c r="X127" s="145">
        <f t="shared" si="401"/>
        <v>-7.9908504795117699</v>
      </c>
      <c r="Y127" s="145">
        <f t="shared" si="401"/>
        <v>-8.6955295842745617</v>
      </c>
      <c r="Z127" s="145">
        <f t="shared" si="401"/>
        <v>-9.1743307830245069</v>
      </c>
      <c r="AA127" s="145">
        <f t="shared" si="401"/>
        <v>-8.1384527869379877</v>
      </c>
      <c r="AB127" s="145">
        <f t="shared" si="401"/>
        <v>-42.003246841870101</v>
      </c>
      <c r="AC127" s="145">
        <f t="shared" si="401"/>
        <v>-5.6774745541539797</v>
      </c>
      <c r="AD127" s="145">
        <f t="shared" si="401"/>
        <v>-5.4536909850934618</v>
      </c>
      <c r="AE127" s="146">
        <f t="shared" si="401"/>
        <v>-3.9598017427483612</v>
      </c>
      <c r="AF127" s="147">
        <f t="shared" si="366"/>
        <v>-137.56555926436076</v>
      </c>
      <c r="AG127" s="148">
        <f t="shared" ref="AG127:AR127" si="402">+AG125-AG126</f>
        <v>-4.8366868377021746</v>
      </c>
      <c r="AH127" s="145">
        <f t="shared" si="402"/>
        <v>-6.0268766699314398</v>
      </c>
      <c r="AI127" s="145">
        <f t="shared" si="402"/>
        <v>0</v>
      </c>
      <c r="AJ127" s="145">
        <f t="shared" si="402"/>
        <v>-4.2845690231807172</v>
      </c>
      <c r="AK127" s="145">
        <f t="shared" si="402"/>
        <v>-3.7347717470689985</v>
      </c>
      <c r="AL127" s="145">
        <f t="shared" si="402"/>
        <v>392.69327475560624</v>
      </c>
      <c r="AM127" s="145">
        <f t="shared" si="402"/>
        <v>-5.011089572753999</v>
      </c>
      <c r="AN127" s="145">
        <f t="shared" si="402"/>
        <v>-16.090710519337854</v>
      </c>
      <c r="AO127" s="145">
        <f t="shared" si="402"/>
        <v>192.10870238951793</v>
      </c>
      <c r="AP127" s="145">
        <f t="shared" si="402"/>
        <v>-5.1282719428289045</v>
      </c>
      <c r="AQ127" s="145">
        <f t="shared" si="402"/>
        <v>-6.9228123366044025</v>
      </c>
      <c r="AR127" s="146">
        <f t="shared" si="402"/>
        <v>-48.374883219178081</v>
      </c>
      <c r="AS127" s="408">
        <f t="shared" si="367"/>
        <v>484.39130527653776</v>
      </c>
      <c r="AT127" s="148">
        <f t="shared" ref="AT127:BE127" si="403">+AT125-AT126</f>
        <v>196.416858308006</v>
      </c>
      <c r="AU127" s="145">
        <f t="shared" si="403"/>
        <v>-5.7779293982368696</v>
      </c>
      <c r="AV127" s="145">
        <f t="shared" si="403"/>
        <v>-5.4171995372828645</v>
      </c>
      <c r="AW127" s="145">
        <f t="shared" si="403"/>
        <v>-6</v>
      </c>
      <c r="AX127" s="145">
        <f t="shared" si="403"/>
        <v>-6</v>
      </c>
      <c r="AY127" s="145">
        <f t="shared" si="403"/>
        <v>-6</v>
      </c>
      <c r="AZ127" s="145">
        <f t="shared" si="403"/>
        <v>-6</v>
      </c>
      <c r="BA127" s="145">
        <f t="shared" si="403"/>
        <v>-6</v>
      </c>
      <c r="BB127" s="145">
        <f t="shared" si="403"/>
        <v>-6</v>
      </c>
      <c r="BC127" s="145">
        <f t="shared" si="403"/>
        <v>-6</v>
      </c>
      <c r="BD127" s="145">
        <f t="shared" si="403"/>
        <v>-6</v>
      </c>
      <c r="BE127" s="146">
        <f t="shared" si="403"/>
        <v>-6</v>
      </c>
      <c r="BF127" s="147">
        <f t="shared" si="368"/>
        <v>131.22172937248627</v>
      </c>
      <c r="BG127" s="148">
        <f t="shared" ref="BG127:BR127" si="404">+BG125-BG126</f>
        <v>-6</v>
      </c>
      <c r="BH127" s="145">
        <f t="shared" si="404"/>
        <v>-6</v>
      </c>
      <c r="BI127" s="145">
        <f t="shared" si="404"/>
        <v>210</v>
      </c>
      <c r="BJ127" s="145">
        <f t="shared" si="404"/>
        <v>-6</v>
      </c>
      <c r="BK127" s="145">
        <f t="shared" si="404"/>
        <v>-6</v>
      </c>
      <c r="BL127" s="145">
        <f t="shared" si="404"/>
        <v>-6</v>
      </c>
      <c r="BM127" s="145">
        <f t="shared" si="404"/>
        <v>-6</v>
      </c>
      <c r="BN127" s="145">
        <f t="shared" si="404"/>
        <v>-6</v>
      </c>
      <c r="BO127" s="145">
        <f t="shared" si="404"/>
        <v>-6</v>
      </c>
      <c r="BP127" s="145">
        <f t="shared" si="404"/>
        <v>-6</v>
      </c>
      <c r="BQ127" s="145">
        <f t="shared" si="404"/>
        <v>-6</v>
      </c>
      <c r="BR127" s="146">
        <f t="shared" si="404"/>
        <v>-6</v>
      </c>
      <c r="BS127" s="147">
        <f t="shared" si="369"/>
        <v>144</v>
      </c>
      <c r="BT127" s="148">
        <f t="shared" ref="BT127:CE127" si="405">+BT125-BT126</f>
        <v>-6</v>
      </c>
      <c r="BU127" s="145">
        <f t="shared" si="405"/>
        <v>-6</v>
      </c>
      <c r="BV127" s="145">
        <f t="shared" si="405"/>
        <v>-6</v>
      </c>
      <c r="BW127" s="145">
        <f t="shared" si="405"/>
        <v>-6</v>
      </c>
      <c r="BX127" s="145">
        <f t="shared" si="405"/>
        <v>-6</v>
      </c>
      <c r="BY127" s="145">
        <f t="shared" si="405"/>
        <v>-6</v>
      </c>
      <c r="BZ127" s="145">
        <f t="shared" si="405"/>
        <v>-6</v>
      </c>
      <c r="CA127" s="145">
        <f t="shared" si="405"/>
        <v>-6</v>
      </c>
      <c r="CB127" s="145">
        <f t="shared" si="405"/>
        <v>-6</v>
      </c>
      <c r="CC127" s="145">
        <f t="shared" si="405"/>
        <v>-6</v>
      </c>
      <c r="CD127" s="145">
        <f t="shared" si="405"/>
        <v>-6</v>
      </c>
      <c r="CE127" s="146">
        <f t="shared" si="405"/>
        <v>-6</v>
      </c>
      <c r="CF127" s="147">
        <f t="shared" si="370"/>
        <v>-72</v>
      </c>
      <c r="CG127" s="148">
        <f t="shared" ref="CG127:CR127" si="406">+CG125-CG126</f>
        <v>-6</v>
      </c>
      <c r="CH127" s="145">
        <f t="shared" si="406"/>
        <v>-6</v>
      </c>
      <c r="CI127" s="145">
        <f t="shared" si="406"/>
        <v>-6</v>
      </c>
      <c r="CJ127" s="145">
        <f t="shared" si="406"/>
        <v>-6</v>
      </c>
      <c r="CK127" s="145">
        <f t="shared" si="406"/>
        <v>-6</v>
      </c>
      <c r="CL127" s="145">
        <f t="shared" si="406"/>
        <v>-6</v>
      </c>
      <c r="CM127" s="145">
        <f t="shared" si="406"/>
        <v>210</v>
      </c>
      <c r="CN127" s="145">
        <f t="shared" si="406"/>
        <v>0</v>
      </c>
      <c r="CO127" s="145">
        <f t="shared" si="406"/>
        <v>0</v>
      </c>
      <c r="CP127" s="145">
        <f t="shared" si="406"/>
        <v>0</v>
      </c>
      <c r="CQ127" s="145">
        <f t="shared" si="406"/>
        <v>0</v>
      </c>
      <c r="CR127" s="146">
        <f t="shared" si="406"/>
        <v>216</v>
      </c>
      <c r="CS127" s="147">
        <f t="shared" si="371"/>
        <v>390</v>
      </c>
      <c r="CT127" s="148">
        <f t="shared" ref="CT127:DE127" si="407">+CT125-CT126</f>
        <v>0</v>
      </c>
      <c r="CU127" s="145">
        <f t="shared" si="407"/>
        <v>0</v>
      </c>
      <c r="CV127" s="145">
        <f t="shared" si="407"/>
        <v>0</v>
      </c>
      <c r="CW127" s="145">
        <f t="shared" si="407"/>
        <v>0</v>
      </c>
      <c r="CX127" s="145">
        <f t="shared" si="407"/>
        <v>0</v>
      </c>
      <c r="CY127" s="145">
        <f t="shared" si="407"/>
        <v>0</v>
      </c>
      <c r="CZ127" s="145">
        <f t="shared" si="407"/>
        <v>0</v>
      </c>
      <c r="DA127" s="145">
        <f t="shared" si="407"/>
        <v>0</v>
      </c>
      <c r="DB127" s="145">
        <f t="shared" si="407"/>
        <v>0</v>
      </c>
      <c r="DC127" s="145">
        <f t="shared" si="407"/>
        <v>0</v>
      </c>
      <c r="DD127" s="145">
        <f t="shared" si="407"/>
        <v>0</v>
      </c>
      <c r="DE127" s="146">
        <f t="shared" si="407"/>
        <v>0</v>
      </c>
      <c r="DF127" s="147">
        <f t="shared" si="372"/>
        <v>0</v>
      </c>
      <c r="DG127" s="146">
        <f>+DG125-DG126</f>
        <v>0</v>
      </c>
      <c r="DH127" s="98">
        <f t="shared" si="373"/>
        <v>1179.461321041344</v>
      </c>
      <c r="DI127" s="150">
        <f t="shared" si="374"/>
        <v>1297.4613210413438</v>
      </c>
      <c r="DJ127" s="151">
        <f t="shared" si="375"/>
        <v>117.99999999999977</v>
      </c>
    </row>
    <row r="128" spans="1:117" ht="15" customHeight="1" outlineLevel="1">
      <c r="A128" s="607"/>
      <c r="B128" s="593" t="s">
        <v>98</v>
      </c>
      <c r="C128" s="246" t="s">
        <v>62</v>
      </c>
      <c r="D128" s="183" t="s">
        <v>122</v>
      </c>
      <c r="E128" s="153">
        <f>AF128+AS128+BF128+BS128+CF128+CS128+DF128+S128+DG128</f>
        <v>1617.3604170249355</v>
      </c>
      <c r="F128" s="153"/>
      <c r="G128" s="154">
        <v>219.96041702493551</v>
      </c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56"/>
      <c r="S128" s="157">
        <f t="shared" si="365"/>
        <v>219.96041702493551</v>
      </c>
      <c r="T128" s="378"/>
      <c r="U128" s="382"/>
      <c r="V128" s="382"/>
      <c r="W128" s="382"/>
      <c r="X128" s="389"/>
      <c r="Y128" s="389"/>
      <c r="Z128" s="387"/>
      <c r="AA128" s="389"/>
      <c r="AB128" s="389"/>
      <c r="AC128" s="389"/>
      <c r="AD128" s="389"/>
      <c r="AE128" s="482"/>
      <c r="AF128" s="157">
        <f t="shared" si="366"/>
        <v>0</v>
      </c>
      <c r="AG128" s="505"/>
      <c r="AH128" s="514"/>
      <c r="AI128" s="514"/>
      <c r="AJ128" s="514"/>
      <c r="AK128" s="514"/>
      <c r="AL128" s="514"/>
      <c r="AM128" s="514"/>
      <c r="AN128" s="514"/>
      <c r="AO128" s="514"/>
      <c r="AP128" s="514"/>
      <c r="AQ128" s="514"/>
      <c r="AR128" s="505"/>
      <c r="AS128" s="409">
        <f t="shared" si="367"/>
        <v>0</v>
      </c>
      <c r="AT128" s="519">
        <v>590.49885738468049</v>
      </c>
      <c r="AU128" s="514"/>
      <c r="AV128" s="514"/>
      <c r="AW128" s="366">
        <v>197.10114261531953</v>
      </c>
      <c r="AX128" s="366"/>
      <c r="AY128" s="366"/>
      <c r="AZ128" s="366"/>
      <c r="BA128" s="366"/>
      <c r="BB128" s="366"/>
      <c r="BC128" s="366"/>
      <c r="BD128" s="366"/>
      <c r="BE128" s="367"/>
      <c r="BF128" s="157">
        <f t="shared" si="368"/>
        <v>787.6</v>
      </c>
      <c r="BG128" s="396"/>
      <c r="BH128" s="366"/>
      <c r="BI128" s="366">
        <v>393.8</v>
      </c>
      <c r="BJ128" s="366"/>
      <c r="BK128" s="366"/>
      <c r="BL128" s="366"/>
      <c r="BM128" s="366"/>
      <c r="BN128" s="366"/>
      <c r="BO128" s="366"/>
      <c r="BP128" s="366"/>
      <c r="BQ128" s="366"/>
      <c r="BR128" s="367"/>
      <c r="BS128" s="157">
        <f t="shared" si="369"/>
        <v>393.8</v>
      </c>
      <c r="BT128" s="396"/>
      <c r="BU128" s="366"/>
      <c r="BV128" s="366"/>
      <c r="BW128" s="366"/>
      <c r="BX128" s="366"/>
      <c r="BY128" s="366"/>
      <c r="BZ128" s="366"/>
      <c r="CA128" s="366"/>
      <c r="CB128" s="366"/>
      <c r="CC128" s="366"/>
      <c r="CD128" s="366"/>
      <c r="CE128" s="367"/>
      <c r="CF128" s="157">
        <f t="shared" si="370"/>
        <v>0</v>
      </c>
      <c r="CG128" s="396"/>
      <c r="CH128" s="366"/>
      <c r="CI128" s="366"/>
      <c r="CJ128" s="366"/>
      <c r="CK128" s="366"/>
      <c r="CL128" s="366"/>
      <c r="CM128" s="366"/>
      <c r="CN128" s="366"/>
      <c r="CO128" s="366"/>
      <c r="CP128" s="366"/>
      <c r="CQ128" s="366"/>
      <c r="CR128" s="367">
        <v>216</v>
      </c>
      <c r="CS128" s="157">
        <f t="shared" si="371"/>
        <v>216</v>
      </c>
      <c r="CT128" s="396"/>
      <c r="CU128" s="366"/>
      <c r="CV128" s="366"/>
      <c r="CW128" s="366"/>
      <c r="CX128" s="366"/>
      <c r="CY128" s="366"/>
      <c r="CZ128" s="366"/>
      <c r="DA128" s="366"/>
      <c r="DB128" s="366"/>
      <c r="DC128" s="366"/>
      <c r="DD128" s="366"/>
      <c r="DE128" s="367"/>
      <c r="DF128" s="157">
        <f t="shared" si="372"/>
        <v>0</v>
      </c>
      <c r="DG128" s="280"/>
      <c r="DH128" s="159">
        <f t="shared" si="373"/>
        <v>1401.3604170249355</v>
      </c>
      <c r="DI128" s="160">
        <f t="shared" si="374"/>
        <v>1617.3604170249355</v>
      </c>
      <c r="DJ128" s="161">
        <f t="shared" si="375"/>
        <v>216</v>
      </c>
    </row>
    <row r="129" spans="1:115" ht="15" customHeight="1" outlineLevel="1">
      <c r="A129" s="607"/>
      <c r="B129" s="548"/>
      <c r="C129" s="245" t="s">
        <v>63</v>
      </c>
      <c r="D129" s="184" t="s">
        <v>124</v>
      </c>
      <c r="E129" s="136">
        <f>AF129+AS129+BF129+BS129+CF129+CS129+DF129+S129+DG129</f>
        <v>821.28236884666001</v>
      </c>
      <c r="F129" s="136"/>
      <c r="G129" s="137">
        <v>11.79975674978504</v>
      </c>
      <c r="H129" s="138">
        <v>22.590401908396949</v>
      </c>
      <c r="I129" s="138">
        <v>20.066855369415808</v>
      </c>
      <c r="J129" s="138">
        <v>17.881765921787707</v>
      </c>
      <c r="K129" s="138">
        <v>18.869788755364809</v>
      </c>
      <c r="L129" s="138">
        <v>18.614331566574055</v>
      </c>
      <c r="M129" s="138">
        <v>21.573417705894869</v>
      </c>
      <c r="N129" s="138">
        <v>22.64604878559464</v>
      </c>
      <c r="O129" s="138">
        <v>22.076587842323651</v>
      </c>
      <c r="P129" s="138">
        <v>21.739311325400081</v>
      </c>
      <c r="Q129" s="138">
        <v>20.98912280847528</v>
      </c>
      <c r="R129" s="139">
        <v>19.662092224532227</v>
      </c>
      <c r="S129" s="162">
        <f t="shared" si="365"/>
        <v>238.50948096354509</v>
      </c>
      <c r="T129" s="380">
        <v>19.101102537652157</v>
      </c>
      <c r="U129" s="381">
        <v>10.410026410466067</v>
      </c>
      <c r="V129" s="381">
        <v>10.047727579203899</v>
      </c>
      <c r="W129" s="381">
        <v>10.636385811428799</v>
      </c>
      <c r="X129" s="388">
        <v>10.172935325354681</v>
      </c>
      <c r="Y129" s="388">
        <v>10.110294891610192</v>
      </c>
      <c r="Z129" s="388">
        <v>11.311360749153218</v>
      </c>
      <c r="AA129" s="388">
        <v>10.446838253036274</v>
      </c>
      <c r="AB129" s="388">
        <v>57.468430683618344</v>
      </c>
      <c r="AC129" s="388">
        <v>7.7154586183716241</v>
      </c>
      <c r="AD129" s="388">
        <v>6.6228784210111211</v>
      </c>
      <c r="AE129" s="487">
        <v>7.5200224516230323</v>
      </c>
      <c r="AF129" s="162">
        <f t="shared" si="366"/>
        <v>171.56346173252939</v>
      </c>
      <c r="AG129" s="506">
        <v>8.2643275834594867</v>
      </c>
      <c r="AH129" s="504">
        <v>8.7393971008814884</v>
      </c>
      <c r="AI129" s="504">
        <v>6.365328019380299</v>
      </c>
      <c r="AJ129" s="504">
        <v>6.8587848767923729</v>
      </c>
      <c r="AK129" s="504">
        <v>5.910049509898136</v>
      </c>
      <c r="AL129" s="504">
        <v>69.451218861414603</v>
      </c>
      <c r="AM129" s="504">
        <v>5.1699031346645796</v>
      </c>
      <c r="AN129" s="504">
        <v>12.028177279442403</v>
      </c>
      <c r="AO129" s="504">
        <v>24.646914075813232</v>
      </c>
      <c r="AP129" s="504">
        <v>6.6612712586003724</v>
      </c>
      <c r="AQ129" s="504">
        <v>6.1809509339597613</v>
      </c>
      <c r="AR129" s="508">
        <v>6.8358920471841707</v>
      </c>
      <c r="AS129" s="410">
        <f t="shared" si="367"/>
        <v>167.11221468149091</v>
      </c>
      <c r="AT129" s="528">
        <v>5.7864373100450122</v>
      </c>
      <c r="AU129" s="504">
        <v>7.3941720199310081</v>
      </c>
      <c r="AV129" s="504">
        <v>7.1406021391185615</v>
      </c>
      <c r="AW129" s="368">
        <v>6</v>
      </c>
      <c r="AX129" s="368">
        <v>6</v>
      </c>
      <c r="AY129" s="368">
        <v>6</v>
      </c>
      <c r="AZ129" s="368">
        <v>6</v>
      </c>
      <c r="BA129" s="368">
        <v>6</v>
      </c>
      <c r="BB129" s="368">
        <v>6</v>
      </c>
      <c r="BC129" s="368">
        <v>6</v>
      </c>
      <c r="BD129" s="368">
        <v>6</v>
      </c>
      <c r="BE129" s="369">
        <v>6</v>
      </c>
      <c r="BF129" s="162">
        <f t="shared" si="368"/>
        <v>74.321211469094578</v>
      </c>
      <c r="BG129" s="368">
        <v>14.147999999999998</v>
      </c>
      <c r="BH129" s="368">
        <v>14.147999999999998</v>
      </c>
      <c r="BI129" s="368">
        <v>14.147999999999998</v>
      </c>
      <c r="BJ129" s="368">
        <v>14.147999999999998</v>
      </c>
      <c r="BK129" s="368">
        <v>14.147999999999998</v>
      </c>
      <c r="BL129" s="368">
        <v>14.147999999999998</v>
      </c>
      <c r="BM129" s="368">
        <v>14.147999999999998</v>
      </c>
      <c r="BN129" s="368">
        <v>14.147999999999998</v>
      </c>
      <c r="BO129" s="368">
        <v>14.147999999999998</v>
      </c>
      <c r="BP129" s="368">
        <v>14.147999999999998</v>
      </c>
      <c r="BQ129" s="368">
        <v>14.147999999999998</v>
      </c>
      <c r="BR129" s="369">
        <v>14.147999999999998</v>
      </c>
      <c r="BS129" s="162">
        <f t="shared" si="369"/>
        <v>169.77599999999998</v>
      </c>
      <c r="BT129" s="368"/>
      <c r="BU129" s="368"/>
      <c r="BV129" s="368"/>
      <c r="BW129" s="368"/>
      <c r="BX129" s="368"/>
      <c r="BY129" s="368"/>
      <c r="BZ129" s="368"/>
      <c r="CA129" s="368"/>
      <c r="CB129" s="368"/>
      <c r="CC129" s="368"/>
      <c r="CD129" s="368"/>
      <c r="CE129" s="369"/>
      <c r="CF129" s="162">
        <f t="shared" si="370"/>
        <v>0</v>
      </c>
      <c r="CG129" s="368"/>
      <c r="CH129" s="368"/>
      <c r="CI129" s="368"/>
      <c r="CJ129" s="368"/>
      <c r="CK129" s="368"/>
      <c r="CL129" s="368"/>
      <c r="CM129" s="368"/>
      <c r="CN129" s="368"/>
      <c r="CO129" s="368"/>
      <c r="CP129" s="368"/>
      <c r="CQ129" s="368"/>
      <c r="CR129" s="369"/>
      <c r="CS129" s="162">
        <f t="shared" si="371"/>
        <v>0</v>
      </c>
      <c r="CT129" s="368"/>
      <c r="CU129" s="368"/>
      <c r="CV129" s="368"/>
      <c r="CW129" s="368"/>
      <c r="CX129" s="368"/>
      <c r="CY129" s="368"/>
      <c r="CZ129" s="368"/>
      <c r="DA129" s="368"/>
      <c r="DB129" s="368"/>
      <c r="DC129" s="368"/>
      <c r="DD129" s="368"/>
      <c r="DE129" s="369"/>
      <c r="DF129" s="162">
        <f t="shared" si="372"/>
        <v>0</v>
      </c>
      <c r="DG129" s="279"/>
      <c r="DH129" s="90">
        <f t="shared" si="373"/>
        <v>821.28236884666001</v>
      </c>
      <c r="DI129" s="91">
        <f t="shared" si="374"/>
        <v>821.28236884666001</v>
      </c>
      <c r="DJ129" s="92">
        <f t="shared" si="375"/>
        <v>0</v>
      </c>
      <c r="DK129" s="64">
        <f>+DH129/DH128</f>
        <v>0.58606077270987045</v>
      </c>
    </row>
    <row r="130" spans="1:115" ht="15" customHeight="1" outlineLevel="1">
      <c r="A130" s="607"/>
      <c r="B130" s="549"/>
      <c r="C130" s="554" t="s">
        <v>11</v>
      </c>
      <c r="D130" s="555"/>
      <c r="E130" s="143">
        <f>+E128-E129</f>
        <v>796.07804817827548</v>
      </c>
      <c r="F130" s="144">
        <f t="shared" ref="F130:R130" si="408">+F128-F129</f>
        <v>0</v>
      </c>
      <c r="G130" s="145">
        <f t="shared" si="408"/>
        <v>208.16066027515046</v>
      </c>
      <c r="H130" s="145">
        <f t="shared" si="408"/>
        <v>-22.590401908396949</v>
      </c>
      <c r="I130" s="145">
        <f t="shared" si="408"/>
        <v>-20.066855369415808</v>
      </c>
      <c r="J130" s="145">
        <f t="shared" si="408"/>
        <v>-17.881765921787707</v>
      </c>
      <c r="K130" s="145">
        <f t="shared" si="408"/>
        <v>-18.869788755364809</v>
      </c>
      <c r="L130" s="145">
        <f t="shared" si="408"/>
        <v>-18.614331566574055</v>
      </c>
      <c r="M130" s="145">
        <f t="shared" si="408"/>
        <v>-21.573417705894869</v>
      </c>
      <c r="N130" s="145">
        <f t="shared" si="408"/>
        <v>-22.64604878559464</v>
      </c>
      <c r="O130" s="145">
        <f t="shared" si="408"/>
        <v>-22.076587842323651</v>
      </c>
      <c r="P130" s="145">
        <f t="shared" si="408"/>
        <v>-21.739311325400081</v>
      </c>
      <c r="Q130" s="145">
        <f t="shared" si="408"/>
        <v>-20.98912280847528</v>
      </c>
      <c r="R130" s="146">
        <f t="shared" si="408"/>
        <v>-19.662092224532227</v>
      </c>
      <c r="S130" s="147">
        <f t="shared" si="365"/>
        <v>-18.549063938609638</v>
      </c>
      <c r="T130" s="148">
        <f t="shared" ref="T130:AE130" si="409">+T128-T129</f>
        <v>-19.101102537652157</v>
      </c>
      <c r="U130" s="145">
        <f t="shared" si="409"/>
        <v>-10.410026410466067</v>
      </c>
      <c r="V130" s="145">
        <f t="shared" si="409"/>
        <v>-10.047727579203899</v>
      </c>
      <c r="W130" s="145">
        <f t="shared" si="409"/>
        <v>-10.636385811428799</v>
      </c>
      <c r="X130" s="145">
        <f t="shared" si="409"/>
        <v>-10.172935325354681</v>
      </c>
      <c r="Y130" s="145">
        <f t="shared" si="409"/>
        <v>-10.110294891610192</v>
      </c>
      <c r="Z130" s="145">
        <f t="shared" si="409"/>
        <v>-11.311360749153218</v>
      </c>
      <c r="AA130" s="145">
        <f t="shared" si="409"/>
        <v>-10.446838253036274</v>
      </c>
      <c r="AB130" s="145">
        <f t="shared" si="409"/>
        <v>-57.468430683618344</v>
      </c>
      <c r="AC130" s="145">
        <f t="shared" si="409"/>
        <v>-7.7154586183716241</v>
      </c>
      <c r="AD130" s="145">
        <f t="shared" si="409"/>
        <v>-6.6228784210111211</v>
      </c>
      <c r="AE130" s="146">
        <f t="shared" si="409"/>
        <v>-7.5200224516230323</v>
      </c>
      <c r="AF130" s="147">
        <f t="shared" si="366"/>
        <v>-171.56346173252939</v>
      </c>
      <c r="AG130" s="148">
        <f t="shared" ref="AG130:AR130" si="410">+AG128-AG129</f>
        <v>-8.2643275834594867</v>
      </c>
      <c r="AH130" s="145">
        <f t="shared" si="410"/>
        <v>-8.7393971008814884</v>
      </c>
      <c r="AI130" s="145">
        <f t="shared" si="410"/>
        <v>-6.365328019380299</v>
      </c>
      <c r="AJ130" s="145">
        <f t="shared" si="410"/>
        <v>-6.8587848767923729</v>
      </c>
      <c r="AK130" s="145">
        <f t="shared" si="410"/>
        <v>-5.910049509898136</v>
      </c>
      <c r="AL130" s="145">
        <f t="shared" si="410"/>
        <v>-69.451218861414603</v>
      </c>
      <c r="AM130" s="145">
        <f t="shared" si="410"/>
        <v>-5.1699031346645796</v>
      </c>
      <c r="AN130" s="145">
        <f t="shared" si="410"/>
        <v>-12.028177279442403</v>
      </c>
      <c r="AO130" s="145">
        <f t="shared" si="410"/>
        <v>-24.646914075813232</v>
      </c>
      <c r="AP130" s="145">
        <f t="shared" si="410"/>
        <v>-6.6612712586003724</v>
      </c>
      <c r="AQ130" s="145">
        <f t="shared" si="410"/>
        <v>-6.1809509339597613</v>
      </c>
      <c r="AR130" s="146">
        <f t="shared" si="410"/>
        <v>-6.8358920471841707</v>
      </c>
      <c r="AS130" s="408">
        <f t="shared" si="367"/>
        <v>-167.11221468149091</v>
      </c>
      <c r="AT130" s="148">
        <f t="shared" ref="AT130:BE130" si="411">+AT128-AT129</f>
        <v>584.71242007463547</v>
      </c>
      <c r="AU130" s="145">
        <f t="shared" si="411"/>
        <v>-7.3941720199310081</v>
      </c>
      <c r="AV130" s="145">
        <f t="shared" si="411"/>
        <v>-7.1406021391185615</v>
      </c>
      <c r="AW130" s="145">
        <f t="shared" si="411"/>
        <v>191.10114261531953</v>
      </c>
      <c r="AX130" s="145">
        <f t="shared" si="411"/>
        <v>-6</v>
      </c>
      <c r="AY130" s="145">
        <f t="shared" si="411"/>
        <v>-6</v>
      </c>
      <c r="AZ130" s="145">
        <f t="shared" si="411"/>
        <v>-6</v>
      </c>
      <c r="BA130" s="145">
        <f t="shared" si="411"/>
        <v>-6</v>
      </c>
      <c r="BB130" s="145">
        <f t="shared" si="411"/>
        <v>-6</v>
      </c>
      <c r="BC130" s="145">
        <f t="shared" si="411"/>
        <v>-6</v>
      </c>
      <c r="BD130" s="145">
        <f t="shared" si="411"/>
        <v>-6</v>
      </c>
      <c r="BE130" s="146">
        <f t="shared" si="411"/>
        <v>-6</v>
      </c>
      <c r="BF130" s="147">
        <f t="shared" si="368"/>
        <v>713.27878853090544</v>
      </c>
      <c r="BG130" s="148">
        <f t="shared" ref="BG130:BR130" si="412">+BG128-BG129</f>
        <v>-14.147999999999998</v>
      </c>
      <c r="BH130" s="145">
        <f t="shared" si="412"/>
        <v>-14.147999999999998</v>
      </c>
      <c r="BI130" s="145">
        <f t="shared" si="412"/>
        <v>379.65199999999999</v>
      </c>
      <c r="BJ130" s="145">
        <f t="shared" si="412"/>
        <v>-14.147999999999998</v>
      </c>
      <c r="BK130" s="145">
        <f t="shared" si="412"/>
        <v>-14.147999999999998</v>
      </c>
      <c r="BL130" s="145">
        <f t="shared" si="412"/>
        <v>-14.147999999999998</v>
      </c>
      <c r="BM130" s="145">
        <f t="shared" si="412"/>
        <v>-14.147999999999998</v>
      </c>
      <c r="BN130" s="145">
        <f t="shared" si="412"/>
        <v>-14.147999999999998</v>
      </c>
      <c r="BO130" s="145">
        <f t="shared" si="412"/>
        <v>-14.147999999999998</v>
      </c>
      <c r="BP130" s="145">
        <f t="shared" si="412"/>
        <v>-14.147999999999998</v>
      </c>
      <c r="BQ130" s="145">
        <f t="shared" si="412"/>
        <v>-14.147999999999998</v>
      </c>
      <c r="BR130" s="146">
        <f t="shared" si="412"/>
        <v>-14.147999999999998</v>
      </c>
      <c r="BS130" s="147">
        <f t="shared" si="369"/>
        <v>224.02399999999986</v>
      </c>
      <c r="BT130" s="148">
        <f t="shared" ref="BT130:CE130" si="413">+BT128-BT129</f>
        <v>0</v>
      </c>
      <c r="BU130" s="145">
        <f t="shared" si="413"/>
        <v>0</v>
      </c>
      <c r="BV130" s="145">
        <f t="shared" si="413"/>
        <v>0</v>
      </c>
      <c r="BW130" s="145">
        <f t="shared" si="413"/>
        <v>0</v>
      </c>
      <c r="BX130" s="145">
        <f t="shared" si="413"/>
        <v>0</v>
      </c>
      <c r="BY130" s="145">
        <f t="shared" si="413"/>
        <v>0</v>
      </c>
      <c r="BZ130" s="145">
        <f t="shared" si="413"/>
        <v>0</v>
      </c>
      <c r="CA130" s="145">
        <f t="shared" si="413"/>
        <v>0</v>
      </c>
      <c r="CB130" s="145">
        <f t="shared" si="413"/>
        <v>0</v>
      </c>
      <c r="CC130" s="145">
        <f t="shared" si="413"/>
        <v>0</v>
      </c>
      <c r="CD130" s="145">
        <f t="shared" si="413"/>
        <v>0</v>
      </c>
      <c r="CE130" s="146">
        <f t="shared" si="413"/>
        <v>0</v>
      </c>
      <c r="CF130" s="147">
        <f t="shared" si="370"/>
        <v>0</v>
      </c>
      <c r="CG130" s="148">
        <f t="shared" ref="CG130:CR130" si="414">+CG128-CG129</f>
        <v>0</v>
      </c>
      <c r="CH130" s="145">
        <f t="shared" si="414"/>
        <v>0</v>
      </c>
      <c r="CI130" s="145">
        <f t="shared" si="414"/>
        <v>0</v>
      </c>
      <c r="CJ130" s="145">
        <f t="shared" si="414"/>
        <v>0</v>
      </c>
      <c r="CK130" s="145">
        <f t="shared" si="414"/>
        <v>0</v>
      </c>
      <c r="CL130" s="145">
        <f t="shared" si="414"/>
        <v>0</v>
      </c>
      <c r="CM130" s="145">
        <f t="shared" si="414"/>
        <v>0</v>
      </c>
      <c r="CN130" s="145">
        <f t="shared" si="414"/>
        <v>0</v>
      </c>
      <c r="CO130" s="145">
        <f t="shared" si="414"/>
        <v>0</v>
      </c>
      <c r="CP130" s="145">
        <f t="shared" si="414"/>
        <v>0</v>
      </c>
      <c r="CQ130" s="145">
        <f t="shared" si="414"/>
        <v>0</v>
      </c>
      <c r="CR130" s="146">
        <f t="shared" si="414"/>
        <v>216</v>
      </c>
      <c r="CS130" s="147">
        <f t="shared" si="371"/>
        <v>216</v>
      </c>
      <c r="CT130" s="148">
        <f t="shared" ref="CT130:DE130" si="415">+CT128-CT129</f>
        <v>0</v>
      </c>
      <c r="CU130" s="145">
        <f t="shared" si="415"/>
        <v>0</v>
      </c>
      <c r="CV130" s="145">
        <f t="shared" si="415"/>
        <v>0</v>
      </c>
      <c r="CW130" s="145">
        <f t="shared" si="415"/>
        <v>0</v>
      </c>
      <c r="CX130" s="145">
        <f t="shared" si="415"/>
        <v>0</v>
      </c>
      <c r="CY130" s="145">
        <f t="shared" si="415"/>
        <v>0</v>
      </c>
      <c r="CZ130" s="145">
        <f t="shared" si="415"/>
        <v>0</v>
      </c>
      <c r="DA130" s="145">
        <f t="shared" si="415"/>
        <v>0</v>
      </c>
      <c r="DB130" s="145">
        <f t="shared" si="415"/>
        <v>0</v>
      </c>
      <c r="DC130" s="145">
        <f t="shared" si="415"/>
        <v>0</v>
      </c>
      <c r="DD130" s="145">
        <f t="shared" si="415"/>
        <v>0</v>
      </c>
      <c r="DE130" s="146">
        <f t="shared" si="415"/>
        <v>0</v>
      </c>
      <c r="DF130" s="147">
        <f t="shared" si="372"/>
        <v>0</v>
      </c>
      <c r="DG130" s="146">
        <f>+DG128-DG129</f>
        <v>0</v>
      </c>
      <c r="DH130" s="98">
        <f t="shared" si="373"/>
        <v>580.07804817827537</v>
      </c>
      <c r="DI130" s="99">
        <f t="shared" si="374"/>
        <v>796.07804817827548</v>
      </c>
      <c r="DJ130" s="100">
        <f t="shared" si="375"/>
        <v>216.00000000000011</v>
      </c>
    </row>
    <row r="131" spans="1:115" ht="15" customHeight="1" outlineLevel="1">
      <c r="A131" s="607"/>
      <c r="B131" s="557" t="s">
        <v>344</v>
      </c>
      <c r="C131" s="246" t="s">
        <v>62</v>
      </c>
      <c r="D131" s="183" t="s">
        <v>122</v>
      </c>
      <c r="E131" s="153">
        <f>AF131+AS131+BF131+BS131+CF131+CS131+DF131+S131+DG131</f>
        <v>367.20000000000005</v>
      </c>
      <c r="F131" s="153"/>
      <c r="G131" s="154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284"/>
      <c r="S131" s="157"/>
      <c r="T131" s="378"/>
      <c r="U131" s="382"/>
      <c r="V131" s="382"/>
      <c r="W131" s="382"/>
      <c r="X131" s="382"/>
      <c r="Y131" s="382"/>
      <c r="Z131" s="382"/>
      <c r="AA131" s="382"/>
      <c r="AB131" s="382"/>
      <c r="AC131" s="382"/>
      <c r="AD131" s="382"/>
      <c r="AE131" s="481"/>
      <c r="AF131" s="157">
        <f t="shared" si="366"/>
        <v>0</v>
      </c>
      <c r="AG131" s="500"/>
      <c r="AH131" s="513"/>
      <c r="AI131" s="513"/>
      <c r="AJ131" s="513"/>
      <c r="AK131" s="513"/>
      <c r="AL131" s="513"/>
      <c r="AM131" s="513"/>
      <c r="AN131" s="513"/>
      <c r="AO131" s="513"/>
      <c r="AP131" s="513"/>
      <c r="AQ131" s="513"/>
      <c r="AR131" s="512"/>
      <c r="AS131" s="409">
        <f t="shared" si="367"/>
        <v>0</v>
      </c>
      <c r="AT131" s="513"/>
      <c r="AU131" s="513"/>
      <c r="AV131" s="513"/>
      <c r="AW131" s="155"/>
      <c r="AX131" s="155"/>
      <c r="AY131" s="155"/>
      <c r="AZ131" s="155"/>
      <c r="BA131" s="155"/>
      <c r="BB131" s="155"/>
      <c r="BC131" s="155"/>
      <c r="BD131" s="155"/>
      <c r="BE131" s="156"/>
      <c r="BF131" s="157">
        <f t="shared" si="368"/>
        <v>0</v>
      </c>
      <c r="BG131" s="158"/>
      <c r="BH131" s="155">
        <v>367.20000000000005</v>
      </c>
      <c r="BI131" s="155"/>
      <c r="BJ131" s="155"/>
      <c r="BK131" s="155"/>
      <c r="BL131" s="155"/>
      <c r="BM131" s="155"/>
      <c r="BN131" s="155"/>
      <c r="BO131" s="155"/>
      <c r="BP131" s="155"/>
      <c r="BQ131" s="155"/>
      <c r="BR131" s="156"/>
      <c r="BS131" s="157">
        <f t="shared" ref="BS131:BS145" si="416">SUM(BG131:BR131)</f>
        <v>367.20000000000005</v>
      </c>
      <c r="BT131" s="158"/>
      <c r="BU131" s="155"/>
      <c r="BV131" s="155"/>
      <c r="BW131" s="155"/>
      <c r="BX131" s="155"/>
      <c r="BY131" s="155"/>
      <c r="BZ131" s="155"/>
      <c r="CA131" s="155"/>
      <c r="CB131" s="155"/>
      <c r="CC131" s="155"/>
      <c r="CD131" s="155"/>
      <c r="CE131" s="156"/>
      <c r="CF131" s="157">
        <f t="shared" si="370"/>
        <v>0</v>
      </c>
      <c r="CG131" s="158"/>
      <c r="CH131" s="155"/>
      <c r="CI131" s="155"/>
      <c r="CJ131" s="155"/>
      <c r="CK131" s="155"/>
      <c r="CL131" s="155"/>
      <c r="CM131" s="155"/>
      <c r="CN131" s="155"/>
      <c r="CO131" s="155"/>
      <c r="CP131" s="155"/>
      <c r="CQ131" s="155"/>
      <c r="CR131" s="156"/>
      <c r="CS131" s="157">
        <f t="shared" si="371"/>
        <v>0</v>
      </c>
      <c r="CT131" s="158"/>
      <c r="CU131" s="155"/>
      <c r="CV131" s="155"/>
      <c r="CW131" s="155"/>
      <c r="CX131" s="155"/>
      <c r="CY131" s="155"/>
      <c r="CZ131" s="155"/>
      <c r="DA131" s="155"/>
      <c r="DB131" s="155"/>
      <c r="DC131" s="155"/>
      <c r="DD131" s="155"/>
      <c r="DE131" s="156"/>
      <c r="DF131" s="157">
        <f t="shared" si="372"/>
        <v>0</v>
      </c>
      <c r="DG131" s="280"/>
      <c r="DH131" s="159">
        <f t="shared" si="373"/>
        <v>367.20000000000005</v>
      </c>
      <c r="DI131" s="160">
        <f t="shared" si="374"/>
        <v>367.20000000000005</v>
      </c>
      <c r="DJ131" s="161">
        <f t="shared" si="375"/>
        <v>0</v>
      </c>
    </row>
    <row r="132" spans="1:115" ht="15" customHeight="1" outlineLevel="1">
      <c r="A132" s="607"/>
      <c r="B132" s="558"/>
      <c r="C132" s="245" t="s">
        <v>63</v>
      </c>
      <c r="D132" s="184" t="s">
        <v>124</v>
      </c>
      <c r="E132" s="136">
        <f>AF132+AS132+BF132+BS132+CF132+CS132+DF132+S132+DG132</f>
        <v>312.12</v>
      </c>
      <c r="F132" s="136"/>
      <c r="G132" s="137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9"/>
      <c r="S132" s="162"/>
      <c r="T132" s="380"/>
      <c r="U132" s="381"/>
      <c r="V132" s="381"/>
      <c r="W132" s="381"/>
      <c r="X132" s="381"/>
      <c r="Y132" s="381"/>
      <c r="Z132" s="381"/>
      <c r="AA132" s="381"/>
      <c r="AB132" s="381"/>
      <c r="AC132" s="381"/>
      <c r="AD132" s="381"/>
      <c r="AE132" s="392"/>
      <c r="AF132" s="162">
        <f t="shared" si="366"/>
        <v>0</v>
      </c>
      <c r="AG132" s="501"/>
      <c r="AH132" s="499"/>
      <c r="AI132" s="499"/>
      <c r="AJ132" s="499"/>
      <c r="AK132" s="499"/>
      <c r="AL132" s="499"/>
      <c r="AM132" s="499"/>
      <c r="AN132" s="499"/>
      <c r="AO132" s="499"/>
      <c r="AP132" s="499"/>
      <c r="AQ132" s="499"/>
      <c r="AR132" s="511"/>
      <c r="AS132" s="410">
        <f t="shared" si="367"/>
        <v>0</v>
      </c>
      <c r="AT132" s="499"/>
      <c r="AU132" s="499"/>
      <c r="AV132" s="499"/>
      <c r="AW132" s="138"/>
      <c r="AX132" s="138"/>
      <c r="AY132" s="138"/>
      <c r="AZ132" s="138"/>
      <c r="BA132" s="138"/>
      <c r="BB132" s="138"/>
      <c r="BC132" s="138"/>
      <c r="BD132" s="138"/>
      <c r="BE132" s="139"/>
      <c r="BF132" s="162">
        <f t="shared" si="368"/>
        <v>0</v>
      </c>
      <c r="BG132" s="141"/>
      <c r="BH132" s="138">
        <v>312.12</v>
      </c>
      <c r="BI132" s="138"/>
      <c r="BJ132" s="138"/>
      <c r="BK132" s="138"/>
      <c r="BL132" s="138"/>
      <c r="BM132" s="138"/>
      <c r="BN132" s="138"/>
      <c r="BO132" s="138"/>
      <c r="BP132" s="138"/>
      <c r="BQ132" s="138"/>
      <c r="BR132" s="139"/>
      <c r="BS132" s="162">
        <f t="shared" si="416"/>
        <v>312.12</v>
      </c>
      <c r="BT132" s="141"/>
      <c r="BU132" s="138"/>
      <c r="BV132" s="138"/>
      <c r="BW132" s="138"/>
      <c r="BX132" s="138"/>
      <c r="BY132" s="138"/>
      <c r="BZ132" s="138"/>
      <c r="CA132" s="138"/>
      <c r="CB132" s="138"/>
      <c r="CC132" s="138"/>
      <c r="CD132" s="138"/>
      <c r="CE132" s="139"/>
      <c r="CF132" s="162">
        <f t="shared" si="370"/>
        <v>0</v>
      </c>
      <c r="CG132" s="141"/>
      <c r="CH132" s="138"/>
      <c r="CI132" s="138"/>
      <c r="CJ132" s="138"/>
      <c r="CK132" s="138"/>
      <c r="CL132" s="138"/>
      <c r="CM132" s="138"/>
      <c r="CN132" s="138"/>
      <c r="CO132" s="138"/>
      <c r="CP132" s="138"/>
      <c r="CQ132" s="138"/>
      <c r="CR132" s="139"/>
      <c r="CS132" s="162">
        <f t="shared" si="371"/>
        <v>0</v>
      </c>
      <c r="CT132" s="141"/>
      <c r="CU132" s="138"/>
      <c r="CV132" s="138"/>
      <c r="CW132" s="138"/>
      <c r="CX132" s="138"/>
      <c r="CY132" s="138"/>
      <c r="CZ132" s="138"/>
      <c r="DA132" s="138"/>
      <c r="DB132" s="138"/>
      <c r="DC132" s="138"/>
      <c r="DD132" s="138"/>
      <c r="DE132" s="139"/>
      <c r="DF132" s="162">
        <f t="shared" si="372"/>
        <v>0</v>
      </c>
      <c r="DG132" s="279"/>
      <c r="DH132" s="90">
        <f t="shared" si="373"/>
        <v>312.12</v>
      </c>
      <c r="DI132" s="91">
        <f t="shared" si="374"/>
        <v>312.12</v>
      </c>
      <c r="DJ132" s="92">
        <f t="shared" si="375"/>
        <v>0</v>
      </c>
      <c r="DK132" s="64">
        <f>+DH132/DH131</f>
        <v>0.84999999999999987</v>
      </c>
    </row>
    <row r="133" spans="1:115" ht="15" customHeight="1" outlineLevel="1">
      <c r="A133" s="607"/>
      <c r="B133" s="559"/>
      <c r="C133" s="357" t="s">
        <v>11</v>
      </c>
      <c r="D133" s="358"/>
      <c r="E133" s="143">
        <f t="shared" ref="E133:R133" si="417">+E131-E132</f>
        <v>55.080000000000041</v>
      </c>
      <c r="F133" s="144">
        <f t="shared" si="417"/>
        <v>0</v>
      </c>
      <c r="G133" s="145">
        <f t="shared" si="417"/>
        <v>0</v>
      </c>
      <c r="H133" s="145">
        <f t="shared" si="417"/>
        <v>0</v>
      </c>
      <c r="I133" s="145">
        <f t="shared" si="417"/>
        <v>0</v>
      </c>
      <c r="J133" s="145">
        <f t="shared" si="417"/>
        <v>0</v>
      </c>
      <c r="K133" s="145">
        <f t="shared" si="417"/>
        <v>0</v>
      </c>
      <c r="L133" s="145">
        <f t="shared" si="417"/>
        <v>0</v>
      </c>
      <c r="M133" s="145">
        <f t="shared" si="417"/>
        <v>0</v>
      </c>
      <c r="N133" s="145">
        <f t="shared" si="417"/>
        <v>0</v>
      </c>
      <c r="O133" s="145">
        <f t="shared" si="417"/>
        <v>0</v>
      </c>
      <c r="P133" s="145">
        <f t="shared" si="417"/>
        <v>0</v>
      </c>
      <c r="Q133" s="145">
        <f t="shared" si="417"/>
        <v>0</v>
      </c>
      <c r="R133" s="146">
        <f t="shared" si="417"/>
        <v>0</v>
      </c>
      <c r="S133" s="147"/>
      <c r="T133" s="148">
        <f t="shared" ref="T133:AE133" si="418">+T131-T132</f>
        <v>0</v>
      </c>
      <c r="U133" s="145">
        <f t="shared" si="418"/>
        <v>0</v>
      </c>
      <c r="V133" s="145">
        <f t="shared" si="418"/>
        <v>0</v>
      </c>
      <c r="W133" s="145">
        <f t="shared" si="418"/>
        <v>0</v>
      </c>
      <c r="X133" s="145">
        <f t="shared" si="418"/>
        <v>0</v>
      </c>
      <c r="Y133" s="145">
        <f t="shared" si="418"/>
        <v>0</v>
      </c>
      <c r="Z133" s="145">
        <f t="shared" si="418"/>
        <v>0</v>
      </c>
      <c r="AA133" s="145">
        <f t="shared" si="418"/>
        <v>0</v>
      </c>
      <c r="AB133" s="145">
        <f t="shared" si="418"/>
        <v>0</v>
      </c>
      <c r="AC133" s="145">
        <f t="shared" si="418"/>
        <v>0</v>
      </c>
      <c r="AD133" s="145">
        <f t="shared" si="418"/>
        <v>0</v>
      </c>
      <c r="AE133" s="146">
        <f t="shared" si="418"/>
        <v>0</v>
      </c>
      <c r="AF133" s="147">
        <f t="shared" si="366"/>
        <v>0</v>
      </c>
      <c r="AG133" s="148">
        <f t="shared" ref="AG133:AR133" si="419">+AG131-AG132</f>
        <v>0</v>
      </c>
      <c r="AH133" s="145">
        <f t="shared" si="419"/>
        <v>0</v>
      </c>
      <c r="AI133" s="145">
        <f t="shared" si="419"/>
        <v>0</v>
      </c>
      <c r="AJ133" s="145">
        <f t="shared" si="419"/>
        <v>0</v>
      </c>
      <c r="AK133" s="145">
        <f t="shared" si="419"/>
        <v>0</v>
      </c>
      <c r="AL133" s="145">
        <f t="shared" si="419"/>
        <v>0</v>
      </c>
      <c r="AM133" s="145">
        <f t="shared" si="419"/>
        <v>0</v>
      </c>
      <c r="AN133" s="145">
        <f t="shared" si="419"/>
        <v>0</v>
      </c>
      <c r="AO133" s="145">
        <f t="shared" si="419"/>
        <v>0</v>
      </c>
      <c r="AP133" s="145">
        <f t="shared" si="419"/>
        <v>0</v>
      </c>
      <c r="AQ133" s="145">
        <f t="shared" si="419"/>
        <v>0</v>
      </c>
      <c r="AR133" s="146">
        <f t="shared" si="419"/>
        <v>0</v>
      </c>
      <c r="AS133" s="408">
        <f t="shared" si="367"/>
        <v>0</v>
      </c>
      <c r="AT133" s="148">
        <f t="shared" ref="AT133:BE133" si="420">+AT131-AT132</f>
        <v>0</v>
      </c>
      <c r="AU133" s="145">
        <f t="shared" si="420"/>
        <v>0</v>
      </c>
      <c r="AV133" s="145">
        <f t="shared" si="420"/>
        <v>0</v>
      </c>
      <c r="AW133" s="145">
        <f t="shared" si="420"/>
        <v>0</v>
      </c>
      <c r="AX133" s="145">
        <f t="shared" si="420"/>
        <v>0</v>
      </c>
      <c r="AY133" s="145">
        <f t="shared" si="420"/>
        <v>0</v>
      </c>
      <c r="AZ133" s="145">
        <f t="shared" si="420"/>
        <v>0</v>
      </c>
      <c r="BA133" s="145">
        <f t="shared" si="420"/>
        <v>0</v>
      </c>
      <c r="BB133" s="145">
        <f t="shared" si="420"/>
        <v>0</v>
      </c>
      <c r="BC133" s="145">
        <f t="shared" si="420"/>
        <v>0</v>
      </c>
      <c r="BD133" s="145">
        <f t="shared" si="420"/>
        <v>0</v>
      </c>
      <c r="BE133" s="146">
        <f t="shared" si="420"/>
        <v>0</v>
      </c>
      <c r="BF133" s="147">
        <f t="shared" si="368"/>
        <v>0</v>
      </c>
      <c r="BG133" s="148">
        <f t="shared" ref="BG133:BR133" si="421">+BG131-BG132</f>
        <v>0</v>
      </c>
      <c r="BH133" s="145">
        <f t="shared" si="421"/>
        <v>55.080000000000041</v>
      </c>
      <c r="BI133" s="145">
        <f t="shared" si="421"/>
        <v>0</v>
      </c>
      <c r="BJ133" s="145">
        <f t="shared" si="421"/>
        <v>0</v>
      </c>
      <c r="BK133" s="145">
        <f t="shared" si="421"/>
        <v>0</v>
      </c>
      <c r="BL133" s="145">
        <f t="shared" si="421"/>
        <v>0</v>
      </c>
      <c r="BM133" s="145">
        <f t="shared" si="421"/>
        <v>0</v>
      </c>
      <c r="BN133" s="145">
        <f t="shared" si="421"/>
        <v>0</v>
      </c>
      <c r="BO133" s="145">
        <f t="shared" si="421"/>
        <v>0</v>
      </c>
      <c r="BP133" s="145">
        <f t="shared" si="421"/>
        <v>0</v>
      </c>
      <c r="BQ133" s="145">
        <f t="shared" si="421"/>
        <v>0</v>
      </c>
      <c r="BR133" s="146">
        <f t="shared" si="421"/>
        <v>0</v>
      </c>
      <c r="BS133" s="147">
        <f t="shared" si="416"/>
        <v>55.080000000000041</v>
      </c>
      <c r="BT133" s="148">
        <f t="shared" ref="BT133:CE133" si="422">+BT131-BT132</f>
        <v>0</v>
      </c>
      <c r="BU133" s="145">
        <f t="shared" si="422"/>
        <v>0</v>
      </c>
      <c r="BV133" s="145">
        <f t="shared" si="422"/>
        <v>0</v>
      </c>
      <c r="BW133" s="145">
        <f t="shared" si="422"/>
        <v>0</v>
      </c>
      <c r="BX133" s="145">
        <f t="shared" si="422"/>
        <v>0</v>
      </c>
      <c r="BY133" s="145">
        <f t="shared" si="422"/>
        <v>0</v>
      </c>
      <c r="BZ133" s="145">
        <f t="shared" si="422"/>
        <v>0</v>
      </c>
      <c r="CA133" s="145">
        <f t="shared" si="422"/>
        <v>0</v>
      </c>
      <c r="CB133" s="145">
        <f t="shared" si="422"/>
        <v>0</v>
      </c>
      <c r="CC133" s="145">
        <f t="shared" si="422"/>
        <v>0</v>
      </c>
      <c r="CD133" s="145">
        <f t="shared" si="422"/>
        <v>0</v>
      </c>
      <c r="CE133" s="146">
        <f t="shared" si="422"/>
        <v>0</v>
      </c>
      <c r="CF133" s="147">
        <f t="shared" si="370"/>
        <v>0</v>
      </c>
      <c r="CG133" s="148">
        <f t="shared" ref="CG133:CR133" si="423">+CG131-CG132</f>
        <v>0</v>
      </c>
      <c r="CH133" s="145">
        <f t="shared" si="423"/>
        <v>0</v>
      </c>
      <c r="CI133" s="145">
        <f t="shared" si="423"/>
        <v>0</v>
      </c>
      <c r="CJ133" s="145">
        <f t="shared" si="423"/>
        <v>0</v>
      </c>
      <c r="CK133" s="145">
        <f t="shared" si="423"/>
        <v>0</v>
      </c>
      <c r="CL133" s="145">
        <f t="shared" si="423"/>
        <v>0</v>
      </c>
      <c r="CM133" s="145">
        <f t="shared" si="423"/>
        <v>0</v>
      </c>
      <c r="CN133" s="145">
        <f t="shared" si="423"/>
        <v>0</v>
      </c>
      <c r="CO133" s="145">
        <f t="shared" si="423"/>
        <v>0</v>
      </c>
      <c r="CP133" s="145">
        <f t="shared" si="423"/>
        <v>0</v>
      </c>
      <c r="CQ133" s="145">
        <f t="shared" si="423"/>
        <v>0</v>
      </c>
      <c r="CR133" s="146">
        <f t="shared" si="423"/>
        <v>0</v>
      </c>
      <c r="CS133" s="147">
        <f t="shared" si="371"/>
        <v>0</v>
      </c>
      <c r="CT133" s="148">
        <f t="shared" ref="CT133:DE133" si="424">+CT131-CT132</f>
        <v>0</v>
      </c>
      <c r="CU133" s="145">
        <f t="shared" si="424"/>
        <v>0</v>
      </c>
      <c r="CV133" s="145">
        <f t="shared" si="424"/>
        <v>0</v>
      </c>
      <c r="CW133" s="145">
        <f t="shared" si="424"/>
        <v>0</v>
      </c>
      <c r="CX133" s="145">
        <f t="shared" si="424"/>
        <v>0</v>
      </c>
      <c r="CY133" s="145">
        <f t="shared" si="424"/>
        <v>0</v>
      </c>
      <c r="CZ133" s="145">
        <f t="shared" si="424"/>
        <v>0</v>
      </c>
      <c r="DA133" s="145">
        <f t="shared" si="424"/>
        <v>0</v>
      </c>
      <c r="DB133" s="145">
        <f t="shared" si="424"/>
        <v>0</v>
      </c>
      <c r="DC133" s="145">
        <f t="shared" si="424"/>
        <v>0</v>
      </c>
      <c r="DD133" s="145">
        <f t="shared" si="424"/>
        <v>0</v>
      </c>
      <c r="DE133" s="146">
        <f t="shared" si="424"/>
        <v>0</v>
      </c>
      <c r="DF133" s="147">
        <f t="shared" si="372"/>
        <v>0</v>
      </c>
      <c r="DG133" s="146">
        <f>+DG131-DG132</f>
        <v>0</v>
      </c>
      <c r="DH133" s="98">
        <f t="shared" si="373"/>
        <v>55.080000000000041</v>
      </c>
      <c r="DI133" s="99">
        <f t="shared" si="374"/>
        <v>55.080000000000041</v>
      </c>
      <c r="DJ133" s="100">
        <f t="shared" si="375"/>
        <v>0</v>
      </c>
    </row>
    <row r="134" spans="1:115" ht="15" customHeight="1" outlineLevel="1">
      <c r="A134" s="607"/>
      <c r="B134" s="557" t="s">
        <v>197</v>
      </c>
      <c r="C134" s="246" t="s">
        <v>62</v>
      </c>
      <c r="D134" s="183" t="s">
        <v>122</v>
      </c>
      <c r="E134" s="153">
        <f>AF134+AS134+BF134+BS134+CF134+CS134+DF134+S134+DG134</f>
        <v>424.56813993871378</v>
      </c>
      <c r="F134" s="153"/>
      <c r="G134" s="154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284"/>
      <c r="S134" s="157"/>
      <c r="T134" s="378"/>
      <c r="U134" s="382"/>
      <c r="V134" s="382"/>
      <c r="W134" s="382"/>
      <c r="X134" s="382"/>
      <c r="Y134" s="382"/>
      <c r="Z134" s="382"/>
      <c r="AA134" s="382"/>
      <c r="AB134" s="382">
        <v>104.20431605670417</v>
      </c>
      <c r="AC134" s="382"/>
      <c r="AD134" s="382">
        <v>320.36382388200963</v>
      </c>
      <c r="AE134" s="481"/>
      <c r="AF134" s="157">
        <f t="shared" si="366"/>
        <v>424.56813993871378</v>
      </c>
      <c r="AG134" s="500"/>
      <c r="AH134" s="513"/>
      <c r="AI134" s="513"/>
      <c r="AJ134" s="513"/>
      <c r="AK134" s="513"/>
      <c r="AL134" s="513"/>
      <c r="AM134" s="513"/>
      <c r="AN134" s="513"/>
      <c r="AO134" s="513"/>
      <c r="AP134" s="513"/>
      <c r="AQ134" s="513"/>
      <c r="AR134" s="512"/>
      <c r="AS134" s="409">
        <f t="shared" si="367"/>
        <v>0</v>
      </c>
      <c r="AT134" s="500"/>
      <c r="AU134" s="513"/>
      <c r="AV134" s="513"/>
      <c r="AW134" s="155"/>
      <c r="AX134" s="155"/>
      <c r="AY134" s="155"/>
      <c r="AZ134" s="155"/>
      <c r="BA134" s="155"/>
      <c r="BB134" s="155"/>
      <c r="BC134" s="155"/>
      <c r="BD134" s="155"/>
      <c r="BE134" s="156"/>
      <c r="BF134" s="157">
        <f t="shared" si="368"/>
        <v>0</v>
      </c>
      <c r="BG134" s="158"/>
      <c r="BH134" s="155"/>
      <c r="BI134" s="155"/>
      <c r="BJ134" s="155"/>
      <c r="BK134" s="155"/>
      <c r="BL134" s="155"/>
      <c r="BM134" s="155"/>
      <c r="BN134" s="155"/>
      <c r="BO134" s="155"/>
      <c r="BP134" s="155"/>
      <c r="BQ134" s="155"/>
      <c r="BR134" s="156"/>
      <c r="BS134" s="157">
        <f t="shared" si="416"/>
        <v>0</v>
      </c>
      <c r="BT134" s="158"/>
      <c r="BU134" s="155"/>
      <c r="BV134" s="155"/>
      <c r="BW134" s="155"/>
      <c r="BX134" s="155"/>
      <c r="BY134" s="155"/>
      <c r="BZ134" s="155"/>
      <c r="CA134" s="155"/>
      <c r="CB134" s="155"/>
      <c r="CC134" s="155"/>
      <c r="CD134" s="155"/>
      <c r="CE134" s="156"/>
      <c r="CF134" s="157">
        <f t="shared" si="370"/>
        <v>0</v>
      </c>
      <c r="CG134" s="158"/>
      <c r="CH134" s="155"/>
      <c r="CI134" s="155"/>
      <c r="CJ134" s="155"/>
      <c r="CK134" s="155"/>
      <c r="CL134" s="155"/>
      <c r="CM134" s="155"/>
      <c r="CN134" s="155"/>
      <c r="CO134" s="155"/>
      <c r="CP134" s="155"/>
      <c r="CQ134" s="155"/>
      <c r="CR134" s="156"/>
      <c r="CS134" s="157">
        <f t="shared" si="371"/>
        <v>0</v>
      </c>
      <c r="CT134" s="158"/>
      <c r="CU134" s="155"/>
      <c r="CV134" s="155"/>
      <c r="CW134" s="155"/>
      <c r="CX134" s="155"/>
      <c r="CY134" s="155"/>
      <c r="CZ134" s="155"/>
      <c r="DA134" s="155"/>
      <c r="DB134" s="155"/>
      <c r="DC134" s="155"/>
      <c r="DD134" s="155"/>
      <c r="DE134" s="156"/>
      <c r="DF134" s="157">
        <f t="shared" si="372"/>
        <v>0</v>
      </c>
      <c r="DG134" s="280"/>
      <c r="DH134" s="159">
        <f t="shared" si="373"/>
        <v>424.56813993871378</v>
      </c>
      <c r="DI134" s="160">
        <f t="shared" si="374"/>
        <v>424.56813993871378</v>
      </c>
      <c r="DJ134" s="161">
        <f t="shared" si="375"/>
        <v>0</v>
      </c>
    </row>
    <row r="135" spans="1:115" ht="15" customHeight="1" outlineLevel="1">
      <c r="A135" s="607"/>
      <c r="B135" s="558"/>
      <c r="C135" s="245" t="s">
        <v>63</v>
      </c>
      <c r="D135" s="184" t="s">
        <v>124</v>
      </c>
      <c r="E135" s="136">
        <f>AF135+AS135+BF135+BS135+CF135+CS135+DF135+S135+DG135</f>
        <v>310.20831513717292</v>
      </c>
      <c r="F135" s="136"/>
      <c r="G135" s="137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9"/>
      <c r="S135" s="162"/>
      <c r="T135" s="380"/>
      <c r="U135" s="381"/>
      <c r="V135" s="381"/>
      <c r="W135" s="381"/>
      <c r="X135" s="381"/>
      <c r="Y135" s="381"/>
      <c r="Z135" s="381">
        <v>6.4234738394102413</v>
      </c>
      <c r="AA135" s="381">
        <v>19.385744068205582</v>
      </c>
      <c r="AB135" s="381">
        <v>110.59894747958893</v>
      </c>
      <c r="AC135" s="381">
        <v>99.4968455059512</v>
      </c>
      <c r="AD135" s="381">
        <v>72.703010292609832</v>
      </c>
      <c r="AE135" s="392">
        <v>1.6002939514071515</v>
      </c>
      <c r="AF135" s="162">
        <f t="shared" si="366"/>
        <v>310.20831513717292</v>
      </c>
      <c r="AG135" s="501"/>
      <c r="AH135" s="499"/>
      <c r="AI135" s="499"/>
      <c r="AJ135" s="499"/>
      <c r="AK135" s="499"/>
      <c r="AL135" s="499"/>
      <c r="AM135" s="499"/>
      <c r="AN135" s="499"/>
      <c r="AO135" s="499"/>
      <c r="AP135" s="499"/>
      <c r="AQ135" s="499"/>
      <c r="AR135" s="511"/>
      <c r="AS135" s="410">
        <f t="shared" si="367"/>
        <v>0</v>
      </c>
      <c r="AT135" s="501"/>
      <c r="AU135" s="499"/>
      <c r="AV135" s="499"/>
      <c r="AW135" s="138"/>
      <c r="AX135" s="138"/>
      <c r="AY135" s="138"/>
      <c r="AZ135" s="138"/>
      <c r="BA135" s="138"/>
      <c r="BB135" s="138"/>
      <c r="BC135" s="138"/>
      <c r="BD135" s="138"/>
      <c r="BE135" s="139"/>
      <c r="BF135" s="162">
        <f t="shared" si="368"/>
        <v>0</v>
      </c>
      <c r="BG135" s="141"/>
      <c r="BH135" s="138"/>
      <c r="BI135" s="138"/>
      <c r="BJ135" s="138"/>
      <c r="BK135" s="138"/>
      <c r="BL135" s="138"/>
      <c r="BM135" s="138"/>
      <c r="BN135" s="138"/>
      <c r="BO135" s="138"/>
      <c r="BP135" s="138"/>
      <c r="BQ135" s="138"/>
      <c r="BR135" s="139"/>
      <c r="BS135" s="162">
        <f t="shared" si="416"/>
        <v>0</v>
      </c>
      <c r="BT135" s="141"/>
      <c r="BU135" s="138"/>
      <c r="BV135" s="138"/>
      <c r="BW135" s="138"/>
      <c r="BX135" s="138"/>
      <c r="BY135" s="138"/>
      <c r="BZ135" s="138"/>
      <c r="CA135" s="138"/>
      <c r="CB135" s="138"/>
      <c r="CC135" s="138"/>
      <c r="CD135" s="138"/>
      <c r="CE135" s="139"/>
      <c r="CF135" s="162">
        <f t="shared" si="370"/>
        <v>0</v>
      </c>
      <c r="CG135" s="141"/>
      <c r="CH135" s="138"/>
      <c r="CI135" s="138"/>
      <c r="CJ135" s="138"/>
      <c r="CK135" s="138"/>
      <c r="CL135" s="138"/>
      <c r="CM135" s="138"/>
      <c r="CN135" s="138"/>
      <c r="CO135" s="138"/>
      <c r="CP135" s="138"/>
      <c r="CQ135" s="138"/>
      <c r="CR135" s="138"/>
      <c r="CS135" s="162">
        <f t="shared" si="371"/>
        <v>0</v>
      </c>
      <c r="CT135" s="141"/>
      <c r="CU135" s="138"/>
      <c r="CV135" s="138"/>
      <c r="CW135" s="138"/>
      <c r="CX135" s="138"/>
      <c r="CY135" s="138"/>
      <c r="CZ135" s="138"/>
      <c r="DA135" s="138"/>
      <c r="DB135" s="138"/>
      <c r="DC135" s="138"/>
      <c r="DD135" s="138"/>
      <c r="DE135" s="138"/>
      <c r="DF135" s="162">
        <f t="shared" si="372"/>
        <v>0</v>
      </c>
      <c r="DG135" s="279"/>
      <c r="DH135" s="90">
        <f t="shared" si="373"/>
        <v>310.20831513717292</v>
      </c>
      <c r="DI135" s="91">
        <f t="shared" si="374"/>
        <v>310.20831513717292</v>
      </c>
      <c r="DJ135" s="92">
        <f t="shared" si="375"/>
        <v>0</v>
      </c>
      <c r="DK135" s="64">
        <f>+DH135/DH134</f>
        <v>0.73064435589055587</v>
      </c>
    </row>
    <row r="136" spans="1:115" ht="15" customHeight="1" outlineLevel="1">
      <c r="A136" s="607"/>
      <c r="B136" s="559"/>
      <c r="C136" s="357" t="s">
        <v>11</v>
      </c>
      <c r="D136" s="358"/>
      <c r="E136" s="143">
        <f t="shared" ref="E136:R136" si="425">+E134-E135</f>
        <v>114.35982480154087</v>
      </c>
      <c r="F136" s="144">
        <f t="shared" si="425"/>
        <v>0</v>
      </c>
      <c r="G136" s="145">
        <f t="shared" si="425"/>
        <v>0</v>
      </c>
      <c r="H136" s="145">
        <f t="shared" si="425"/>
        <v>0</v>
      </c>
      <c r="I136" s="145">
        <f t="shared" si="425"/>
        <v>0</v>
      </c>
      <c r="J136" s="145">
        <f t="shared" si="425"/>
        <v>0</v>
      </c>
      <c r="K136" s="145">
        <f t="shared" si="425"/>
        <v>0</v>
      </c>
      <c r="L136" s="145">
        <f t="shared" si="425"/>
        <v>0</v>
      </c>
      <c r="M136" s="145">
        <f t="shared" si="425"/>
        <v>0</v>
      </c>
      <c r="N136" s="145">
        <f t="shared" si="425"/>
        <v>0</v>
      </c>
      <c r="O136" s="145">
        <f t="shared" si="425"/>
        <v>0</v>
      </c>
      <c r="P136" s="145">
        <f t="shared" si="425"/>
        <v>0</v>
      </c>
      <c r="Q136" s="145">
        <f t="shared" si="425"/>
        <v>0</v>
      </c>
      <c r="R136" s="146">
        <f t="shared" si="425"/>
        <v>0</v>
      </c>
      <c r="S136" s="147"/>
      <c r="T136" s="148">
        <f t="shared" ref="T136:AE136" si="426">+T134-T135</f>
        <v>0</v>
      </c>
      <c r="U136" s="145">
        <f t="shared" si="426"/>
        <v>0</v>
      </c>
      <c r="V136" s="145">
        <f t="shared" si="426"/>
        <v>0</v>
      </c>
      <c r="W136" s="145">
        <f t="shared" si="426"/>
        <v>0</v>
      </c>
      <c r="X136" s="145">
        <f t="shared" si="426"/>
        <v>0</v>
      </c>
      <c r="Y136" s="145">
        <f t="shared" si="426"/>
        <v>0</v>
      </c>
      <c r="Z136" s="145">
        <f t="shared" si="426"/>
        <v>-6.4234738394102413</v>
      </c>
      <c r="AA136" s="145">
        <f t="shared" si="426"/>
        <v>-19.385744068205582</v>
      </c>
      <c r="AB136" s="145">
        <f t="shared" si="426"/>
        <v>-6.3946314228847569</v>
      </c>
      <c r="AC136" s="145">
        <f t="shared" si="426"/>
        <v>-99.4968455059512</v>
      </c>
      <c r="AD136" s="145">
        <f t="shared" si="426"/>
        <v>247.66081358939979</v>
      </c>
      <c r="AE136" s="146">
        <f t="shared" si="426"/>
        <v>-1.6002939514071515</v>
      </c>
      <c r="AF136" s="147">
        <f t="shared" si="366"/>
        <v>114.35982480154085</v>
      </c>
      <c r="AG136" s="148">
        <f t="shared" ref="AG136:AR136" si="427">+AG134-AG135</f>
        <v>0</v>
      </c>
      <c r="AH136" s="145">
        <f t="shared" si="427"/>
        <v>0</v>
      </c>
      <c r="AI136" s="145">
        <f t="shared" si="427"/>
        <v>0</v>
      </c>
      <c r="AJ136" s="145">
        <f t="shared" si="427"/>
        <v>0</v>
      </c>
      <c r="AK136" s="145">
        <f t="shared" si="427"/>
        <v>0</v>
      </c>
      <c r="AL136" s="145">
        <f t="shared" si="427"/>
        <v>0</v>
      </c>
      <c r="AM136" s="145">
        <f t="shared" si="427"/>
        <v>0</v>
      </c>
      <c r="AN136" s="145">
        <f t="shared" si="427"/>
        <v>0</v>
      </c>
      <c r="AO136" s="145">
        <f t="shared" si="427"/>
        <v>0</v>
      </c>
      <c r="AP136" s="145">
        <f t="shared" si="427"/>
        <v>0</v>
      </c>
      <c r="AQ136" s="145">
        <f t="shared" si="427"/>
        <v>0</v>
      </c>
      <c r="AR136" s="146">
        <f t="shared" si="427"/>
        <v>0</v>
      </c>
      <c r="AS136" s="408">
        <f t="shared" si="367"/>
        <v>0</v>
      </c>
      <c r="AT136" s="148">
        <f t="shared" ref="AT136:BE136" si="428">+AT134-AT135</f>
        <v>0</v>
      </c>
      <c r="AU136" s="145">
        <f t="shared" si="428"/>
        <v>0</v>
      </c>
      <c r="AV136" s="145">
        <f t="shared" si="428"/>
        <v>0</v>
      </c>
      <c r="AW136" s="145">
        <f t="shared" si="428"/>
        <v>0</v>
      </c>
      <c r="AX136" s="145">
        <f t="shared" si="428"/>
        <v>0</v>
      </c>
      <c r="AY136" s="145">
        <f t="shared" si="428"/>
        <v>0</v>
      </c>
      <c r="AZ136" s="145">
        <f t="shared" si="428"/>
        <v>0</v>
      </c>
      <c r="BA136" s="145">
        <f t="shared" si="428"/>
        <v>0</v>
      </c>
      <c r="BB136" s="145">
        <f t="shared" si="428"/>
        <v>0</v>
      </c>
      <c r="BC136" s="145">
        <f t="shared" si="428"/>
        <v>0</v>
      </c>
      <c r="BD136" s="145">
        <f t="shared" si="428"/>
        <v>0</v>
      </c>
      <c r="BE136" s="146">
        <f t="shared" si="428"/>
        <v>0</v>
      </c>
      <c r="BF136" s="147">
        <f t="shared" si="368"/>
        <v>0</v>
      </c>
      <c r="BG136" s="148">
        <f t="shared" ref="BG136:BR136" si="429">+BG134-BG135</f>
        <v>0</v>
      </c>
      <c r="BH136" s="145">
        <f t="shared" si="429"/>
        <v>0</v>
      </c>
      <c r="BI136" s="145">
        <f t="shared" si="429"/>
        <v>0</v>
      </c>
      <c r="BJ136" s="145">
        <f t="shared" si="429"/>
        <v>0</v>
      </c>
      <c r="BK136" s="145">
        <f t="shared" si="429"/>
        <v>0</v>
      </c>
      <c r="BL136" s="145">
        <f t="shared" si="429"/>
        <v>0</v>
      </c>
      <c r="BM136" s="145">
        <f t="shared" si="429"/>
        <v>0</v>
      </c>
      <c r="BN136" s="145">
        <f t="shared" si="429"/>
        <v>0</v>
      </c>
      <c r="BO136" s="145">
        <f t="shared" si="429"/>
        <v>0</v>
      </c>
      <c r="BP136" s="145">
        <f t="shared" si="429"/>
        <v>0</v>
      </c>
      <c r="BQ136" s="145">
        <f t="shared" si="429"/>
        <v>0</v>
      </c>
      <c r="BR136" s="146">
        <f t="shared" si="429"/>
        <v>0</v>
      </c>
      <c r="BS136" s="147">
        <f t="shared" si="416"/>
        <v>0</v>
      </c>
      <c r="BT136" s="148">
        <f t="shared" ref="BT136:CE136" si="430">+BT134-BT135</f>
        <v>0</v>
      </c>
      <c r="BU136" s="145">
        <f t="shared" si="430"/>
        <v>0</v>
      </c>
      <c r="BV136" s="145">
        <f t="shared" si="430"/>
        <v>0</v>
      </c>
      <c r="BW136" s="145">
        <f t="shared" si="430"/>
        <v>0</v>
      </c>
      <c r="BX136" s="145">
        <f t="shared" si="430"/>
        <v>0</v>
      </c>
      <c r="BY136" s="145">
        <f t="shared" si="430"/>
        <v>0</v>
      </c>
      <c r="BZ136" s="145">
        <f t="shared" si="430"/>
        <v>0</v>
      </c>
      <c r="CA136" s="145">
        <f t="shared" si="430"/>
        <v>0</v>
      </c>
      <c r="CB136" s="145">
        <f t="shared" si="430"/>
        <v>0</v>
      </c>
      <c r="CC136" s="145">
        <f t="shared" si="430"/>
        <v>0</v>
      </c>
      <c r="CD136" s="145">
        <f t="shared" si="430"/>
        <v>0</v>
      </c>
      <c r="CE136" s="146">
        <f t="shared" si="430"/>
        <v>0</v>
      </c>
      <c r="CF136" s="147">
        <f t="shared" si="370"/>
        <v>0</v>
      </c>
      <c r="CG136" s="148">
        <f t="shared" ref="CG136:CR136" si="431">+CG134-CG135</f>
        <v>0</v>
      </c>
      <c r="CH136" s="145">
        <f t="shared" si="431"/>
        <v>0</v>
      </c>
      <c r="CI136" s="145">
        <f t="shared" si="431"/>
        <v>0</v>
      </c>
      <c r="CJ136" s="145">
        <f t="shared" si="431"/>
        <v>0</v>
      </c>
      <c r="CK136" s="145">
        <f t="shared" si="431"/>
        <v>0</v>
      </c>
      <c r="CL136" s="145">
        <f t="shared" si="431"/>
        <v>0</v>
      </c>
      <c r="CM136" s="145">
        <f t="shared" si="431"/>
        <v>0</v>
      </c>
      <c r="CN136" s="145">
        <f t="shared" si="431"/>
        <v>0</v>
      </c>
      <c r="CO136" s="145">
        <f t="shared" si="431"/>
        <v>0</v>
      </c>
      <c r="CP136" s="145">
        <f t="shared" si="431"/>
        <v>0</v>
      </c>
      <c r="CQ136" s="145">
        <f t="shared" si="431"/>
        <v>0</v>
      </c>
      <c r="CR136" s="146">
        <f t="shared" si="431"/>
        <v>0</v>
      </c>
      <c r="CS136" s="147">
        <f t="shared" si="371"/>
        <v>0</v>
      </c>
      <c r="CT136" s="148">
        <f t="shared" ref="CT136:DE136" si="432">+CT134-CT135</f>
        <v>0</v>
      </c>
      <c r="CU136" s="145">
        <f t="shared" si="432"/>
        <v>0</v>
      </c>
      <c r="CV136" s="145">
        <f t="shared" si="432"/>
        <v>0</v>
      </c>
      <c r="CW136" s="145">
        <f t="shared" si="432"/>
        <v>0</v>
      </c>
      <c r="CX136" s="145">
        <f t="shared" si="432"/>
        <v>0</v>
      </c>
      <c r="CY136" s="145">
        <f t="shared" si="432"/>
        <v>0</v>
      </c>
      <c r="CZ136" s="145">
        <f t="shared" si="432"/>
        <v>0</v>
      </c>
      <c r="DA136" s="145">
        <f t="shared" si="432"/>
        <v>0</v>
      </c>
      <c r="DB136" s="145">
        <f t="shared" si="432"/>
        <v>0</v>
      </c>
      <c r="DC136" s="145">
        <f t="shared" si="432"/>
        <v>0</v>
      </c>
      <c r="DD136" s="145">
        <f t="shared" si="432"/>
        <v>0</v>
      </c>
      <c r="DE136" s="146">
        <f t="shared" si="432"/>
        <v>0</v>
      </c>
      <c r="DF136" s="147">
        <f t="shared" si="372"/>
        <v>0</v>
      </c>
      <c r="DG136" s="146">
        <f>+DG134-DG135</f>
        <v>0</v>
      </c>
      <c r="DH136" s="98">
        <f t="shared" si="373"/>
        <v>114.35982480154085</v>
      </c>
      <c r="DI136" s="99">
        <f t="shared" si="374"/>
        <v>114.35982480154087</v>
      </c>
      <c r="DJ136" s="100">
        <f t="shared" si="375"/>
        <v>0</v>
      </c>
    </row>
    <row r="137" spans="1:115" ht="15" customHeight="1" outlineLevel="1">
      <c r="A137" s="607"/>
      <c r="B137" s="557" t="s">
        <v>210</v>
      </c>
      <c r="C137" s="246" t="s">
        <v>62</v>
      </c>
      <c r="D137" s="183" t="s">
        <v>122</v>
      </c>
      <c r="E137" s="153">
        <f>AF137+AS137+BF137+BS137+CF137+CS137+DF137+S137+DG137</f>
        <v>445.42910958742868</v>
      </c>
      <c r="F137" s="153"/>
      <c r="G137" s="154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284"/>
      <c r="S137" s="157">
        <f t="shared" ref="S137:S142" si="433">SUM(G137:R137)</f>
        <v>0</v>
      </c>
      <c r="T137" s="378"/>
      <c r="U137" s="382"/>
      <c r="V137" s="382"/>
      <c r="W137" s="382"/>
      <c r="X137" s="389">
        <v>88.850910596813819</v>
      </c>
      <c r="Y137" s="389">
        <v>144.38845167043158</v>
      </c>
      <c r="Z137" s="389">
        <v>212.1897473201833</v>
      </c>
      <c r="AA137" s="389"/>
      <c r="AB137" s="389"/>
      <c r="AC137" s="389"/>
      <c r="AD137" s="389"/>
      <c r="AE137" s="482"/>
      <c r="AF137" s="157">
        <f t="shared" si="366"/>
        <v>445.42910958742868</v>
      </c>
      <c r="AG137" s="500"/>
      <c r="AH137" s="513"/>
      <c r="AI137" s="513"/>
      <c r="AJ137" s="513"/>
      <c r="AK137" s="513"/>
      <c r="AL137" s="513"/>
      <c r="AM137" s="513"/>
      <c r="AN137" s="513"/>
      <c r="AO137" s="513"/>
      <c r="AP137" s="513"/>
      <c r="AQ137" s="513"/>
      <c r="AR137" s="512"/>
      <c r="AS137" s="409">
        <f t="shared" si="367"/>
        <v>0</v>
      </c>
      <c r="AT137" s="500"/>
      <c r="AU137" s="513"/>
      <c r="AV137" s="513"/>
      <c r="AW137" s="155"/>
      <c r="AX137" s="155"/>
      <c r="AY137" s="155"/>
      <c r="AZ137" s="155"/>
      <c r="BA137" s="155"/>
      <c r="BB137" s="155"/>
      <c r="BC137" s="155"/>
      <c r="BD137" s="155"/>
      <c r="BE137" s="156"/>
      <c r="BF137" s="157">
        <f t="shared" si="368"/>
        <v>0</v>
      </c>
      <c r="BG137" s="158"/>
      <c r="BH137" s="155"/>
      <c r="BI137" s="155"/>
      <c r="BJ137" s="155"/>
      <c r="BK137" s="155"/>
      <c r="BL137" s="155"/>
      <c r="BM137" s="155"/>
      <c r="BN137" s="155"/>
      <c r="BO137" s="155"/>
      <c r="BP137" s="155"/>
      <c r="BQ137" s="155"/>
      <c r="BR137" s="156"/>
      <c r="BS137" s="157">
        <f t="shared" si="416"/>
        <v>0</v>
      </c>
      <c r="BT137" s="158"/>
      <c r="BU137" s="155"/>
      <c r="BV137" s="155"/>
      <c r="BW137" s="155"/>
      <c r="BX137" s="155"/>
      <c r="BY137" s="155"/>
      <c r="BZ137" s="155"/>
      <c r="CA137" s="155"/>
      <c r="CB137" s="155"/>
      <c r="CC137" s="155"/>
      <c r="CD137" s="155"/>
      <c r="CE137" s="156"/>
      <c r="CF137" s="157">
        <f t="shared" si="370"/>
        <v>0</v>
      </c>
      <c r="CG137" s="158"/>
      <c r="CH137" s="155"/>
      <c r="CI137" s="155"/>
      <c r="CJ137" s="155"/>
      <c r="CK137" s="155"/>
      <c r="CL137" s="155"/>
      <c r="CM137" s="155"/>
      <c r="CN137" s="155"/>
      <c r="CO137" s="155"/>
      <c r="CP137" s="155"/>
      <c r="CQ137" s="155"/>
      <c r="CR137" s="156"/>
      <c r="CS137" s="157">
        <f t="shared" si="371"/>
        <v>0</v>
      </c>
      <c r="CT137" s="158"/>
      <c r="CU137" s="155"/>
      <c r="CV137" s="155"/>
      <c r="CW137" s="155"/>
      <c r="CX137" s="155"/>
      <c r="CY137" s="155"/>
      <c r="CZ137" s="155"/>
      <c r="DA137" s="155"/>
      <c r="DB137" s="155"/>
      <c r="DC137" s="155"/>
      <c r="DD137" s="155"/>
      <c r="DE137" s="156"/>
      <c r="DF137" s="157">
        <f t="shared" si="372"/>
        <v>0</v>
      </c>
      <c r="DG137" s="280"/>
      <c r="DH137" s="159">
        <f t="shared" si="373"/>
        <v>445.42910958742868</v>
      </c>
      <c r="DI137" s="160">
        <f t="shared" si="374"/>
        <v>445.42910958742868</v>
      </c>
      <c r="DJ137" s="161">
        <f t="shared" si="375"/>
        <v>0</v>
      </c>
    </row>
    <row r="138" spans="1:115" ht="15" customHeight="1" outlineLevel="1">
      <c r="A138" s="607"/>
      <c r="B138" s="560"/>
      <c r="C138" s="245" t="s">
        <v>63</v>
      </c>
      <c r="D138" s="184" t="s">
        <v>124</v>
      </c>
      <c r="E138" s="136">
        <f>AF138+AS138+BF138+BS138+CF138+CS138+DF138+S138+DG138</f>
        <v>322.03880754093865</v>
      </c>
      <c r="F138" s="136"/>
      <c r="G138" s="137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9"/>
      <c r="S138" s="162">
        <f t="shared" si="433"/>
        <v>0</v>
      </c>
      <c r="T138" s="380"/>
      <c r="U138" s="381"/>
      <c r="V138" s="381"/>
      <c r="W138" s="381">
        <v>17.70370334433531</v>
      </c>
      <c r="X138" s="388">
        <v>100.11023515891257</v>
      </c>
      <c r="Y138" s="388">
        <v>106.99149522450759</v>
      </c>
      <c r="Z138" s="388">
        <v>93.355955289898375</v>
      </c>
      <c r="AA138" s="388">
        <v>3.8774185232848066</v>
      </c>
      <c r="AB138" s="388"/>
      <c r="AC138" s="388"/>
      <c r="AD138" s="388"/>
      <c r="AE138" s="483"/>
      <c r="AF138" s="162">
        <f t="shared" si="366"/>
        <v>322.03880754093865</v>
      </c>
      <c r="AG138" s="501"/>
      <c r="AH138" s="499"/>
      <c r="AI138" s="499"/>
      <c r="AJ138" s="499"/>
      <c r="AK138" s="499"/>
      <c r="AL138" s="499"/>
      <c r="AM138" s="499"/>
      <c r="AN138" s="499"/>
      <c r="AO138" s="499"/>
      <c r="AP138" s="499"/>
      <c r="AQ138" s="499"/>
      <c r="AR138" s="511"/>
      <c r="AS138" s="410">
        <f t="shared" si="367"/>
        <v>0</v>
      </c>
      <c r="AT138" s="501"/>
      <c r="AU138" s="499"/>
      <c r="AV138" s="499"/>
      <c r="AW138" s="138"/>
      <c r="AX138" s="138"/>
      <c r="AY138" s="138"/>
      <c r="AZ138" s="138"/>
      <c r="BA138" s="138"/>
      <c r="BB138" s="138"/>
      <c r="BC138" s="138"/>
      <c r="BD138" s="138"/>
      <c r="BE138" s="139"/>
      <c r="BF138" s="162">
        <f t="shared" si="368"/>
        <v>0</v>
      </c>
      <c r="BG138" s="141"/>
      <c r="BH138" s="138"/>
      <c r="BI138" s="138"/>
      <c r="BJ138" s="138"/>
      <c r="BK138" s="138"/>
      <c r="BL138" s="138"/>
      <c r="BM138" s="138"/>
      <c r="BN138" s="138"/>
      <c r="BO138" s="138"/>
      <c r="BP138" s="138"/>
      <c r="BQ138" s="138"/>
      <c r="BR138" s="139"/>
      <c r="BS138" s="162">
        <f t="shared" si="416"/>
        <v>0</v>
      </c>
      <c r="BT138" s="141"/>
      <c r="BU138" s="138"/>
      <c r="BV138" s="138"/>
      <c r="BW138" s="138"/>
      <c r="BX138" s="138"/>
      <c r="BY138" s="138"/>
      <c r="BZ138" s="138"/>
      <c r="CA138" s="138"/>
      <c r="CB138" s="138"/>
      <c r="CC138" s="138"/>
      <c r="CD138" s="138"/>
      <c r="CE138" s="139"/>
      <c r="CF138" s="162">
        <f t="shared" si="370"/>
        <v>0</v>
      </c>
      <c r="CG138" s="141"/>
      <c r="CH138" s="138"/>
      <c r="CI138" s="138"/>
      <c r="CJ138" s="138"/>
      <c r="CK138" s="138"/>
      <c r="CL138" s="138"/>
      <c r="CM138" s="138"/>
      <c r="CN138" s="138"/>
      <c r="CO138" s="138"/>
      <c r="CP138" s="138"/>
      <c r="CQ138" s="138"/>
      <c r="CR138" s="139"/>
      <c r="CS138" s="162">
        <f t="shared" si="371"/>
        <v>0</v>
      </c>
      <c r="CT138" s="141"/>
      <c r="CU138" s="138"/>
      <c r="CV138" s="138"/>
      <c r="CW138" s="138"/>
      <c r="CX138" s="138"/>
      <c r="CY138" s="138"/>
      <c r="CZ138" s="138"/>
      <c r="DA138" s="138"/>
      <c r="DB138" s="138"/>
      <c r="DC138" s="138"/>
      <c r="DD138" s="138"/>
      <c r="DE138" s="139"/>
      <c r="DF138" s="162">
        <f t="shared" si="372"/>
        <v>0</v>
      </c>
      <c r="DG138" s="279"/>
      <c r="DH138" s="90">
        <f t="shared" si="373"/>
        <v>322.03880754093865</v>
      </c>
      <c r="DI138" s="91">
        <f t="shared" si="374"/>
        <v>322.03880754093865</v>
      </c>
      <c r="DJ138" s="92">
        <f t="shared" si="375"/>
        <v>0</v>
      </c>
      <c r="DK138" s="64">
        <f>+DH138/DH137</f>
        <v>0.7229855449708299</v>
      </c>
    </row>
    <row r="139" spans="1:115" ht="15" customHeight="1" outlineLevel="1">
      <c r="A139" s="607"/>
      <c r="B139" s="561"/>
      <c r="C139" s="554" t="s">
        <v>11</v>
      </c>
      <c r="D139" s="555"/>
      <c r="E139" s="143">
        <v>47.072000000000003</v>
      </c>
      <c r="F139" s="144">
        <f t="shared" ref="F139:R139" si="434">+F137-F138</f>
        <v>0</v>
      </c>
      <c r="G139" s="145">
        <f t="shared" si="434"/>
        <v>0</v>
      </c>
      <c r="H139" s="145">
        <f t="shared" si="434"/>
        <v>0</v>
      </c>
      <c r="I139" s="145">
        <f t="shared" si="434"/>
        <v>0</v>
      </c>
      <c r="J139" s="145">
        <f t="shared" si="434"/>
        <v>0</v>
      </c>
      <c r="K139" s="145">
        <f t="shared" si="434"/>
        <v>0</v>
      </c>
      <c r="L139" s="145">
        <f t="shared" si="434"/>
        <v>0</v>
      </c>
      <c r="M139" s="145">
        <f t="shared" si="434"/>
        <v>0</v>
      </c>
      <c r="N139" s="145">
        <f t="shared" si="434"/>
        <v>0</v>
      </c>
      <c r="O139" s="145">
        <f t="shared" si="434"/>
        <v>0</v>
      </c>
      <c r="P139" s="145">
        <f t="shared" si="434"/>
        <v>0</v>
      </c>
      <c r="Q139" s="145">
        <f t="shared" si="434"/>
        <v>0</v>
      </c>
      <c r="R139" s="146">
        <f t="shared" si="434"/>
        <v>0</v>
      </c>
      <c r="S139" s="147">
        <f t="shared" si="433"/>
        <v>0</v>
      </c>
      <c r="T139" s="148">
        <f t="shared" ref="T139:AE139" si="435">+T137-T138</f>
        <v>0</v>
      </c>
      <c r="U139" s="145">
        <f t="shared" si="435"/>
        <v>0</v>
      </c>
      <c r="V139" s="145">
        <f t="shared" si="435"/>
        <v>0</v>
      </c>
      <c r="W139" s="145">
        <f t="shared" si="435"/>
        <v>-17.70370334433531</v>
      </c>
      <c r="X139" s="145">
        <f t="shared" si="435"/>
        <v>-11.259324562098755</v>
      </c>
      <c r="Y139" s="145">
        <f t="shared" si="435"/>
        <v>37.39695644592399</v>
      </c>
      <c r="Z139" s="145">
        <f t="shared" si="435"/>
        <v>118.83379203028493</v>
      </c>
      <c r="AA139" s="145">
        <f t="shared" si="435"/>
        <v>-3.8774185232848066</v>
      </c>
      <c r="AB139" s="145">
        <f t="shared" si="435"/>
        <v>0</v>
      </c>
      <c r="AC139" s="145">
        <f t="shared" si="435"/>
        <v>0</v>
      </c>
      <c r="AD139" s="145">
        <f t="shared" si="435"/>
        <v>0</v>
      </c>
      <c r="AE139" s="146">
        <f t="shared" si="435"/>
        <v>0</v>
      </c>
      <c r="AF139" s="147">
        <f t="shared" si="366"/>
        <v>123.39030204649005</v>
      </c>
      <c r="AG139" s="148">
        <f t="shared" ref="AG139:AR139" si="436">+AG137-AG138</f>
        <v>0</v>
      </c>
      <c r="AH139" s="145">
        <f t="shared" si="436"/>
        <v>0</v>
      </c>
      <c r="AI139" s="145">
        <f t="shared" si="436"/>
        <v>0</v>
      </c>
      <c r="AJ139" s="145">
        <f t="shared" si="436"/>
        <v>0</v>
      </c>
      <c r="AK139" s="145">
        <f t="shared" si="436"/>
        <v>0</v>
      </c>
      <c r="AL139" s="145">
        <f t="shared" si="436"/>
        <v>0</v>
      </c>
      <c r="AM139" s="145">
        <f t="shared" si="436"/>
        <v>0</v>
      </c>
      <c r="AN139" s="145">
        <f t="shared" si="436"/>
        <v>0</v>
      </c>
      <c r="AO139" s="145">
        <f t="shared" si="436"/>
        <v>0</v>
      </c>
      <c r="AP139" s="145">
        <f t="shared" si="436"/>
        <v>0</v>
      </c>
      <c r="AQ139" s="145">
        <f t="shared" si="436"/>
        <v>0</v>
      </c>
      <c r="AR139" s="146">
        <f t="shared" si="436"/>
        <v>0</v>
      </c>
      <c r="AS139" s="408">
        <f t="shared" si="367"/>
        <v>0</v>
      </c>
      <c r="AT139" s="148">
        <f t="shared" ref="AT139:BE139" si="437">+AT137-AT138</f>
        <v>0</v>
      </c>
      <c r="AU139" s="145">
        <f t="shared" si="437"/>
        <v>0</v>
      </c>
      <c r="AV139" s="145">
        <f t="shared" si="437"/>
        <v>0</v>
      </c>
      <c r="AW139" s="145">
        <f t="shared" si="437"/>
        <v>0</v>
      </c>
      <c r="AX139" s="145">
        <f t="shared" si="437"/>
        <v>0</v>
      </c>
      <c r="AY139" s="145">
        <f t="shared" si="437"/>
        <v>0</v>
      </c>
      <c r="AZ139" s="145">
        <f t="shared" si="437"/>
        <v>0</v>
      </c>
      <c r="BA139" s="145">
        <f t="shared" si="437"/>
        <v>0</v>
      </c>
      <c r="BB139" s="145">
        <f t="shared" si="437"/>
        <v>0</v>
      </c>
      <c r="BC139" s="145">
        <f t="shared" si="437"/>
        <v>0</v>
      </c>
      <c r="BD139" s="145">
        <f t="shared" si="437"/>
        <v>0</v>
      </c>
      <c r="BE139" s="146">
        <f t="shared" si="437"/>
        <v>0</v>
      </c>
      <c r="BF139" s="147">
        <f t="shared" si="368"/>
        <v>0</v>
      </c>
      <c r="BG139" s="148">
        <f t="shared" ref="BG139:BR139" si="438">+BG137-BG138</f>
        <v>0</v>
      </c>
      <c r="BH139" s="145">
        <f t="shared" si="438"/>
        <v>0</v>
      </c>
      <c r="BI139" s="145">
        <f t="shared" si="438"/>
        <v>0</v>
      </c>
      <c r="BJ139" s="145">
        <f t="shared" si="438"/>
        <v>0</v>
      </c>
      <c r="BK139" s="145">
        <f t="shared" si="438"/>
        <v>0</v>
      </c>
      <c r="BL139" s="145">
        <f t="shared" si="438"/>
        <v>0</v>
      </c>
      <c r="BM139" s="145">
        <f t="shared" si="438"/>
        <v>0</v>
      </c>
      <c r="BN139" s="145">
        <f t="shared" si="438"/>
        <v>0</v>
      </c>
      <c r="BO139" s="145">
        <f t="shared" si="438"/>
        <v>0</v>
      </c>
      <c r="BP139" s="145">
        <f t="shared" si="438"/>
        <v>0</v>
      </c>
      <c r="BQ139" s="145">
        <f t="shared" si="438"/>
        <v>0</v>
      </c>
      <c r="BR139" s="146">
        <f t="shared" si="438"/>
        <v>0</v>
      </c>
      <c r="BS139" s="147">
        <f t="shared" si="416"/>
        <v>0</v>
      </c>
      <c r="BT139" s="148">
        <f t="shared" ref="BT139:CE139" si="439">+BT137-BT138</f>
        <v>0</v>
      </c>
      <c r="BU139" s="145">
        <f t="shared" si="439"/>
        <v>0</v>
      </c>
      <c r="BV139" s="145">
        <f t="shared" si="439"/>
        <v>0</v>
      </c>
      <c r="BW139" s="145">
        <f t="shared" si="439"/>
        <v>0</v>
      </c>
      <c r="BX139" s="145">
        <f t="shared" si="439"/>
        <v>0</v>
      </c>
      <c r="BY139" s="145">
        <f t="shared" si="439"/>
        <v>0</v>
      </c>
      <c r="BZ139" s="145">
        <f t="shared" si="439"/>
        <v>0</v>
      </c>
      <c r="CA139" s="145">
        <f t="shared" si="439"/>
        <v>0</v>
      </c>
      <c r="CB139" s="145">
        <f t="shared" si="439"/>
        <v>0</v>
      </c>
      <c r="CC139" s="145">
        <f t="shared" si="439"/>
        <v>0</v>
      </c>
      <c r="CD139" s="145">
        <f t="shared" si="439"/>
        <v>0</v>
      </c>
      <c r="CE139" s="146">
        <f t="shared" si="439"/>
        <v>0</v>
      </c>
      <c r="CF139" s="147">
        <f t="shared" si="370"/>
        <v>0</v>
      </c>
      <c r="CG139" s="148">
        <f t="shared" ref="CG139:CR139" si="440">+CG137-CG138</f>
        <v>0</v>
      </c>
      <c r="CH139" s="145">
        <f t="shared" si="440"/>
        <v>0</v>
      </c>
      <c r="CI139" s="145">
        <f t="shared" si="440"/>
        <v>0</v>
      </c>
      <c r="CJ139" s="145">
        <f t="shared" si="440"/>
        <v>0</v>
      </c>
      <c r="CK139" s="145">
        <f t="shared" si="440"/>
        <v>0</v>
      </c>
      <c r="CL139" s="145">
        <f t="shared" si="440"/>
        <v>0</v>
      </c>
      <c r="CM139" s="145">
        <f t="shared" si="440"/>
        <v>0</v>
      </c>
      <c r="CN139" s="145">
        <f t="shared" si="440"/>
        <v>0</v>
      </c>
      <c r="CO139" s="145">
        <f t="shared" si="440"/>
        <v>0</v>
      </c>
      <c r="CP139" s="145">
        <f t="shared" si="440"/>
        <v>0</v>
      </c>
      <c r="CQ139" s="145">
        <f t="shared" si="440"/>
        <v>0</v>
      </c>
      <c r="CR139" s="146">
        <f t="shared" si="440"/>
        <v>0</v>
      </c>
      <c r="CS139" s="147">
        <f t="shared" si="371"/>
        <v>0</v>
      </c>
      <c r="CT139" s="148">
        <f t="shared" ref="CT139:DE139" si="441">+CT137-CT138</f>
        <v>0</v>
      </c>
      <c r="CU139" s="145">
        <f t="shared" si="441"/>
        <v>0</v>
      </c>
      <c r="CV139" s="145">
        <f t="shared" si="441"/>
        <v>0</v>
      </c>
      <c r="CW139" s="145">
        <f t="shared" si="441"/>
        <v>0</v>
      </c>
      <c r="CX139" s="145">
        <f t="shared" si="441"/>
        <v>0</v>
      </c>
      <c r="CY139" s="145">
        <f t="shared" si="441"/>
        <v>0</v>
      </c>
      <c r="CZ139" s="145">
        <f t="shared" si="441"/>
        <v>0</v>
      </c>
      <c r="DA139" s="145">
        <f t="shared" si="441"/>
        <v>0</v>
      </c>
      <c r="DB139" s="145">
        <f t="shared" si="441"/>
        <v>0</v>
      </c>
      <c r="DC139" s="145">
        <f t="shared" si="441"/>
        <v>0</v>
      </c>
      <c r="DD139" s="145">
        <f t="shared" si="441"/>
        <v>0</v>
      </c>
      <c r="DE139" s="146">
        <f t="shared" si="441"/>
        <v>0</v>
      </c>
      <c r="DF139" s="147">
        <f t="shared" si="372"/>
        <v>0</v>
      </c>
      <c r="DG139" s="146">
        <f>+DG137-DG138</f>
        <v>0</v>
      </c>
      <c r="DH139" s="98">
        <f t="shared" si="373"/>
        <v>123.39030204649005</v>
      </c>
      <c r="DI139" s="99">
        <f t="shared" si="374"/>
        <v>47.072000000000003</v>
      </c>
      <c r="DJ139" s="100">
        <f t="shared" si="375"/>
        <v>-76.318302046490047</v>
      </c>
    </row>
    <row r="140" spans="1:115" ht="15" customHeight="1" outlineLevel="1">
      <c r="A140" s="607"/>
      <c r="B140" s="557" t="s">
        <v>345</v>
      </c>
      <c r="C140" s="246" t="s">
        <v>62</v>
      </c>
      <c r="D140" s="183" t="s">
        <v>122</v>
      </c>
      <c r="E140" s="153">
        <f>AF140+AS140+BF140+BS140+CF140+CS140+DF140+S140+DG140</f>
        <v>356.40000000000003</v>
      </c>
      <c r="F140" s="153"/>
      <c r="G140" s="154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284"/>
      <c r="S140" s="157">
        <f t="shared" si="433"/>
        <v>0</v>
      </c>
      <c r="T140" s="378"/>
      <c r="U140" s="382"/>
      <c r="V140" s="382"/>
      <c r="W140" s="382"/>
      <c r="X140" s="389"/>
      <c r="Y140" s="389"/>
      <c r="Z140" s="389"/>
      <c r="AA140" s="389"/>
      <c r="AB140" s="389"/>
      <c r="AC140" s="389"/>
      <c r="AD140" s="389"/>
      <c r="AE140" s="482"/>
      <c r="AF140" s="157">
        <v>0</v>
      </c>
      <c r="AG140" s="500"/>
      <c r="AH140" s="513"/>
      <c r="AI140" s="513"/>
      <c r="AJ140" s="513"/>
      <c r="AK140" s="513"/>
      <c r="AL140" s="513"/>
      <c r="AM140" s="513"/>
      <c r="AN140" s="513"/>
      <c r="AO140" s="513"/>
      <c r="AP140" s="513"/>
      <c r="AQ140" s="513"/>
      <c r="AR140" s="512"/>
      <c r="AS140" s="409">
        <f t="shared" si="367"/>
        <v>0</v>
      </c>
      <c r="AT140" s="500"/>
      <c r="AU140" s="500"/>
      <c r="AV140" s="500"/>
      <c r="AW140" s="155"/>
      <c r="AX140" s="155"/>
      <c r="AY140" s="155">
        <v>356.40000000000003</v>
      </c>
      <c r="AZ140" s="155"/>
      <c r="BA140" s="155"/>
      <c r="BB140" s="155"/>
      <c r="BC140" s="155"/>
      <c r="BD140" s="155"/>
      <c r="BE140" s="156"/>
      <c r="BF140" s="157">
        <f t="shared" si="368"/>
        <v>356.40000000000003</v>
      </c>
      <c r="BG140" s="158"/>
      <c r="BH140" s="155"/>
      <c r="BI140" s="155"/>
      <c r="BJ140" s="155"/>
      <c r="BK140" s="155"/>
      <c r="BL140" s="155"/>
      <c r="BM140" s="155"/>
      <c r="BN140" s="155"/>
      <c r="BO140" s="155"/>
      <c r="BP140" s="155"/>
      <c r="BQ140" s="155"/>
      <c r="BR140" s="156"/>
      <c r="BS140" s="157">
        <f t="shared" si="416"/>
        <v>0</v>
      </c>
      <c r="BT140" s="158"/>
      <c r="BU140" s="155"/>
      <c r="BV140" s="155"/>
      <c r="BW140" s="155"/>
      <c r="BX140" s="155"/>
      <c r="BY140" s="155"/>
      <c r="BZ140" s="155"/>
      <c r="CA140" s="155"/>
      <c r="CB140" s="155"/>
      <c r="CC140" s="155"/>
      <c r="CD140" s="155"/>
      <c r="CE140" s="156"/>
      <c r="CF140" s="157">
        <f t="shared" si="370"/>
        <v>0</v>
      </c>
      <c r="CG140" s="158"/>
      <c r="CH140" s="155"/>
      <c r="CI140" s="155"/>
      <c r="CJ140" s="155"/>
      <c r="CK140" s="155"/>
      <c r="CL140" s="155"/>
      <c r="CM140" s="155"/>
      <c r="CN140" s="155"/>
      <c r="CO140" s="155"/>
      <c r="CP140" s="155"/>
      <c r="CQ140" s="155"/>
      <c r="CR140" s="156"/>
      <c r="CS140" s="157">
        <f t="shared" si="371"/>
        <v>0</v>
      </c>
      <c r="CT140" s="158"/>
      <c r="CU140" s="155"/>
      <c r="CV140" s="155"/>
      <c r="CW140" s="155"/>
      <c r="CX140" s="155"/>
      <c r="CY140" s="155"/>
      <c r="CZ140" s="155"/>
      <c r="DA140" s="155"/>
      <c r="DB140" s="155"/>
      <c r="DC140" s="155"/>
      <c r="DD140" s="155"/>
      <c r="DE140" s="156"/>
      <c r="DF140" s="157">
        <f t="shared" si="372"/>
        <v>0</v>
      </c>
      <c r="DG140" s="280"/>
      <c r="DH140" s="159">
        <f t="shared" si="373"/>
        <v>356.40000000000003</v>
      </c>
      <c r="DI140" s="160">
        <f t="shared" si="374"/>
        <v>356.40000000000003</v>
      </c>
      <c r="DJ140" s="161">
        <f t="shared" si="375"/>
        <v>0</v>
      </c>
    </row>
    <row r="141" spans="1:115" ht="15" customHeight="1" outlineLevel="1">
      <c r="A141" s="607"/>
      <c r="B141" s="560"/>
      <c r="C141" s="245" t="s">
        <v>63</v>
      </c>
      <c r="D141" s="184" t="s">
        <v>124</v>
      </c>
      <c r="E141" s="136">
        <f>AF141+AS141+BF141+BS141+CF141+CS141+DF141+S141+DG141</f>
        <v>400.84644663581884</v>
      </c>
      <c r="F141" s="136"/>
      <c r="G141" s="137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9"/>
      <c r="S141" s="162">
        <f t="shared" si="433"/>
        <v>0</v>
      </c>
      <c r="T141" s="380"/>
      <c r="U141" s="381"/>
      <c r="V141" s="381"/>
      <c r="W141" s="381"/>
      <c r="X141" s="388"/>
      <c r="Y141" s="388"/>
      <c r="Z141" s="388"/>
      <c r="AA141" s="388"/>
      <c r="AB141" s="388"/>
      <c r="AC141" s="388"/>
      <c r="AD141" s="388"/>
      <c r="AE141" s="483"/>
      <c r="AF141" s="162">
        <v>0</v>
      </c>
      <c r="AG141" s="501"/>
      <c r="AH141" s="499"/>
      <c r="AI141" s="499"/>
      <c r="AJ141" s="499"/>
      <c r="AK141" s="499"/>
      <c r="AL141" s="499"/>
      <c r="AM141" s="499"/>
      <c r="AN141" s="499"/>
      <c r="AO141" s="499"/>
      <c r="AP141" s="499"/>
      <c r="AQ141" s="499"/>
      <c r="AR141" s="511"/>
      <c r="AS141" s="410">
        <f t="shared" si="367"/>
        <v>0</v>
      </c>
      <c r="AT141" s="501"/>
      <c r="AU141" s="501"/>
      <c r="AV141" s="501">
        <v>97.906446635818853</v>
      </c>
      <c r="AW141" s="138"/>
      <c r="AX141" s="138"/>
      <c r="AY141" s="138">
        <v>302.94</v>
      </c>
      <c r="AZ141" s="138"/>
      <c r="BA141" s="138"/>
      <c r="BB141" s="138"/>
      <c r="BC141" s="138"/>
      <c r="BD141" s="138"/>
      <c r="BE141" s="139"/>
      <c r="BF141" s="162">
        <f t="shared" si="368"/>
        <v>400.84644663581884</v>
      </c>
      <c r="BG141" s="141"/>
      <c r="BH141" s="138"/>
      <c r="BI141" s="138"/>
      <c r="BJ141" s="138"/>
      <c r="BK141" s="138"/>
      <c r="BL141" s="138"/>
      <c r="BM141" s="138"/>
      <c r="BN141" s="138"/>
      <c r="BO141" s="138"/>
      <c r="BP141" s="138"/>
      <c r="BQ141" s="138"/>
      <c r="BR141" s="139"/>
      <c r="BS141" s="162">
        <f t="shared" si="416"/>
        <v>0</v>
      </c>
      <c r="BT141" s="141"/>
      <c r="BU141" s="138"/>
      <c r="BV141" s="138"/>
      <c r="BW141" s="138"/>
      <c r="BX141" s="138"/>
      <c r="BY141" s="138"/>
      <c r="BZ141" s="138"/>
      <c r="CA141" s="138"/>
      <c r="CB141" s="138"/>
      <c r="CC141" s="138"/>
      <c r="CD141" s="138"/>
      <c r="CE141" s="139"/>
      <c r="CF141" s="162">
        <f t="shared" si="370"/>
        <v>0</v>
      </c>
      <c r="CG141" s="141"/>
      <c r="CH141" s="138"/>
      <c r="CI141" s="138"/>
      <c r="CJ141" s="138"/>
      <c r="CK141" s="138"/>
      <c r="CL141" s="138"/>
      <c r="CM141" s="138"/>
      <c r="CN141" s="138"/>
      <c r="CO141" s="138"/>
      <c r="CP141" s="138"/>
      <c r="CQ141" s="138"/>
      <c r="CR141" s="139"/>
      <c r="CS141" s="162">
        <f t="shared" si="371"/>
        <v>0</v>
      </c>
      <c r="CT141" s="141"/>
      <c r="CU141" s="138"/>
      <c r="CV141" s="138"/>
      <c r="CW141" s="138"/>
      <c r="CX141" s="138"/>
      <c r="CY141" s="138"/>
      <c r="CZ141" s="138"/>
      <c r="DA141" s="138"/>
      <c r="DB141" s="138"/>
      <c r="DC141" s="138"/>
      <c r="DD141" s="138"/>
      <c r="DE141" s="139"/>
      <c r="DF141" s="162">
        <f t="shared" si="372"/>
        <v>0</v>
      </c>
      <c r="DG141" s="279"/>
      <c r="DH141" s="90">
        <f t="shared" si="373"/>
        <v>400.84644663581884</v>
      </c>
      <c r="DI141" s="91">
        <f t="shared" si="374"/>
        <v>400.84644663581884</v>
      </c>
      <c r="DJ141" s="92">
        <f t="shared" si="375"/>
        <v>0</v>
      </c>
      <c r="DK141" s="64">
        <f>+DH141/DH140</f>
        <v>1.1247094462284477</v>
      </c>
    </row>
    <row r="142" spans="1:115" ht="15" customHeight="1" outlineLevel="1">
      <c r="A142" s="607"/>
      <c r="B142" s="561"/>
      <c r="C142" s="554" t="s">
        <v>11</v>
      </c>
      <c r="D142" s="555"/>
      <c r="E142" s="143">
        <v>47.072000000000003</v>
      </c>
      <c r="F142" s="144">
        <f t="shared" ref="F142:R142" si="442">+F140-F141</f>
        <v>0</v>
      </c>
      <c r="G142" s="145">
        <f t="shared" si="442"/>
        <v>0</v>
      </c>
      <c r="H142" s="145">
        <f t="shared" si="442"/>
        <v>0</v>
      </c>
      <c r="I142" s="145">
        <f t="shared" si="442"/>
        <v>0</v>
      </c>
      <c r="J142" s="145">
        <f t="shared" si="442"/>
        <v>0</v>
      </c>
      <c r="K142" s="145">
        <f t="shared" si="442"/>
        <v>0</v>
      </c>
      <c r="L142" s="145">
        <f t="shared" si="442"/>
        <v>0</v>
      </c>
      <c r="M142" s="145">
        <f t="shared" si="442"/>
        <v>0</v>
      </c>
      <c r="N142" s="145">
        <f t="shared" si="442"/>
        <v>0</v>
      </c>
      <c r="O142" s="145">
        <f t="shared" si="442"/>
        <v>0</v>
      </c>
      <c r="P142" s="145">
        <f t="shared" si="442"/>
        <v>0</v>
      </c>
      <c r="Q142" s="145">
        <f t="shared" si="442"/>
        <v>0</v>
      </c>
      <c r="R142" s="146">
        <f t="shared" si="442"/>
        <v>0</v>
      </c>
      <c r="S142" s="147">
        <f t="shared" si="433"/>
        <v>0</v>
      </c>
      <c r="T142" s="148">
        <f t="shared" ref="T142:AE142" si="443">+T140-T141</f>
        <v>0</v>
      </c>
      <c r="U142" s="145">
        <f t="shared" si="443"/>
        <v>0</v>
      </c>
      <c r="V142" s="145">
        <f t="shared" si="443"/>
        <v>0</v>
      </c>
      <c r="W142" s="145">
        <f t="shared" si="443"/>
        <v>0</v>
      </c>
      <c r="X142" s="145">
        <f t="shared" si="443"/>
        <v>0</v>
      </c>
      <c r="Y142" s="145">
        <f t="shared" si="443"/>
        <v>0</v>
      </c>
      <c r="Z142" s="145">
        <f t="shared" si="443"/>
        <v>0</v>
      </c>
      <c r="AA142" s="145">
        <f t="shared" si="443"/>
        <v>0</v>
      </c>
      <c r="AB142" s="145">
        <f t="shared" si="443"/>
        <v>0</v>
      </c>
      <c r="AC142" s="145">
        <f t="shared" si="443"/>
        <v>0</v>
      </c>
      <c r="AD142" s="145">
        <f t="shared" si="443"/>
        <v>0</v>
      </c>
      <c r="AE142" s="146">
        <f t="shared" si="443"/>
        <v>0</v>
      </c>
      <c r="AF142" s="147">
        <v>0</v>
      </c>
      <c r="AG142" s="148">
        <f t="shared" ref="AG142:AR142" si="444">+AG140-AG141</f>
        <v>0</v>
      </c>
      <c r="AH142" s="145">
        <f t="shared" si="444"/>
        <v>0</v>
      </c>
      <c r="AI142" s="145">
        <f t="shared" si="444"/>
        <v>0</v>
      </c>
      <c r="AJ142" s="145">
        <f t="shared" si="444"/>
        <v>0</v>
      </c>
      <c r="AK142" s="145">
        <f t="shared" si="444"/>
        <v>0</v>
      </c>
      <c r="AL142" s="145">
        <f t="shared" si="444"/>
        <v>0</v>
      </c>
      <c r="AM142" s="145">
        <f t="shared" si="444"/>
        <v>0</v>
      </c>
      <c r="AN142" s="145">
        <f t="shared" si="444"/>
        <v>0</v>
      </c>
      <c r="AO142" s="145">
        <f t="shared" si="444"/>
        <v>0</v>
      </c>
      <c r="AP142" s="145">
        <f t="shared" si="444"/>
        <v>0</v>
      </c>
      <c r="AQ142" s="145">
        <f t="shared" si="444"/>
        <v>0</v>
      </c>
      <c r="AR142" s="146">
        <f t="shared" si="444"/>
        <v>0</v>
      </c>
      <c r="AS142" s="408">
        <f t="shared" si="367"/>
        <v>0</v>
      </c>
      <c r="AT142" s="148">
        <f t="shared" ref="AT142:BE142" si="445">+AT140-AT141</f>
        <v>0</v>
      </c>
      <c r="AU142" s="145">
        <f t="shared" si="445"/>
        <v>0</v>
      </c>
      <c r="AV142" s="145">
        <f t="shared" si="445"/>
        <v>-97.906446635818853</v>
      </c>
      <c r="AW142" s="145">
        <f t="shared" si="445"/>
        <v>0</v>
      </c>
      <c r="AX142" s="145">
        <f t="shared" si="445"/>
        <v>0</v>
      </c>
      <c r="AY142" s="145">
        <f t="shared" si="445"/>
        <v>53.460000000000036</v>
      </c>
      <c r="AZ142" s="145">
        <f t="shared" si="445"/>
        <v>0</v>
      </c>
      <c r="BA142" s="145">
        <f t="shared" si="445"/>
        <v>0</v>
      </c>
      <c r="BB142" s="145">
        <f t="shared" si="445"/>
        <v>0</v>
      </c>
      <c r="BC142" s="145">
        <f t="shared" si="445"/>
        <v>0</v>
      </c>
      <c r="BD142" s="145">
        <f t="shared" si="445"/>
        <v>0</v>
      </c>
      <c r="BE142" s="146">
        <f t="shared" si="445"/>
        <v>0</v>
      </c>
      <c r="BF142" s="147">
        <f t="shared" si="368"/>
        <v>-44.446446635818816</v>
      </c>
      <c r="BG142" s="148">
        <f t="shared" ref="BG142:BR142" si="446">+BG140-BG141</f>
        <v>0</v>
      </c>
      <c r="BH142" s="145">
        <f t="shared" si="446"/>
        <v>0</v>
      </c>
      <c r="BI142" s="145">
        <f t="shared" si="446"/>
        <v>0</v>
      </c>
      <c r="BJ142" s="145">
        <f t="shared" si="446"/>
        <v>0</v>
      </c>
      <c r="BK142" s="145">
        <f t="shared" si="446"/>
        <v>0</v>
      </c>
      <c r="BL142" s="145">
        <f t="shared" si="446"/>
        <v>0</v>
      </c>
      <c r="BM142" s="145">
        <f t="shared" si="446"/>
        <v>0</v>
      </c>
      <c r="BN142" s="145">
        <f t="shared" si="446"/>
        <v>0</v>
      </c>
      <c r="BO142" s="145">
        <f t="shared" si="446"/>
        <v>0</v>
      </c>
      <c r="BP142" s="145">
        <f t="shared" si="446"/>
        <v>0</v>
      </c>
      <c r="BQ142" s="145">
        <f t="shared" si="446"/>
        <v>0</v>
      </c>
      <c r="BR142" s="146">
        <f t="shared" si="446"/>
        <v>0</v>
      </c>
      <c r="BS142" s="147">
        <f t="shared" si="416"/>
        <v>0</v>
      </c>
      <c r="BT142" s="148">
        <f t="shared" ref="BT142:CE142" si="447">+BT140-BT141</f>
        <v>0</v>
      </c>
      <c r="BU142" s="145">
        <f t="shared" si="447"/>
        <v>0</v>
      </c>
      <c r="BV142" s="145">
        <f t="shared" si="447"/>
        <v>0</v>
      </c>
      <c r="BW142" s="145">
        <f t="shared" si="447"/>
        <v>0</v>
      </c>
      <c r="BX142" s="145">
        <f t="shared" si="447"/>
        <v>0</v>
      </c>
      <c r="BY142" s="145">
        <f t="shared" si="447"/>
        <v>0</v>
      </c>
      <c r="BZ142" s="145">
        <f t="shared" si="447"/>
        <v>0</v>
      </c>
      <c r="CA142" s="145">
        <f t="shared" si="447"/>
        <v>0</v>
      </c>
      <c r="CB142" s="145">
        <f t="shared" si="447"/>
        <v>0</v>
      </c>
      <c r="CC142" s="145">
        <f t="shared" si="447"/>
        <v>0</v>
      </c>
      <c r="CD142" s="145">
        <f t="shared" si="447"/>
        <v>0</v>
      </c>
      <c r="CE142" s="146">
        <f t="shared" si="447"/>
        <v>0</v>
      </c>
      <c r="CF142" s="147">
        <f t="shared" si="370"/>
        <v>0</v>
      </c>
      <c r="CG142" s="148">
        <f t="shared" ref="CG142:CR142" si="448">+CG140-CG141</f>
        <v>0</v>
      </c>
      <c r="CH142" s="145">
        <f t="shared" si="448"/>
        <v>0</v>
      </c>
      <c r="CI142" s="145">
        <f t="shared" si="448"/>
        <v>0</v>
      </c>
      <c r="CJ142" s="145">
        <f t="shared" si="448"/>
        <v>0</v>
      </c>
      <c r="CK142" s="145">
        <f t="shared" si="448"/>
        <v>0</v>
      </c>
      <c r="CL142" s="145">
        <f t="shared" si="448"/>
        <v>0</v>
      </c>
      <c r="CM142" s="145">
        <f t="shared" si="448"/>
        <v>0</v>
      </c>
      <c r="CN142" s="145">
        <f t="shared" si="448"/>
        <v>0</v>
      </c>
      <c r="CO142" s="145">
        <f t="shared" si="448"/>
        <v>0</v>
      </c>
      <c r="CP142" s="145">
        <f t="shared" si="448"/>
        <v>0</v>
      </c>
      <c r="CQ142" s="145">
        <f t="shared" si="448"/>
        <v>0</v>
      </c>
      <c r="CR142" s="146">
        <f t="shared" si="448"/>
        <v>0</v>
      </c>
      <c r="CS142" s="147">
        <f t="shared" si="371"/>
        <v>0</v>
      </c>
      <c r="CT142" s="148">
        <f t="shared" ref="CT142:DE142" si="449">+CT140-CT141</f>
        <v>0</v>
      </c>
      <c r="CU142" s="145">
        <f t="shared" si="449"/>
        <v>0</v>
      </c>
      <c r="CV142" s="145">
        <f t="shared" si="449"/>
        <v>0</v>
      </c>
      <c r="CW142" s="145">
        <f t="shared" si="449"/>
        <v>0</v>
      </c>
      <c r="CX142" s="145">
        <f t="shared" si="449"/>
        <v>0</v>
      </c>
      <c r="CY142" s="145">
        <f t="shared" si="449"/>
        <v>0</v>
      </c>
      <c r="CZ142" s="145">
        <f t="shared" si="449"/>
        <v>0</v>
      </c>
      <c r="DA142" s="145">
        <f t="shared" si="449"/>
        <v>0</v>
      </c>
      <c r="DB142" s="145">
        <f t="shared" si="449"/>
        <v>0</v>
      </c>
      <c r="DC142" s="145">
        <f t="shared" si="449"/>
        <v>0</v>
      </c>
      <c r="DD142" s="145">
        <f t="shared" si="449"/>
        <v>0</v>
      </c>
      <c r="DE142" s="146">
        <f t="shared" si="449"/>
        <v>0</v>
      </c>
      <c r="DF142" s="147">
        <f t="shared" si="372"/>
        <v>0</v>
      </c>
      <c r="DG142" s="146">
        <f>+DG140-DG141</f>
        <v>0</v>
      </c>
      <c r="DH142" s="98">
        <f t="shared" si="373"/>
        <v>-44.446446635818816</v>
      </c>
      <c r="DI142" s="99">
        <f t="shared" si="374"/>
        <v>47.072000000000003</v>
      </c>
      <c r="DJ142" s="100">
        <f t="shared" si="375"/>
        <v>91.518446635818819</v>
      </c>
    </row>
    <row r="143" spans="1:115" ht="15" customHeight="1" outlineLevel="1">
      <c r="A143" s="607"/>
      <c r="B143" s="557" t="s">
        <v>346</v>
      </c>
      <c r="C143" s="246" t="s">
        <v>62</v>
      </c>
      <c r="D143" s="183" t="s">
        <v>122</v>
      </c>
      <c r="E143" s="153">
        <f>AF143+AS143+BF143+BS143+CF143+CS143+DF143+S143+DG143</f>
        <v>388.96340019965641</v>
      </c>
      <c r="F143" s="153"/>
      <c r="G143" s="154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284"/>
      <c r="S143" s="157">
        <f t="shared" ref="S143:S163" si="450">SUM(G143:R143)</f>
        <v>0</v>
      </c>
      <c r="T143" s="378"/>
      <c r="U143" s="382"/>
      <c r="V143" s="382"/>
      <c r="W143" s="382"/>
      <c r="X143" s="389"/>
      <c r="Y143" s="389"/>
      <c r="Z143" s="389"/>
      <c r="AA143" s="389"/>
      <c r="AB143" s="389"/>
      <c r="AC143" s="389"/>
      <c r="AD143" s="389"/>
      <c r="AE143" s="482"/>
      <c r="AF143" s="157">
        <v>0</v>
      </c>
      <c r="AG143" s="500"/>
      <c r="AH143" s="513"/>
      <c r="AI143" s="513"/>
      <c r="AJ143" s="513"/>
      <c r="AK143" s="513"/>
      <c r="AL143" s="513"/>
      <c r="AM143" s="513"/>
      <c r="AN143" s="513"/>
      <c r="AO143" s="513"/>
      <c r="AP143" s="513"/>
      <c r="AQ143" s="513"/>
      <c r="AR143" s="512"/>
      <c r="AS143" s="409">
        <f t="shared" si="367"/>
        <v>0</v>
      </c>
      <c r="AT143" s="500">
        <v>312.05364521217251</v>
      </c>
      <c r="AU143" s="513"/>
      <c r="AV143" s="513">
        <v>76.909754987483879</v>
      </c>
      <c r="AW143" s="155"/>
      <c r="AX143" s="155"/>
      <c r="AY143" s="155"/>
      <c r="AZ143" s="155"/>
      <c r="BA143" s="155"/>
      <c r="BB143" s="155"/>
      <c r="BC143" s="155"/>
      <c r="BD143" s="155"/>
      <c r="BE143" s="156"/>
      <c r="BF143" s="157">
        <f t="shared" si="368"/>
        <v>388.96340019965641</v>
      </c>
      <c r="BG143" s="158"/>
      <c r="BH143" s="155"/>
      <c r="BI143" s="155"/>
      <c r="BJ143" s="155"/>
      <c r="BK143" s="155"/>
      <c r="BL143" s="155"/>
      <c r="BM143" s="155"/>
      <c r="BN143" s="155"/>
      <c r="BO143" s="155"/>
      <c r="BP143" s="155"/>
      <c r="BQ143" s="155"/>
      <c r="BR143" s="156"/>
      <c r="BS143" s="157">
        <f t="shared" si="416"/>
        <v>0</v>
      </c>
      <c r="BT143" s="158"/>
      <c r="BU143" s="155"/>
      <c r="BV143" s="155"/>
      <c r="BW143" s="155"/>
      <c r="BX143" s="155"/>
      <c r="BY143" s="155"/>
      <c r="BZ143" s="155"/>
      <c r="CA143" s="155"/>
      <c r="CB143" s="155"/>
      <c r="CC143" s="155"/>
      <c r="CD143" s="155"/>
      <c r="CE143" s="156"/>
      <c r="CF143" s="157">
        <f t="shared" si="370"/>
        <v>0</v>
      </c>
      <c r="CG143" s="158"/>
      <c r="CH143" s="155"/>
      <c r="CI143" s="155"/>
      <c r="CJ143" s="155"/>
      <c r="CK143" s="155"/>
      <c r="CL143" s="155"/>
      <c r="CM143" s="155"/>
      <c r="CN143" s="155"/>
      <c r="CO143" s="155"/>
      <c r="CP143" s="155"/>
      <c r="CQ143" s="155"/>
      <c r="CR143" s="156"/>
      <c r="CS143" s="157">
        <f t="shared" si="371"/>
        <v>0</v>
      </c>
      <c r="CT143" s="158"/>
      <c r="CU143" s="155"/>
      <c r="CV143" s="155"/>
      <c r="CW143" s="155"/>
      <c r="CX143" s="155"/>
      <c r="CY143" s="155"/>
      <c r="CZ143" s="155"/>
      <c r="DA143" s="155"/>
      <c r="DB143" s="155"/>
      <c r="DC143" s="155"/>
      <c r="DD143" s="155"/>
      <c r="DE143" s="156"/>
      <c r="DF143" s="157">
        <f t="shared" si="372"/>
        <v>0</v>
      </c>
      <c r="DG143" s="280"/>
      <c r="DH143" s="159">
        <f t="shared" si="373"/>
        <v>388.96340019965641</v>
      </c>
      <c r="DI143" s="160">
        <f t="shared" si="374"/>
        <v>388.96340019965641</v>
      </c>
      <c r="DJ143" s="161">
        <f t="shared" si="375"/>
        <v>0</v>
      </c>
    </row>
    <row r="144" spans="1:115" ht="15" customHeight="1" outlineLevel="1">
      <c r="A144" s="607"/>
      <c r="B144" s="560"/>
      <c r="C144" s="245" t="s">
        <v>63</v>
      </c>
      <c r="D144" s="184" t="s">
        <v>124</v>
      </c>
      <c r="E144" s="136">
        <f>AF144+AS144+BF144+BS144+CF144+CS144+DF144+S144+DG144</f>
        <v>242.24059338770937</v>
      </c>
      <c r="F144" s="136"/>
      <c r="G144" s="137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9"/>
      <c r="S144" s="162">
        <f t="shared" si="450"/>
        <v>0</v>
      </c>
      <c r="T144" s="380"/>
      <c r="U144" s="381"/>
      <c r="V144" s="381"/>
      <c r="W144" s="381"/>
      <c r="X144" s="388"/>
      <c r="Y144" s="388"/>
      <c r="Z144" s="388"/>
      <c r="AA144" s="388"/>
      <c r="AB144" s="388"/>
      <c r="AC144" s="388"/>
      <c r="AD144" s="388"/>
      <c r="AE144" s="483"/>
      <c r="AF144" s="162">
        <v>0</v>
      </c>
      <c r="AG144" s="501"/>
      <c r="AH144" s="499"/>
      <c r="AI144" s="499"/>
      <c r="AJ144" s="499"/>
      <c r="AK144" s="499"/>
      <c r="AL144" s="499"/>
      <c r="AM144" s="499"/>
      <c r="AN144" s="499"/>
      <c r="AO144" s="499"/>
      <c r="AP144" s="499">
        <v>1.328617098110769</v>
      </c>
      <c r="AQ144" s="499">
        <v>2.2788321524646684</v>
      </c>
      <c r="AR144" s="511">
        <v>90.342344558599692</v>
      </c>
      <c r="AS144" s="410">
        <f t="shared" si="367"/>
        <v>93.949793809175134</v>
      </c>
      <c r="AT144" s="501">
        <v>4.0956082022082869</v>
      </c>
      <c r="AU144" s="499">
        <v>144.14196676887696</v>
      </c>
      <c r="AV144" s="499">
        <v>5.3224607448987334E-2</v>
      </c>
      <c r="AW144" s="138"/>
      <c r="AX144" s="138"/>
      <c r="AY144" s="138"/>
      <c r="AZ144" s="138"/>
      <c r="BA144" s="138"/>
      <c r="BB144" s="138"/>
      <c r="BC144" s="138"/>
      <c r="BD144" s="138"/>
      <c r="BE144" s="139"/>
      <c r="BF144" s="162">
        <f t="shared" si="368"/>
        <v>148.29079957853423</v>
      </c>
      <c r="BG144" s="141"/>
      <c r="BH144" s="138"/>
      <c r="BI144" s="138"/>
      <c r="BJ144" s="138"/>
      <c r="BK144" s="138"/>
      <c r="BL144" s="138"/>
      <c r="BM144" s="138"/>
      <c r="BN144" s="138"/>
      <c r="BO144" s="138"/>
      <c r="BP144" s="138"/>
      <c r="BQ144" s="138"/>
      <c r="BR144" s="139"/>
      <c r="BS144" s="162">
        <f t="shared" si="416"/>
        <v>0</v>
      </c>
      <c r="BT144" s="141"/>
      <c r="BU144" s="138"/>
      <c r="BV144" s="138"/>
      <c r="BW144" s="138"/>
      <c r="BX144" s="138"/>
      <c r="BY144" s="138"/>
      <c r="BZ144" s="138"/>
      <c r="CA144" s="138"/>
      <c r="CB144" s="138"/>
      <c r="CC144" s="138"/>
      <c r="CD144" s="138"/>
      <c r="CE144" s="139"/>
      <c r="CF144" s="162">
        <f t="shared" si="370"/>
        <v>0</v>
      </c>
      <c r="CG144" s="141"/>
      <c r="CH144" s="138"/>
      <c r="CI144" s="138"/>
      <c r="CJ144" s="138"/>
      <c r="CK144" s="138"/>
      <c r="CL144" s="138"/>
      <c r="CM144" s="138"/>
      <c r="CN144" s="138"/>
      <c r="CO144" s="138"/>
      <c r="CP144" s="138"/>
      <c r="CQ144" s="138"/>
      <c r="CR144" s="139"/>
      <c r="CS144" s="162">
        <f t="shared" si="371"/>
        <v>0</v>
      </c>
      <c r="CT144" s="141"/>
      <c r="CU144" s="138"/>
      <c r="CV144" s="138"/>
      <c r="CW144" s="138"/>
      <c r="CX144" s="138"/>
      <c r="CY144" s="138"/>
      <c r="CZ144" s="138"/>
      <c r="DA144" s="138"/>
      <c r="DB144" s="138"/>
      <c r="DC144" s="138"/>
      <c r="DD144" s="138"/>
      <c r="DE144" s="139"/>
      <c r="DF144" s="162">
        <f t="shared" si="372"/>
        <v>0</v>
      </c>
      <c r="DG144" s="279"/>
      <c r="DH144" s="90">
        <f t="shared" si="373"/>
        <v>242.24059338770937</v>
      </c>
      <c r="DI144" s="91">
        <f t="shared" si="374"/>
        <v>242.24059338770937</v>
      </c>
      <c r="DJ144" s="92">
        <f t="shared" si="375"/>
        <v>0</v>
      </c>
      <c r="DK144" s="64">
        <f>+DH144/DH143</f>
        <v>0.62278505706029497</v>
      </c>
    </row>
    <row r="145" spans="1:115" ht="15" customHeight="1" outlineLevel="1">
      <c r="A145" s="607"/>
      <c r="B145" s="561"/>
      <c r="C145" s="554" t="s">
        <v>11</v>
      </c>
      <c r="D145" s="555"/>
      <c r="E145" s="143">
        <v>47.072000000000003</v>
      </c>
      <c r="F145" s="144">
        <f t="shared" ref="F145:R145" si="451">+F143-F144</f>
        <v>0</v>
      </c>
      <c r="G145" s="145">
        <f t="shared" si="451"/>
        <v>0</v>
      </c>
      <c r="H145" s="145">
        <f t="shared" si="451"/>
        <v>0</v>
      </c>
      <c r="I145" s="145">
        <f t="shared" si="451"/>
        <v>0</v>
      </c>
      <c r="J145" s="145">
        <f t="shared" si="451"/>
        <v>0</v>
      </c>
      <c r="K145" s="145">
        <f t="shared" si="451"/>
        <v>0</v>
      </c>
      <c r="L145" s="145">
        <f t="shared" si="451"/>
        <v>0</v>
      </c>
      <c r="M145" s="145">
        <f t="shared" si="451"/>
        <v>0</v>
      </c>
      <c r="N145" s="145">
        <f t="shared" si="451"/>
        <v>0</v>
      </c>
      <c r="O145" s="145">
        <f t="shared" si="451"/>
        <v>0</v>
      </c>
      <c r="P145" s="145">
        <f t="shared" si="451"/>
        <v>0</v>
      </c>
      <c r="Q145" s="145">
        <f t="shared" si="451"/>
        <v>0</v>
      </c>
      <c r="R145" s="146">
        <f t="shared" si="451"/>
        <v>0</v>
      </c>
      <c r="S145" s="147">
        <f t="shared" si="450"/>
        <v>0</v>
      </c>
      <c r="T145" s="148">
        <f t="shared" ref="T145:AE145" si="452">+T143-T144</f>
        <v>0</v>
      </c>
      <c r="U145" s="145">
        <f t="shared" si="452"/>
        <v>0</v>
      </c>
      <c r="V145" s="145">
        <f t="shared" si="452"/>
        <v>0</v>
      </c>
      <c r="W145" s="145">
        <f t="shared" si="452"/>
        <v>0</v>
      </c>
      <c r="X145" s="145">
        <f t="shared" si="452"/>
        <v>0</v>
      </c>
      <c r="Y145" s="145">
        <f t="shared" si="452"/>
        <v>0</v>
      </c>
      <c r="Z145" s="145">
        <f t="shared" si="452"/>
        <v>0</v>
      </c>
      <c r="AA145" s="145">
        <f t="shared" si="452"/>
        <v>0</v>
      </c>
      <c r="AB145" s="145">
        <f t="shared" si="452"/>
        <v>0</v>
      </c>
      <c r="AC145" s="145">
        <f t="shared" si="452"/>
        <v>0</v>
      </c>
      <c r="AD145" s="145">
        <f t="shared" si="452"/>
        <v>0</v>
      </c>
      <c r="AE145" s="146">
        <f t="shared" si="452"/>
        <v>0</v>
      </c>
      <c r="AF145" s="147">
        <v>0</v>
      </c>
      <c r="AG145" s="148">
        <f t="shared" ref="AG145:AR145" si="453">+AG143-AG144</f>
        <v>0</v>
      </c>
      <c r="AH145" s="145">
        <f t="shared" si="453"/>
        <v>0</v>
      </c>
      <c r="AI145" s="145">
        <f t="shared" si="453"/>
        <v>0</v>
      </c>
      <c r="AJ145" s="145">
        <f t="shared" si="453"/>
        <v>0</v>
      </c>
      <c r="AK145" s="145">
        <f t="shared" si="453"/>
        <v>0</v>
      </c>
      <c r="AL145" s="145">
        <f t="shared" si="453"/>
        <v>0</v>
      </c>
      <c r="AM145" s="145">
        <f t="shared" si="453"/>
        <v>0</v>
      </c>
      <c r="AN145" s="145">
        <f t="shared" si="453"/>
        <v>0</v>
      </c>
      <c r="AO145" s="145">
        <f t="shared" si="453"/>
        <v>0</v>
      </c>
      <c r="AP145" s="145">
        <f t="shared" si="453"/>
        <v>-1.328617098110769</v>
      </c>
      <c r="AQ145" s="145">
        <f t="shared" si="453"/>
        <v>-2.2788321524646684</v>
      </c>
      <c r="AR145" s="146">
        <f t="shared" si="453"/>
        <v>-90.342344558599692</v>
      </c>
      <c r="AS145" s="408">
        <f t="shared" si="367"/>
        <v>-93.949793809175134</v>
      </c>
      <c r="AT145" s="148">
        <f t="shared" ref="AT145:BE145" si="454">+AT143-AT144</f>
        <v>307.95803700996424</v>
      </c>
      <c r="AU145" s="145">
        <f t="shared" si="454"/>
        <v>-144.14196676887696</v>
      </c>
      <c r="AV145" s="145">
        <f t="shared" si="454"/>
        <v>76.856530380034897</v>
      </c>
      <c r="AW145" s="145">
        <f t="shared" si="454"/>
        <v>0</v>
      </c>
      <c r="AX145" s="145">
        <f t="shared" si="454"/>
        <v>0</v>
      </c>
      <c r="AY145" s="145">
        <f t="shared" si="454"/>
        <v>0</v>
      </c>
      <c r="AZ145" s="145">
        <f t="shared" si="454"/>
        <v>0</v>
      </c>
      <c r="BA145" s="145">
        <f t="shared" si="454"/>
        <v>0</v>
      </c>
      <c r="BB145" s="145">
        <f t="shared" si="454"/>
        <v>0</v>
      </c>
      <c r="BC145" s="145">
        <f t="shared" si="454"/>
        <v>0</v>
      </c>
      <c r="BD145" s="145">
        <f t="shared" si="454"/>
        <v>0</v>
      </c>
      <c r="BE145" s="146">
        <f t="shared" si="454"/>
        <v>0</v>
      </c>
      <c r="BF145" s="147">
        <f t="shared" si="368"/>
        <v>240.67260062112217</v>
      </c>
      <c r="BG145" s="148">
        <f t="shared" ref="BG145:BR145" si="455">+BG143-BG144</f>
        <v>0</v>
      </c>
      <c r="BH145" s="145">
        <f t="shared" si="455"/>
        <v>0</v>
      </c>
      <c r="BI145" s="145">
        <f t="shared" si="455"/>
        <v>0</v>
      </c>
      <c r="BJ145" s="145">
        <f t="shared" si="455"/>
        <v>0</v>
      </c>
      <c r="BK145" s="145">
        <f t="shared" si="455"/>
        <v>0</v>
      </c>
      <c r="BL145" s="145">
        <f t="shared" si="455"/>
        <v>0</v>
      </c>
      <c r="BM145" s="145">
        <f t="shared" si="455"/>
        <v>0</v>
      </c>
      <c r="BN145" s="145">
        <f t="shared" si="455"/>
        <v>0</v>
      </c>
      <c r="BO145" s="145">
        <f t="shared" si="455"/>
        <v>0</v>
      </c>
      <c r="BP145" s="145">
        <f t="shared" si="455"/>
        <v>0</v>
      </c>
      <c r="BQ145" s="145">
        <f t="shared" si="455"/>
        <v>0</v>
      </c>
      <c r="BR145" s="146">
        <f t="shared" si="455"/>
        <v>0</v>
      </c>
      <c r="BS145" s="147">
        <f t="shared" si="416"/>
        <v>0</v>
      </c>
      <c r="BT145" s="148">
        <f t="shared" ref="BT145:CE145" si="456">+BT143-BT144</f>
        <v>0</v>
      </c>
      <c r="BU145" s="145">
        <f t="shared" si="456"/>
        <v>0</v>
      </c>
      <c r="BV145" s="145">
        <f t="shared" si="456"/>
        <v>0</v>
      </c>
      <c r="BW145" s="145">
        <f t="shared" si="456"/>
        <v>0</v>
      </c>
      <c r="BX145" s="145">
        <f t="shared" si="456"/>
        <v>0</v>
      </c>
      <c r="BY145" s="145">
        <f t="shared" si="456"/>
        <v>0</v>
      </c>
      <c r="BZ145" s="145">
        <f t="shared" si="456"/>
        <v>0</v>
      </c>
      <c r="CA145" s="145">
        <f t="shared" si="456"/>
        <v>0</v>
      </c>
      <c r="CB145" s="145">
        <f t="shared" si="456"/>
        <v>0</v>
      </c>
      <c r="CC145" s="145">
        <f t="shared" si="456"/>
        <v>0</v>
      </c>
      <c r="CD145" s="145">
        <f t="shared" si="456"/>
        <v>0</v>
      </c>
      <c r="CE145" s="146">
        <f t="shared" si="456"/>
        <v>0</v>
      </c>
      <c r="CF145" s="147">
        <f t="shared" si="370"/>
        <v>0</v>
      </c>
      <c r="CG145" s="148">
        <f t="shared" ref="CG145:CR145" si="457">+CG143-CG144</f>
        <v>0</v>
      </c>
      <c r="CH145" s="145">
        <f t="shared" si="457"/>
        <v>0</v>
      </c>
      <c r="CI145" s="145">
        <f t="shared" si="457"/>
        <v>0</v>
      </c>
      <c r="CJ145" s="145">
        <f t="shared" si="457"/>
        <v>0</v>
      </c>
      <c r="CK145" s="145">
        <f t="shared" si="457"/>
        <v>0</v>
      </c>
      <c r="CL145" s="145">
        <f t="shared" si="457"/>
        <v>0</v>
      </c>
      <c r="CM145" s="145">
        <f t="shared" si="457"/>
        <v>0</v>
      </c>
      <c r="CN145" s="145">
        <f t="shared" si="457"/>
        <v>0</v>
      </c>
      <c r="CO145" s="145">
        <f t="shared" si="457"/>
        <v>0</v>
      </c>
      <c r="CP145" s="145">
        <f t="shared" si="457"/>
        <v>0</v>
      </c>
      <c r="CQ145" s="145">
        <f t="shared" si="457"/>
        <v>0</v>
      </c>
      <c r="CR145" s="146">
        <f t="shared" si="457"/>
        <v>0</v>
      </c>
      <c r="CS145" s="147">
        <f t="shared" si="371"/>
        <v>0</v>
      </c>
      <c r="CT145" s="148">
        <f t="shared" ref="CT145:DE145" si="458">+CT143-CT144</f>
        <v>0</v>
      </c>
      <c r="CU145" s="145">
        <f t="shared" si="458"/>
        <v>0</v>
      </c>
      <c r="CV145" s="145">
        <f t="shared" si="458"/>
        <v>0</v>
      </c>
      <c r="CW145" s="145">
        <f t="shared" si="458"/>
        <v>0</v>
      </c>
      <c r="CX145" s="145">
        <f t="shared" si="458"/>
        <v>0</v>
      </c>
      <c r="CY145" s="145">
        <f t="shared" si="458"/>
        <v>0</v>
      </c>
      <c r="CZ145" s="145">
        <f t="shared" si="458"/>
        <v>0</v>
      </c>
      <c r="DA145" s="145">
        <f t="shared" si="458"/>
        <v>0</v>
      </c>
      <c r="DB145" s="145">
        <f t="shared" si="458"/>
        <v>0</v>
      </c>
      <c r="DC145" s="145">
        <f t="shared" si="458"/>
        <v>0</v>
      </c>
      <c r="DD145" s="145">
        <f t="shared" si="458"/>
        <v>0</v>
      </c>
      <c r="DE145" s="146">
        <f t="shared" si="458"/>
        <v>0</v>
      </c>
      <c r="DF145" s="147">
        <f t="shared" si="372"/>
        <v>0</v>
      </c>
      <c r="DG145" s="146">
        <f>+DG143-DG144</f>
        <v>0</v>
      </c>
      <c r="DH145" s="98">
        <f t="shared" si="373"/>
        <v>146.72280681194704</v>
      </c>
      <c r="DI145" s="99">
        <f t="shared" si="374"/>
        <v>47.072000000000003</v>
      </c>
      <c r="DJ145" s="100">
        <f t="shared" si="375"/>
        <v>-99.650806811947035</v>
      </c>
    </row>
    <row r="146" spans="1:115" ht="15" customHeight="1" outlineLevel="1">
      <c r="A146" s="607"/>
      <c r="B146" s="609" t="s">
        <v>99</v>
      </c>
      <c r="C146" s="246" t="s">
        <v>62</v>
      </c>
      <c r="D146" s="183" t="s">
        <v>122</v>
      </c>
      <c r="E146" s="153">
        <f>AF146+AS146+BF146+BS146+CF146+CS146+DF146+S146+DG146</f>
        <v>2250.406513575535</v>
      </c>
      <c r="F146" s="128"/>
      <c r="G146" s="284">
        <v>470.33521926053299</v>
      </c>
      <c r="H146" s="130"/>
      <c r="I146" s="130"/>
      <c r="J146" s="130"/>
      <c r="K146" s="130"/>
      <c r="L146" s="130">
        <v>701.43175037401159</v>
      </c>
      <c r="M146" s="130"/>
      <c r="N146" s="130"/>
      <c r="O146" s="282"/>
      <c r="P146" s="130"/>
      <c r="Q146" s="130"/>
      <c r="R146" s="282">
        <v>669.9223384615384</v>
      </c>
      <c r="S146" s="163">
        <f t="shared" si="450"/>
        <v>1841.6893080960831</v>
      </c>
      <c r="T146" s="385"/>
      <c r="U146" s="379"/>
      <c r="V146" s="379"/>
      <c r="W146" s="379"/>
      <c r="X146" s="387"/>
      <c r="Y146" s="387"/>
      <c r="Z146" s="387"/>
      <c r="AA146" s="387"/>
      <c r="AB146" s="387"/>
      <c r="AC146" s="387"/>
      <c r="AD146" s="387"/>
      <c r="AE146" s="488"/>
      <c r="AF146" s="163">
        <f t="shared" ref="AF146:AF169" si="459">SUM(T146:AE146)</f>
        <v>0</v>
      </c>
      <c r="AG146" s="507"/>
      <c r="AH146" s="510"/>
      <c r="AI146" s="510"/>
      <c r="AJ146" s="510"/>
      <c r="AK146" s="510"/>
      <c r="AL146" s="510"/>
      <c r="AM146" s="510"/>
      <c r="AN146" s="510"/>
      <c r="AO146" s="510"/>
      <c r="AP146" s="510"/>
      <c r="AQ146" s="510"/>
      <c r="AR146" s="515">
        <v>408.71720547945205</v>
      </c>
      <c r="AS146" s="414">
        <f t="shared" si="367"/>
        <v>408.71720547945205</v>
      </c>
      <c r="AT146" s="516"/>
      <c r="AU146" s="510"/>
      <c r="AV146" s="510"/>
      <c r="AW146" s="365"/>
      <c r="AX146" s="365"/>
      <c r="AY146" s="365"/>
      <c r="AZ146" s="365"/>
      <c r="BA146" s="365"/>
      <c r="BB146" s="365"/>
      <c r="BC146" s="365"/>
      <c r="BD146" s="365"/>
      <c r="BE146" s="370"/>
      <c r="BF146" s="163">
        <f t="shared" si="368"/>
        <v>0</v>
      </c>
      <c r="BG146" s="352"/>
      <c r="BH146" s="282"/>
      <c r="BI146" s="282"/>
      <c r="BJ146" s="282"/>
      <c r="BK146" s="282"/>
      <c r="BL146" s="282"/>
      <c r="BM146" s="282"/>
      <c r="BN146" s="282"/>
      <c r="BO146" s="282"/>
      <c r="BP146" s="282"/>
      <c r="BQ146" s="282"/>
      <c r="BR146" s="284"/>
      <c r="BS146" s="163">
        <f t="shared" ref="BS146:BS187" si="460">SUM(BG146:BR146)</f>
        <v>0</v>
      </c>
      <c r="BT146" s="352"/>
      <c r="BU146" s="282"/>
      <c r="BV146" s="282"/>
      <c r="BW146" s="282"/>
      <c r="BX146" s="282"/>
      <c r="BY146" s="282"/>
      <c r="BZ146" s="282"/>
      <c r="CA146" s="282"/>
      <c r="CB146" s="282"/>
      <c r="CC146" s="282"/>
      <c r="CD146" s="282"/>
      <c r="CE146" s="284"/>
      <c r="CF146" s="163">
        <f t="shared" si="370"/>
        <v>0</v>
      </c>
      <c r="CG146" s="352"/>
      <c r="CH146" s="282"/>
      <c r="CI146" s="282"/>
      <c r="CJ146" s="282"/>
      <c r="CK146" s="282"/>
      <c r="CL146" s="282"/>
      <c r="CM146" s="282"/>
      <c r="CN146" s="282"/>
      <c r="CO146" s="282"/>
      <c r="CP146" s="282"/>
      <c r="CQ146" s="282"/>
      <c r="CR146" s="284"/>
      <c r="CS146" s="163">
        <f t="shared" si="371"/>
        <v>0</v>
      </c>
      <c r="CT146" s="352"/>
      <c r="CU146" s="282"/>
      <c r="CV146" s="282"/>
      <c r="CW146" s="282"/>
      <c r="CX146" s="282"/>
      <c r="CY146" s="282"/>
      <c r="CZ146" s="282"/>
      <c r="DA146" s="282"/>
      <c r="DB146" s="282"/>
      <c r="DC146" s="282"/>
      <c r="DD146" s="282"/>
      <c r="DE146" s="284"/>
      <c r="DF146" s="163">
        <f t="shared" si="372"/>
        <v>0</v>
      </c>
      <c r="DG146" s="278"/>
      <c r="DH146" s="159">
        <f t="shared" si="373"/>
        <v>2250.406513575535</v>
      </c>
      <c r="DI146" s="165">
        <f t="shared" si="374"/>
        <v>2250.406513575535</v>
      </c>
      <c r="DJ146" s="166">
        <f t="shared" si="375"/>
        <v>0</v>
      </c>
    </row>
    <row r="147" spans="1:115" ht="15" customHeight="1" outlineLevel="1">
      <c r="A147" s="607"/>
      <c r="B147" s="548"/>
      <c r="C147" s="245" t="s">
        <v>63</v>
      </c>
      <c r="D147" s="184" t="s">
        <v>124</v>
      </c>
      <c r="E147" s="136">
        <f>AF147+AS147+BF147+BS147+CF147+CS147+DF147+S147+DG147</f>
        <v>1413.4751837320534</v>
      </c>
      <c r="F147" s="136"/>
      <c r="G147" s="137">
        <v>46.141832631126398</v>
      </c>
      <c r="H147" s="138">
        <v>198.31040555555558</v>
      </c>
      <c r="I147" s="138">
        <v>19.612089046391752</v>
      </c>
      <c r="J147" s="138">
        <v>38.435390201976794</v>
      </c>
      <c r="K147" s="138">
        <v>73.418847467811148</v>
      </c>
      <c r="L147" s="138">
        <v>53.928126052575337</v>
      </c>
      <c r="M147" s="138">
        <v>122.09420795914025</v>
      </c>
      <c r="N147" s="138">
        <v>49.740869514237858</v>
      </c>
      <c r="O147" s="138">
        <v>32.959805103734439</v>
      </c>
      <c r="P147" s="138">
        <v>33.088145055395984</v>
      </c>
      <c r="Q147" s="138">
        <v>82.655227710843377</v>
      </c>
      <c r="R147" s="139">
        <v>75.829682536382535</v>
      </c>
      <c r="S147" s="162">
        <f t="shared" si="450"/>
        <v>826.21462883517142</v>
      </c>
      <c r="T147" s="380">
        <v>217.02230447699606</v>
      </c>
      <c r="U147" s="381">
        <v>36.316852248569091</v>
      </c>
      <c r="V147" s="381">
        <v>30.472185134037368</v>
      </c>
      <c r="W147" s="381">
        <v>23.727143794488409</v>
      </c>
      <c r="X147" s="388">
        <v>14.684929658397401</v>
      </c>
      <c r="Y147" s="388">
        <v>13.658141956961122</v>
      </c>
      <c r="Z147" s="388">
        <v>9.5058691771269164</v>
      </c>
      <c r="AA147" s="388">
        <v>6.6465550148797554</v>
      </c>
      <c r="AB147" s="388">
        <v>0.57733437588854142</v>
      </c>
      <c r="AC147" s="388">
        <v>38.646826248566569</v>
      </c>
      <c r="AD147" s="388">
        <v>0.91695177064437261</v>
      </c>
      <c r="AE147" s="483">
        <v>48.57782596067041</v>
      </c>
      <c r="AF147" s="162">
        <f t="shared" si="459"/>
        <v>440.75291981722597</v>
      </c>
      <c r="AG147" s="497">
        <v>32.675415664090508</v>
      </c>
      <c r="AH147" s="499"/>
      <c r="AI147" s="499"/>
      <c r="AJ147" s="499"/>
      <c r="AK147" s="499"/>
      <c r="AL147" s="499"/>
      <c r="AM147" s="499"/>
      <c r="AN147" s="499"/>
      <c r="AO147" s="499"/>
      <c r="AP147" s="499"/>
      <c r="AQ147" s="499">
        <v>49.342909710908195</v>
      </c>
      <c r="AR147" s="511">
        <v>26.134975076103498</v>
      </c>
      <c r="AS147" s="410">
        <f t="shared" si="367"/>
        <v>108.15330045110221</v>
      </c>
      <c r="AT147" s="501">
        <v>38.354334628553843</v>
      </c>
      <c r="AU147" s="499"/>
      <c r="AV147" s="499"/>
      <c r="AW147" s="354"/>
      <c r="AX147" s="354"/>
      <c r="AY147" s="354"/>
      <c r="AZ147" s="354"/>
      <c r="BA147" s="354"/>
      <c r="BB147" s="354"/>
      <c r="BC147" s="354"/>
      <c r="BD147" s="354"/>
      <c r="BE147" s="371"/>
      <c r="BF147" s="162">
        <f t="shared" si="368"/>
        <v>38.354334628553843</v>
      </c>
      <c r="BG147" s="353"/>
      <c r="BH147" s="253"/>
      <c r="BI147" s="253"/>
      <c r="BJ147" s="253"/>
      <c r="BK147" s="253"/>
      <c r="BL147" s="253"/>
      <c r="BM147" s="253"/>
      <c r="BN147" s="253"/>
      <c r="BO147" s="253"/>
      <c r="BP147" s="253"/>
      <c r="BQ147" s="253"/>
      <c r="BR147" s="338"/>
      <c r="BS147" s="162">
        <f t="shared" si="460"/>
        <v>0</v>
      </c>
      <c r="BT147" s="353"/>
      <c r="BU147" s="253"/>
      <c r="BV147" s="253"/>
      <c r="BW147" s="253"/>
      <c r="BX147" s="253"/>
      <c r="BY147" s="253"/>
      <c r="BZ147" s="253"/>
      <c r="CA147" s="253"/>
      <c r="CB147" s="253"/>
      <c r="CC147" s="253"/>
      <c r="CD147" s="253"/>
      <c r="CE147" s="338"/>
      <c r="CF147" s="162">
        <f t="shared" si="370"/>
        <v>0</v>
      </c>
      <c r="CG147" s="353"/>
      <c r="CH147" s="253"/>
      <c r="CI147" s="253"/>
      <c r="CJ147" s="253"/>
      <c r="CK147" s="253"/>
      <c r="CL147" s="253"/>
      <c r="CM147" s="253"/>
      <c r="CN147" s="253"/>
      <c r="CO147" s="253"/>
      <c r="CP147" s="253"/>
      <c r="CQ147" s="253"/>
      <c r="CR147" s="338"/>
      <c r="CS147" s="162">
        <f t="shared" si="371"/>
        <v>0</v>
      </c>
      <c r="CT147" s="353"/>
      <c r="CU147" s="253"/>
      <c r="CV147" s="253"/>
      <c r="CW147" s="253"/>
      <c r="CX147" s="253"/>
      <c r="CY147" s="253"/>
      <c r="CZ147" s="253"/>
      <c r="DA147" s="253"/>
      <c r="DB147" s="253"/>
      <c r="DC147" s="253"/>
      <c r="DD147" s="253"/>
      <c r="DE147" s="338"/>
      <c r="DF147" s="162">
        <f t="shared" si="372"/>
        <v>0</v>
      </c>
      <c r="DG147" s="279"/>
      <c r="DH147" s="90">
        <f t="shared" si="373"/>
        <v>1413.4751837320537</v>
      </c>
      <c r="DI147" s="91">
        <f t="shared" si="374"/>
        <v>1413.4751837320534</v>
      </c>
      <c r="DJ147" s="92">
        <f t="shared" si="375"/>
        <v>0</v>
      </c>
      <c r="DK147" s="64">
        <f>+DH147/DH146</f>
        <v>0.62809771266004222</v>
      </c>
    </row>
    <row r="148" spans="1:115" ht="15" customHeight="1" outlineLevel="1">
      <c r="A148" s="607"/>
      <c r="B148" s="556"/>
      <c r="C148" s="554" t="s">
        <v>11</v>
      </c>
      <c r="D148" s="555"/>
      <c r="E148" s="143">
        <f>+E146-E147</f>
        <v>836.93132984348154</v>
      </c>
      <c r="F148" s="144">
        <f t="shared" ref="F148:R148" si="461">+F146-F147</f>
        <v>0</v>
      </c>
      <c r="G148" s="145">
        <f t="shared" si="461"/>
        <v>424.19338662940658</v>
      </c>
      <c r="H148" s="145">
        <f t="shared" si="461"/>
        <v>-198.31040555555558</v>
      </c>
      <c r="I148" s="145">
        <f t="shared" si="461"/>
        <v>-19.612089046391752</v>
      </c>
      <c r="J148" s="145">
        <f t="shared" si="461"/>
        <v>-38.435390201976794</v>
      </c>
      <c r="K148" s="145">
        <f t="shared" si="461"/>
        <v>-73.418847467811148</v>
      </c>
      <c r="L148" s="145">
        <f t="shared" si="461"/>
        <v>647.50362432143629</v>
      </c>
      <c r="M148" s="145">
        <f t="shared" si="461"/>
        <v>-122.09420795914025</v>
      </c>
      <c r="N148" s="145">
        <f t="shared" si="461"/>
        <v>-49.740869514237858</v>
      </c>
      <c r="O148" s="145">
        <f t="shared" si="461"/>
        <v>-32.959805103734439</v>
      </c>
      <c r="P148" s="145">
        <f t="shared" si="461"/>
        <v>-33.088145055395984</v>
      </c>
      <c r="Q148" s="145">
        <f t="shared" si="461"/>
        <v>-82.655227710843377</v>
      </c>
      <c r="R148" s="146">
        <f t="shared" si="461"/>
        <v>594.0926559251559</v>
      </c>
      <c r="S148" s="147">
        <f t="shared" si="450"/>
        <v>1015.4746792609116</v>
      </c>
      <c r="T148" s="148">
        <f t="shared" ref="T148:AE148" si="462">+T146-T147</f>
        <v>-217.02230447699606</v>
      </c>
      <c r="U148" s="145">
        <f t="shared" si="462"/>
        <v>-36.316852248569091</v>
      </c>
      <c r="V148" s="145">
        <f t="shared" si="462"/>
        <v>-30.472185134037368</v>
      </c>
      <c r="W148" s="145">
        <f t="shared" si="462"/>
        <v>-23.727143794488409</v>
      </c>
      <c r="X148" s="145">
        <f t="shared" si="462"/>
        <v>-14.684929658397401</v>
      </c>
      <c r="Y148" s="145">
        <f t="shared" si="462"/>
        <v>-13.658141956961122</v>
      </c>
      <c r="Z148" s="145">
        <f t="shared" si="462"/>
        <v>-9.5058691771269164</v>
      </c>
      <c r="AA148" s="145">
        <f t="shared" si="462"/>
        <v>-6.6465550148797554</v>
      </c>
      <c r="AB148" s="145">
        <f t="shared" si="462"/>
        <v>-0.57733437588854142</v>
      </c>
      <c r="AC148" s="145">
        <f t="shared" si="462"/>
        <v>-38.646826248566569</v>
      </c>
      <c r="AD148" s="145">
        <f t="shared" si="462"/>
        <v>-0.91695177064437261</v>
      </c>
      <c r="AE148" s="146">
        <f t="shared" si="462"/>
        <v>-48.57782596067041</v>
      </c>
      <c r="AF148" s="147">
        <f t="shared" si="459"/>
        <v>-440.75291981722597</v>
      </c>
      <c r="AG148" s="148">
        <f t="shared" ref="AG148:AP148" si="463">+AG146-AG147</f>
        <v>-32.675415664090508</v>
      </c>
      <c r="AH148" s="145">
        <f t="shared" si="463"/>
        <v>0</v>
      </c>
      <c r="AI148" s="145">
        <f t="shared" si="463"/>
        <v>0</v>
      </c>
      <c r="AJ148" s="145">
        <f t="shared" si="463"/>
        <v>0</v>
      </c>
      <c r="AK148" s="145">
        <f t="shared" si="463"/>
        <v>0</v>
      </c>
      <c r="AL148" s="145">
        <f t="shared" si="463"/>
        <v>0</v>
      </c>
      <c r="AM148" s="145">
        <f t="shared" si="463"/>
        <v>0</v>
      </c>
      <c r="AN148" s="145">
        <f t="shared" si="463"/>
        <v>0</v>
      </c>
      <c r="AO148" s="145">
        <f t="shared" si="463"/>
        <v>0</v>
      </c>
      <c r="AP148" s="145">
        <f t="shared" si="463"/>
        <v>0</v>
      </c>
      <c r="AQ148" s="145">
        <f>+AQ146-AQ147</f>
        <v>-49.342909710908195</v>
      </c>
      <c r="AR148" s="146">
        <f>+AR146-AR147</f>
        <v>382.58223040334855</v>
      </c>
      <c r="AS148" s="408">
        <f t="shared" ref="AS148:AS169" si="464">SUM(AG148:AR148)</f>
        <v>300.56390502834984</v>
      </c>
      <c r="AT148" s="148">
        <f t="shared" ref="AT148:BE148" si="465">+AT146-AT147</f>
        <v>-38.354334628553843</v>
      </c>
      <c r="AU148" s="145">
        <f t="shared" si="465"/>
        <v>0</v>
      </c>
      <c r="AV148" s="145">
        <f t="shared" si="465"/>
        <v>0</v>
      </c>
      <c r="AW148" s="145">
        <f t="shared" si="465"/>
        <v>0</v>
      </c>
      <c r="AX148" s="145">
        <f t="shared" si="465"/>
        <v>0</v>
      </c>
      <c r="AY148" s="145">
        <f t="shared" si="465"/>
        <v>0</v>
      </c>
      <c r="AZ148" s="145">
        <f t="shared" si="465"/>
        <v>0</v>
      </c>
      <c r="BA148" s="145">
        <f t="shared" si="465"/>
        <v>0</v>
      </c>
      <c r="BB148" s="145">
        <f t="shared" si="465"/>
        <v>0</v>
      </c>
      <c r="BC148" s="145">
        <f t="shared" si="465"/>
        <v>0</v>
      </c>
      <c r="BD148" s="145">
        <f t="shared" si="465"/>
        <v>0</v>
      </c>
      <c r="BE148" s="146">
        <f t="shared" si="465"/>
        <v>0</v>
      </c>
      <c r="BF148" s="147">
        <f t="shared" si="368"/>
        <v>-38.354334628553843</v>
      </c>
      <c r="BG148" s="148">
        <f t="shared" ref="BG148:BR148" si="466">+BG146-BG147</f>
        <v>0</v>
      </c>
      <c r="BH148" s="145">
        <f t="shared" si="466"/>
        <v>0</v>
      </c>
      <c r="BI148" s="145">
        <f t="shared" si="466"/>
        <v>0</v>
      </c>
      <c r="BJ148" s="145">
        <f t="shared" si="466"/>
        <v>0</v>
      </c>
      <c r="BK148" s="145">
        <f t="shared" si="466"/>
        <v>0</v>
      </c>
      <c r="BL148" s="145">
        <f t="shared" si="466"/>
        <v>0</v>
      </c>
      <c r="BM148" s="145">
        <f t="shared" si="466"/>
        <v>0</v>
      </c>
      <c r="BN148" s="145">
        <f t="shared" si="466"/>
        <v>0</v>
      </c>
      <c r="BO148" s="145">
        <f t="shared" si="466"/>
        <v>0</v>
      </c>
      <c r="BP148" s="145">
        <f t="shared" si="466"/>
        <v>0</v>
      </c>
      <c r="BQ148" s="145">
        <f t="shared" si="466"/>
        <v>0</v>
      </c>
      <c r="BR148" s="146">
        <f t="shared" si="466"/>
        <v>0</v>
      </c>
      <c r="BS148" s="147">
        <f t="shared" si="460"/>
        <v>0</v>
      </c>
      <c r="BT148" s="148">
        <f t="shared" ref="BT148:CE148" si="467">+BT146-BT147</f>
        <v>0</v>
      </c>
      <c r="BU148" s="145">
        <f t="shared" si="467"/>
        <v>0</v>
      </c>
      <c r="BV148" s="145">
        <f t="shared" si="467"/>
        <v>0</v>
      </c>
      <c r="BW148" s="145">
        <f t="shared" si="467"/>
        <v>0</v>
      </c>
      <c r="BX148" s="145">
        <f t="shared" si="467"/>
        <v>0</v>
      </c>
      <c r="BY148" s="145">
        <f t="shared" si="467"/>
        <v>0</v>
      </c>
      <c r="BZ148" s="145">
        <f t="shared" si="467"/>
        <v>0</v>
      </c>
      <c r="CA148" s="145">
        <f t="shared" si="467"/>
        <v>0</v>
      </c>
      <c r="CB148" s="145">
        <f t="shared" si="467"/>
        <v>0</v>
      </c>
      <c r="CC148" s="145">
        <f t="shared" si="467"/>
        <v>0</v>
      </c>
      <c r="CD148" s="145">
        <f t="shared" si="467"/>
        <v>0</v>
      </c>
      <c r="CE148" s="146">
        <f t="shared" si="467"/>
        <v>0</v>
      </c>
      <c r="CF148" s="147">
        <f t="shared" si="370"/>
        <v>0</v>
      </c>
      <c r="CG148" s="148">
        <f t="shared" ref="CG148:CR148" si="468">+CG146-CG147</f>
        <v>0</v>
      </c>
      <c r="CH148" s="145">
        <f t="shared" si="468"/>
        <v>0</v>
      </c>
      <c r="CI148" s="145">
        <f t="shared" si="468"/>
        <v>0</v>
      </c>
      <c r="CJ148" s="145">
        <f t="shared" si="468"/>
        <v>0</v>
      </c>
      <c r="CK148" s="145">
        <f t="shared" si="468"/>
        <v>0</v>
      </c>
      <c r="CL148" s="145">
        <f t="shared" si="468"/>
        <v>0</v>
      </c>
      <c r="CM148" s="145">
        <f t="shared" si="468"/>
        <v>0</v>
      </c>
      <c r="CN148" s="145">
        <f t="shared" si="468"/>
        <v>0</v>
      </c>
      <c r="CO148" s="145">
        <f t="shared" si="468"/>
        <v>0</v>
      </c>
      <c r="CP148" s="145">
        <f t="shared" si="468"/>
        <v>0</v>
      </c>
      <c r="CQ148" s="145">
        <f t="shared" si="468"/>
        <v>0</v>
      </c>
      <c r="CR148" s="146">
        <f t="shared" si="468"/>
        <v>0</v>
      </c>
      <c r="CS148" s="147">
        <f t="shared" si="371"/>
        <v>0</v>
      </c>
      <c r="CT148" s="148">
        <f t="shared" ref="CT148:DE148" si="469">+CT146-CT147</f>
        <v>0</v>
      </c>
      <c r="CU148" s="145">
        <f t="shared" si="469"/>
        <v>0</v>
      </c>
      <c r="CV148" s="145">
        <f t="shared" si="469"/>
        <v>0</v>
      </c>
      <c r="CW148" s="145">
        <f t="shared" si="469"/>
        <v>0</v>
      </c>
      <c r="CX148" s="145">
        <f t="shared" si="469"/>
        <v>0</v>
      </c>
      <c r="CY148" s="145">
        <f t="shared" si="469"/>
        <v>0</v>
      </c>
      <c r="CZ148" s="145">
        <f t="shared" si="469"/>
        <v>0</v>
      </c>
      <c r="DA148" s="145">
        <f t="shared" si="469"/>
        <v>0</v>
      </c>
      <c r="DB148" s="145">
        <f t="shared" si="469"/>
        <v>0</v>
      </c>
      <c r="DC148" s="145">
        <f t="shared" si="469"/>
        <v>0</v>
      </c>
      <c r="DD148" s="145">
        <f t="shared" si="469"/>
        <v>0</v>
      </c>
      <c r="DE148" s="146">
        <f t="shared" si="469"/>
        <v>0</v>
      </c>
      <c r="DF148" s="147">
        <f t="shared" si="372"/>
        <v>0</v>
      </c>
      <c r="DG148" s="146">
        <f>+DG146-DG147</f>
        <v>0</v>
      </c>
      <c r="DH148" s="98">
        <f t="shared" si="373"/>
        <v>836.93132984348165</v>
      </c>
      <c r="DI148" s="150">
        <f t="shared" si="374"/>
        <v>836.93132984348154</v>
      </c>
      <c r="DJ148" s="151">
        <f t="shared" si="375"/>
        <v>0</v>
      </c>
    </row>
    <row r="149" spans="1:115" ht="15" customHeight="1" outlineLevel="1">
      <c r="A149" s="607"/>
      <c r="B149" s="593" t="s">
        <v>100</v>
      </c>
      <c r="C149" s="246" t="s">
        <v>62</v>
      </c>
      <c r="D149" s="183" t="s">
        <v>122</v>
      </c>
      <c r="E149" s="153">
        <f>AF149+AS149+BF149+BS149+CF149+CS149+DF149+S149+DG149</f>
        <v>2214.1660841299718</v>
      </c>
      <c r="F149" s="153"/>
      <c r="G149" s="284">
        <v>470.33521926053299</v>
      </c>
      <c r="H149" s="155"/>
      <c r="I149" s="155"/>
      <c r="J149" s="155"/>
      <c r="K149" s="155"/>
      <c r="L149" s="155">
        <v>701.43175037401159</v>
      </c>
      <c r="M149" s="155"/>
      <c r="N149" s="155"/>
      <c r="O149" s="155"/>
      <c r="P149" s="155"/>
      <c r="Q149" s="155"/>
      <c r="R149" s="282"/>
      <c r="S149" s="157">
        <f t="shared" si="450"/>
        <v>1171.7669696345447</v>
      </c>
      <c r="T149" s="378"/>
      <c r="U149" s="382"/>
      <c r="V149" s="382"/>
      <c r="W149" s="382"/>
      <c r="X149" s="389"/>
      <c r="Y149" s="389"/>
      <c r="Z149" s="389"/>
      <c r="AA149" s="387"/>
      <c r="AB149" s="389"/>
      <c r="AC149" s="389"/>
      <c r="AD149" s="389"/>
      <c r="AE149" s="389">
        <v>632.39911449542728</v>
      </c>
      <c r="AF149" s="157">
        <f t="shared" si="459"/>
        <v>632.39911449542728</v>
      </c>
      <c r="AG149" s="507"/>
      <c r="AH149" s="507"/>
      <c r="AI149" s="514"/>
      <c r="AJ149" s="514"/>
      <c r="AK149" s="514"/>
      <c r="AL149" s="514"/>
      <c r="AM149" s="514"/>
      <c r="AN149" s="514"/>
      <c r="AO149" s="514"/>
      <c r="AP149" s="514"/>
      <c r="AQ149" s="514"/>
      <c r="AR149" s="505"/>
      <c r="AS149" s="409">
        <f t="shared" si="464"/>
        <v>0</v>
      </c>
      <c r="AT149" s="500"/>
      <c r="AU149" s="513"/>
      <c r="AV149" s="500"/>
      <c r="AW149" s="155"/>
      <c r="AX149" s="155"/>
      <c r="AY149" s="155">
        <v>410</v>
      </c>
      <c r="AZ149" s="155"/>
      <c r="BA149" s="155"/>
      <c r="BB149" s="155"/>
      <c r="BC149" s="155"/>
      <c r="BD149" s="155"/>
      <c r="BE149" s="156"/>
      <c r="BF149" s="157">
        <f t="shared" si="368"/>
        <v>410</v>
      </c>
      <c r="BG149" s="158"/>
      <c r="BH149" s="155"/>
      <c r="BI149" s="155"/>
      <c r="BJ149" s="155"/>
      <c r="BK149" s="155"/>
      <c r="BL149" s="155"/>
      <c r="BM149" s="155"/>
      <c r="BN149" s="155"/>
      <c r="BO149" s="155"/>
      <c r="BP149" s="155"/>
      <c r="BQ149" s="155"/>
      <c r="BR149" s="156"/>
      <c r="BS149" s="157">
        <f t="shared" si="460"/>
        <v>0</v>
      </c>
      <c r="BT149" s="158"/>
      <c r="BU149" s="155"/>
      <c r="BV149" s="155"/>
      <c r="BW149" s="155"/>
      <c r="BX149" s="155"/>
      <c r="BY149" s="155"/>
      <c r="BZ149" s="155"/>
      <c r="CA149" s="155"/>
      <c r="CB149" s="155"/>
      <c r="CC149" s="155"/>
      <c r="CD149" s="155"/>
      <c r="CE149" s="156"/>
      <c r="CF149" s="157">
        <f t="shared" si="370"/>
        <v>0</v>
      </c>
      <c r="CG149" s="158"/>
      <c r="CH149" s="155"/>
      <c r="CI149" s="155"/>
      <c r="CJ149" s="155"/>
      <c r="CK149" s="155"/>
      <c r="CL149" s="155"/>
      <c r="CM149" s="155"/>
      <c r="CN149" s="155"/>
      <c r="CO149" s="155"/>
      <c r="CP149" s="155"/>
      <c r="CQ149" s="155"/>
      <c r="CR149" s="156"/>
      <c r="CS149" s="157">
        <f t="shared" si="371"/>
        <v>0</v>
      </c>
      <c r="CT149" s="158"/>
      <c r="CU149" s="155"/>
      <c r="CV149" s="155"/>
      <c r="CW149" s="155"/>
      <c r="CX149" s="155"/>
      <c r="CY149" s="155"/>
      <c r="CZ149" s="155"/>
      <c r="DA149" s="155"/>
      <c r="DB149" s="155"/>
      <c r="DC149" s="155"/>
      <c r="DD149" s="155"/>
      <c r="DE149" s="156"/>
      <c r="DF149" s="157">
        <f t="shared" si="372"/>
        <v>0</v>
      </c>
      <c r="DG149" s="280"/>
      <c r="DH149" s="159">
        <f t="shared" si="373"/>
        <v>2214.1660841299718</v>
      </c>
      <c r="DI149" s="160">
        <f t="shared" si="374"/>
        <v>2214.1660841299718</v>
      </c>
      <c r="DJ149" s="161">
        <f t="shared" si="375"/>
        <v>0</v>
      </c>
    </row>
    <row r="150" spans="1:115" ht="15" customHeight="1" outlineLevel="1">
      <c r="A150" s="607"/>
      <c r="B150" s="548"/>
      <c r="C150" s="245" t="s">
        <v>63</v>
      </c>
      <c r="D150" s="184" t="s">
        <v>124</v>
      </c>
      <c r="E150" s="136">
        <f>AF150+AS150+BF150+BS150+CF150+CS150+DF150+S150+DG150</f>
        <v>1095.923683463006</v>
      </c>
      <c r="F150" s="136"/>
      <c r="G150" s="137">
        <v>39.241300687876183</v>
      </c>
      <c r="H150" s="138">
        <v>126.40433477523325</v>
      </c>
      <c r="I150" s="138">
        <v>87.092030412371145</v>
      </c>
      <c r="J150" s="138">
        <v>24.179475118177912</v>
      </c>
      <c r="K150" s="138">
        <v>54.475679570815451</v>
      </c>
      <c r="L150" s="138">
        <v>28.459148365035265</v>
      </c>
      <c r="M150" s="138">
        <v>51.876596509895727</v>
      </c>
      <c r="N150" s="138">
        <v>32.359608207705193</v>
      </c>
      <c r="O150" s="138">
        <v>32.677686016597505</v>
      </c>
      <c r="P150" s="138">
        <v>32.741119819450148</v>
      </c>
      <c r="Q150" s="138">
        <v>24.215637349397593</v>
      </c>
      <c r="R150" s="139">
        <v>22.942545987525989</v>
      </c>
      <c r="S150" s="162">
        <f t="shared" si="450"/>
        <v>556.66516282008138</v>
      </c>
      <c r="T150" s="380">
        <v>22.818630781926963</v>
      </c>
      <c r="U150" s="381">
        <v>7.8575224856909234</v>
      </c>
      <c r="V150" s="381">
        <v>7.9367004874086104</v>
      </c>
      <c r="W150" s="381">
        <v>22.507978645564084</v>
      </c>
      <c r="X150" s="388">
        <v>74.910611952128079</v>
      </c>
      <c r="Y150" s="388">
        <v>20.415147663773631</v>
      </c>
      <c r="Z150" s="388">
        <v>16.792967842199641</v>
      </c>
      <c r="AA150" s="388">
        <v>14.98927628086544</v>
      </c>
      <c r="AB150" s="388">
        <v>23.891441772614648</v>
      </c>
      <c r="AC150" s="388">
        <v>13.891504448574478</v>
      </c>
      <c r="AD150" s="388">
        <v>13.802519520466914</v>
      </c>
      <c r="AE150" s="483">
        <v>3.0238895474349414</v>
      </c>
      <c r="AF150" s="162">
        <f t="shared" si="459"/>
        <v>242.83819142864834</v>
      </c>
      <c r="AG150" s="508">
        <v>40.374556290335427</v>
      </c>
      <c r="AH150" s="508">
        <v>4.698869970617042</v>
      </c>
      <c r="AI150" s="508">
        <v>16.509484155823859</v>
      </c>
      <c r="AJ150" s="508">
        <v>7.3519755122438779</v>
      </c>
      <c r="AK150" s="508">
        <v>5.5531133576782628</v>
      </c>
      <c r="AL150" s="508">
        <v>6.8954789342534024</v>
      </c>
      <c r="AM150" s="508">
        <v>4.6675611469588789</v>
      </c>
      <c r="AN150" s="508">
        <v>37.45547248001818</v>
      </c>
      <c r="AO150" s="508">
        <v>7.0556464952474727</v>
      </c>
      <c r="AP150" s="508">
        <v>6.4939673470939301</v>
      </c>
      <c r="AQ150" s="508">
        <v>2.8348344257947184</v>
      </c>
      <c r="AR150" s="508">
        <v>53.079317732115676</v>
      </c>
      <c r="AS150" s="410">
        <f t="shared" si="464"/>
        <v>192.97027784818073</v>
      </c>
      <c r="AT150" s="501">
        <v>5.1521563497864813</v>
      </c>
      <c r="AU150" s="501"/>
      <c r="AV150" s="501">
        <v>68.297895016308885</v>
      </c>
      <c r="AW150" s="138">
        <v>10</v>
      </c>
      <c r="AX150" s="138">
        <v>10</v>
      </c>
      <c r="AY150" s="138">
        <v>10</v>
      </c>
      <c r="AZ150" s="138"/>
      <c r="BA150" s="138"/>
      <c r="BB150" s="138"/>
      <c r="BC150" s="138"/>
      <c r="BD150" s="138"/>
      <c r="BE150" s="139"/>
      <c r="BF150" s="162">
        <f t="shared" si="368"/>
        <v>103.45005136609537</v>
      </c>
      <c r="BG150" s="141"/>
      <c r="BH150" s="138"/>
      <c r="BI150" s="138"/>
      <c r="BJ150" s="138"/>
      <c r="BK150" s="138"/>
      <c r="BL150" s="138"/>
      <c r="BM150" s="138"/>
      <c r="BN150" s="138"/>
      <c r="BO150" s="138"/>
      <c r="BP150" s="138"/>
      <c r="BQ150" s="138"/>
      <c r="BR150" s="139"/>
      <c r="BS150" s="162">
        <f t="shared" si="460"/>
        <v>0</v>
      </c>
      <c r="BT150" s="141"/>
      <c r="BU150" s="138"/>
      <c r="BV150" s="138"/>
      <c r="BW150" s="138"/>
      <c r="BX150" s="138"/>
      <c r="BY150" s="138"/>
      <c r="BZ150" s="138"/>
      <c r="CA150" s="138"/>
      <c r="CB150" s="138"/>
      <c r="CC150" s="138"/>
      <c r="CD150" s="138"/>
      <c r="CE150" s="139"/>
      <c r="CF150" s="162">
        <f t="shared" si="370"/>
        <v>0</v>
      </c>
      <c r="CG150" s="141"/>
      <c r="CH150" s="138"/>
      <c r="CI150" s="138"/>
      <c r="CJ150" s="138"/>
      <c r="CK150" s="138"/>
      <c r="CL150" s="138"/>
      <c r="CM150" s="138"/>
      <c r="CN150" s="138"/>
      <c r="CO150" s="138"/>
      <c r="CP150" s="138"/>
      <c r="CQ150" s="138"/>
      <c r="CR150" s="139"/>
      <c r="CS150" s="162">
        <f t="shared" si="371"/>
        <v>0</v>
      </c>
      <c r="CT150" s="141"/>
      <c r="CU150" s="138"/>
      <c r="CV150" s="138"/>
      <c r="CW150" s="138"/>
      <c r="CX150" s="138"/>
      <c r="CY150" s="138"/>
      <c r="CZ150" s="138"/>
      <c r="DA150" s="138"/>
      <c r="DB150" s="138"/>
      <c r="DC150" s="138"/>
      <c r="DD150" s="138"/>
      <c r="DE150" s="139"/>
      <c r="DF150" s="162">
        <f t="shared" si="372"/>
        <v>0</v>
      </c>
      <c r="DG150" s="279"/>
      <c r="DH150" s="90">
        <f t="shared" si="373"/>
        <v>1095.9236834630058</v>
      </c>
      <c r="DI150" s="91">
        <f t="shared" si="374"/>
        <v>1095.923683463006</v>
      </c>
      <c r="DJ150" s="92">
        <f t="shared" si="375"/>
        <v>0</v>
      </c>
      <c r="DK150" s="64">
        <f>+DH150/DH149</f>
        <v>0.49496001737088974</v>
      </c>
    </row>
    <row r="151" spans="1:115" ht="15" customHeight="1" outlineLevel="1">
      <c r="A151" s="607"/>
      <c r="B151" s="549"/>
      <c r="C151" s="554" t="s">
        <v>11</v>
      </c>
      <c r="D151" s="555"/>
      <c r="E151" s="143">
        <f>+E149-E150</f>
        <v>1118.2424006669658</v>
      </c>
      <c r="F151" s="144">
        <f t="shared" ref="F151:R151" si="470">+F149-F150</f>
        <v>0</v>
      </c>
      <c r="G151" s="145">
        <f t="shared" si="470"/>
        <v>431.09391857265683</v>
      </c>
      <c r="H151" s="145">
        <f t="shared" si="470"/>
        <v>-126.40433477523325</v>
      </c>
      <c r="I151" s="145">
        <f t="shared" si="470"/>
        <v>-87.092030412371145</v>
      </c>
      <c r="J151" s="145">
        <f t="shared" si="470"/>
        <v>-24.179475118177912</v>
      </c>
      <c r="K151" s="145">
        <f t="shared" si="470"/>
        <v>-54.475679570815451</v>
      </c>
      <c r="L151" s="145">
        <f t="shared" si="470"/>
        <v>672.97260200897631</v>
      </c>
      <c r="M151" s="145">
        <f t="shared" si="470"/>
        <v>-51.876596509895727</v>
      </c>
      <c r="N151" s="145">
        <f t="shared" si="470"/>
        <v>-32.359608207705193</v>
      </c>
      <c r="O151" s="145">
        <f t="shared" si="470"/>
        <v>-32.677686016597505</v>
      </c>
      <c r="P151" s="145">
        <f t="shared" si="470"/>
        <v>-32.741119819450148</v>
      </c>
      <c r="Q151" s="145">
        <f t="shared" si="470"/>
        <v>-24.215637349397593</v>
      </c>
      <c r="R151" s="146">
        <f t="shared" si="470"/>
        <v>-22.942545987525989</v>
      </c>
      <c r="S151" s="147">
        <f t="shared" si="450"/>
        <v>615.10180681446309</v>
      </c>
      <c r="T151" s="148">
        <f t="shared" ref="T151:AE151" si="471">+T149-T150</f>
        <v>-22.818630781926963</v>
      </c>
      <c r="U151" s="145">
        <f t="shared" si="471"/>
        <v>-7.8575224856909234</v>
      </c>
      <c r="V151" s="145">
        <f t="shared" si="471"/>
        <v>-7.9367004874086104</v>
      </c>
      <c r="W151" s="145">
        <f t="shared" si="471"/>
        <v>-22.507978645564084</v>
      </c>
      <c r="X151" s="145">
        <f t="shared" si="471"/>
        <v>-74.910611952128079</v>
      </c>
      <c r="Y151" s="145">
        <f t="shared" si="471"/>
        <v>-20.415147663773631</v>
      </c>
      <c r="Z151" s="145">
        <f t="shared" si="471"/>
        <v>-16.792967842199641</v>
      </c>
      <c r="AA151" s="145">
        <f t="shared" si="471"/>
        <v>-14.98927628086544</v>
      </c>
      <c r="AB151" s="145">
        <f t="shared" si="471"/>
        <v>-23.891441772614648</v>
      </c>
      <c r="AC151" s="145">
        <f t="shared" si="471"/>
        <v>-13.891504448574478</v>
      </c>
      <c r="AD151" s="145">
        <f t="shared" si="471"/>
        <v>-13.802519520466914</v>
      </c>
      <c r="AE151" s="146">
        <f t="shared" si="471"/>
        <v>629.37522494799236</v>
      </c>
      <c r="AF151" s="147">
        <f t="shared" si="459"/>
        <v>389.56092306677897</v>
      </c>
      <c r="AG151" s="148">
        <f t="shared" ref="AG151:AR151" si="472">+AG149-AG150</f>
        <v>-40.374556290335427</v>
      </c>
      <c r="AH151" s="145">
        <f t="shared" si="472"/>
        <v>-4.698869970617042</v>
      </c>
      <c r="AI151" s="145">
        <f t="shared" si="472"/>
        <v>-16.509484155823859</v>
      </c>
      <c r="AJ151" s="145">
        <f t="shared" si="472"/>
        <v>-7.3519755122438779</v>
      </c>
      <c r="AK151" s="145">
        <f t="shared" si="472"/>
        <v>-5.5531133576782628</v>
      </c>
      <c r="AL151" s="145">
        <f t="shared" si="472"/>
        <v>-6.8954789342534024</v>
      </c>
      <c r="AM151" s="145">
        <f t="shared" si="472"/>
        <v>-4.6675611469588789</v>
      </c>
      <c r="AN151" s="145">
        <f t="shared" si="472"/>
        <v>-37.45547248001818</v>
      </c>
      <c r="AO151" s="145">
        <f t="shared" si="472"/>
        <v>-7.0556464952474727</v>
      </c>
      <c r="AP151" s="145">
        <f t="shared" si="472"/>
        <v>-6.4939673470939301</v>
      </c>
      <c r="AQ151" s="145">
        <f t="shared" si="472"/>
        <v>-2.8348344257947184</v>
      </c>
      <c r="AR151" s="146">
        <f t="shared" si="472"/>
        <v>-53.079317732115676</v>
      </c>
      <c r="AS151" s="408">
        <f t="shared" si="464"/>
        <v>-192.97027784818073</v>
      </c>
      <c r="AT151" s="148">
        <f t="shared" ref="AT151:BE151" si="473">+AT149-AT150</f>
        <v>-5.1521563497864813</v>
      </c>
      <c r="AU151" s="145">
        <f t="shared" si="473"/>
        <v>0</v>
      </c>
      <c r="AV151" s="145">
        <f t="shared" si="473"/>
        <v>-68.297895016308885</v>
      </c>
      <c r="AW151" s="145">
        <f t="shared" si="473"/>
        <v>-10</v>
      </c>
      <c r="AX151" s="145">
        <f t="shared" si="473"/>
        <v>-10</v>
      </c>
      <c r="AY151" s="145">
        <f t="shared" si="473"/>
        <v>400</v>
      </c>
      <c r="AZ151" s="145">
        <f t="shared" si="473"/>
        <v>0</v>
      </c>
      <c r="BA151" s="145">
        <f t="shared" si="473"/>
        <v>0</v>
      </c>
      <c r="BB151" s="145">
        <f t="shared" si="473"/>
        <v>0</v>
      </c>
      <c r="BC151" s="145">
        <f t="shared" si="473"/>
        <v>0</v>
      </c>
      <c r="BD151" s="145">
        <f t="shared" si="473"/>
        <v>0</v>
      </c>
      <c r="BE151" s="146">
        <f t="shared" si="473"/>
        <v>0</v>
      </c>
      <c r="BF151" s="147">
        <f t="shared" si="368"/>
        <v>306.54994863390465</v>
      </c>
      <c r="BG151" s="148">
        <f t="shared" ref="BG151:BR151" si="474">+BG149-BG150</f>
        <v>0</v>
      </c>
      <c r="BH151" s="145">
        <f t="shared" si="474"/>
        <v>0</v>
      </c>
      <c r="BI151" s="145">
        <f t="shared" si="474"/>
        <v>0</v>
      </c>
      <c r="BJ151" s="145">
        <f t="shared" si="474"/>
        <v>0</v>
      </c>
      <c r="BK151" s="145">
        <f t="shared" si="474"/>
        <v>0</v>
      </c>
      <c r="BL151" s="145">
        <f t="shared" si="474"/>
        <v>0</v>
      </c>
      <c r="BM151" s="145">
        <f t="shared" si="474"/>
        <v>0</v>
      </c>
      <c r="BN151" s="145">
        <f t="shared" si="474"/>
        <v>0</v>
      </c>
      <c r="BO151" s="145">
        <f t="shared" si="474"/>
        <v>0</v>
      </c>
      <c r="BP151" s="145">
        <f t="shared" si="474"/>
        <v>0</v>
      </c>
      <c r="BQ151" s="145">
        <f t="shared" si="474"/>
        <v>0</v>
      </c>
      <c r="BR151" s="146">
        <f t="shared" si="474"/>
        <v>0</v>
      </c>
      <c r="BS151" s="147">
        <f t="shared" si="460"/>
        <v>0</v>
      </c>
      <c r="BT151" s="148">
        <f t="shared" ref="BT151:CE151" si="475">+BT149-BT150</f>
        <v>0</v>
      </c>
      <c r="BU151" s="145">
        <f t="shared" si="475"/>
        <v>0</v>
      </c>
      <c r="BV151" s="145">
        <f t="shared" si="475"/>
        <v>0</v>
      </c>
      <c r="BW151" s="145">
        <f t="shared" si="475"/>
        <v>0</v>
      </c>
      <c r="BX151" s="145">
        <f t="shared" si="475"/>
        <v>0</v>
      </c>
      <c r="BY151" s="145">
        <f t="shared" si="475"/>
        <v>0</v>
      </c>
      <c r="BZ151" s="145">
        <f t="shared" si="475"/>
        <v>0</v>
      </c>
      <c r="CA151" s="145">
        <f t="shared" si="475"/>
        <v>0</v>
      </c>
      <c r="CB151" s="145">
        <f t="shared" si="475"/>
        <v>0</v>
      </c>
      <c r="CC151" s="145">
        <f t="shared" si="475"/>
        <v>0</v>
      </c>
      <c r="CD151" s="145">
        <f t="shared" si="475"/>
        <v>0</v>
      </c>
      <c r="CE151" s="146">
        <f t="shared" si="475"/>
        <v>0</v>
      </c>
      <c r="CF151" s="147">
        <f t="shared" si="370"/>
        <v>0</v>
      </c>
      <c r="CG151" s="148">
        <f t="shared" ref="CG151:CR151" si="476">+CG149-CG150</f>
        <v>0</v>
      </c>
      <c r="CH151" s="145">
        <f t="shared" si="476"/>
        <v>0</v>
      </c>
      <c r="CI151" s="145">
        <f t="shared" si="476"/>
        <v>0</v>
      </c>
      <c r="CJ151" s="145">
        <f t="shared" si="476"/>
        <v>0</v>
      </c>
      <c r="CK151" s="145">
        <f t="shared" si="476"/>
        <v>0</v>
      </c>
      <c r="CL151" s="145">
        <f t="shared" si="476"/>
        <v>0</v>
      </c>
      <c r="CM151" s="145">
        <f t="shared" si="476"/>
        <v>0</v>
      </c>
      <c r="CN151" s="145">
        <f t="shared" si="476"/>
        <v>0</v>
      </c>
      <c r="CO151" s="145">
        <f t="shared" si="476"/>
        <v>0</v>
      </c>
      <c r="CP151" s="145">
        <f t="shared" si="476"/>
        <v>0</v>
      </c>
      <c r="CQ151" s="145">
        <f t="shared" si="476"/>
        <v>0</v>
      </c>
      <c r="CR151" s="146">
        <f t="shared" si="476"/>
        <v>0</v>
      </c>
      <c r="CS151" s="147">
        <f t="shared" si="371"/>
        <v>0</v>
      </c>
      <c r="CT151" s="148">
        <f t="shared" ref="CT151:DE151" si="477">+CT149-CT150</f>
        <v>0</v>
      </c>
      <c r="CU151" s="145">
        <f t="shared" si="477"/>
        <v>0</v>
      </c>
      <c r="CV151" s="145">
        <f t="shared" si="477"/>
        <v>0</v>
      </c>
      <c r="CW151" s="145">
        <f t="shared" si="477"/>
        <v>0</v>
      </c>
      <c r="CX151" s="145">
        <f t="shared" si="477"/>
        <v>0</v>
      </c>
      <c r="CY151" s="145">
        <f t="shared" si="477"/>
        <v>0</v>
      </c>
      <c r="CZ151" s="145">
        <f t="shared" si="477"/>
        <v>0</v>
      </c>
      <c r="DA151" s="145">
        <f t="shared" si="477"/>
        <v>0</v>
      </c>
      <c r="DB151" s="145">
        <f t="shared" si="477"/>
        <v>0</v>
      </c>
      <c r="DC151" s="145">
        <f t="shared" si="477"/>
        <v>0</v>
      </c>
      <c r="DD151" s="145">
        <f t="shared" si="477"/>
        <v>0</v>
      </c>
      <c r="DE151" s="146">
        <f t="shared" si="477"/>
        <v>0</v>
      </c>
      <c r="DF151" s="147">
        <f t="shared" si="372"/>
        <v>0</v>
      </c>
      <c r="DG151" s="146">
        <f>+DG149-DG150</f>
        <v>0</v>
      </c>
      <c r="DH151" s="98">
        <f t="shared" si="373"/>
        <v>1118.242400666966</v>
      </c>
      <c r="DI151" s="99">
        <f t="shared" si="374"/>
        <v>1118.2424006669658</v>
      </c>
      <c r="DJ151" s="100">
        <f t="shared" si="375"/>
        <v>0</v>
      </c>
    </row>
    <row r="152" spans="1:115" ht="15" customHeight="1" outlineLevel="1">
      <c r="A152" s="607"/>
      <c r="B152" s="609" t="s">
        <v>101</v>
      </c>
      <c r="C152" s="246" t="s">
        <v>62</v>
      </c>
      <c r="D152" s="183" t="s">
        <v>122</v>
      </c>
      <c r="E152" s="153">
        <f>AF152+AS152+BF152+BS152+CF152+CS152+DF152+S152+DG152</f>
        <v>1836.6874301715525</v>
      </c>
      <c r="F152" s="128"/>
      <c r="G152" s="129"/>
      <c r="H152" s="130"/>
      <c r="I152" s="130"/>
      <c r="J152" s="130"/>
      <c r="K152" s="130"/>
      <c r="L152" s="130"/>
      <c r="M152" s="130"/>
      <c r="N152" s="130"/>
      <c r="O152" s="130"/>
      <c r="P152" s="284"/>
      <c r="Q152" s="284"/>
      <c r="R152" s="284">
        <v>427.91854303534308</v>
      </c>
      <c r="S152" s="163">
        <f t="shared" si="450"/>
        <v>427.91854303534308</v>
      </c>
      <c r="T152" s="385"/>
      <c r="U152" s="379"/>
      <c r="V152" s="379"/>
      <c r="W152" s="379"/>
      <c r="X152" s="387"/>
      <c r="Y152" s="387"/>
      <c r="Z152" s="387"/>
      <c r="AA152" s="387"/>
      <c r="AB152" s="387"/>
      <c r="AC152" s="387"/>
      <c r="AD152" s="387">
        <v>608.76888713620951</v>
      </c>
      <c r="AE152" s="387"/>
      <c r="AF152" s="163">
        <f t="shared" si="459"/>
        <v>608.76888713620951</v>
      </c>
      <c r="AG152" s="507"/>
      <c r="AH152" s="507"/>
      <c r="AI152" s="507"/>
      <c r="AJ152" s="507"/>
      <c r="AK152" s="507"/>
      <c r="AL152" s="507"/>
      <c r="AM152" s="507"/>
      <c r="AN152" s="507"/>
      <c r="AO152" s="507"/>
      <c r="AP152" s="507"/>
      <c r="AQ152" s="507"/>
      <c r="AR152" s="503"/>
      <c r="AS152" s="414">
        <f t="shared" si="464"/>
        <v>0</v>
      </c>
      <c r="AT152" s="503"/>
      <c r="AU152" s="510"/>
      <c r="AV152" s="510"/>
      <c r="AW152" s="282"/>
      <c r="AX152" s="282"/>
      <c r="AY152" s="282"/>
      <c r="AZ152" s="282"/>
      <c r="BA152" s="282"/>
      <c r="BB152" s="130"/>
      <c r="BC152" s="130"/>
      <c r="BD152" s="130">
        <v>450</v>
      </c>
      <c r="BE152" s="131"/>
      <c r="BF152" s="163">
        <f t="shared" si="368"/>
        <v>450</v>
      </c>
      <c r="BG152" s="133"/>
      <c r="BH152" s="130"/>
      <c r="BI152" s="130"/>
      <c r="BJ152" s="130"/>
      <c r="BK152" s="130">
        <v>350</v>
      </c>
      <c r="BL152" s="130"/>
      <c r="BM152" s="130"/>
      <c r="BN152" s="130"/>
      <c r="BO152" s="130"/>
      <c r="BP152" s="130"/>
      <c r="BQ152" s="130"/>
      <c r="BR152" s="131"/>
      <c r="BS152" s="163">
        <f t="shared" si="460"/>
        <v>350</v>
      </c>
      <c r="BT152" s="133"/>
      <c r="BU152" s="130"/>
      <c r="BV152" s="130"/>
      <c r="BW152" s="130"/>
      <c r="BX152" s="130"/>
      <c r="BY152" s="130"/>
      <c r="BZ152" s="130"/>
      <c r="CA152" s="130"/>
      <c r="CB152" s="130"/>
      <c r="CC152" s="130"/>
      <c r="CD152" s="130"/>
      <c r="CE152" s="131"/>
      <c r="CF152" s="163">
        <f t="shared" si="370"/>
        <v>0</v>
      </c>
      <c r="CG152" s="133"/>
      <c r="CH152" s="130"/>
      <c r="CI152" s="130"/>
      <c r="CJ152" s="130"/>
      <c r="CK152" s="130"/>
      <c r="CL152" s="130"/>
      <c r="CM152" s="130"/>
      <c r="CN152" s="130"/>
      <c r="CO152" s="130"/>
      <c r="CP152" s="130"/>
      <c r="CQ152" s="130"/>
      <c r="CR152" s="131"/>
      <c r="CS152" s="163">
        <f t="shared" si="371"/>
        <v>0</v>
      </c>
      <c r="CT152" s="133"/>
      <c r="CU152" s="130"/>
      <c r="CV152" s="130"/>
      <c r="CW152" s="130"/>
      <c r="CX152" s="130"/>
      <c r="CY152" s="130"/>
      <c r="CZ152" s="130"/>
      <c r="DA152" s="130"/>
      <c r="DB152" s="130"/>
      <c r="DC152" s="130"/>
      <c r="DD152" s="130"/>
      <c r="DE152" s="131"/>
      <c r="DF152" s="163">
        <f t="shared" si="372"/>
        <v>0</v>
      </c>
      <c r="DG152" s="278"/>
      <c r="DH152" s="159">
        <f t="shared" si="373"/>
        <v>1836.6874301715525</v>
      </c>
      <c r="DI152" s="165">
        <f t="shared" si="374"/>
        <v>1836.6874301715525</v>
      </c>
      <c r="DJ152" s="166">
        <f t="shared" si="375"/>
        <v>0</v>
      </c>
    </row>
    <row r="153" spans="1:115" ht="15" customHeight="1" outlineLevel="1">
      <c r="A153" s="607"/>
      <c r="B153" s="548"/>
      <c r="C153" s="245" t="s">
        <v>63</v>
      </c>
      <c r="D153" s="184" t="s">
        <v>124</v>
      </c>
      <c r="E153" s="136">
        <f>AF153+AS153+BF153+BS153+CF153+CS153+DF153+S153+DG153</f>
        <v>967.90363939519455</v>
      </c>
      <c r="F153" s="136"/>
      <c r="G153" s="137"/>
      <c r="H153" s="138"/>
      <c r="I153" s="138"/>
      <c r="J153" s="138"/>
      <c r="K153" s="138"/>
      <c r="L153" s="138"/>
      <c r="M153" s="138">
        <v>119.70101340710789</v>
      </c>
      <c r="N153" s="138">
        <v>70.028134087102188</v>
      </c>
      <c r="O153" s="138">
        <v>7.4103578838174275</v>
      </c>
      <c r="P153" s="253">
        <v>7.8792554370127208</v>
      </c>
      <c r="Q153" s="253">
        <v>8.4604189447444949</v>
      </c>
      <c r="R153" s="338">
        <v>8.3881844906444911</v>
      </c>
      <c r="S153" s="162">
        <f t="shared" si="450"/>
        <v>221.8673642504292</v>
      </c>
      <c r="T153" s="380">
        <v>11.553060903651744</v>
      </c>
      <c r="U153" s="381">
        <v>11.976594112837285</v>
      </c>
      <c r="V153" s="381">
        <v>11.815289926888708</v>
      </c>
      <c r="W153" s="381">
        <v>14.733020559112418</v>
      </c>
      <c r="X153" s="388">
        <v>18.333056669572798</v>
      </c>
      <c r="Y153" s="388">
        <v>17.853375064399795</v>
      </c>
      <c r="Z153" s="388">
        <v>22.783512293285515</v>
      </c>
      <c r="AA153" s="388">
        <v>69.547810986889729</v>
      </c>
      <c r="AB153" s="388">
        <v>8.0110961452536653</v>
      </c>
      <c r="AC153" s="388">
        <v>7.9691094151607418</v>
      </c>
      <c r="AD153" s="388">
        <v>8.2191300575755193</v>
      </c>
      <c r="AE153" s="483">
        <v>1.5064668524551557</v>
      </c>
      <c r="AF153" s="162">
        <f t="shared" si="459"/>
        <v>204.30152298708308</v>
      </c>
      <c r="AG153" s="506">
        <v>24.367682057206597</v>
      </c>
      <c r="AH153" s="504">
        <v>4.6442912438785502</v>
      </c>
      <c r="AI153" s="504">
        <v>5.0214643847927167</v>
      </c>
      <c r="AJ153" s="504">
        <v>7.5386514050666973</v>
      </c>
      <c r="AK153" s="504">
        <v>7.0489777820488184</v>
      </c>
      <c r="AL153" s="504">
        <v>6.3656712286754837</v>
      </c>
      <c r="AM153" s="504">
        <v>7.9038121873926155</v>
      </c>
      <c r="AN153" s="504">
        <v>5.9715517254441455</v>
      </c>
      <c r="AO153" s="504">
        <v>6.020820540008331</v>
      </c>
      <c r="AP153" s="504">
        <v>6.2769354544417837</v>
      </c>
      <c r="AQ153" s="504">
        <v>8.0810838479899978</v>
      </c>
      <c r="AR153" s="508">
        <v>9.095569863013699</v>
      </c>
      <c r="AS153" s="410">
        <f t="shared" si="464"/>
        <v>98.336511719959432</v>
      </c>
      <c r="AT153" s="501">
        <v>12.919038895087139</v>
      </c>
      <c r="AU153" s="499">
        <v>14.508061134534305</v>
      </c>
      <c r="AV153" s="499">
        <v>10.971140408101343</v>
      </c>
      <c r="AW153" s="253">
        <v>15</v>
      </c>
      <c r="AX153" s="253">
        <v>30</v>
      </c>
      <c r="AY153" s="253">
        <v>30</v>
      </c>
      <c r="AZ153" s="253">
        <v>30</v>
      </c>
      <c r="BA153" s="253">
        <v>30</v>
      </c>
      <c r="BB153" s="138">
        <v>30</v>
      </c>
      <c r="BC153" s="138">
        <v>30</v>
      </c>
      <c r="BD153" s="138">
        <v>30</v>
      </c>
      <c r="BE153" s="139">
        <v>30</v>
      </c>
      <c r="BF153" s="162">
        <f t="shared" si="368"/>
        <v>293.39824043772279</v>
      </c>
      <c r="BG153" s="141">
        <v>30</v>
      </c>
      <c r="BH153" s="138">
        <v>30</v>
      </c>
      <c r="BI153" s="138">
        <v>30</v>
      </c>
      <c r="BJ153" s="138">
        <v>30</v>
      </c>
      <c r="BK153" s="138">
        <v>30</v>
      </c>
      <c r="BL153" s="138"/>
      <c r="BM153" s="138"/>
      <c r="BN153" s="138"/>
      <c r="BO153" s="138"/>
      <c r="BP153" s="138"/>
      <c r="BQ153" s="138"/>
      <c r="BR153" s="139"/>
      <c r="BS153" s="162">
        <f t="shared" si="460"/>
        <v>150</v>
      </c>
      <c r="BT153" s="141"/>
      <c r="BU153" s="138"/>
      <c r="BV153" s="138"/>
      <c r="BW153" s="138"/>
      <c r="BX153" s="138"/>
      <c r="BY153" s="138"/>
      <c r="BZ153" s="138"/>
      <c r="CA153" s="138"/>
      <c r="CB153" s="138"/>
      <c r="CC153" s="138"/>
      <c r="CD153" s="138"/>
      <c r="CE153" s="139"/>
      <c r="CF153" s="162">
        <f t="shared" si="370"/>
        <v>0</v>
      </c>
      <c r="CG153" s="141"/>
      <c r="CH153" s="138"/>
      <c r="CI153" s="138"/>
      <c r="CJ153" s="138"/>
      <c r="CK153" s="138"/>
      <c r="CL153" s="138"/>
      <c r="CM153" s="138"/>
      <c r="CN153" s="138"/>
      <c r="CO153" s="138"/>
      <c r="CP153" s="138"/>
      <c r="CQ153" s="138"/>
      <c r="CR153" s="139"/>
      <c r="CS153" s="162">
        <f t="shared" si="371"/>
        <v>0</v>
      </c>
      <c r="CT153" s="141"/>
      <c r="CU153" s="138"/>
      <c r="CV153" s="138"/>
      <c r="CW153" s="138"/>
      <c r="CX153" s="138"/>
      <c r="CY153" s="138"/>
      <c r="CZ153" s="138"/>
      <c r="DA153" s="138"/>
      <c r="DB153" s="138"/>
      <c r="DC153" s="138"/>
      <c r="DD153" s="138"/>
      <c r="DE153" s="139"/>
      <c r="DF153" s="162">
        <f t="shared" si="372"/>
        <v>0</v>
      </c>
      <c r="DG153" s="279"/>
      <c r="DH153" s="90">
        <f t="shared" si="373"/>
        <v>967.90363939519443</v>
      </c>
      <c r="DI153" s="91">
        <f t="shared" si="374"/>
        <v>967.90363939519455</v>
      </c>
      <c r="DJ153" s="92">
        <f t="shared" si="375"/>
        <v>0</v>
      </c>
      <c r="DK153" s="64">
        <f>+DH153/DH152</f>
        <v>0.52698331980460555</v>
      </c>
    </row>
    <row r="154" spans="1:115" ht="15" customHeight="1" outlineLevel="1">
      <c r="A154" s="607"/>
      <c r="B154" s="556"/>
      <c r="C154" s="554" t="s">
        <v>11</v>
      </c>
      <c r="D154" s="555"/>
      <c r="E154" s="143">
        <f>+E152-E153</f>
        <v>868.78379077635793</v>
      </c>
      <c r="F154" s="144">
        <f t="shared" ref="F154:R154" si="478">+F152-F153</f>
        <v>0</v>
      </c>
      <c r="G154" s="145">
        <f t="shared" si="478"/>
        <v>0</v>
      </c>
      <c r="H154" s="145">
        <f t="shared" si="478"/>
        <v>0</v>
      </c>
      <c r="I154" s="145">
        <f t="shared" si="478"/>
        <v>0</v>
      </c>
      <c r="J154" s="145">
        <f t="shared" si="478"/>
        <v>0</v>
      </c>
      <c r="K154" s="145">
        <f t="shared" si="478"/>
        <v>0</v>
      </c>
      <c r="L154" s="145">
        <f t="shared" si="478"/>
        <v>0</v>
      </c>
      <c r="M154" s="145">
        <f t="shared" si="478"/>
        <v>-119.70101340710789</v>
      </c>
      <c r="N154" s="145">
        <f t="shared" si="478"/>
        <v>-70.028134087102188</v>
      </c>
      <c r="O154" s="145">
        <f t="shared" si="478"/>
        <v>-7.4103578838174275</v>
      </c>
      <c r="P154" s="145">
        <f t="shared" si="478"/>
        <v>-7.8792554370127208</v>
      </c>
      <c r="Q154" s="145">
        <f t="shared" si="478"/>
        <v>-8.4604189447444949</v>
      </c>
      <c r="R154" s="146">
        <f t="shared" si="478"/>
        <v>419.53035854469857</v>
      </c>
      <c r="S154" s="147">
        <f t="shared" si="450"/>
        <v>206.05117878491384</v>
      </c>
      <c r="T154" s="148">
        <f t="shared" ref="T154:AE154" si="479">+T152-T153</f>
        <v>-11.553060903651744</v>
      </c>
      <c r="U154" s="145">
        <f t="shared" si="479"/>
        <v>-11.976594112837285</v>
      </c>
      <c r="V154" s="145">
        <f t="shared" si="479"/>
        <v>-11.815289926888708</v>
      </c>
      <c r="W154" s="145">
        <f t="shared" si="479"/>
        <v>-14.733020559112418</v>
      </c>
      <c r="X154" s="145">
        <f t="shared" si="479"/>
        <v>-18.333056669572798</v>
      </c>
      <c r="Y154" s="145">
        <f t="shared" si="479"/>
        <v>-17.853375064399795</v>
      </c>
      <c r="Z154" s="145">
        <f t="shared" si="479"/>
        <v>-22.783512293285515</v>
      </c>
      <c r="AA154" s="145">
        <f t="shared" si="479"/>
        <v>-69.547810986889729</v>
      </c>
      <c r="AB154" s="145">
        <f t="shared" si="479"/>
        <v>-8.0110961452536653</v>
      </c>
      <c r="AC154" s="145">
        <f t="shared" si="479"/>
        <v>-7.9691094151607418</v>
      </c>
      <c r="AD154" s="145">
        <f t="shared" si="479"/>
        <v>600.549757078634</v>
      </c>
      <c r="AE154" s="146">
        <f t="shared" si="479"/>
        <v>-1.5064668524551557</v>
      </c>
      <c r="AF154" s="147">
        <f t="shared" si="459"/>
        <v>404.46736414912647</v>
      </c>
      <c r="AG154" s="148">
        <f t="shared" ref="AG154:AR154" si="480">+AG152-AG153</f>
        <v>-24.367682057206597</v>
      </c>
      <c r="AH154" s="145">
        <f t="shared" si="480"/>
        <v>-4.6442912438785502</v>
      </c>
      <c r="AI154" s="145">
        <f t="shared" si="480"/>
        <v>-5.0214643847927167</v>
      </c>
      <c r="AJ154" s="145">
        <f t="shared" si="480"/>
        <v>-7.5386514050666973</v>
      </c>
      <c r="AK154" s="145">
        <f t="shared" si="480"/>
        <v>-7.0489777820488184</v>
      </c>
      <c r="AL154" s="145">
        <f t="shared" si="480"/>
        <v>-6.3656712286754837</v>
      </c>
      <c r="AM154" s="145">
        <f t="shared" si="480"/>
        <v>-7.9038121873926155</v>
      </c>
      <c r="AN154" s="145">
        <f t="shared" si="480"/>
        <v>-5.9715517254441455</v>
      </c>
      <c r="AO154" s="145">
        <f t="shared" si="480"/>
        <v>-6.020820540008331</v>
      </c>
      <c r="AP154" s="145">
        <f t="shared" si="480"/>
        <v>-6.2769354544417837</v>
      </c>
      <c r="AQ154" s="145">
        <f t="shared" si="480"/>
        <v>-8.0810838479899978</v>
      </c>
      <c r="AR154" s="146">
        <f t="shared" si="480"/>
        <v>-9.095569863013699</v>
      </c>
      <c r="AS154" s="408">
        <f t="shared" si="464"/>
        <v>-98.336511719959432</v>
      </c>
      <c r="AT154" s="148">
        <f t="shared" ref="AT154:BE154" si="481">+AT152-AT153</f>
        <v>-12.919038895087139</v>
      </c>
      <c r="AU154" s="145">
        <f t="shared" si="481"/>
        <v>-14.508061134534305</v>
      </c>
      <c r="AV154" s="145">
        <f t="shared" si="481"/>
        <v>-10.971140408101343</v>
      </c>
      <c r="AW154" s="145">
        <f t="shared" si="481"/>
        <v>-15</v>
      </c>
      <c r="AX154" s="145">
        <f t="shared" si="481"/>
        <v>-30</v>
      </c>
      <c r="AY154" s="145">
        <f t="shared" si="481"/>
        <v>-30</v>
      </c>
      <c r="AZ154" s="145">
        <f t="shared" si="481"/>
        <v>-30</v>
      </c>
      <c r="BA154" s="145">
        <f t="shared" si="481"/>
        <v>-30</v>
      </c>
      <c r="BB154" s="145">
        <f t="shared" si="481"/>
        <v>-30</v>
      </c>
      <c r="BC154" s="145">
        <f t="shared" si="481"/>
        <v>-30</v>
      </c>
      <c r="BD154" s="145">
        <f t="shared" si="481"/>
        <v>420</v>
      </c>
      <c r="BE154" s="146">
        <f t="shared" si="481"/>
        <v>-30</v>
      </c>
      <c r="BF154" s="147">
        <f t="shared" si="368"/>
        <v>156.60175956227721</v>
      </c>
      <c r="BG154" s="148">
        <f t="shared" ref="BG154:BR154" si="482">+BG152-BG153</f>
        <v>-30</v>
      </c>
      <c r="BH154" s="145">
        <f t="shared" si="482"/>
        <v>-30</v>
      </c>
      <c r="BI154" s="145">
        <f t="shared" si="482"/>
        <v>-30</v>
      </c>
      <c r="BJ154" s="145">
        <f t="shared" si="482"/>
        <v>-30</v>
      </c>
      <c r="BK154" s="145">
        <f t="shared" si="482"/>
        <v>320</v>
      </c>
      <c r="BL154" s="145">
        <f t="shared" si="482"/>
        <v>0</v>
      </c>
      <c r="BM154" s="145">
        <f t="shared" si="482"/>
        <v>0</v>
      </c>
      <c r="BN154" s="145">
        <f t="shared" si="482"/>
        <v>0</v>
      </c>
      <c r="BO154" s="145">
        <f t="shared" si="482"/>
        <v>0</v>
      </c>
      <c r="BP154" s="145">
        <f t="shared" si="482"/>
        <v>0</v>
      </c>
      <c r="BQ154" s="145">
        <f t="shared" si="482"/>
        <v>0</v>
      </c>
      <c r="BR154" s="146">
        <f t="shared" si="482"/>
        <v>0</v>
      </c>
      <c r="BS154" s="147">
        <f t="shared" si="460"/>
        <v>200</v>
      </c>
      <c r="BT154" s="148">
        <f t="shared" ref="BT154:CE154" si="483">+BT152-BT153</f>
        <v>0</v>
      </c>
      <c r="BU154" s="145">
        <f t="shared" si="483"/>
        <v>0</v>
      </c>
      <c r="BV154" s="145">
        <f t="shared" si="483"/>
        <v>0</v>
      </c>
      <c r="BW154" s="145">
        <f t="shared" si="483"/>
        <v>0</v>
      </c>
      <c r="BX154" s="145">
        <f t="shared" si="483"/>
        <v>0</v>
      </c>
      <c r="BY154" s="145">
        <f t="shared" si="483"/>
        <v>0</v>
      </c>
      <c r="BZ154" s="145">
        <f t="shared" si="483"/>
        <v>0</v>
      </c>
      <c r="CA154" s="145">
        <f t="shared" si="483"/>
        <v>0</v>
      </c>
      <c r="CB154" s="145">
        <f t="shared" si="483"/>
        <v>0</v>
      </c>
      <c r="CC154" s="145">
        <f t="shared" si="483"/>
        <v>0</v>
      </c>
      <c r="CD154" s="145">
        <f t="shared" si="483"/>
        <v>0</v>
      </c>
      <c r="CE154" s="146">
        <f t="shared" si="483"/>
        <v>0</v>
      </c>
      <c r="CF154" s="147">
        <f t="shared" si="370"/>
        <v>0</v>
      </c>
      <c r="CG154" s="148">
        <f t="shared" ref="CG154:CR154" si="484">+CG152-CG153</f>
        <v>0</v>
      </c>
      <c r="CH154" s="145">
        <f t="shared" si="484"/>
        <v>0</v>
      </c>
      <c r="CI154" s="145">
        <f t="shared" si="484"/>
        <v>0</v>
      </c>
      <c r="CJ154" s="145">
        <f t="shared" si="484"/>
        <v>0</v>
      </c>
      <c r="CK154" s="145">
        <f t="shared" si="484"/>
        <v>0</v>
      </c>
      <c r="CL154" s="145">
        <f t="shared" si="484"/>
        <v>0</v>
      </c>
      <c r="CM154" s="145">
        <f t="shared" si="484"/>
        <v>0</v>
      </c>
      <c r="CN154" s="145">
        <f t="shared" si="484"/>
        <v>0</v>
      </c>
      <c r="CO154" s="145">
        <f t="shared" si="484"/>
        <v>0</v>
      </c>
      <c r="CP154" s="145">
        <f t="shared" si="484"/>
        <v>0</v>
      </c>
      <c r="CQ154" s="145">
        <f t="shared" si="484"/>
        <v>0</v>
      </c>
      <c r="CR154" s="146">
        <f t="shared" si="484"/>
        <v>0</v>
      </c>
      <c r="CS154" s="147">
        <f t="shared" si="371"/>
        <v>0</v>
      </c>
      <c r="CT154" s="148">
        <f t="shared" ref="CT154:DE154" si="485">+CT152-CT153</f>
        <v>0</v>
      </c>
      <c r="CU154" s="145">
        <f t="shared" si="485"/>
        <v>0</v>
      </c>
      <c r="CV154" s="145">
        <f t="shared" si="485"/>
        <v>0</v>
      </c>
      <c r="CW154" s="145">
        <f t="shared" si="485"/>
        <v>0</v>
      </c>
      <c r="CX154" s="145">
        <f t="shared" si="485"/>
        <v>0</v>
      </c>
      <c r="CY154" s="145">
        <f t="shared" si="485"/>
        <v>0</v>
      </c>
      <c r="CZ154" s="145">
        <f t="shared" si="485"/>
        <v>0</v>
      </c>
      <c r="DA154" s="145">
        <f t="shared" si="485"/>
        <v>0</v>
      </c>
      <c r="DB154" s="145">
        <f t="shared" si="485"/>
        <v>0</v>
      </c>
      <c r="DC154" s="145">
        <f t="shared" si="485"/>
        <v>0</v>
      </c>
      <c r="DD154" s="145">
        <f t="shared" si="485"/>
        <v>0</v>
      </c>
      <c r="DE154" s="146">
        <f t="shared" si="485"/>
        <v>0</v>
      </c>
      <c r="DF154" s="147">
        <f t="shared" si="372"/>
        <v>0</v>
      </c>
      <c r="DG154" s="146">
        <f>+DG152-DG153</f>
        <v>0</v>
      </c>
      <c r="DH154" s="98">
        <f t="shared" si="373"/>
        <v>868.78379077635805</v>
      </c>
      <c r="DI154" s="150">
        <f t="shared" si="374"/>
        <v>868.78379077635793</v>
      </c>
      <c r="DJ154" s="151">
        <f t="shared" si="375"/>
        <v>0</v>
      </c>
    </row>
    <row r="155" spans="1:115" ht="15" customHeight="1" outlineLevel="1">
      <c r="A155" s="607"/>
      <c r="B155" s="593" t="s">
        <v>102</v>
      </c>
      <c r="C155" s="246" t="s">
        <v>62</v>
      </c>
      <c r="D155" s="183" t="s">
        <v>122</v>
      </c>
      <c r="E155" s="153">
        <f>AF155+AS155+BF155+BS155+CF155+CS155+DF155+S155+DG155</f>
        <v>2108.8902563714169</v>
      </c>
      <c r="F155" s="153"/>
      <c r="G155" s="154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284"/>
      <c r="S155" s="157">
        <f t="shared" si="450"/>
        <v>0</v>
      </c>
      <c r="T155" s="378"/>
      <c r="U155" s="382"/>
      <c r="V155" s="382"/>
      <c r="W155" s="382"/>
      <c r="X155" s="389"/>
      <c r="Y155" s="389"/>
      <c r="Z155" s="389"/>
      <c r="AA155" s="389"/>
      <c r="AB155" s="389"/>
      <c r="AC155" s="389"/>
      <c r="AD155" s="389"/>
      <c r="AE155" s="482"/>
      <c r="AF155" s="157">
        <f t="shared" si="459"/>
        <v>0</v>
      </c>
      <c r="AG155" s="509"/>
      <c r="AH155" s="514"/>
      <c r="AI155" s="514"/>
      <c r="AJ155" s="514"/>
      <c r="AK155" s="514"/>
      <c r="AL155" s="514"/>
      <c r="AM155" s="519"/>
      <c r="AN155" s="514"/>
      <c r="AO155" s="507">
        <v>413.89025637141668</v>
      </c>
      <c r="AP155" s="514"/>
      <c r="AQ155" s="514"/>
      <c r="AR155" s="507"/>
      <c r="AS155" s="409">
        <f t="shared" si="464"/>
        <v>413.89025637141668</v>
      </c>
      <c r="AT155" s="519"/>
      <c r="AU155" s="514"/>
      <c r="AV155" s="514"/>
      <c r="AW155" s="366"/>
      <c r="AX155" s="366"/>
      <c r="AY155" s="396"/>
      <c r="AZ155" s="366"/>
      <c r="BA155" s="366"/>
      <c r="BB155" s="366"/>
      <c r="BC155" s="366"/>
      <c r="BD155" s="366"/>
      <c r="BE155" s="367"/>
      <c r="BF155" s="157">
        <f t="shared" si="368"/>
        <v>0</v>
      </c>
      <c r="BG155" s="366">
        <v>635</v>
      </c>
      <c r="BH155" s="155"/>
      <c r="BI155" s="155"/>
      <c r="BJ155" s="155"/>
      <c r="BK155" s="155">
        <v>635</v>
      </c>
      <c r="BL155" s="155"/>
      <c r="BM155" s="155"/>
      <c r="BN155" s="155"/>
      <c r="BO155" s="155"/>
      <c r="BP155" s="155">
        <v>425</v>
      </c>
      <c r="BQ155" s="155"/>
      <c r="BR155" s="156"/>
      <c r="BS155" s="157">
        <f t="shared" si="460"/>
        <v>1695</v>
      </c>
      <c r="BT155" s="158"/>
      <c r="BU155" s="155"/>
      <c r="BV155" s="155"/>
      <c r="BW155" s="155"/>
      <c r="BX155" s="155"/>
      <c r="BY155" s="155"/>
      <c r="BZ155" s="155"/>
      <c r="CA155" s="155"/>
      <c r="CB155" s="155"/>
      <c r="CC155" s="155"/>
      <c r="CD155" s="155"/>
      <c r="CE155" s="156"/>
      <c r="CF155" s="157">
        <f t="shared" si="370"/>
        <v>0</v>
      </c>
      <c r="CG155" s="158"/>
      <c r="CH155" s="155"/>
      <c r="CI155" s="155"/>
      <c r="CJ155" s="155"/>
      <c r="CK155" s="155"/>
      <c r="CL155" s="155"/>
      <c r="CM155" s="155"/>
      <c r="CN155" s="155"/>
      <c r="CO155" s="155"/>
      <c r="CP155" s="155"/>
      <c r="CQ155" s="155"/>
      <c r="CR155" s="156"/>
      <c r="CS155" s="157">
        <f t="shared" si="371"/>
        <v>0</v>
      </c>
      <c r="CT155" s="158"/>
      <c r="CU155" s="155"/>
      <c r="CV155" s="155"/>
      <c r="CW155" s="155"/>
      <c r="CX155" s="155"/>
      <c r="CY155" s="155"/>
      <c r="CZ155" s="155"/>
      <c r="DA155" s="155"/>
      <c r="DB155" s="155"/>
      <c r="DC155" s="155"/>
      <c r="DD155" s="155"/>
      <c r="DE155" s="156"/>
      <c r="DF155" s="157">
        <f t="shared" si="372"/>
        <v>0</v>
      </c>
      <c r="DG155" s="280"/>
      <c r="DH155" s="159">
        <f t="shared" si="373"/>
        <v>2108.8902563714169</v>
      </c>
      <c r="DI155" s="160">
        <f t="shared" si="374"/>
        <v>2108.8902563714169</v>
      </c>
      <c r="DJ155" s="161">
        <f t="shared" si="375"/>
        <v>0</v>
      </c>
    </row>
    <row r="156" spans="1:115" ht="15" customHeight="1" outlineLevel="1">
      <c r="A156" s="607"/>
      <c r="B156" s="548"/>
      <c r="C156" s="245" t="s">
        <v>63</v>
      </c>
      <c r="D156" s="184" t="s">
        <v>124</v>
      </c>
      <c r="E156" s="136">
        <f>AF156+AS156+BF156+BS156+CF156+CS156+DF156+S156+DG156</f>
        <v>789.13148373401066</v>
      </c>
      <c r="F156" s="136"/>
      <c r="G156" s="137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9"/>
      <c r="S156" s="162">
        <f t="shared" si="450"/>
        <v>0</v>
      </c>
      <c r="T156" s="390"/>
      <c r="U156" s="381"/>
      <c r="V156" s="381"/>
      <c r="W156" s="381"/>
      <c r="X156" s="388"/>
      <c r="Y156" s="388"/>
      <c r="Z156" s="388"/>
      <c r="AA156" s="388"/>
      <c r="AB156" s="388"/>
      <c r="AC156" s="388"/>
      <c r="AD156" s="388"/>
      <c r="AE156" s="388"/>
      <c r="AF156" s="162">
        <f t="shared" si="459"/>
        <v>0</v>
      </c>
      <c r="AG156" s="504"/>
      <c r="AH156" s="504"/>
      <c r="AI156" s="504"/>
      <c r="AJ156" s="504"/>
      <c r="AK156" s="504"/>
      <c r="AL156" s="504"/>
      <c r="AM156" s="504"/>
      <c r="AN156" s="504"/>
      <c r="AO156" s="504">
        <v>19.285057560495321</v>
      </c>
      <c r="AP156" s="504">
        <v>28.644742501995669</v>
      </c>
      <c r="AQ156" s="504">
        <v>68.137022505967479</v>
      </c>
      <c r="AR156" s="504">
        <v>20.869126940639273</v>
      </c>
      <c r="AS156" s="410">
        <f t="shared" si="464"/>
        <v>136.93594950909772</v>
      </c>
      <c r="AT156" s="528">
        <v>30.720480475512637</v>
      </c>
      <c r="AU156" s="504">
        <v>29.665399118436181</v>
      </c>
      <c r="AV156" s="504">
        <v>21.809654630964122</v>
      </c>
      <c r="AW156" s="368">
        <v>30</v>
      </c>
      <c r="AX156" s="368">
        <v>30</v>
      </c>
      <c r="AY156" s="368">
        <v>30</v>
      </c>
      <c r="AZ156" s="368">
        <v>30</v>
      </c>
      <c r="BA156" s="368">
        <v>30</v>
      </c>
      <c r="BB156" s="368">
        <v>30</v>
      </c>
      <c r="BC156" s="368">
        <v>30</v>
      </c>
      <c r="BD156" s="368">
        <v>30</v>
      </c>
      <c r="BE156" s="368">
        <v>30</v>
      </c>
      <c r="BF156" s="162">
        <f t="shared" si="368"/>
        <v>352.19553422491293</v>
      </c>
      <c r="BG156" s="141">
        <v>30</v>
      </c>
      <c r="BH156" s="138">
        <v>30</v>
      </c>
      <c r="BI156" s="138">
        <v>30</v>
      </c>
      <c r="BJ156" s="138">
        <v>30</v>
      </c>
      <c r="BK156" s="138">
        <v>30</v>
      </c>
      <c r="BL156" s="138">
        <v>30</v>
      </c>
      <c r="BM156" s="138">
        <v>30</v>
      </c>
      <c r="BN156" s="138">
        <v>30</v>
      </c>
      <c r="BO156" s="138">
        <v>30</v>
      </c>
      <c r="BP156" s="138">
        <v>30</v>
      </c>
      <c r="BQ156" s="138"/>
      <c r="BR156" s="139"/>
      <c r="BS156" s="162">
        <f t="shared" si="460"/>
        <v>300</v>
      </c>
      <c r="BT156" s="141"/>
      <c r="BU156" s="138"/>
      <c r="BV156" s="138"/>
      <c r="BW156" s="138"/>
      <c r="BX156" s="138"/>
      <c r="BY156" s="138"/>
      <c r="BZ156" s="138"/>
      <c r="CA156" s="138"/>
      <c r="CB156" s="138"/>
      <c r="CC156" s="138"/>
      <c r="CD156" s="138"/>
      <c r="CE156" s="139"/>
      <c r="CF156" s="162">
        <f t="shared" si="370"/>
        <v>0</v>
      </c>
      <c r="CG156" s="141"/>
      <c r="CH156" s="138"/>
      <c r="CI156" s="138"/>
      <c r="CJ156" s="138"/>
      <c r="CK156" s="138"/>
      <c r="CL156" s="138"/>
      <c r="CM156" s="138"/>
      <c r="CN156" s="138"/>
      <c r="CO156" s="138"/>
      <c r="CP156" s="138"/>
      <c r="CQ156" s="138"/>
      <c r="CR156" s="139"/>
      <c r="CS156" s="162">
        <f t="shared" si="371"/>
        <v>0</v>
      </c>
      <c r="CT156" s="141"/>
      <c r="CU156" s="138"/>
      <c r="CV156" s="138"/>
      <c r="CW156" s="138"/>
      <c r="CX156" s="138"/>
      <c r="CY156" s="138"/>
      <c r="CZ156" s="138"/>
      <c r="DA156" s="138"/>
      <c r="DB156" s="138"/>
      <c r="DC156" s="138"/>
      <c r="DD156" s="138"/>
      <c r="DE156" s="139"/>
      <c r="DF156" s="162">
        <f t="shared" si="372"/>
        <v>0</v>
      </c>
      <c r="DG156" s="279"/>
      <c r="DH156" s="90">
        <f t="shared" si="373"/>
        <v>789.13148373401066</v>
      </c>
      <c r="DI156" s="91">
        <f t="shared" si="374"/>
        <v>789.13148373401066</v>
      </c>
      <c r="DJ156" s="92">
        <f t="shared" si="375"/>
        <v>0</v>
      </c>
      <c r="DK156" s="64">
        <f>+DH156/DH155</f>
        <v>0.37419276861366901</v>
      </c>
    </row>
    <row r="157" spans="1:115" ht="15" customHeight="1" outlineLevel="1">
      <c r="A157" s="607"/>
      <c r="B157" s="549"/>
      <c r="C157" s="554" t="s">
        <v>11</v>
      </c>
      <c r="D157" s="555"/>
      <c r="E157" s="143">
        <f>+E155-E156</f>
        <v>1319.7587726374063</v>
      </c>
      <c r="F157" s="144">
        <f t="shared" ref="F157:R157" si="486">+F155-F156</f>
        <v>0</v>
      </c>
      <c r="G157" s="145">
        <f t="shared" si="486"/>
        <v>0</v>
      </c>
      <c r="H157" s="145">
        <f t="shared" si="486"/>
        <v>0</v>
      </c>
      <c r="I157" s="145">
        <f t="shared" si="486"/>
        <v>0</v>
      </c>
      <c r="J157" s="145">
        <f t="shared" si="486"/>
        <v>0</v>
      </c>
      <c r="K157" s="145">
        <f t="shared" si="486"/>
        <v>0</v>
      </c>
      <c r="L157" s="145">
        <f t="shared" si="486"/>
        <v>0</v>
      </c>
      <c r="M157" s="145">
        <f t="shared" si="486"/>
        <v>0</v>
      </c>
      <c r="N157" s="145">
        <f t="shared" si="486"/>
        <v>0</v>
      </c>
      <c r="O157" s="145">
        <f t="shared" si="486"/>
        <v>0</v>
      </c>
      <c r="P157" s="145">
        <f t="shared" si="486"/>
        <v>0</v>
      </c>
      <c r="Q157" s="145">
        <f t="shared" si="486"/>
        <v>0</v>
      </c>
      <c r="R157" s="146">
        <f t="shared" si="486"/>
        <v>0</v>
      </c>
      <c r="S157" s="147">
        <f t="shared" si="450"/>
        <v>0</v>
      </c>
      <c r="T157" s="148">
        <f t="shared" ref="T157:AE157" si="487">+T155-T156</f>
        <v>0</v>
      </c>
      <c r="U157" s="145">
        <f t="shared" si="487"/>
        <v>0</v>
      </c>
      <c r="V157" s="145">
        <f t="shared" si="487"/>
        <v>0</v>
      </c>
      <c r="W157" s="145">
        <f t="shared" si="487"/>
        <v>0</v>
      </c>
      <c r="X157" s="145">
        <f t="shared" si="487"/>
        <v>0</v>
      </c>
      <c r="Y157" s="145">
        <f t="shared" si="487"/>
        <v>0</v>
      </c>
      <c r="Z157" s="145">
        <f t="shared" si="487"/>
        <v>0</v>
      </c>
      <c r="AA157" s="145">
        <f t="shared" si="487"/>
        <v>0</v>
      </c>
      <c r="AB157" s="145">
        <f t="shared" si="487"/>
        <v>0</v>
      </c>
      <c r="AC157" s="145">
        <f t="shared" si="487"/>
        <v>0</v>
      </c>
      <c r="AD157" s="145">
        <f t="shared" si="487"/>
        <v>0</v>
      </c>
      <c r="AE157" s="146">
        <f t="shared" si="487"/>
        <v>0</v>
      </c>
      <c r="AF157" s="147">
        <f t="shared" si="459"/>
        <v>0</v>
      </c>
      <c r="AG157" s="148">
        <f t="shared" ref="AG157:AR157" si="488">+AG155-AG156</f>
        <v>0</v>
      </c>
      <c r="AH157" s="145">
        <f t="shared" si="488"/>
        <v>0</v>
      </c>
      <c r="AI157" s="145">
        <f t="shared" si="488"/>
        <v>0</v>
      </c>
      <c r="AJ157" s="145">
        <f t="shared" si="488"/>
        <v>0</v>
      </c>
      <c r="AK157" s="145">
        <f t="shared" si="488"/>
        <v>0</v>
      </c>
      <c r="AL157" s="145">
        <f t="shared" si="488"/>
        <v>0</v>
      </c>
      <c r="AM157" s="145">
        <f t="shared" si="488"/>
        <v>0</v>
      </c>
      <c r="AN157" s="145">
        <f t="shared" si="488"/>
        <v>0</v>
      </c>
      <c r="AO157" s="145">
        <f t="shared" si="488"/>
        <v>394.60519881092137</v>
      </c>
      <c r="AP157" s="145">
        <f t="shared" si="488"/>
        <v>-28.644742501995669</v>
      </c>
      <c r="AQ157" s="145">
        <f t="shared" si="488"/>
        <v>-68.137022505967479</v>
      </c>
      <c r="AR157" s="146">
        <f t="shared" si="488"/>
        <v>-20.869126940639273</v>
      </c>
      <c r="AS157" s="408">
        <f t="shared" si="464"/>
        <v>276.95430686231896</v>
      </c>
      <c r="AT157" s="148">
        <f t="shared" ref="AT157:BE157" si="489">+AT155-AT156</f>
        <v>-30.720480475512637</v>
      </c>
      <c r="AU157" s="145">
        <f t="shared" si="489"/>
        <v>-29.665399118436181</v>
      </c>
      <c r="AV157" s="145">
        <f t="shared" si="489"/>
        <v>-21.809654630964122</v>
      </c>
      <c r="AW157" s="145">
        <f t="shared" si="489"/>
        <v>-30</v>
      </c>
      <c r="AX157" s="145">
        <f t="shared" si="489"/>
        <v>-30</v>
      </c>
      <c r="AY157" s="145">
        <f t="shared" si="489"/>
        <v>-30</v>
      </c>
      <c r="AZ157" s="145">
        <f t="shared" si="489"/>
        <v>-30</v>
      </c>
      <c r="BA157" s="145">
        <f t="shared" si="489"/>
        <v>-30</v>
      </c>
      <c r="BB157" s="145">
        <f t="shared" si="489"/>
        <v>-30</v>
      </c>
      <c r="BC157" s="145">
        <f t="shared" si="489"/>
        <v>-30</v>
      </c>
      <c r="BD157" s="145">
        <f t="shared" si="489"/>
        <v>-30</v>
      </c>
      <c r="BE157" s="146">
        <f t="shared" si="489"/>
        <v>-30</v>
      </c>
      <c r="BF157" s="147">
        <f t="shared" si="368"/>
        <v>-352.19553422491293</v>
      </c>
      <c r="BG157" s="148">
        <f t="shared" ref="BG157:BR157" si="490">+BG155-BG156</f>
        <v>605</v>
      </c>
      <c r="BH157" s="145">
        <f t="shared" si="490"/>
        <v>-30</v>
      </c>
      <c r="BI157" s="145">
        <f t="shared" si="490"/>
        <v>-30</v>
      </c>
      <c r="BJ157" s="145">
        <f t="shared" si="490"/>
        <v>-30</v>
      </c>
      <c r="BK157" s="145">
        <f t="shared" si="490"/>
        <v>605</v>
      </c>
      <c r="BL157" s="145">
        <f t="shared" si="490"/>
        <v>-30</v>
      </c>
      <c r="BM157" s="145">
        <f t="shared" si="490"/>
        <v>-30</v>
      </c>
      <c r="BN157" s="145">
        <f t="shared" si="490"/>
        <v>-30</v>
      </c>
      <c r="BO157" s="145">
        <f t="shared" si="490"/>
        <v>-30</v>
      </c>
      <c r="BP157" s="145">
        <f t="shared" si="490"/>
        <v>395</v>
      </c>
      <c r="BQ157" s="145">
        <f t="shared" si="490"/>
        <v>0</v>
      </c>
      <c r="BR157" s="146">
        <f t="shared" si="490"/>
        <v>0</v>
      </c>
      <c r="BS157" s="147">
        <f t="shared" si="460"/>
        <v>1395</v>
      </c>
      <c r="BT157" s="148">
        <f t="shared" ref="BT157:CE157" si="491">+BT155-BT156</f>
        <v>0</v>
      </c>
      <c r="BU157" s="145">
        <f t="shared" si="491"/>
        <v>0</v>
      </c>
      <c r="BV157" s="145">
        <f t="shared" si="491"/>
        <v>0</v>
      </c>
      <c r="BW157" s="145">
        <f t="shared" si="491"/>
        <v>0</v>
      </c>
      <c r="BX157" s="145">
        <f t="shared" si="491"/>
        <v>0</v>
      </c>
      <c r="BY157" s="145">
        <f t="shared" si="491"/>
        <v>0</v>
      </c>
      <c r="BZ157" s="145">
        <f t="shared" si="491"/>
        <v>0</v>
      </c>
      <c r="CA157" s="145">
        <f t="shared" si="491"/>
        <v>0</v>
      </c>
      <c r="CB157" s="145">
        <f t="shared" si="491"/>
        <v>0</v>
      </c>
      <c r="CC157" s="145">
        <f t="shared" si="491"/>
        <v>0</v>
      </c>
      <c r="CD157" s="145">
        <f t="shared" si="491"/>
        <v>0</v>
      </c>
      <c r="CE157" s="146">
        <f t="shared" si="491"/>
        <v>0</v>
      </c>
      <c r="CF157" s="147">
        <f t="shared" si="370"/>
        <v>0</v>
      </c>
      <c r="CG157" s="148">
        <f t="shared" ref="CG157:CR157" si="492">+CG155-CG156</f>
        <v>0</v>
      </c>
      <c r="CH157" s="145">
        <f t="shared" si="492"/>
        <v>0</v>
      </c>
      <c r="CI157" s="145">
        <f t="shared" si="492"/>
        <v>0</v>
      </c>
      <c r="CJ157" s="145">
        <f t="shared" si="492"/>
        <v>0</v>
      </c>
      <c r="CK157" s="145">
        <f t="shared" si="492"/>
        <v>0</v>
      </c>
      <c r="CL157" s="145">
        <f t="shared" si="492"/>
        <v>0</v>
      </c>
      <c r="CM157" s="145">
        <f t="shared" si="492"/>
        <v>0</v>
      </c>
      <c r="CN157" s="145">
        <f t="shared" si="492"/>
        <v>0</v>
      </c>
      <c r="CO157" s="145">
        <f t="shared" si="492"/>
        <v>0</v>
      </c>
      <c r="CP157" s="145">
        <f t="shared" si="492"/>
        <v>0</v>
      </c>
      <c r="CQ157" s="145">
        <f t="shared" si="492"/>
        <v>0</v>
      </c>
      <c r="CR157" s="146">
        <f t="shared" si="492"/>
        <v>0</v>
      </c>
      <c r="CS157" s="147">
        <f t="shared" si="371"/>
        <v>0</v>
      </c>
      <c r="CT157" s="148">
        <f t="shared" ref="CT157:DE157" si="493">+CT155-CT156</f>
        <v>0</v>
      </c>
      <c r="CU157" s="145">
        <f t="shared" si="493"/>
        <v>0</v>
      </c>
      <c r="CV157" s="145">
        <f t="shared" si="493"/>
        <v>0</v>
      </c>
      <c r="CW157" s="145">
        <f t="shared" si="493"/>
        <v>0</v>
      </c>
      <c r="CX157" s="145">
        <f t="shared" si="493"/>
        <v>0</v>
      </c>
      <c r="CY157" s="145">
        <f t="shared" si="493"/>
        <v>0</v>
      </c>
      <c r="CZ157" s="145">
        <f t="shared" si="493"/>
        <v>0</v>
      </c>
      <c r="DA157" s="145">
        <f t="shared" si="493"/>
        <v>0</v>
      </c>
      <c r="DB157" s="145">
        <f t="shared" si="493"/>
        <v>0</v>
      </c>
      <c r="DC157" s="145">
        <f t="shared" si="493"/>
        <v>0</v>
      </c>
      <c r="DD157" s="145">
        <f t="shared" si="493"/>
        <v>0</v>
      </c>
      <c r="DE157" s="146">
        <f t="shared" si="493"/>
        <v>0</v>
      </c>
      <c r="DF157" s="147">
        <f t="shared" si="372"/>
        <v>0</v>
      </c>
      <c r="DG157" s="146">
        <f>+DG155-DG156</f>
        <v>0</v>
      </c>
      <c r="DH157" s="98">
        <f t="shared" si="373"/>
        <v>1319.7587726374061</v>
      </c>
      <c r="DI157" s="99">
        <f t="shared" si="374"/>
        <v>1319.7587726374063</v>
      </c>
      <c r="DJ157" s="100">
        <f t="shared" si="375"/>
        <v>0</v>
      </c>
    </row>
    <row r="158" spans="1:115" ht="15" hidden="1" customHeight="1" outlineLevel="1">
      <c r="A158" s="607"/>
      <c r="B158" s="557" t="s">
        <v>182</v>
      </c>
      <c r="C158" s="246" t="s">
        <v>62</v>
      </c>
      <c r="D158" s="183" t="s">
        <v>122</v>
      </c>
      <c r="E158" s="153"/>
      <c r="F158" s="153"/>
      <c r="G158" s="154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284"/>
      <c r="S158" s="157">
        <f t="shared" si="450"/>
        <v>0</v>
      </c>
      <c r="T158" s="378"/>
      <c r="U158" s="382"/>
      <c r="V158" s="382"/>
      <c r="W158" s="382"/>
      <c r="X158" s="382"/>
      <c r="Y158" s="382"/>
      <c r="Z158" s="382"/>
      <c r="AA158" s="382"/>
      <c r="AB158" s="382"/>
      <c r="AC158" s="382"/>
      <c r="AD158" s="382"/>
      <c r="AE158" s="481"/>
      <c r="AF158" s="157">
        <f t="shared" si="459"/>
        <v>0</v>
      </c>
      <c r="AG158" s="158"/>
      <c r="AH158" s="155"/>
      <c r="AI158" s="155"/>
      <c r="AJ158" s="155"/>
      <c r="AK158" s="155"/>
      <c r="AL158" s="155"/>
      <c r="AM158" s="155"/>
      <c r="AN158" s="155"/>
      <c r="AO158" s="155"/>
      <c r="AP158" s="155"/>
      <c r="AQ158" s="155"/>
      <c r="AR158" s="156"/>
      <c r="AS158" s="409">
        <f t="shared" si="464"/>
        <v>0</v>
      </c>
      <c r="AT158" s="158"/>
      <c r="AU158" s="155"/>
      <c r="AV158" s="155"/>
      <c r="AW158" s="155"/>
      <c r="AX158" s="155"/>
      <c r="AY158" s="155"/>
      <c r="AZ158" s="155"/>
      <c r="BA158" s="155"/>
      <c r="BB158" s="155"/>
      <c r="BC158" s="155"/>
      <c r="BD158" s="155"/>
      <c r="BE158" s="156"/>
      <c r="BF158" s="157">
        <f t="shared" si="368"/>
        <v>0</v>
      </c>
      <c r="BG158" s="158"/>
      <c r="BH158" s="155"/>
      <c r="BI158" s="155"/>
      <c r="BJ158" s="155"/>
      <c r="BK158" s="155"/>
      <c r="BL158" s="155"/>
      <c r="BM158" s="155"/>
      <c r="BN158" s="155"/>
      <c r="BO158" s="155"/>
      <c r="BP158" s="155"/>
      <c r="BQ158" s="155"/>
      <c r="BR158" s="156"/>
      <c r="BS158" s="157">
        <f t="shared" si="460"/>
        <v>0</v>
      </c>
      <c r="BT158" s="158"/>
      <c r="BU158" s="155"/>
      <c r="BV158" s="155"/>
      <c r="BW158" s="155"/>
      <c r="BX158" s="155"/>
      <c r="BY158" s="155"/>
      <c r="BZ158" s="155"/>
      <c r="CA158" s="155"/>
      <c r="CB158" s="155"/>
      <c r="CC158" s="155"/>
      <c r="CD158" s="155"/>
      <c r="CE158" s="156"/>
      <c r="CF158" s="157">
        <f>SUM(BT158:CE158)</f>
        <v>0</v>
      </c>
      <c r="CG158" s="158"/>
      <c r="CH158" s="155"/>
      <c r="CI158" s="155"/>
      <c r="CJ158" s="155"/>
      <c r="CK158" s="155"/>
      <c r="CL158" s="155"/>
      <c r="CM158" s="155"/>
      <c r="CN158" s="155"/>
      <c r="CO158" s="155"/>
      <c r="CP158" s="155"/>
      <c r="CQ158" s="155"/>
      <c r="CR158" s="156"/>
      <c r="CS158" s="157">
        <f>SUM(CG158:CR158)</f>
        <v>0</v>
      </c>
      <c r="CT158" s="158"/>
      <c r="CU158" s="155"/>
      <c r="CV158" s="155"/>
      <c r="CW158" s="155"/>
      <c r="CX158" s="155"/>
      <c r="CY158" s="155"/>
      <c r="CZ158" s="155"/>
      <c r="DA158" s="155"/>
      <c r="DB158" s="155"/>
      <c r="DC158" s="155"/>
      <c r="DD158" s="155"/>
      <c r="DE158" s="156"/>
      <c r="DF158" s="157">
        <f>SUM(CT158:DE158)</f>
        <v>0</v>
      </c>
      <c r="DG158" s="280"/>
      <c r="DH158" s="159">
        <f t="shared" si="373"/>
        <v>0</v>
      </c>
      <c r="DI158" s="160">
        <f t="shared" si="374"/>
        <v>0</v>
      </c>
      <c r="DJ158" s="161">
        <f t="shared" si="375"/>
        <v>0</v>
      </c>
    </row>
    <row r="159" spans="1:115" ht="15" hidden="1" customHeight="1" outlineLevel="1">
      <c r="A159" s="607"/>
      <c r="B159" s="560"/>
      <c r="C159" s="245" t="s">
        <v>63</v>
      </c>
      <c r="D159" s="184" t="s">
        <v>124</v>
      </c>
      <c r="E159" s="136"/>
      <c r="F159" s="136"/>
      <c r="G159" s="137"/>
      <c r="H159" s="138"/>
      <c r="I159" s="138"/>
      <c r="J159" s="138">
        <v>6.8089115599484309</v>
      </c>
      <c r="K159" s="138">
        <v>11.993489270386267</v>
      </c>
      <c r="L159" s="138">
        <v>11.324583885445609</v>
      </c>
      <c r="M159" s="138">
        <v>11.181086145988509</v>
      </c>
      <c r="N159" s="138">
        <v>11.728691666666668</v>
      </c>
      <c r="O159" s="138">
        <v>11.68815398340249</v>
      </c>
      <c r="P159" s="138">
        <v>11.724762576938859</v>
      </c>
      <c r="Q159" s="138">
        <v>8.123657000415454</v>
      </c>
      <c r="R159" s="139">
        <v>8.6487021205821204</v>
      </c>
      <c r="S159" s="162">
        <f t="shared" si="450"/>
        <v>93.222038209774396</v>
      </c>
      <c r="T159" s="380">
        <v>6.4679833298947802</v>
      </c>
      <c r="U159" s="381">
        <v>0.68264717906786587</v>
      </c>
      <c r="V159" s="381"/>
      <c r="W159" s="381"/>
      <c r="X159" s="381"/>
      <c r="Y159" s="381"/>
      <c r="Z159" s="381"/>
      <c r="AA159" s="381"/>
      <c r="AB159" s="381"/>
      <c r="AC159" s="381"/>
      <c r="AD159" s="381"/>
      <c r="AE159" s="392"/>
      <c r="AF159" s="162">
        <f t="shared" si="459"/>
        <v>7.1506305089626458</v>
      </c>
      <c r="AG159" s="141"/>
      <c r="AH159" s="138"/>
      <c r="AI159" s="138"/>
      <c r="AJ159" s="138"/>
      <c r="AK159" s="138"/>
      <c r="AL159" s="138"/>
      <c r="AM159" s="138"/>
      <c r="AN159" s="138"/>
      <c r="AO159" s="138"/>
      <c r="AP159" s="138"/>
      <c r="AQ159" s="138"/>
      <c r="AR159" s="139"/>
      <c r="AS159" s="410">
        <f t="shared" si="464"/>
        <v>0</v>
      </c>
      <c r="AT159" s="141"/>
      <c r="AU159" s="138"/>
      <c r="AV159" s="138"/>
      <c r="AW159" s="138"/>
      <c r="AX159" s="138"/>
      <c r="AY159" s="138"/>
      <c r="AZ159" s="138"/>
      <c r="BA159" s="138"/>
      <c r="BB159" s="138"/>
      <c r="BC159" s="138"/>
      <c r="BD159" s="138"/>
      <c r="BE159" s="139"/>
      <c r="BF159" s="162">
        <f t="shared" si="368"/>
        <v>0</v>
      </c>
      <c r="BG159" s="141"/>
      <c r="BH159" s="138"/>
      <c r="BI159" s="138"/>
      <c r="BJ159" s="138"/>
      <c r="BK159" s="138"/>
      <c r="BL159" s="138"/>
      <c r="BM159" s="138"/>
      <c r="BN159" s="138"/>
      <c r="BO159" s="138"/>
      <c r="BP159" s="138"/>
      <c r="BQ159" s="138"/>
      <c r="BR159" s="139"/>
      <c r="BS159" s="162">
        <f t="shared" si="460"/>
        <v>0</v>
      </c>
      <c r="BT159" s="141"/>
      <c r="BU159" s="138"/>
      <c r="BV159" s="138"/>
      <c r="BW159" s="138"/>
      <c r="BX159" s="138"/>
      <c r="BY159" s="138"/>
      <c r="BZ159" s="138"/>
      <c r="CA159" s="138"/>
      <c r="CB159" s="138"/>
      <c r="CC159" s="138"/>
      <c r="CD159" s="138"/>
      <c r="CE159" s="139"/>
      <c r="CF159" s="162">
        <f>SUM(BT159:CE159)</f>
        <v>0</v>
      </c>
      <c r="CG159" s="141"/>
      <c r="CH159" s="138"/>
      <c r="CI159" s="138"/>
      <c r="CJ159" s="138"/>
      <c r="CK159" s="138"/>
      <c r="CL159" s="138"/>
      <c r="CM159" s="138"/>
      <c r="CN159" s="138"/>
      <c r="CO159" s="138"/>
      <c r="CP159" s="138"/>
      <c r="CQ159" s="138"/>
      <c r="CR159" s="139"/>
      <c r="CS159" s="162">
        <f>SUM(CG159:CR159)</f>
        <v>0</v>
      </c>
      <c r="CT159" s="141"/>
      <c r="CU159" s="138"/>
      <c r="CV159" s="138"/>
      <c r="CW159" s="138"/>
      <c r="CX159" s="138"/>
      <c r="CY159" s="138"/>
      <c r="CZ159" s="138"/>
      <c r="DA159" s="138"/>
      <c r="DB159" s="138"/>
      <c r="DC159" s="138"/>
      <c r="DD159" s="138"/>
      <c r="DE159" s="139"/>
      <c r="DF159" s="162">
        <f>SUM(CT159:DE159)</f>
        <v>0</v>
      </c>
      <c r="DG159" s="279"/>
      <c r="DH159" s="90">
        <f t="shared" si="373"/>
        <v>100.37266871873705</v>
      </c>
      <c r="DI159" s="91">
        <f t="shared" si="374"/>
        <v>0</v>
      </c>
      <c r="DJ159" s="92">
        <f t="shared" si="375"/>
        <v>-100.37266871873705</v>
      </c>
      <c r="DK159" s="64" t="e">
        <f>+DH159/DH158</f>
        <v>#DIV/0!</v>
      </c>
    </row>
    <row r="160" spans="1:115" ht="15" hidden="1" customHeight="1" outlineLevel="1">
      <c r="A160" s="607"/>
      <c r="B160" s="561"/>
      <c r="C160" s="554" t="s">
        <v>11</v>
      </c>
      <c r="D160" s="555"/>
      <c r="E160" s="143">
        <f t="shared" ref="E160:R160" si="494">+E158-E159</f>
        <v>0</v>
      </c>
      <c r="F160" s="144">
        <f t="shared" si="494"/>
        <v>0</v>
      </c>
      <c r="G160" s="145">
        <f t="shared" si="494"/>
        <v>0</v>
      </c>
      <c r="H160" s="145">
        <f t="shared" si="494"/>
        <v>0</v>
      </c>
      <c r="I160" s="145">
        <f t="shared" si="494"/>
        <v>0</v>
      </c>
      <c r="J160" s="145">
        <f t="shared" si="494"/>
        <v>-6.8089115599484309</v>
      </c>
      <c r="K160" s="145">
        <f t="shared" si="494"/>
        <v>-11.993489270386267</v>
      </c>
      <c r="L160" s="145">
        <f t="shared" si="494"/>
        <v>-11.324583885445609</v>
      </c>
      <c r="M160" s="145">
        <f t="shared" si="494"/>
        <v>-11.181086145988509</v>
      </c>
      <c r="N160" s="145">
        <f t="shared" si="494"/>
        <v>-11.728691666666668</v>
      </c>
      <c r="O160" s="145">
        <f t="shared" si="494"/>
        <v>-11.68815398340249</v>
      </c>
      <c r="P160" s="145">
        <f t="shared" si="494"/>
        <v>-11.724762576938859</v>
      </c>
      <c r="Q160" s="145">
        <f t="shared" si="494"/>
        <v>-8.123657000415454</v>
      </c>
      <c r="R160" s="146">
        <f t="shared" si="494"/>
        <v>-8.6487021205821204</v>
      </c>
      <c r="S160" s="147">
        <f t="shared" si="450"/>
        <v>-93.222038209774396</v>
      </c>
      <c r="T160" s="148">
        <f t="shared" ref="T160:AE160" si="495">+T158-T159</f>
        <v>-6.4679833298947802</v>
      </c>
      <c r="U160" s="145">
        <f t="shared" si="495"/>
        <v>-0.68264717906786587</v>
      </c>
      <c r="V160" s="145">
        <f t="shared" si="495"/>
        <v>0</v>
      </c>
      <c r="W160" s="145">
        <f t="shared" si="495"/>
        <v>0</v>
      </c>
      <c r="X160" s="145">
        <f t="shared" si="495"/>
        <v>0</v>
      </c>
      <c r="Y160" s="145">
        <f t="shared" si="495"/>
        <v>0</v>
      </c>
      <c r="Z160" s="145">
        <f t="shared" si="495"/>
        <v>0</v>
      </c>
      <c r="AA160" s="145">
        <f t="shared" si="495"/>
        <v>0</v>
      </c>
      <c r="AB160" s="145">
        <f t="shared" si="495"/>
        <v>0</v>
      </c>
      <c r="AC160" s="145">
        <f t="shared" si="495"/>
        <v>0</v>
      </c>
      <c r="AD160" s="145">
        <f t="shared" si="495"/>
        <v>0</v>
      </c>
      <c r="AE160" s="146">
        <f t="shared" si="495"/>
        <v>0</v>
      </c>
      <c r="AF160" s="147">
        <f t="shared" si="459"/>
        <v>-7.1506305089626458</v>
      </c>
      <c r="AG160" s="148">
        <f t="shared" ref="AG160:AR160" si="496">+AG158-AG159</f>
        <v>0</v>
      </c>
      <c r="AH160" s="145">
        <f t="shared" si="496"/>
        <v>0</v>
      </c>
      <c r="AI160" s="145">
        <f t="shared" si="496"/>
        <v>0</v>
      </c>
      <c r="AJ160" s="145">
        <f t="shared" si="496"/>
        <v>0</v>
      </c>
      <c r="AK160" s="145">
        <f t="shared" si="496"/>
        <v>0</v>
      </c>
      <c r="AL160" s="145">
        <f t="shared" si="496"/>
        <v>0</v>
      </c>
      <c r="AM160" s="145">
        <f t="shared" si="496"/>
        <v>0</v>
      </c>
      <c r="AN160" s="145">
        <f t="shared" si="496"/>
        <v>0</v>
      </c>
      <c r="AO160" s="145">
        <f t="shared" si="496"/>
        <v>0</v>
      </c>
      <c r="AP160" s="145">
        <f t="shared" si="496"/>
        <v>0</v>
      </c>
      <c r="AQ160" s="145">
        <f t="shared" si="496"/>
        <v>0</v>
      </c>
      <c r="AR160" s="146">
        <f t="shared" si="496"/>
        <v>0</v>
      </c>
      <c r="AS160" s="408">
        <f t="shared" si="464"/>
        <v>0</v>
      </c>
      <c r="AT160" s="148">
        <f t="shared" ref="AT160:BE160" si="497">+AT158-AT159</f>
        <v>0</v>
      </c>
      <c r="AU160" s="145">
        <f t="shared" si="497"/>
        <v>0</v>
      </c>
      <c r="AV160" s="145">
        <f t="shared" si="497"/>
        <v>0</v>
      </c>
      <c r="AW160" s="145">
        <f t="shared" si="497"/>
        <v>0</v>
      </c>
      <c r="AX160" s="145">
        <f t="shared" si="497"/>
        <v>0</v>
      </c>
      <c r="AY160" s="145">
        <f t="shared" si="497"/>
        <v>0</v>
      </c>
      <c r="AZ160" s="145">
        <f t="shared" si="497"/>
        <v>0</v>
      </c>
      <c r="BA160" s="145">
        <f t="shared" si="497"/>
        <v>0</v>
      </c>
      <c r="BB160" s="145">
        <f t="shared" si="497"/>
        <v>0</v>
      </c>
      <c r="BC160" s="145">
        <f t="shared" si="497"/>
        <v>0</v>
      </c>
      <c r="BD160" s="145">
        <f t="shared" si="497"/>
        <v>0</v>
      </c>
      <c r="BE160" s="146">
        <f t="shared" si="497"/>
        <v>0</v>
      </c>
      <c r="BF160" s="147">
        <f t="shared" si="368"/>
        <v>0</v>
      </c>
      <c r="BG160" s="148">
        <f t="shared" ref="BG160:BR160" si="498">+BG158-BG159</f>
        <v>0</v>
      </c>
      <c r="BH160" s="145">
        <f t="shared" si="498"/>
        <v>0</v>
      </c>
      <c r="BI160" s="145">
        <f t="shared" si="498"/>
        <v>0</v>
      </c>
      <c r="BJ160" s="145">
        <f t="shared" si="498"/>
        <v>0</v>
      </c>
      <c r="BK160" s="145">
        <f t="shared" si="498"/>
        <v>0</v>
      </c>
      <c r="BL160" s="145">
        <f t="shared" si="498"/>
        <v>0</v>
      </c>
      <c r="BM160" s="145">
        <f t="shared" si="498"/>
        <v>0</v>
      </c>
      <c r="BN160" s="145">
        <f t="shared" si="498"/>
        <v>0</v>
      </c>
      <c r="BO160" s="145">
        <f t="shared" si="498"/>
        <v>0</v>
      </c>
      <c r="BP160" s="145">
        <f t="shared" si="498"/>
        <v>0</v>
      </c>
      <c r="BQ160" s="145">
        <f t="shared" si="498"/>
        <v>0</v>
      </c>
      <c r="BR160" s="146">
        <f t="shared" si="498"/>
        <v>0</v>
      </c>
      <c r="BS160" s="147">
        <f t="shared" si="460"/>
        <v>0</v>
      </c>
      <c r="BT160" s="148">
        <f t="shared" ref="BT160:CE160" si="499">+BT158-BT159</f>
        <v>0</v>
      </c>
      <c r="BU160" s="145">
        <f t="shared" si="499"/>
        <v>0</v>
      </c>
      <c r="BV160" s="145">
        <f t="shared" si="499"/>
        <v>0</v>
      </c>
      <c r="BW160" s="145">
        <f t="shared" si="499"/>
        <v>0</v>
      </c>
      <c r="BX160" s="145">
        <f t="shared" si="499"/>
        <v>0</v>
      </c>
      <c r="BY160" s="145">
        <f t="shared" si="499"/>
        <v>0</v>
      </c>
      <c r="BZ160" s="145">
        <f t="shared" si="499"/>
        <v>0</v>
      </c>
      <c r="CA160" s="145">
        <f t="shared" si="499"/>
        <v>0</v>
      </c>
      <c r="CB160" s="145">
        <f t="shared" si="499"/>
        <v>0</v>
      </c>
      <c r="CC160" s="145">
        <f t="shared" si="499"/>
        <v>0</v>
      </c>
      <c r="CD160" s="145">
        <f t="shared" si="499"/>
        <v>0</v>
      </c>
      <c r="CE160" s="146">
        <f t="shared" si="499"/>
        <v>0</v>
      </c>
      <c r="CF160" s="147">
        <f>SUM(BT160:CE160)</f>
        <v>0</v>
      </c>
      <c r="CG160" s="148">
        <f t="shared" ref="CG160:CR160" si="500">+CG158-CG159</f>
        <v>0</v>
      </c>
      <c r="CH160" s="145">
        <f t="shared" si="500"/>
        <v>0</v>
      </c>
      <c r="CI160" s="145">
        <f t="shared" si="500"/>
        <v>0</v>
      </c>
      <c r="CJ160" s="145">
        <f t="shared" si="500"/>
        <v>0</v>
      </c>
      <c r="CK160" s="145">
        <f t="shared" si="500"/>
        <v>0</v>
      </c>
      <c r="CL160" s="145">
        <f t="shared" si="500"/>
        <v>0</v>
      </c>
      <c r="CM160" s="145">
        <f t="shared" si="500"/>
        <v>0</v>
      </c>
      <c r="CN160" s="145">
        <f t="shared" si="500"/>
        <v>0</v>
      </c>
      <c r="CO160" s="145">
        <f t="shared" si="500"/>
        <v>0</v>
      </c>
      <c r="CP160" s="145">
        <f t="shared" si="500"/>
        <v>0</v>
      </c>
      <c r="CQ160" s="145">
        <f t="shared" si="500"/>
        <v>0</v>
      </c>
      <c r="CR160" s="146">
        <f t="shared" si="500"/>
        <v>0</v>
      </c>
      <c r="CS160" s="147">
        <f>SUM(CG160:CR160)</f>
        <v>0</v>
      </c>
      <c r="CT160" s="148">
        <f t="shared" ref="CT160:DE160" si="501">+CT158-CT159</f>
        <v>0</v>
      </c>
      <c r="CU160" s="145">
        <f t="shared" si="501"/>
        <v>0</v>
      </c>
      <c r="CV160" s="145">
        <f t="shared" si="501"/>
        <v>0</v>
      </c>
      <c r="CW160" s="145">
        <f t="shared" si="501"/>
        <v>0</v>
      </c>
      <c r="CX160" s="145">
        <f t="shared" si="501"/>
        <v>0</v>
      </c>
      <c r="CY160" s="145">
        <f t="shared" si="501"/>
        <v>0</v>
      </c>
      <c r="CZ160" s="145">
        <f t="shared" si="501"/>
        <v>0</v>
      </c>
      <c r="DA160" s="145">
        <f t="shared" si="501"/>
        <v>0</v>
      </c>
      <c r="DB160" s="145">
        <f t="shared" si="501"/>
        <v>0</v>
      </c>
      <c r="DC160" s="145">
        <f t="shared" si="501"/>
        <v>0</v>
      </c>
      <c r="DD160" s="145">
        <f t="shared" si="501"/>
        <v>0</v>
      </c>
      <c r="DE160" s="146">
        <f t="shared" si="501"/>
        <v>0</v>
      </c>
      <c r="DF160" s="147">
        <f>SUM(CT160:DE160)</f>
        <v>0</v>
      </c>
      <c r="DG160" s="146">
        <f>+DG158-DG159</f>
        <v>0</v>
      </c>
      <c r="DH160" s="98">
        <f t="shared" si="373"/>
        <v>-100.37266871873705</v>
      </c>
      <c r="DI160" s="99">
        <f t="shared" si="374"/>
        <v>0</v>
      </c>
      <c r="DJ160" s="100">
        <f t="shared" si="375"/>
        <v>100.37266871873705</v>
      </c>
    </row>
    <row r="161" spans="1:115" ht="15" hidden="1" customHeight="1" outlineLevel="1">
      <c r="A161" s="607"/>
      <c r="B161" s="557" t="s">
        <v>183</v>
      </c>
      <c r="C161" s="246" t="s">
        <v>62</v>
      </c>
      <c r="D161" s="183" t="s">
        <v>122</v>
      </c>
      <c r="E161" s="153">
        <v>350</v>
      </c>
      <c r="F161" s="153"/>
      <c r="G161" s="154"/>
      <c r="H161" s="155"/>
      <c r="I161" s="155"/>
      <c r="J161" s="155"/>
      <c r="K161" s="155"/>
      <c r="L161" s="155"/>
      <c r="M161" s="155"/>
      <c r="N161" s="155">
        <v>74.349188190954777</v>
      </c>
      <c r="O161" s="155">
        <v>147.34096390041495</v>
      </c>
      <c r="P161" s="155">
        <v>145.7085445219532</v>
      </c>
      <c r="Q161" s="155"/>
      <c r="R161" s="284"/>
      <c r="S161" s="157">
        <f t="shared" si="450"/>
        <v>367.39869661332295</v>
      </c>
      <c r="T161" s="378"/>
      <c r="U161" s="382"/>
      <c r="V161" s="382"/>
      <c r="W161" s="382"/>
      <c r="X161" s="382"/>
      <c r="Y161" s="382"/>
      <c r="Z161" s="382"/>
      <c r="AA161" s="382"/>
      <c r="AB161" s="155"/>
      <c r="AC161" s="155"/>
      <c r="AD161" s="155"/>
      <c r="AE161" s="156"/>
      <c r="AF161" s="157">
        <f t="shared" si="459"/>
        <v>0</v>
      </c>
      <c r="AG161" s="158"/>
      <c r="AH161" s="155"/>
      <c r="AI161" s="155"/>
      <c r="AJ161" s="155"/>
      <c r="AK161" s="155"/>
      <c r="AL161" s="155"/>
      <c r="AM161" s="155"/>
      <c r="AN161" s="155"/>
      <c r="AO161" s="155"/>
      <c r="AP161" s="155"/>
      <c r="AQ161" s="155"/>
      <c r="AR161" s="156"/>
      <c r="AS161" s="409">
        <f t="shared" si="464"/>
        <v>0</v>
      </c>
      <c r="AT161" s="158"/>
      <c r="AU161" s="155"/>
      <c r="AV161" s="155"/>
      <c r="AW161" s="155"/>
      <c r="AX161" s="155"/>
      <c r="AY161" s="155"/>
      <c r="AZ161" s="155"/>
      <c r="BA161" s="155"/>
      <c r="BB161" s="155"/>
      <c r="BC161" s="155"/>
      <c r="BD161" s="155"/>
      <c r="BE161" s="156"/>
      <c r="BF161" s="157">
        <f t="shared" si="368"/>
        <v>0</v>
      </c>
      <c r="BG161" s="158"/>
      <c r="BH161" s="155"/>
      <c r="BI161" s="155"/>
      <c r="BJ161" s="155"/>
      <c r="BK161" s="155"/>
      <c r="BL161" s="155"/>
      <c r="BM161" s="155"/>
      <c r="BN161" s="155"/>
      <c r="BO161" s="155"/>
      <c r="BP161" s="155"/>
      <c r="BQ161" s="155"/>
      <c r="BR161" s="156"/>
      <c r="BS161" s="157">
        <f t="shared" si="460"/>
        <v>0</v>
      </c>
      <c r="BT161" s="158"/>
      <c r="BU161" s="155"/>
      <c r="BV161" s="155"/>
      <c r="BW161" s="155"/>
      <c r="BX161" s="155"/>
      <c r="BY161" s="155"/>
      <c r="BZ161" s="155"/>
      <c r="CA161" s="155"/>
      <c r="CB161" s="155"/>
      <c r="CC161" s="155"/>
      <c r="CD161" s="155"/>
      <c r="CE161" s="156"/>
      <c r="CF161" s="157">
        <f t="shared" ref="CF161:CF189" si="502">SUM(BT161:CE161)</f>
        <v>0</v>
      </c>
      <c r="CG161" s="158"/>
      <c r="CH161" s="155"/>
      <c r="CI161" s="155"/>
      <c r="CJ161" s="155"/>
      <c r="CK161" s="155"/>
      <c r="CL161" s="155"/>
      <c r="CM161" s="155"/>
      <c r="CN161" s="155"/>
      <c r="CO161" s="155"/>
      <c r="CP161" s="155"/>
      <c r="CQ161" s="155"/>
      <c r="CR161" s="156"/>
      <c r="CS161" s="157">
        <f t="shared" ref="CS161:CS189" si="503">SUM(CG161:CR161)</f>
        <v>0</v>
      </c>
      <c r="CT161" s="158"/>
      <c r="CU161" s="155"/>
      <c r="CV161" s="155"/>
      <c r="CW161" s="155"/>
      <c r="CX161" s="155"/>
      <c r="CY161" s="155"/>
      <c r="CZ161" s="155"/>
      <c r="DA161" s="155"/>
      <c r="DB161" s="155"/>
      <c r="DC161" s="155"/>
      <c r="DD161" s="155"/>
      <c r="DE161" s="156"/>
      <c r="DF161" s="157">
        <f t="shared" ref="DF161:DF189" si="504">SUM(CT161:DE161)</f>
        <v>0</v>
      </c>
      <c r="DG161" s="280"/>
      <c r="DH161" s="159">
        <f t="shared" si="373"/>
        <v>367.39869661332295</v>
      </c>
      <c r="DI161" s="160">
        <f t="shared" si="374"/>
        <v>350</v>
      </c>
      <c r="DJ161" s="161">
        <f t="shared" si="375"/>
        <v>-17.398696613322954</v>
      </c>
    </row>
    <row r="162" spans="1:115" ht="15" hidden="1" customHeight="1" outlineLevel="1">
      <c r="A162" s="607"/>
      <c r="B162" s="560"/>
      <c r="C162" s="245" t="s">
        <v>63</v>
      </c>
      <c r="D162" s="184" t="s">
        <v>124</v>
      </c>
      <c r="E162" s="136">
        <v>303</v>
      </c>
      <c r="F162" s="136"/>
      <c r="G162" s="137"/>
      <c r="H162" s="138"/>
      <c r="I162" s="138"/>
      <c r="J162" s="138"/>
      <c r="K162" s="138"/>
      <c r="L162" s="138"/>
      <c r="M162" s="138">
        <v>3.4883422004681846</v>
      </c>
      <c r="N162" s="138">
        <v>59.991001675041872</v>
      </c>
      <c r="O162" s="138">
        <v>97.379951037344398</v>
      </c>
      <c r="P162" s="138">
        <v>141.81559322938037</v>
      </c>
      <c r="Q162" s="138"/>
      <c r="R162" s="139"/>
      <c r="S162" s="162">
        <f t="shared" si="450"/>
        <v>302.67488814223486</v>
      </c>
      <c r="T162" s="380"/>
      <c r="U162" s="381"/>
      <c r="V162" s="381"/>
      <c r="W162" s="381"/>
      <c r="X162" s="381"/>
      <c r="Y162" s="381"/>
      <c r="Z162" s="381"/>
      <c r="AA162" s="381"/>
      <c r="AB162" s="138"/>
      <c r="AC162" s="138"/>
      <c r="AD162" s="138"/>
      <c r="AE162" s="139"/>
      <c r="AF162" s="162">
        <f t="shared" si="459"/>
        <v>0</v>
      </c>
      <c r="AG162" s="141"/>
      <c r="AH162" s="138"/>
      <c r="AI162" s="138"/>
      <c r="AJ162" s="138"/>
      <c r="AK162" s="138"/>
      <c r="AL162" s="138"/>
      <c r="AM162" s="138"/>
      <c r="AN162" s="138"/>
      <c r="AO162" s="138"/>
      <c r="AP162" s="138"/>
      <c r="AQ162" s="138"/>
      <c r="AR162" s="139"/>
      <c r="AS162" s="410">
        <f t="shared" si="464"/>
        <v>0</v>
      </c>
      <c r="AT162" s="141"/>
      <c r="AU162" s="138"/>
      <c r="AV162" s="138"/>
      <c r="AW162" s="138"/>
      <c r="AX162" s="138"/>
      <c r="AY162" s="138"/>
      <c r="AZ162" s="138"/>
      <c r="BA162" s="138"/>
      <c r="BB162" s="138"/>
      <c r="BC162" s="138"/>
      <c r="BD162" s="138"/>
      <c r="BE162" s="139"/>
      <c r="BF162" s="162">
        <f t="shared" si="368"/>
        <v>0</v>
      </c>
      <c r="BG162" s="141"/>
      <c r="BH162" s="138"/>
      <c r="BI162" s="138"/>
      <c r="BJ162" s="138"/>
      <c r="BK162" s="138"/>
      <c r="BL162" s="138"/>
      <c r="BM162" s="138"/>
      <c r="BN162" s="138"/>
      <c r="BO162" s="138"/>
      <c r="BP162" s="138"/>
      <c r="BQ162" s="138"/>
      <c r="BR162" s="139"/>
      <c r="BS162" s="162">
        <f t="shared" si="460"/>
        <v>0</v>
      </c>
      <c r="BT162" s="141"/>
      <c r="BU162" s="138"/>
      <c r="BV162" s="138"/>
      <c r="BW162" s="138"/>
      <c r="BX162" s="138"/>
      <c r="BY162" s="138"/>
      <c r="BZ162" s="138"/>
      <c r="CA162" s="138"/>
      <c r="CB162" s="138"/>
      <c r="CC162" s="138"/>
      <c r="CD162" s="138"/>
      <c r="CE162" s="139"/>
      <c r="CF162" s="162">
        <f t="shared" si="502"/>
        <v>0</v>
      </c>
      <c r="CG162" s="141"/>
      <c r="CH162" s="138"/>
      <c r="CI162" s="138"/>
      <c r="CJ162" s="138"/>
      <c r="CK162" s="138"/>
      <c r="CL162" s="138"/>
      <c r="CM162" s="138"/>
      <c r="CN162" s="138"/>
      <c r="CO162" s="138"/>
      <c r="CP162" s="138"/>
      <c r="CQ162" s="138"/>
      <c r="CR162" s="139"/>
      <c r="CS162" s="162">
        <f t="shared" si="503"/>
        <v>0</v>
      </c>
      <c r="CT162" s="141"/>
      <c r="CU162" s="138"/>
      <c r="CV162" s="138"/>
      <c r="CW162" s="138"/>
      <c r="CX162" s="138"/>
      <c r="CY162" s="138"/>
      <c r="CZ162" s="138"/>
      <c r="DA162" s="138"/>
      <c r="DB162" s="138"/>
      <c r="DC162" s="138"/>
      <c r="DD162" s="138"/>
      <c r="DE162" s="139"/>
      <c r="DF162" s="162">
        <f t="shared" si="504"/>
        <v>0</v>
      </c>
      <c r="DG162" s="279"/>
      <c r="DH162" s="90">
        <f t="shared" si="373"/>
        <v>302.67488814223486</v>
      </c>
      <c r="DI162" s="91">
        <f t="shared" si="374"/>
        <v>303</v>
      </c>
      <c r="DJ162" s="92">
        <f t="shared" si="375"/>
        <v>0.32511185776513685</v>
      </c>
      <c r="DK162" s="64">
        <f>+DH162/DH161</f>
        <v>0.82383223166627584</v>
      </c>
    </row>
    <row r="163" spans="1:115" ht="15" hidden="1" customHeight="1" outlineLevel="1">
      <c r="A163" s="607"/>
      <c r="B163" s="561"/>
      <c r="C163" s="554" t="s">
        <v>11</v>
      </c>
      <c r="D163" s="555"/>
      <c r="E163" s="143">
        <v>47</v>
      </c>
      <c r="F163" s="144">
        <f t="shared" ref="F163:R163" si="505">+F161-F162</f>
        <v>0</v>
      </c>
      <c r="G163" s="145">
        <f t="shared" si="505"/>
        <v>0</v>
      </c>
      <c r="H163" s="145">
        <f t="shared" si="505"/>
        <v>0</v>
      </c>
      <c r="I163" s="145">
        <f t="shared" si="505"/>
        <v>0</v>
      </c>
      <c r="J163" s="145">
        <f t="shared" si="505"/>
        <v>0</v>
      </c>
      <c r="K163" s="145">
        <f t="shared" si="505"/>
        <v>0</v>
      </c>
      <c r="L163" s="145">
        <f t="shared" si="505"/>
        <v>0</v>
      </c>
      <c r="M163" s="145">
        <f t="shared" si="505"/>
        <v>-3.4883422004681846</v>
      </c>
      <c r="N163" s="145">
        <f t="shared" si="505"/>
        <v>14.358186515912905</v>
      </c>
      <c r="O163" s="145">
        <f t="shared" si="505"/>
        <v>49.96101286307055</v>
      </c>
      <c r="P163" s="145">
        <f t="shared" si="505"/>
        <v>3.8929512925728318</v>
      </c>
      <c r="Q163" s="145">
        <f t="shared" si="505"/>
        <v>0</v>
      </c>
      <c r="R163" s="146">
        <f t="shared" si="505"/>
        <v>0</v>
      </c>
      <c r="S163" s="147">
        <f t="shared" si="450"/>
        <v>64.723808471088105</v>
      </c>
      <c r="T163" s="148">
        <f t="shared" ref="T163:AE163" si="506">+T161-T162</f>
        <v>0</v>
      </c>
      <c r="U163" s="145">
        <f t="shared" si="506"/>
        <v>0</v>
      </c>
      <c r="V163" s="145">
        <f t="shared" si="506"/>
        <v>0</v>
      </c>
      <c r="W163" s="145">
        <f t="shared" si="506"/>
        <v>0</v>
      </c>
      <c r="X163" s="145">
        <f t="shared" si="506"/>
        <v>0</v>
      </c>
      <c r="Y163" s="145">
        <f t="shared" si="506"/>
        <v>0</v>
      </c>
      <c r="Z163" s="145">
        <f t="shared" si="506"/>
        <v>0</v>
      </c>
      <c r="AA163" s="145">
        <f t="shared" si="506"/>
        <v>0</v>
      </c>
      <c r="AB163" s="145">
        <f t="shared" si="506"/>
        <v>0</v>
      </c>
      <c r="AC163" s="145">
        <f t="shared" si="506"/>
        <v>0</v>
      </c>
      <c r="AD163" s="145">
        <f t="shared" si="506"/>
        <v>0</v>
      </c>
      <c r="AE163" s="146">
        <f t="shared" si="506"/>
        <v>0</v>
      </c>
      <c r="AF163" s="147">
        <f t="shared" si="459"/>
        <v>0</v>
      </c>
      <c r="AG163" s="148">
        <f t="shared" ref="AG163:AR163" si="507">+AG161-AG162</f>
        <v>0</v>
      </c>
      <c r="AH163" s="145">
        <f t="shared" si="507"/>
        <v>0</v>
      </c>
      <c r="AI163" s="145">
        <f t="shared" si="507"/>
        <v>0</v>
      </c>
      <c r="AJ163" s="145">
        <f t="shared" si="507"/>
        <v>0</v>
      </c>
      <c r="AK163" s="145">
        <f t="shared" si="507"/>
        <v>0</v>
      </c>
      <c r="AL163" s="145">
        <f t="shared" si="507"/>
        <v>0</v>
      </c>
      <c r="AM163" s="145">
        <f t="shared" si="507"/>
        <v>0</v>
      </c>
      <c r="AN163" s="145">
        <f t="shared" si="507"/>
        <v>0</v>
      </c>
      <c r="AO163" s="145">
        <f t="shared" si="507"/>
        <v>0</v>
      </c>
      <c r="AP163" s="145">
        <f t="shared" si="507"/>
        <v>0</v>
      </c>
      <c r="AQ163" s="145">
        <f t="shared" si="507"/>
        <v>0</v>
      </c>
      <c r="AR163" s="146">
        <f t="shared" si="507"/>
        <v>0</v>
      </c>
      <c r="AS163" s="408">
        <f t="shared" si="464"/>
        <v>0</v>
      </c>
      <c r="AT163" s="148">
        <f t="shared" ref="AT163:BE163" si="508">+AT161-AT162</f>
        <v>0</v>
      </c>
      <c r="AU163" s="145">
        <f t="shared" si="508"/>
        <v>0</v>
      </c>
      <c r="AV163" s="145">
        <f t="shared" si="508"/>
        <v>0</v>
      </c>
      <c r="AW163" s="145">
        <f t="shared" si="508"/>
        <v>0</v>
      </c>
      <c r="AX163" s="145">
        <f t="shared" si="508"/>
        <v>0</v>
      </c>
      <c r="AY163" s="145">
        <f t="shared" si="508"/>
        <v>0</v>
      </c>
      <c r="AZ163" s="145">
        <f t="shared" si="508"/>
        <v>0</v>
      </c>
      <c r="BA163" s="145">
        <f t="shared" si="508"/>
        <v>0</v>
      </c>
      <c r="BB163" s="145">
        <f t="shared" si="508"/>
        <v>0</v>
      </c>
      <c r="BC163" s="145">
        <f t="shared" si="508"/>
        <v>0</v>
      </c>
      <c r="BD163" s="145">
        <f t="shared" si="508"/>
        <v>0</v>
      </c>
      <c r="BE163" s="146">
        <f t="shared" si="508"/>
        <v>0</v>
      </c>
      <c r="BF163" s="147">
        <f t="shared" si="368"/>
        <v>0</v>
      </c>
      <c r="BG163" s="148">
        <f t="shared" ref="BG163:BR163" si="509">+BG161-BG162</f>
        <v>0</v>
      </c>
      <c r="BH163" s="145">
        <f t="shared" si="509"/>
        <v>0</v>
      </c>
      <c r="BI163" s="145">
        <f t="shared" si="509"/>
        <v>0</v>
      </c>
      <c r="BJ163" s="145">
        <f t="shared" si="509"/>
        <v>0</v>
      </c>
      <c r="BK163" s="145">
        <f t="shared" si="509"/>
        <v>0</v>
      </c>
      <c r="BL163" s="145">
        <f t="shared" si="509"/>
        <v>0</v>
      </c>
      <c r="BM163" s="145">
        <f t="shared" si="509"/>
        <v>0</v>
      </c>
      <c r="BN163" s="145">
        <f t="shared" si="509"/>
        <v>0</v>
      </c>
      <c r="BO163" s="145">
        <f t="shared" si="509"/>
        <v>0</v>
      </c>
      <c r="BP163" s="145">
        <f t="shared" si="509"/>
        <v>0</v>
      </c>
      <c r="BQ163" s="145">
        <f t="shared" si="509"/>
        <v>0</v>
      </c>
      <c r="BR163" s="146">
        <f t="shared" si="509"/>
        <v>0</v>
      </c>
      <c r="BS163" s="147">
        <f t="shared" si="460"/>
        <v>0</v>
      </c>
      <c r="BT163" s="148">
        <f t="shared" ref="BT163:CE163" si="510">+BT161-BT162</f>
        <v>0</v>
      </c>
      <c r="BU163" s="145">
        <f t="shared" si="510"/>
        <v>0</v>
      </c>
      <c r="BV163" s="145">
        <f t="shared" si="510"/>
        <v>0</v>
      </c>
      <c r="BW163" s="145">
        <f t="shared" si="510"/>
        <v>0</v>
      </c>
      <c r="BX163" s="145">
        <f t="shared" si="510"/>
        <v>0</v>
      </c>
      <c r="BY163" s="145">
        <f t="shared" si="510"/>
        <v>0</v>
      </c>
      <c r="BZ163" s="145">
        <f t="shared" si="510"/>
        <v>0</v>
      </c>
      <c r="CA163" s="145">
        <f t="shared" si="510"/>
        <v>0</v>
      </c>
      <c r="CB163" s="145">
        <f t="shared" si="510"/>
        <v>0</v>
      </c>
      <c r="CC163" s="145">
        <f t="shared" si="510"/>
        <v>0</v>
      </c>
      <c r="CD163" s="145">
        <f t="shared" si="510"/>
        <v>0</v>
      </c>
      <c r="CE163" s="146">
        <f t="shared" si="510"/>
        <v>0</v>
      </c>
      <c r="CF163" s="147">
        <f t="shared" si="502"/>
        <v>0</v>
      </c>
      <c r="CG163" s="148">
        <f t="shared" ref="CG163:CR163" si="511">+CG161-CG162</f>
        <v>0</v>
      </c>
      <c r="CH163" s="145">
        <f t="shared" si="511"/>
        <v>0</v>
      </c>
      <c r="CI163" s="145">
        <f t="shared" si="511"/>
        <v>0</v>
      </c>
      <c r="CJ163" s="145">
        <f t="shared" si="511"/>
        <v>0</v>
      </c>
      <c r="CK163" s="145">
        <f t="shared" si="511"/>
        <v>0</v>
      </c>
      <c r="CL163" s="145">
        <f t="shared" si="511"/>
        <v>0</v>
      </c>
      <c r="CM163" s="145">
        <f t="shared" si="511"/>
        <v>0</v>
      </c>
      <c r="CN163" s="145">
        <f t="shared" si="511"/>
        <v>0</v>
      </c>
      <c r="CO163" s="145">
        <f t="shared" si="511"/>
        <v>0</v>
      </c>
      <c r="CP163" s="145">
        <f t="shared" si="511"/>
        <v>0</v>
      </c>
      <c r="CQ163" s="145">
        <f t="shared" si="511"/>
        <v>0</v>
      </c>
      <c r="CR163" s="146">
        <f t="shared" si="511"/>
        <v>0</v>
      </c>
      <c r="CS163" s="147">
        <f t="shared" si="503"/>
        <v>0</v>
      </c>
      <c r="CT163" s="148">
        <f t="shared" ref="CT163:DE163" si="512">+CT161-CT162</f>
        <v>0</v>
      </c>
      <c r="CU163" s="145">
        <f t="shared" si="512"/>
        <v>0</v>
      </c>
      <c r="CV163" s="145">
        <f t="shared" si="512"/>
        <v>0</v>
      </c>
      <c r="CW163" s="145">
        <f t="shared" si="512"/>
        <v>0</v>
      </c>
      <c r="CX163" s="145">
        <f t="shared" si="512"/>
        <v>0</v>
      </c>
      <c r="CY163" s="145">
        <f t="shared" si="512"/>
        <v>0</v>
      </c>
      <c r="CZ163" s="145">
        <f t="shared" si="512"/>
        <v>0</v>
      </c>
      <c r="DA163" s="145">
        <f t="shared" si="512"/>
        <v>0</v>
      </c>
      <c r="DB163" s="145">
        <f t="shared" si="512"/>
        <v>0</v>
      </c>
      <c r="DC163" s="145">
        <f t="shared" si="512"/>
        <v>0</v>
      </c>
      <c r="DD163" s="145">
        <f t="shared" si="512"/>
        <v>0</v>
      </c>
      <c r="DE163" s="146">
        <f t="shared" si="512"/>
        <v>0</v>
      </c>
      <c r="DF163" s="147">
        <f t="shared" si="504"/>
        <v>0</v>
      </c>
      <c r="DG163" s="146">
        <f>+DG161-DG162</f>
        <v>0</v>
      </c>
      <c r="DH163" s="98">
        <f t="shared" si="373"/>
        <v>64.723808471088105</v>
      </c>
      <c r="DI163" s="99">
        <f t="shared" si="374"/>
        <v>47</v>
      </c>
      <c r="DJ163" s="100">
        <f t="shared" si="375"/>
        <v>-17.723808471088105</v>
      </c>
    </row>
    <row r="164" spans="1:115" ht="15" hidden="1" customHeight="1" outlineLevel="1">
      <c r="A164" s="607"/>
      <c r="B164" s="557" t="s">
        <v>191</v>
      </c>
      <c r="C164" s="246" t="s">
        <v>62</v>
      </c>
      <c r="D164" s="183" t="s">
        <v>122</v>
      </c>
      <c r="E164" s="153">
        <v>360.88</v>
      </c>
      <c r="F164" s="153"/>
      <c r="G164" s="154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284"/>
      <c r="S164" s="157">
        <f t="shared" ref="S164:S169" si="513">SUM(G164:R164)</f>
        <v>0</v>
      </c>
      <c r="T164" s="378">
        <v>119.41773191664947</v>
      </c>
      <c r="U164" s="382">
        <v>110.91966541291906</v>
      </c>
      <c r="V164" s="382">
        <v>158.47183273761169</v>
      </c>
      <c r="W164" s="382"/>
      <c r="X164" s="382"/>
      <c r="Y164" s="382"/>
      <c r="Z164" s="382"/>
      <c r="AA164" s="382"/>
      <c r="AB164" s="382"/>
      <c r="AC164" s="382"/>
      <c r="AD164" s="382"/>
      <c r="AE164" s="481"/>
      <c r="AF164" s="157">
        <f t="shared" si="459"/>
        <v>388.80923006718024</v>
      </c>
      <c r="AG164" s="158"/>
      <c r="AH164" s="155"/>
      <c r="AI164" s="155"/>
      <c r="AJ164" s="155"/>
      <c r="AK164" s="155"/>
      <c r="AL164" s="155"/>
      <c r="AM164" s="155"/>
      <c r="AN164" s="155"/>
      <c r="AO164" s="155"/>
      <c r="AP164" s="155"/>
      <c r="AQ164" s="155"/>
      <c r="AR164" s="156"/>
      <c r="AS164" s="409">
        <f t="shared" si="464"/>
        <v>0</v>
      </c>
      <c r="AT164" s="158"/>
      <c r="AU164" s="155"/>
      <c r="AV164" s="155"/>
      <c r="AW164" s="155"/>
      <c r="AX164" s="155"/>
      <c r="AY164" s="155"/>
      <c r="AZ164" s="155"/>
      <c r="BA164" s="155"/>
      <c r="BB164" s="155"/>
      <c r="BC164" s="155"/>
      <c r="BD164" s="155"/>
      <c r="BE164" s="156"/>
      <c r="BF164" s="157">
        <f t="shared" si="368"/>
        <v>0</v>
      </c>
      <c r="BG164" s="158"/>
      <c r="BH164" s="155"/>
      <c r="BI164" s="155"/>
      <c r="BJ164" s="155"/>
      <c r="BK164" s="155"/>
      <c r="BL164" s="155"/>
      <c r="BM164" s="155"/>
      <c r="BN164" s="155"/>
      <c r="BO164" s="155"/>
      <c r="BP164" s="155"/>
      <c r="BQ164" s="155"/>
      <c r="BR164" s="156"/>
      <c r="BS164" s="157">
        <f t="shared" si="460"/>
        <v>0</v>
      </c>
      <c r="BT164" s="158"/>
      <c r="BU164" s="155"/>
      <c r="BV164" s="155"/>
      <c r="BW164" s="155"/>
      <c r="BX164" s="155"/>
      <c r="BY164" s="155"/>
      <c r="BZ164" s="155"/>
      <c r="CA164" s="155"/>
      <c r="CB164" s="155"/>
      <c r="CC164" s="155"/>
      <c r="CD164" s="155"/>
      <c r="CE164" s="156"/>
      <c r="CF164" s="157">
        <f t="shared" si="502"/>
        <v>0</v>
      </c>
      <c r="CG164" s="158"/>
      <c r="CH164" s="155"/>
      <c r="CI164" s="155"/>
      <c r="CJ164" s="155"/>
      <c r="CK164" s="155"/>
      <c r="CL164" s="155"/>
      <c r="CM164" s="155"/>
      <c r="CN164" s="155"/>
      <c r="CO164" s="155"/>
      <c r="CP164" s="155"/>
      <c r="CQ164" s="155"/>
      <c r="CR164" s="156"/>
      <c r="CS164" s="157">
        <f t="shared" si="503"/>
        <v>0</v>
      </c>
      <c r="CT164" s="158"/>
      <c r="CU164" s="155"/>
      <c r="CV164" s="155"/>
      <c r="CW164" s="155"/>
      <c r="CX164" s="155"/>
      <c r="CY164" s="155"/>
      <c r="CZ164" s="155"/>
      <c r="DA164" s="155"/>
      <c r="DB164" s="155"/>
      <c r="DC164" s="155"/>
      <c r="DD164" s="155"/>
      <c r="DE164" s="156"/>
      <c r="DF164" s="157">
        <f t="shared" si="504"/>
        <v>0</v>
      </c>
      <c r="DG164" s="280"/>
      <c r="DH164" s="159">
        <f t="shared" si="373"/>
        <v>388.80923006718024</v>
      </c>
      <c r="DI164" s="160">
        <f t="shared" si="374"/>
        <v>360.88</v>
      </c>
      <c r="DJ164" s="161">
        <f t="shared" si="375"/>
        <v>-27.929230067180242</v>
      </c>
    </row>
    <row r="165" spans="1:115" ht="15" hidden="1" customHeight="1" outlineLevel="1">
      <c r="A165" s="607"/>
      <c r="B165" s="560"/>
      <c r="C165" s="245" t="s">
        <v>63</v>
      </c>
      <c r="D165" s="184" t="s">
        <v>124</v>
      </c>
      <c r="E165" s="136">
        <v>313.80799999999999</v>
      </c>
      <c r="F165" s="136"/>
      <c r="G165" s="137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9">
        <v>4.0513859043659046</v>
      </c>
      <c r="S165" s="162">
        <f t="shared" si="513"/>
        <v>4.0513859043659046</v>
      </c>
      <c r="T165" s="380">
        <v>112.7281781720652</v>
      </c>
      <c r="U165" s="381">
        <v>77.359010016353238</v>
      </c>
      <c r="V165" s="381">
        <v>130.86830767668562</v>
      </c>
      <c r="W165" s="381">
        <v>2.4670633475166022</v>
      </c>
      <c r="X165" s="381"/>
      <c r="Y165" s="381"/>
      <c r="Z165" s="381">
        <v>13.509718629209006</v>
      </c>
      <c r="AA165" s="381">
        <v>1.5805161264377061</v>
      </c>
      <c r="AB165" s="381"/>
      <c r="AC165" s="381"/>
      <c r="AD165" s="381"/>
      <c r="AE165" s="392"/>
      <c r="AF165" s="162">
        <f t="shared" si="459"/>
        <v>338.51279396826743</v>
      </c>
      <c r="AG165" s="141"/>
      <c r="AH165" s="138"/>
      <c r="AI165" s="138"/>
      <c r="AJ165" s="138"/>
      <c r="AK165" s="138"/>
      <c r="AL165" s="138"/>
      <c r="AM165" s="138"/>
      <c r="AN165" s="138"/>
      <c r="AO165" s="138"/>
      <c r="AP165" s="138"/>
      <c r="AQ165" s="138"/>
      <c r="AR165" s="139"/>
      <c r="AS165" s="410">
        <f t="shared" si="464"/>
        <v>0</v>
      </c>
      <c r="AT165" s="141"/>
      <c r="AU165" s="138"/>
      <c r="AV165" s="138"/>
      <c r="AW165" s="138"/>
      <c r="AX165" s="138"/>
      <c r="AY165" s="138"/>
      <c r="AZ165" s="138"/>
      <c r="BA165" s="138"/>
      <c r="BB165" s="138"/>
      <c r="BC165" s="138"/>
      <c r="BD165" s="138"/>
      <c r="BE165" s="139"/>
      <c r="BF165" s="162">
        <f t="shared" si="368"/>
        <v>0</v>
      </c>
      <c r="BG165" s="141"/>
      <c r="BH165" s="138"/>
      <c r="BI165" s="138"/>
      <c r="BJ165" s="138"/>
      <c r="BK165" s="138"/>
      <c r="BL165" s="138"/>
      <c r="BM165" s="138"/>
      <c r="BN165" s="138"/>
      <c r="BO165" s="138"/>
      <c r="BP165" s="138"/>
      <c r="BQ165" s="138"/>
      <c r="BR165" s="139"/>
      <c r="BS165" s="162">
        <f t="shared" si="460"/>
        <v>0</v>
      </c>
      <c r="BT165" s="141"/>
      <c r="BU165" s="138"/>
      <c r="BV165" s="138"/>
      <c r="BW165" s="138"/>
      <c r="BX165" s="138"/>
      <c r="BY165" s="138"/>
      <c r="BZ165" s="138"/>
      <c r="CA165" s="138"/>
      <c r="CB165" s="138"/>
      <c r="CC165" s="138"/>
      <c r="CD165" s="138"/>
      <c r="CE165" s="139"/>
      <c r="CF165" s="162">
        <f t="shared" si="502"/>
        <v>0</v>
      </c>
      <c r="CG165" s="141"/>
      <c r="CH165" s="138"/>
      <c r="CI165" s="138"/>
      <c r="CJ165" s="138"/>
      <c r="CK165" s="138"/>
      <c r="CL165" s="138"/>
      <c r="CM165" s="138"/>
      <c r="CN165" s="138"/>
      <c r="CO165" s="138"/>
      <c r="CP165" s="138"/>
      <c r="CQ165" s="138"/>
      <c r="CR165" s="139"/>
      <c r="CS165" s="162">
        <f t="shared" si="503"/>
        <v>0</v>
      </c>
      <c r="CT165" s="141"/>
      <c r="CU165" s="138"/>
      <c r="CV165" s="138"/>
      <c r="CW165" s="138"/>
      <c r="CX165" s="138"/>
      <c r="CY165" s="138"/>
      <c r="CZ165" s="138"/>
      <c r="DA165" s="138"/>
      <c r="DB165" s="138"/>
      <c r="DC165" s="138"/>
      <c r="DD165" s="138"/>
      <c r="DE165" s="139"/>
      <c r="DF165" s="162">
        <f t="shared" si="504"/>
        <v>0</v>
      </c>
      <c r="DG165" s="279"/>
      <c r="DH165" s="90">
        <f t="shared" si="373"/>
        <v>342.56417987263336</v>
      </c>
      <c r="DI165" s="91">
        <f t="shared" si="374"/>
        <v>313.80799999999999</v>
      </c>
      <c r="DJ165" s="92">
        <f t="shared" si="375"/>
        <v>-28.756179872633368</v>
      </c>
      <c r="DK165" s="64">
        <f>+DH165/DH164</f>
        <v>0.88105979329102746</v>
      </c>
    </row>
    <row r="166" spans="1:115" ht="15" hidden="1" customHeight="1" outlineLevel="1">
      <c r="A166" s="607"/>
      <c r="B166" s="561"/>
      <c r="C166" s="554" t="s">
        <v>11</v>
      </c>
      <c r="D166" s="555"/>
      <c r="E166" s="143">
        <v>47.072000000000003</v>
      </c>
      <c r="F166" s="144">
        <f t="shared" ref="F166:R166" si="514">+F164-F165</f>
        <v>0</v>
      </c>
      <c r="G166" s="145">
        <f t="shared" si="514"/>
        <v>0</v>
      </c>
      <c r="H166" s="145">
        <f t="shared" si="514"/>
        <v>0</v>
      </c>
      <c r="I166" s="145">
        <f t="shared" si="514"/>
        <v>0</v>
      </c>
      <c r="J166" s="145">
        <f t="shared" si="514"/>
        <v>0</v>
      </c>
      <c r="K166" s="145">
        <f t="shared" si="514"/>
        <v>0</v>
      </c>
      <c r="L166" s="145">
        <f t="shared" si="514"/>
        <v>0</v>
      </c>
      <c r="M166" s="145">
        <f t="shared" si="514"/>
        <v>0</v>
      </c>
      <c r="N166" s="145">
        <f t="shared" si="514"/>
        <v>0</v>
      </c>
      <c r="O166" s="145">
        <f t="shared" si="514"/>
        <v>0</v>
      </c>
      <c r="P166" s="145">
        <f t="shared" si="514"/>
        <v>0</v>
      </c>
      <c r="Q166" s="145">
        <f t="shared" si="514"/>
        <v>0</v>
      </c>
      <c r="R166" s="146">
        <f t="shared" si="514"/>
        <v>-4.0513859043659046</v>
      </c>
      <c r="S166" s="147">
        <f t="shared" si="513"/>
        <v>-4.0513859043659046</v>
      </c>
      <c r="T166" s="148">
        <f t="shared" ref="T166:AE166" si="515">+T164-T165</f>
        <v>6.6895537445842734</v>
      </c>
      <c r="U166" s="145">
        <f t="shared" si="515"/>
        <v>33.560655396565821</v>
      </c>
      <c r="V166" s="145">
        <f t="shared" si="515"/>
        <v>27.603525060926074</v>
      </c>
      <c r="W166" s="145">
        <f t="shared" si="515"/>
        <v>-2.4670633475166022</v>
      </c>
      <c r="X166" s="145">
        <f t="shared" si="515"/>
        <v>0</v>
      </c>
      <c r="Y166" s="145">
        <f t="shared" si="515"/>
        <v>0</v>
      </c>
      <c r="Z166" s="145">
        <f t="shared" si="515"/>
        <v>-13.509718629209006</v>
      </c>
      <c r="AA166" s="145">
        <f t="shared" si="515"/>
        <v>-1.5805161264377061</v>
      </c>
      <c r="AB166" s="145">
        <f t="shared" si="515"/>
        <v>0</v>
      </c>
      <c r="AC166" s="145">
        <f t="shared" si="515"/>
        <v>0</v>
      </c>
      <c r="AD166" s="145">
        <f t="shared" si="515"/>
        <v>0</v>
      </c>
      <c r="AE166" s="146">
        <f t="shared" si="515"/>
        <v>0</v>
      </c>
      <c r="AF166" s="147">
        <f t="shared" si="459"/>
        <v>50.296436098912856</v>
      </c>
      <c r="AG166" s="148">
        <f t="shared" ref="AG166:AR166" si="516">+AG164-AG165</f>
        <v>0</v>
      </c>
      <c r="AH166" s="145">
        <f t="shared" si="516"/>
        <v>0</v>
      </c>
      <c r="AI166" s="145">
        <f t="shared" si="516"/>
        <v>0</v>
      </c>
      <c r="AJ166" s="145">
        <f t="shared" si="516"/>
        <v>0</v>
      </c>
      <c r="AK166" s="145">
        <f t="shared" si="516"/>
        <v>0</v>
      </c>
      <c r="AL166" s="145">
        <f t="shared" si="516"/>
        <v>0</v>
      </c>
      <c r="AM166" s="145">
        <f t="shared" si="516"/>
        <v>0</v>
      </c>
      <c r="AN166" s="145">
        <f t="shared" si="516"/>
        <v>0</v>
      </c>
      <c r="AO166" s="145">
        <f t="shared" si="516"/>
        <v>0</v>
      </c>
      <c r="AP166" s="145">
        <f t="shared" si="516"/>
        <v>0</v>
      </c>
      <c r="AQ166" s="145">
        <f t="shared" si="516"/>
        <v>0</v>
      </c>
      <c r="AR166" s="146">
        <f t="shared" si="516"/>
        <v>0</v>
      </c>
      <c r="AS166" s="408">
        <f t="shared" si="464"/>
        <v>0</v>
      </c>
      <c r="AT166" s="148">
        <f t="shared" ref="AT166:BE166" si="517">+AT164-AT165</f>
        <v>0</v>
      </c>
      <c r="AU166" s="145">
        <f t="shared" si="517"/>
        <v>0</v>
      </c>
      <c r="AV166" s="145">
        <f t="shared" si="517"/>
        <v>0</v>
      </c>
      <c r="AW166" s="145">
        <f t="shared" si="517"/>
        <v>0</v>
      </c>
      <c r="AX166" s="145">
        <f t="shared" si="517"/>
        <v>0</v>
      </c>
      <c r="AY166" s="145">
        <f t="shared" si="517"/>
        <v>0</v>
      </c>
      <c r="AZ166" s="145">
        <f t="shared" si="517"/>
        <v>0</v>
      </c>
      <c r="BA166" s="145">
        <f t="shared" si="517"/>
        <v>0</v>
      </c>
      <c r="BB166" s="145">
        <f t="shared" si="517"/>
        <v>0</v>
      </c>
      <c r="BC166" s="145">
        <f t="shared" si="517"/>
        <v>0</v>
      </c>
      <c r="BD166" s="145">
        <f t="shared" si="517"/>
        <v>0</v>
      </c>
      <c r="BE166" s="146">
        <f t="shared" si="517"/>
        <v>0</v>
      </c>
      <c r="BF166" s="147">
        <f t="shared" si="368"/>
        <v>0</v>
      </c>
      <c r="BG166" s="148">
        <f t="shared" ref="BG166:BR166" si="518">+BG164-BG165</f>
        <v>0</v>
      </c>
      <c r="BH166" s="145">
        <f t="shared" si="518"/>
        <v>0</v>
      </c>
      <c r="BI166" s="145">
        <f t="shared" si="518"/>
        <v>0</v>
      </c>
      <c r="BJ166" s="145">
        <f t="shared" si="518"/>
        <v>0</v>
      </c>
      <c r="BK166" s="145">
        <f t="shared" si="518"/>
        <v>0</v>
      </c>
      <c r="BL166" s="145">
        <f t="shared" si="518"/>
        <v>0</v>
      </c>
      <c r="BM166" s="145">
        <f t="shared" si="518"/>
        <v>0</v>
      </c>
      <c r="BN166" s="145">
        <f t="shared" si="518"/>
        <v>0</v>
      </c>
      <c r="BO166" s="145">
        <f t="shared" si="518"/>
        <v>0</v>
      </c>
      <c r="BP166" s="145">
        <f t="shared" si="518"/>
        <v>0</v>
      </c>
      <c r="BQ166" s="145">
        <f t="shared" si="518"/>
        <v>0</v>
      </c>
      <c r="BR166" s="146">
        <f t="shared" si="518"/>
        <v>0</v>
      </c>
      <c r="BS166" s="147">
        <f t="shared" si="460"/>
        <v>0</v>
      </c>
      <c r="BT166" s="148">
        <f t="shared" ref="BT166:CE166" si="519">+BT164-BT165</f>
        <v>0</v>
      </c>
      <c r="BU166" s="145">
        <f t="shared" si="519"/>
        <v>0</v>
      </c>
      <c r="BV166" s="145">
        <f t="shared" si="519"/>
        <v>0</v>
      </c>
      <c r="BW166" s="145">
        <f t="shared" si="519"/>
        <v>0</v>
      </c>
      <c r="BX166" s="145">
        <f t="shared" si="519"/>
        <v>0</v>
      </c>
      <c r="BY166" s="145">
        <f t="shared" si="519"/>
        <v>0</v>
      </c>
      <c r="BZ166" s="145">
        <f t="shared" si="519"/>
        <v>0</v>
      </c>
      <c r="CA166" s="145">
        <f t="shared" si="519"/>
        <v>0</v>
      </c>
      <c r="CB166" s="145">
        <f t="shared" si="519"/>
        <v>0</v>
      </c>
      <c r="CC166" s="145">
        <f t="shared" si="519"/>
        <v>0</v>
      </c>
      <c r="CD166" s="145">
        <f t="shared" si="519"/>
        <v>0</v>
      </c>
      <c r="CE166" s="146">
        <f t="shared" si="519"/>
        <v>0</v>
      </c>
      <c r="CF166" s="147">
        <f t="shared" si="502"/>
        <v>0</v>
      </c>
      <c r="CG166" s="148">
        <f t="shared" ref="CG166:CR166" si="520">+CG164-CG165</f>
        <v>0</v>
      </c>
      <c r="CH166" s="145">
        <f t="shared" si="520"/>
        <v>0</v>
      </c>
      <c r="CI166" s="145">
        <f t="shared" si="520"/>
        <v>0</v>
      </c>
      <c r="CJ166" s="145">
        <f t="shared" si="520"/>
        <v>0</v>
      </c>
      <c r="CK166" s="145">
        <f t="shared" si="520"/>
        <v>0</v>
      </c>
      <c r="CL166" s="145">
        <f t="shared" si="520"/>
        <v>0</v>
      </c>
      <c r="CM166" s="145">
        <f t="shared" si="520"/>
        <v>0</v>
      </c>
      <c r="CN166" s="145">
        <f t="shared" si="520"/>
        <v>0</v>
      </c>
      <c r="CO166" s="145">
        <f t="shared" si="520"/>
        <v>0</v>
      </c>
      <c r="CP166" s="145">
        <f t="shared" si="520"/>
        <v>0</v>
      </c>
      <c r="CQ166" s="145">
        <f t="shared" si="520"/>
        <v>0</v>
      </c>
      <c r="CR166" s="146">
        <f t="shared" si="520"/>
        <v>0</v>
      </c>
      <c r="CS166" s="147">
        <f t="shared" si="503"/>
        <v>0</v>
      </c>
      <c r="CT166" s="148">
        <f t="shared" ref="CT166:DE166" si="521">+CT164-CT165</f>
        <v>0</v>
      </c>
      <c r="CU166" s="145">
        <f t="shared" si="521"/>
        <v>0</v>
      </c>
      <c r="CV166" s="145">
        <f t="shared" si="521"/>
        <v>0</v>
      </c>
      <c r="CW166" s="145">
        <f t="shared" si="521"/>
        <v>0</v>
      </c>
      <c r="CX166" s="145">
        <f t="shared" si="521"/>
        <v>0</v>
      </c>
      <c r="CY166" s="145">
        <f t="shared" si="521"/>
        <v>0</v>
      </c>
      <c r="CZ166" s="145">
        <f t="shared" si="521"/>
        <v>0</v>
      </c>
      <c r="DA166" s="145">
        <f t="shared" si="521"/>
        <v>0</v>
      </c>
      <c r="DB166" s="145">
        <f t="shared" si="521"/>
        <v>0</v>
      </c>
      <c r="DC166" s="145">
        <f t="shared" si="521"/>
        <v>0</v>
      </c>
      <c r="DD166" s="145">
        <f t="shared" si="521"/>
        <v>0</v>
      </c>
      <c r="DE166" s="146">
        <f t="shared" si="521"/>
        <v>0</v>
      </c>
      <c r="DF166" s="147">
        <f t="shared" si="504"/>
        <v>0</v>
      </c>
      <c r="DG166" s="146">
        <f>+DG164-DG165</f>
        <v>0</v>
      </c>
      <c r="DH166" s="98">
        <f t="shared" si="373"/>
        <v>46.245050194546948</v>
      </c>
      <c r="DI166" s="99">
        <f t="shared" si="374"/>
        <v>47.072000000000003</v>
      </c>
      <c r="DJ166" s="100">
        <f t="shared" si="375"/>
        <v>0.82694980545305441</v>
      </c>
    </row>
    <row r="167" spans="1:115" ht="15" customHeight="1" outlineLevel="1">
      <c r="A167" s="607"/>
      <c r="B167" s="557" t="s">
        <v>338</v>
      </c>
      <c r="C167" s="246" t="s">
        <v>62</v>
      </c>
      <c r="D167" s="183" t="s">
        <v>122</v>
      </c>
      <c r="E167" s="153">
        <f>AF167+AS167+BF167+BS167+CF167+CS167+DF167+S167+DG167</f>
        <v>9894.2742279568411</v>
      </c>
      <c r="F167" s="153"/>
      <c r="G167" s="154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284"/>
      <c r="S167" s="157">
        <f t="shared" si="513"/>
        <v>0</v>
      </c>
      <c r="T167" s="378"/>
      <c r="U167" s="382"/>
      <c r="V167" s="382"/>
      <c r="W167" s="382"/>
      <c r="X167" s="389"/>
      <c r="Y167" s="389"/>
      <c r="Z167" s="389"/>
      <c r="AA167" s="389"/>
      <c r="AB167" s="389"/>
      <c r="AC167" s="389"/>
      <c r="AD167" s="389"/>
      <c r="AE167" s="482"/>
      <c r="AF167" s="157">
        <f t="shared" si="459"/>
        <v>0</v>
      </c>
      <c r="AG167" s="500"/>
      <c r="AH167" s="513"/>
      <c r="AI167" s="513"/>
      <c r="AJ167" s="513"/>
      <c r="AK167" s="513"/>
      <c r="AL167" s="513"/>
      <c r="AM167" s="513"/>
      <c r="AN167" s="513"/>
      <c r="AO167" s="513"/>
      <c r="AP167" s="513"/>
      <c r="AQ167" s="513"/>
      <c r="AR167" s="512">
        <v>4089.0938169710807</v>
      </c>
      <c r="AS167" s="409">
        <f t="shared" si="464"/>
        <v>4089.0938169710807</v>
      </c>
      <c r="AT167" s="500">
        <v>3735.8479810333552</v>
      </c>
      <c r="AU167" s="513">
        <v>1103.022022192411</v>
      </c>
      <c r="AV167" s="513">
        <v>774.31040775999395</v>
      </c>
      <c r="AW167" s="155">
        <v>192</v>
      </c>
      <c r="AX167" s="155"/>
      <c r="AY167" s="155"/>
      <c r="AZ167" s="155"/>
      <c r="BA167" s="155"/>
      <c r="BB167" s="155"/>
      <c r="BC167" s="155"/>
      <c r="BD167" s="155"/>
      <c r="BE167" s="156"/>
      <c r="BF167" s="157">
        <f t="shared" si="368"/>
        <v>5805.1804109857594</v>
      </c>
      <c r="BG167" s="158"/>
      <c r="BH167" s="155"/>
      <c r="BI167" s="155"/>
      <c r="BJ167" s="155"/>
      <c r="BK167" s="155"/>
      <c r="BL167" s="155"/>
      <c r="BM167" s="155"/>
      <c r="BN167" s="155"/>
      <c r="BO167" s="155"/>
      <c r="BP167" s="155"/>
      <c r="BQ167" s="155"/>
      <c r="BR167" s="156"/>
      <c r="BS167" s="157">
        <f t="shared" si="460"/>
        <v>0</v>
      </c>
      <c r="BT167" s="158"/>
      <c r="BU167" s="155"/>
      <c r="BV167" s="155"/>
      <c r="BW167" s="155"/>
      <c r="BX167" s="155"/>
      <c r="BY167" s="155"/>
      <c r="BZ167" s="155"/>
      <c r="CA167" s="155"/>
      <c r="CB167" s="155"/>
      <c r="CC167" s="155"/>
      <c r="CD167" s="155"/>
      <c r="CE167" s="156"/>
      <c r="CF167" s="157">
        <f t="shared" si="502"/>
        <v>0</v>
      </c>
      <c r="CG167" s="158"/>
      <c r="CH167" s="155"/>
      <c r="CI167" s="155"/>
      <c r="CJ167" s="155"/>
      <c r="CK167" s="155"/>
      <c r="CL167" s="155"/>
      <c r="CM167" s="155"/>
      <c r="CN167" s="155"/>
      <c r="CO167" s="155"/>
      <c r="CP167" s="155"/>
      <c r="CQ167" s="155"/>
      <c r="CR167" s="156"/>
      <c r="CS167" s="157">
        <f t="shared" si="503"/>
        <v>0</v>
      </c>
      <c r="CT167" s="158"/>
      <c r="CU167" s="155"/>
      <c r="CV167" s="155"/>
      <c r="CW167" s="155"/>
      <c r="CX167" s="155"/>
      <c r="CY167" s="155"/>
      <c r="CZ167" s="155"/>
      <c r="DA167" s="155"/>
      <c r="DB167" s="155"/>
      <c r="DC167" s="155"/>
      <c r="DD167" s="155"/>
      <c r="DE167" s="156"/>
      <c r="DF167" s="157">
        <f t="shared" si="504"/>
        <v>0</v>
      </c>
      <c r="DG167" s="280"/>
      <c r="DH167" s="159">
        <f t="shared" si="373"/>
        <v>9894.2742279568411</v>
      </c>
      <c r="DI167" s="160">
        <f t="shared" si="374"/>
        <v>9894.2742279568411</v>
      </c>
      <c r="DJ167" s="161">
        <f t="shared" si="375"/>
        <v>0</v>
      </c>
    </row>
    <row r="168" spans="1:115" ht="15" customHeight="1" outlineLevel="1">
      <c r="A168" s="607"/>
      <c r="B168" s="560"/>
      <c r="C168" s="245" t="s">
        <v>63</v>
      </c>
      <c r="D168" s="184" t="s">
        <v>124</v>
      </c>
      <c r="E168" s="136">
        <f>AF168+AS168+BF168+BS168+CF168+CS168+DF168+S168+DG168</f>
        <v>5271.5160679693427</v>
      </c>
      <c r="F168" s="136"/>
      <c r="G168" s="137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9"/>
      <c r="S168" s="162">
        <f t="shared" si="513"/>
        <v>0</v>
      </c>
      <c r="T168" s="380"/>
      <c r="U168" s="381"/>
      <c r="V168" s="381"/>
      <c r="W168" s="381"/>
      <c r="X168" s="388"/>
      <c r="Y168" s="388"/>
      <c r="Z168" s="388"/>
      <c r="AA168" s="388"/>
      <c r="AB168" s="388"/>
      <c r="AC168" s="388"/>
      <c r="AD168" s="388"/>
      <c r="AE168" s="483">
        <v>5.7418689798641909</v>
      </c>
      <c r="AF168" s="162">
        <f t="shared" si="459"/>
        <v>5.7418689798641909</v>
      </c>
      <c r="AG168" s="501">
        <v>14.455604254641065</v>
      </c>
      <c r="AH168" s="499">
        <v>42.521398628795303</v>
      </c>
      <c r="AI168" s="499">
        <v>11.991801430078537</v>
      </c>
      <c r="AJ168" s="499">
        <v>19.338995310037287</v>
      </c>
      <c r="AK168" s="499">
        <v>11.337690793772824</v>
      </c>
      <c r="AL168" s="499">
        <v>76.7019856239218</v>
      </c>
      <c r="AM168" s="499">
        <v>22.192781337100531</v>
      </c>
      <c r="AN168" s="499">
        <v>33.982519678775709</v>
      </c>
      <c r="AO168" s="499">
        <v>21.661536978831368</v>
      </c>
      <c r="AP168" s="499">
        <v>44.053631390884554</v>
      </c>
      <c r="AQ168" s="499">
        <v>26.871920888114275</v>
      </c>
      <c r="AR168" s="511">
        <v>2419.2817945205479</v>
      </c>
      <c r="AS168" s="410">
        <f t="shared" si="464"/>
        <v>2744.3916608355012</v>
      </c>
      <c r="AT168" s="501">
        <v>2158.3591473473625</v>
      </c>
      <c r="AU168" s="499">
        <v>197.17028988118054</v>
      </c>
      <c r="AV168" s="499">
        <v>140.85310092543426</v>
      </c>
      <c r="AW168" s="138">
        <v>25</v>
      </c>
      <c r="AX168" s="138"/>
      <c r="AY168" s="138"/>
      <c r="AZ168" s="138"/>
      <c r="BA168" s="138"/>
      <c r="BB168" s="138"/>
      <c r="BC168" s="138"/>
      <c r="BD168" s="138"/>
      <c r="BE168" s="139"/>
      <c r="BF168" s="162">
        <f t="shared" si="368"/>
        <v>2521.3825381539773</v>
      </c>
      <c r="BG168" s="141"/>
      <c r="BH168" s="138"/>
      <c r="BI168" s="138"/>
      <c r="BJ168" s="138"/>
      <c r="BK168" s="138"/>
      <c r="BL168" s="138"/>
      <c r="BM168" s="138"/>
      <c r="BN168" s="138"/>
      <c r="BO168" s="138"/>
      <c r="BP168" s="138"/>
      <c r="BQ168" s="138"/>
      <c r="BR168" s="139"/>
      <c r="BS168" s="162">
        <f t="shared" si="460"/>
        <v>0</v>
      </c>
      <c r="BT168" s="141"/>
      <c r="BU168" s="138"/>
      <c r="BV168" s="138"/>
      <c r="BW168" s="138"/>
      <c r="BX168" s="138"/>
      <c r="BY168" s="138"/>
      <c r="BZ168" s="138"/>
      <c r="CA168" s="138"/>
      <c r="CB168" s="138"/>
      <c r="CC168" s="138"/>
      <c r="CD168" s="138"/>
      <c r="CE168" s="139"/>
      <c r="CF168" s="162">
        <f t="shared" si="502"/>
        <v>0</v>
      </c>
      <c r="CG168" s="141"/>
      <c r="CH168" s="138"/>
      <c r="CI168" s="138"/>
      <c r="CJ168" s="138"/>
      <c r="CK168" s="138"/>
      <c r="CL168" s="138"/>
      <c r="CM168" s="138"/>
      <c r="CN168" s="138"/>
      <c r="CO168" s="138"/>
      <c r="CP168" s="138"/>
      <c r="CQ168" s="138"/>
      <c r="CR168" s="139"/>
      <c r="CS168" s="162">
        <f t="shared" si="503"/>
        <v>0</v>
      </c>
      <c r="CT168" s="141"/>
      <c r="CU168" s="138"/>
      <c r="CV168" s="138"/>
      <c r="CW168" s="138"/>
      <c r="CX168" s="138"/>
      <c r="CY168" s="138"/>
      <c r="CZ168" s="138"/>
      <c r="DA168" s="138"/>
      <c r="DB168" s="138"/>
      <c r="DC168" s="138"/>
      <c r="DD168" s="138"/>
      <c r="DE168" s="139"/>
      <c r="DF168" s="162">
        <f t="shared" si="504"/>
        <v>0</v>
      </c>
      <c r="DG168" s="279"/>
      <c r="DH168" s="90">
        <f t="shared" si="373"/>
        <v>5271.5160679693427</v>
      </c>
      <c r="DI168" s="91">
        <f t="shared" si="374"/>
        <v>5271.5160679693427</v>
      </c>
      <c r="DJ168" s="92">
        <f t="shared" si="375"/>
        <v>0</v>
      </c>
      <c r="DK168" s="64">
        <f>+DH168/DH167</f>
        <v>0.53278451218527689</v>
      </c>
    </row>
    <row r="169" spans="1:115" ht="15" customHeight="1" outlineLevel="1">
      <c r="A169" s="607"/>
      <c r="B169" s="561"/>
      <c r="C169" s="554" t="s">
        <v>11</v>
      </c>
      <c r="D169" s="555"/>
      <c r="E169" s="143"/>
      <c r="F169" s="144">
        <f t="shared" ref="F169:R169" si="522">+F167-F168</f>
        <v>0</v>
      </c>
      <c r="G169" s="145">
        <f t="shared" si="522"/>
        <v>0</v>
      </c>
      <c r="H169" s="145">
        <f t="shared" si="522"/>
        <v>0</v>
      </c>
      <c r="I169" s="145">
        <f t="shared" si="522"/>
        <v>0</v>
      </c>
      <c r="J169" s="145">
        <f t="shared" si="522"/>
        <v>0</v>
      </c>
      <c r="K169" s="145">
        <f t="shared" si="522"/>
        <v>0</v>
      </c>
      <c r="L169" s="145">
        <f t="shared" si="522"/>
        <v>0</v>
      </c>
      <c r="M169" s="145">
        <f t="shared" si="522"/>
        <v>0</v>
      </c>
      <c r="N169" s="145">
        <f t="shared" si="522"/>
        <v>0</v>
      </c>
      <c r="O169" s="145">
        <f t="shared" si="522"/>
        <v>0</v>
      </c>
      <c r="P169" s="145">
        <f t="shared" si="522"/>
        <v>0</v>
      </c>
      <c r="Q169" s="145">
        <f t="shared" si="522"/>
        <v>0</v>
      </c>
      <c r="R169" s="146">
        <f t="shared" si="522"/>
        <v>0</v>
      </c>
      <c r="S169" s="147">
        <f t="shared" si="513"/>
        <v>0</v>
      </c>
      <c r="T169" s="148">
        <f t="shared" ref="T169:AE169" si="523">+T167-T168</f>
        <v>0</v>
      </c>
      <c r="U169" s="145">
        <f t="shared" si="523"/>
        <v>0</v>
      </c>
      <c r="V169" s="145">
        <f t="shared" si="523"/>
        <v>0</v>
      </c>
      <c r="W169" s="145">
        <f t="shared" si="523"/>
        <v>0</v>
      </c>
      <c r="X169" s="145">
        <f t="shared" si="523"/>
        <v>0</v>
      </c>
      <c r="Y169" s="145">
        <f t="shared" si="523"/>
        <v>0</v>
      </c>
      <c r="Z169" s="145">
        <f t="shared" si="523"/>
        <v>0</v>
      </c>
      <c r="AA169" s="145">
        <f t="shared" si="523"/>
        <v>0</v>
      </c>
      <c r="AB169" s="145">
        <f t="shared" si="523"/>
        <v>0</v>
      </c>
      <c r="AC169" s="145">
        <f t="shared" si="523"/>
        <v>0</v>
      </c>
      <c r="AD169" s="145">
        <f t="shared" si="523"/>
        <v>0</v>
      </c>
      <c r="AE169" s="146">
        <f t="shared" si="523"/>
        <v>-5.7418689798641909</v>
      </c>
      <c r="AF169" s="147">
        <f t="shared" si="459"/>
        <v>-5.7418689798641909</v>
      </c>
      <c r="AG169" s="148">
        <f t="shared" ref="AG169:AR169" si="524">+AG167-AG168</f>
        <v>-14.455604254641065</v>
      </c>
      <c r="AH169" s="145">
        <f t="shared" si="524"/>
        <v>-42.521398628795303</v>
      </c>
      <c r="AI169" s="145">
        <f t="shared" si="524"/>
        <v>-11.991801430078537</v>
      </c>
      <c r="AJ169" s="145">
        <f t="shared" si="524"/>
        <v>-19.338995310037287</v>
      </c>
      <c r="AK169" s="145">
        <f t="shared" si="524"/>
        <v>-11.337690793772824</v>
      </c>
      <c r="AL169" s="145">
        <f t="shared" si="524"/>
        <v>-76.7019856239218</v>
      </c>
      <c r="AM169" s="145">
        <f t="shared" si="524"/>
        <v>-22.192781337100531</v>
      </c>
      <c r="AN169" s="145">
        <f t="shared" si="524"/>
        <v>-33.982519678775709</v>
      </c>
      <c r="AO169" s="145">
        <f t="shared" si="524"/>
        <v>-21.661536978831368</v>
      </c>
      <c r="AP169" s="145">
        <f t="shared" si="524"/>
        <v>-44.053631390884554</v>
      </c>
      <c r="AQ169" s="145">
        <f t="shared" si="524"/>
        <v>-26.871920888114275</v>
      </c>
      <c r="AR169" s="146">
        <f t="shared" si="524"/>
        <v>1669.8120224505328</v>
      </c>
      <c r="AS169" s="408">
        <f t="shared" si="464"/>
        <v>1344.7021561355796</v>
      </c>
      <c r="AT169" s="148">
        <f t="shared" ref="AT169:BE169" si="525">+AT167-AT168</f>
        <v>1577.4888336859926</v>
      </c>
      <c r="AU169" s="145">
        <f t="shared" si="525"/>
        <v>905.85173231123042</v>
      </c>
      <c r="AV169" s="145">
        <f t="shared" si="525"/>
        <v>633.45730683455963</v>
      </c>
      <c r="AW169" s="145">
        <f t="shared" si="525"/>
        <v>167</v>
      </c>
      <c r="AX169" s="145">
        <f t="shared" si="525"/>
        <v>0</v>
      </c>
      <c r="AY169" s="145">
        <f t="shared" si="525"/>
        <v>0</v>
      </c>
      <c r="AZ169" s="145">
        <f t="shared" si="525"/>
        <v>0</v>
      </c>
      <c r="BA169" s="145">
        <f t="shared" si="525"/>
        <v>0</v>
      </c>
      <c r="BB169" s="145">
        <f t="shared" si="525"/>
        <v>0</v>
      </c>
      <c r="BC169" s="145">
        <f t="shared" si="525"/>
        <v>0</v>
      </c>
      <c r="BD169" s="145">
        <f t="shared" si="525"/>
        <v>0</v>
      </c>
      <c r="BE169" s="146">
        <f t="shared" si="525"/>
        <v>0</v>
      </c>
      <c r="BF169" s="147">
        <f t="shared" si="368"/>
        <v>3283.797872831783</v>
      </c>
      <c r="BG169" s="148">
        <f t="shared" ref="BG169:BR169" si="526">+BG167-BG168</f>
        <v>0</v>
      </c>
      <c r="BH169" s="145">
        <f t="shared" si="526"/>
        <v>0</v>
      </c>
      <c r="BI169" s="145">
        <f t="shared" si="526"/>
        <v>0</v>
      </c>
      <c r="BJ169" s="145">
        <f t="shared" si="526"/>
        <v>0</v>
      </c>
      <c r="BK169" s="145">
        <f t="shared" si="526"/>
        <v>0</v>
      </c>
      <c r="BL169" s="145">
        <f t="shared" si="526"/>
        <v>0</v>
      </c>
      <c r="BM169" s="145">
        <f t="shared" si="526"/>
        <v>0</v>
      </c>
      <c r="BN169" s="145">
        <f t="shared" si="526"/>
        <v>0</v>
      </c>
      <c r="BO169" s="145">
        <f t="shared" si="526"/>
        <v>0</v>
      </c>
      <c r="BP169" s="145">
        <f t="shared" si="526"/>
        <v>0</v>
      </c>
      <c r="BQ169" s="145">
        <f t="shared" si="526"/>
        <v>0</v>
      </c>
      <c r="BR169" s="146">
        <f t="shared" si="526"/>
        <v>0</v>
      </c>
      <c r="BS169" s="147">
        <f t="shared" si="460"/>
        <v>0</v>
      </c>
      <c r="BT169" s="148">
        <f t="shared" ref="BT169:CE169" si="527">+BT167-BT168</f>
        <v>0</v>
      </c>
      <c r="BU169" s="145">
        <f t="shared" si="527"/>
        <v>0</v>
      </c>
      <c r="BV169" s="145">
        <f t="shared" si="527"/>
        <v>0</v>
      </c>
      <c r="BW169" s="145">
        <f t="shared" si="527"/>
        <v>0</v>
      </c>
      <c r="BX169" s="145">
        <f t="shared" si="527"/>
        <v>0</v>
      </c>
      <c r="BY169" s="145">
        <f t="shared" si="527"/>
        <v>0</v>
      </c>
      <c r="BZ169" s="145">
        <f t="shared" si="527"/>
        <v>0</v>
      </c>
      <c r="CA169" s="145">
        <f t="shared" si="527"/>
        <v>0</v>
      </c>
      <c r="CB169" s="145">
        <f t="shared" si="527"/>
        <v>0</v>
      </c>
      <c r="CC169" s="145">
        <f t="shared" si="527"/>
        <v>0</v>
      </c>
      <c r="CD169" s="145">
        <f t="shared" si="527"/>
        <v>0</v>
      </c>
      <c r="CE169" s="146">
        <f t="shared" si="527"/>
        <v>0</v>
      </c>
      <c r="CF169" s="147">
        <f t="shared" si="502"/>
        <v>0</v>
      </c>
      <c r="CG169" s="148">
        <f t="shared" ref="CG169:CR169" si="528">+CG167-CG168</f>
        <v>0</v>
      </c>
      <c r="CH169" s="145">
        <f t="shared" si="528"/>
        <v>0</v>
      </c>
      <c r="CI169" s="145">
        <f t="shared" si="528"/>
        <v>0</v>
      </c>
      <c r="CJ169" s="145">
        <f t="shared" si="528"/>
        <v>0</v>
      </c>
      <c r="CK169" s="145">
        <f t="shared" si="528"/>
        <v>0</v>
      </c>
      <c r="CL169" s="145">
        <f t="shared" si="528"/>
        <v>0</v>
      </c>
      <c r="CM169" s="145">
        <f t="shared" si="528"/>
        <v>0</v>
      </c>
      <c r="CN169" s="145">
        <f t="shared" si="528"/>
        <v>0</v>
      </c>
      <c r="CO169" s="145">
        <f t="shared" si="528"/>
        <v>0</v>
      </c>
      <c r="CP169" s="145">
        <f t="shared" si="528"/>
        <v>0</v>
      </c>
      <c r="CQ169" s="145">
        <f t="shared" si="528"/>
        <v>0</v>
      </c>
      <c r="CR169" s="146">
        <f t="shared" si="528"/>
        <v>0</v>
      </c>
      <c r="CS169" s="147">
        <f t="shared" si="503"/>
        <v>0</v>
      </c>
      <c r="CT169" s="148">
        <f t="shared" ref="CT169:DE169" si="529">+CT167-CT168</f>
        <v>0</v>
      </c>
      <c r="CU169" s="145">
        <f t="shared" si="529"/>
        <v>0</v>
      </c>
      <c r="CV169" s="145">
        <f t="shared" si="529"/>
        <v>0</v>
      </c>
      <c r="CW169" s="145">
        <f t="shared" si="529"/>
        <v>0</v>
      </c>
      <c r="CX169" s="145">
        <f t="shared" si="529"/>
        <v>0</v>
      </c>
      <c r="CY169" s="145">
        <f t="shared" si="529"/>
        <v>0</v>
      </c>
      <c r="CZ169" s="145">
        <f t="shared" si="529"/>
        <v>0</v>
      </c>
      <c r="DA169" s="145">
        <f t="shared" si="529"/>
        <v>0</v>
      </c>
      <c r="DB169" s="145">
        <f t="shared" si="529"/>
        <v>0</v>
      </c>
      <c r="DC169" s="145">
        <f t="shared" si="529"/>
        <v>0</v>
      </c>
      <c r="DD169" s="145">
        <f t="shared" si="529"/>
        <v>0</v>
      </c>
      <c r="DE169" s="146">
        <f t="shared" si="529"/>
        <v>0</v>
      </c>
      <c r="DF169" s="147">
        <f t="shared" si="504"/>
        <v>0</v>
      </c>
      <c r="DG169" s="146">
        <f>+DG167-DG168</f>
        <v>0</v>
      </c>
      <c r="DH169" s="98">
        <f t="shared" si="373"/>
        <v>4622.7581599874984</v>
      </c>
      <c r="DI169" s="99">
        <f t="shared" si="374"/>
        <v>0</v>
      </c>
      <c r="DJ169" s="100">
        <f t="shared" si="375"/>
        <v>-4622.7581599874984</v>
      </c>
    </row>
    <row r="170" spans="1:115" ht="15" customHeight="1" outlineLevel="1">
      <c r="A170" s="607"/>
      <c r="B170" s="557" t="s">
        <v>354</v>
      </c>
      <c r="C170" s="246" t="s">
        <v>62</v>
      </c>
      <c r="D170" s="183" t="s">
        <v>122</v>
      </c>
      <c r="E170" s="153">
        <f>AF170+AS170+BF170+BS170+CF170+CS170+DF170+S170+DG170</f>
        <v>10236.693378599999</v>
      </c>
      <c r="F170" s="153"/>
      <c r="G170" s="154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284"/>
      <c r="S170" s="157">
        <f t="shared" ref="S170:S175" si="530">SUM(G170:R170)</f>
        <v>0</v>
      </c>
      <c r="T170" s="378"/>
      <c r="U170" s="382"/>
      <c r="V170" s="382"/>
      <c r="W170" s="382"/>
      <c r="X170" s="389"/>
      <c r="Y170" s="389"/>
      <c r="Z170" s="389"/>
      <c r="AA170" s="389"/>
      <c r="AB170" s="389"/>
      <c r="AC170" s="389"/>
      <c r="AD170" s="389"/>
      <c r="AE170" s="482"/>
      <c r="AF170" s="157">
        <f t="shared" ref="AF170:AF187" si="531">SUM(T170:AE170)</f>
        <v>0</v>
      </c>
      <c r="AG170" s="500"/>
      <c r="AH170" s="513"/>
      <c r="AI170" s="513"/>
      <c r="AJ170" s="513"/>
      <c r="AK170" s="513"/>
      <c r="AL170" s="513"/>
      <c r="AM170" s="513"/>
      <c r="AN170" s="513"/>
      <c r="AO170" s="513"/>
      <c r="AP170" s="513"/>
      <c r="AQ170" s="513"/>
      <c r="AR170" s="512"/>
      <c r="AS170" s="409">
        <f t="shared" ref="AS170:AS187" si="532">SUM(AG170:AR170)</f>
        <v>0</v>
      </c>
      <c r="AT170" s="500"/>
      <c r="AU170" s="513"/>
      <c r="AV170" s="513"/>
      <c r="AW170" s="155"/>
      <c r="AX170" s="155"/>
      <c r="AY170" s="155"/>
      <c r="AZ170" s="155"/>
      <c r="BA170" s="155"/>
      <c r="BB170" s="155"/>
      <c r="BC170" s="155"/>
      <c r="BD170" s="155"/>
      <c r="BE170" s="155">
        <v>255.91733446500001</v>
      </c>
      <c r="BF170" s="157">
        <f t="shared" si="368"/>
        <v>255.91733446500001</v>
      </c>
      <c r="BG170" s="155">
        <v>255.91733446500001</v>
      </c>
      <c r="BH170" s="155">
        <v>255.91733446500001</v>
      </c>
      <c r="BI170" s="156">
        <v>255.91733446500001</v>
      </c>
      <c r="BJ170" s="158">
        <v>255.91733446500001</v>
      </c>
      <c r="BK170" s="155">
        <v>255.91733446500001</v>
      </c>
      <c r="BL170" s="155">
        <v>255.91733446500001</v>
      </c>
      <c r="BM170" s="155">
        <v>563.01813582299997</v>
      </c>
      <c r="BN170" s="155">
        <v>563.01813582299997</v>
      </c>
      <c r="BO170" s="155">
        <v>665.38506960899997</v>
      </c>
      <c r="BP170" s="155">
        <v>511.83466893000002</v>
      </c>
      <c r="BQ170" s="155">
        <v>511.83466893000002</v>
      </c>
      <c r="BR170" s="155">
        <v>511.83466893000002</v>
      </c>
      <c r="BS170" s="157">
        <f t="shared" si="460"/>
        <v>4862.4293548349997</v>
      </c>
      <c r="BT170" s="155">
        <v>1023.66933786</v>
      </c>
      <c r="BU170" s="155">
        <v>1023.66933786</v>
      </c>
      <c r="BV170" s="155">
        <v>1023.66933786</v>
      </c>
      <c r="BW170" s="155">
        <v>511.83466893000002</v>
      </c>
      <c r="BX170" s="155">
        <v>511.83466893000002</v>
      </c>
      <c r="BY170" s="155">
        <v>511.83466893000002</v>
      </c>
      <c r="BZ170" s="155">
        <v>511.83466893000002</v>
      </c>
      <c r="CA170" s="155"/>
      <c r="CB170" s="155"/>
      <c r="CC170" s="155"/>
      <c r="CD170" s="155"/>
      <c r="CE170" s="156"/>
      <c r="CF170" s="157">
        <f t="shared" si="502"/>
        <v>5118.3466892999995</v>
      </c>
      <c r="CG170" s="158"/>
      <c r="CH170" s="155"/>
      <c r="CI170" s="155"/>
      <c r="CJ170" s="155"/>
      <c r="CK170" s="155"/>
      <c r="CL170" s="155"/>
      <c r="CM170" s="155"/>
      <c r="CN170" s="155"/>
      <c r="CO170" s="155"/>
      <c r="CP170" s="155"/>
      <c r="CQ170" s="155"/>
      <c r="CR170" s="156"/>
      <c r="CS170" s="157">
        <f t="shared" si="503"/>
        <v>0</v>
      </c>
      <c r="CT170" s="158"/>
      <c r="CU170" s="155"/>
      <c r="CV170" s="155"/>
      <c r="CW170" s="155"/>
      <c r="CX170" s="155"/>
      <c r="CY170" s="155"/>
      <c r="CZ170" s="155"/>
      <c r="DA170" s="155"/>
      <c r="DB170" s="155"/>
      <c r="DC170" s="155"/>
      <c r="DD170" s="155"/>
      <c r="DE170" s="156"/>
      <c r="DF170" s="157">
        <f t="shared" si="504"/>
        <v>0</v>
      </c>
      <c r="DG170" s="280"/>
      <c r="DH170" s="159">
        <f t="shared" si="373"/>
        <v>5118.3466892999995</v>
      </c>
      <c r="DI170" s="160">
        <f t="shared" si="374"/>
        <v>10236.693378599999</v>
      </c>
      <c r="DJ170" s="161">
        <f t="shared" si="375"/>
        <v>5118.3466892999995</v>
      </c>
    </row>
    <row r="171" spans="1:115" ht="15" customHeight="1" outlineLevel="1">
      <c r="A171" s="607"/>
      <c r="B171" s="560"/>
      <c r="C171" s="245" t="s">
        <v>63</v>
      </c>
      <c r="D171" s="184" t="s">
        <v>124</v>
      </c>
      <c r="E171" s="136">
        <f>AF171+AS171+BF171+BS171+CF171+CS171+DF171+S171+DG171</f>
        <v>8701.18937181</v>
      </c>
      <c r="F171" s="136"/>
      <c r="G171" s="137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9"/>
      <c r="S171" s="162">
        <f t="shared" si="530"/>
        <v>0</v>
      </c>
      <c r="T171" s="380"/>
      <c r="U171" s="381"/>
      <c r="V171" s="381"/>
      <c r="W171" s="381"/>
      <c r="X171" s="388"/>
      <c r="Y171" s="388"/>
      <c r="Z171" s="388"/>
      <c r="AA171" s="388"/>
      <c r="AB171" s="388"/>
      <c r="AC171" s="388"/>
      <c r="AD171" s="388"/>
      <c r="AE171" s="483"/>
      <c r="AF171" s="162">
        <f t="shared" si="531"/>
        <v>0</v>
      </c>
      <c r="AG171" s="501"/>
      <c r="AH171" s="499"/>
      <c r="AI171" s="499"/>
      <c r="AJ171" s="499"/>
      <c r="AK171" s="499"/>
      <c r="AL171" s="499"/>
      <c r="AM171" s="499"/>
      <c r="AN171" s="499"/>
      <c r="AO171" s="499"/>
      <c r="AP171" s="499"/>
      <c r="AQ171" s="499"/>
      <c r="AR171" s="511"/>
      <c r="AS171" s="410">
        <f t="shared" si="532"/>
        <v>0</v>
      </c>
      <c r="AT171" s="501"/>
      <c r="AU171" s="499"/>
      <c r="AV171" s="499">
        <f>AV170*0.85</f>
        <v>0</v>
      </c>
      <c r="AW171" s="138">
        <f t="shared" ref="AW171:AX171" si="533">AW170*0.85</f>
        <v>0</v>
      </c>
      <c r="AX171" s="138">
        <f t="shared" si="533"/>
        <v>0</v>
      </c>
      <c r="AY171" s="138"/>
      <c r="AZ171" s="138"/>
      <c r="BA171" s="138"/>
      <c r="BB171" s="138"/>
      <c r="BC171" s="138"/>
      <c r="BD171" s="138"/>
      <c r="BE171" s="138">
        <v>217.52973429524999</v>
      </c>
      <c r="BF171" s="162">
        <f t="shared" si="368"/>
        <v>217.52973429524999</v>
      </c>
      <c r="BG171" s="138">
        <v>217.52973429524999</v>
      </c>
      <c r="BH171" s="138">
        <v>217.52973429524999</v>
      </c>
      <c r="BI171" s="139">
        <v>217.52973429524999</v>
      </c>
      <c r="BJ171" s="141">
        <v>217.52973429524999</v>
      </c>
      <c r="BK171" s="138">
        <v>217.52973429524999</v>
      </c>
      <c r="BL171" s="138">
        <v>217.52973429524999</v>
      </c>
      <c r="BM171" s="138">
        <v>478.56541544954996</v>
      </c>
      <c r="BN171" s="138">
        <v>478.56541544954996</v>
      </c>
      <c r="BO171" s="138">
        <v>565.57730916765001</v>
      </c>
      <c r="BP171" s="138">
        <v>435.05946859049999</v>
      </c>
      <c r="BQ171" s="138">
        <v>435.05946859049999</v>
      </c>
      <c r="BR171" s="138">
        <v>435.05946859049999</v>
      </c>
      <c r="BS171" s="162">
        <f t="shared" si="460"/>
        <v>4133.0649516097501</v>
      </c>
      <c r="BT171" s="138">
        <v>870.11893718099998</v>
      </c>
      <c r="BU171" s="138">
        <v>870.11893718099998</v>
      </c>
      <c r="BV171" s="138">
        <v>870.11893718099998</v>
      </c>
      <c r="BW171" s="138">
        <v>435.05946859049999</v>
      </c>
      <c r="BX171" s="138">
        <v>435.05946859049999</v>
      </c>
      <c r="BY171" s="138">
        <v>435.05946859049999</v>
      </c>
      <c r="BZ171" s="138">
        <v>435.05946859049999</v>
      </c>
      <c r="CA171" s="138"/>
      <c r="CB171" s="138"/>
      <c r="CC171" s="138"/>
      <c r="CD171" s="138"/>
      <c r="CE171" s="139"/>
      <c r="CF171" s="162">
        <f t="shared" si="502"/>
        <v>4350.5946859049991</v>
      </c>
      <c r="CG171" s="141"/>
      <c r="CH171" s="138"/>
      <c r="CI171" s="138"/>
      <c r="CJ171" s="138"/>
      <c r="CK171" s="138"/>
      <c r="CL171" s="138"/>
      <c r="CM171" s="138"/>
      <c r="CN171" s="138"/>
      <c r="CO171" s="138"/>
      <c r="CP171" s="138"/>
      <c r="CQ171" s="138"/>
      <c r="CR171" s="139"/>
      <c r="CS171" s="162">
        <f t="shared" si="503"/>
        <v>0</v>
      </c>
      <c r="CT171" s="141"/>
      <c r="CU171" s="138"/>
      <c r="CV171" s="138"/>
      <c r="CW171" s="138"/>
      <c r="CX171" s="138"/>
      <c r="CY171" s="138"/>
      <c r="CZ171" s="138"/>
      <c r="DA171" s="138"/>
      <c r="DB171" s="138"/>
      <c r="DC171" s="138"/>
      <c r="DD171" s="138"/>
      <c r="DE171" s="139"/>
      <c r="DF171" s="162">
        <f t="shared" si="504"/>
        <v>0</v>
      </c>
      <c r="DG171" s="279"/>
      <c r="DH171" s="90">
        <f t="shared" si="373"/>
        <v>4350.594685905</v>
      </c>
      <c r="DI171" s="91">
        <f t="shared" si="374"/>
        <v>8701.18937181</v>
      </c>
      <c r="DJ171" s="92">
        <f t="shared" si="375"/>
        <v>4350.594685905</v>
      </c>
      <c r="DK171" s="64">
        <f>+DH171/DH170</f>
        <v>0.85000000000000009</v>
      </c>
    </row>
    <row r="172" spans="1:115" ht="15" customHeight="1" outlineLevel="1">
      <c r="A172" s="607"/>
      <c r="B172" s="561"/>
      <c r="C172" s="554" t="s">
        <v>11</v>
      </c>
      <c r="D172" s="555"/>
      <c r="E172" s="143"/>
      <c r="F172" s="144">
        <f t="shared" ref="F172:R172" si="534">+F170-F171</f>
        <v>0</v>
      </c>
      <c r="G172" s="145">
        <f t="shared" si="534"/>
        <v>0</v>
      </c>
      <c r="H172" s="145">
        <f t="shared" si="534"/>
        <v>0</v>
      </c>
      <c r="I172" s="145">
        <f t="shared" si="534"/>
        <v>0</v>
      </c>
      <c r="J172" s="145">
        <f t="shared" si="534"/>
        <v>0</v>
      </c>
      <c r="K172" s="145">
        <f t="shared" si="534"/>
        <v>0</v>
      </c>
      <c r="L172" s="145">
        <f t="shared" si="534"/>
        <v>0</v>
      </c>
      <c r="M172" s="145">
        <f t="shared" si="534"/>
        <v>0</v>
      </c>
      <c r="N172" s="145">
        <f t="shared" si="534"/>
        <v>0</v>
      </c>
      <c r="O172" s="145">
        <f t="shared" si="534"/>
        <v>0</v>
      </c>
      <c r="P172" s="145">
        <f t="shared" si="534"/>
        <v>0</v>
      </c>
      <c r="Q172" s="145">
        <f t="shared" si="534"/>
        <v>0</v>
      </c>
      <c r="R172" s="146">
        <f t="shared" si="534"/>
        <v>0</v>
      </c>
      <c r="S172" s="147">
        <f t="shared" si="530"/>
        <v>0</v>
      </c>
      <c r="T172" s="148">
        <f t="shared" ref="T172:AE172" si="535">+T170-T171</f>
        <v>0</v>
      </c>
      <c r="U172" s="145">
        <f t="shared" si="535"/>
        <v>0</v>
      </c>
      <c r="V172" s="145">
        <f t="shared" si="535"/>
        <v>0</v>
      </c>
      <c r="W172" s="145">
        <f t="shared" si="535"/>
        <v>0</v>
      </c>
      <c r="X172" s="145">
        <f t="shared" si="535"/>
        <v>0</v>
      </c>
      <c r="Y172" s="145">
        <f t="shared" si="535"/>
        <v>0</v>
      </c>
      <c r="Z172" s="145">
        <f t="shared" si="535"/>
        <v>0</v>
      </c>
      <c r="AA172" s="145">
        <f t="shared" si="535"/>
        <v>0</v>
      </c>
      <c r="AB172" s="145">
        <f t="shared" si="535"/>
        <v>0</v>
      </c>
      <c r="AC172" s="145">
        <f t="shared" si="535"/>
        <v>0</v>
      </c>
      <c r="AD172" s="145">
        <f t="shared" si="535"/>
        <v>0</v>
      </c>
      <c r="AE172" s="146">
        <f t="shared" si="535"/>
        <v>0</v>
      </c>
      <c r="AF172" s="147">
        <f t="shared" si="531"/>
        <v>0</v>
      </c>
      <c r="AG172" s="148">
        <f t="shared" ref="AG172:AR172" si="536">+AG170-AG171</f>
        <v>0</v>
      </c>
      <c r="AH172" s="145">
        <f t="shared" si="536"/>
        <v>0</v>
      </c>
      <c r="AI172" s="145">
        <f t="shared" si="536"/>
        <v>0</v>
      </c>
      <c r="AJ172" s="145">
        <f t="shared" si="536"/>
        <v>0</v>
      </c>
      <c r="AK172" s="145">
        <f t="shared" si="536"/>
        <v>0</v>
      </c>
      <c r="AL172" s="145">
        <f t="shared" si="536"/>
        <v>0</v>
      </c>
      <c r="AM172" s="145">
        <f t="shared" si="536"/>
        <v>0</v>
      </c>
      <c r="AN172" s="145">
        <f t="shared" si="536"/>
        <v>0</v>
      </c>
      <c r="AO172" s="145">
        <f t="shared" si="536"/>
        <v>0</v>
      </c>
      <c r="AP172" s="145">
        <f t="shared" si="536"/>
        <v>0</v>
      </c>
      <c r="AQ172" s="145">
        <f t="shared" si="536"/>
        <v>0</v>
      </c>
      <c r="AR172" s="146">
        <f t="shared" si="536"/>
        <v>0</v>
      </c>
      <c r="AS172" s="408">
        <f t="shared" si="532"/>
        <v>0</v>
      </c>
      <c r="AT172" s="148">
        <f t="shared" ref="AT172:BE172" si="537">+AT170-AT171</f>
        <v>0</v>
      </c>
      <c r="AU172" s="145">
        <f t="shared" si="537"/>
        <v>0</v>
      </c>
      <c r="AV172" s="145">
        <f t="shared" si="537"/>
        <v>0</v>
      </c>
      <c r="AW172" s="145">
        <f t="shared" si="537"/>
        <v>0</v>
      </c>
      <c r="AX172" s="145">
        <f t="shared" si="537"/>
        <v>0</v>
      </c>
      <c r="AY172" s="145">
        <f t="shared" si="537"/>
        <v>0</v>
      </c>
      <c r="AZ172" s="145">
        <f t="shared" si="537"/>
        <v>0</v>
      </c>
      <c r="BA172" s="145">
        <f t="shared" si="537"/>
        <v>0</v>
      </c>
      <c r="BB172" s="145">
        <f t="shared" si="537"/>
        <v>0</v>
      </c>
      <c r="BC172" s="145">
        <f t="shared" si="537"/>
        <v>0</v>
      </c>
      <c r="BD172" s="145">
        <f t="shared" si="537"/>
        <v>0</v>
      </c>
      <c r="BE172" s="146">
        <f t="shared" si="537"/>
        <v>38.387600169750016</v>
      </c>
      <c r="BF172" s="147">
        <f t="shared" si="368"/>
        <v>38.387600169750016</v>
      </c>
      <c r="BG172" s="148">
        <f t="shared" ref="BG172:BR172" si="538">+BG170-BG171</f>
        <v>38.387600169750016</v>
      </c>
      <c r="BH172" s="145">
        <f t="shared" si="538"/>
        <v>38.387600169750016</v>
      </c>
      <c r="BI172" s="145">
        <f t="shared" si="538"/>
        <v>38.387600169750016</v>
      </c>
      <c r="BJ172" s="145">
        <f t="shared" si="538"/>
        <v>38.387600169750016</v>
      </c>
      <c r="BK172" s="145">
        <f t="shared" si="538"/>
        <v>38.387600169750016</v>
      </c>
      <c r="BL172" s="145">
        <f t="shared" si="538"/>
        <v>38.387600169750016</v>
      </c>
      <c r="BM172" s="145">
        <f t="shared" si="538"/>
        <v>84.452720373450006</v>
      </c>
      <c r="BN172" s="145">
        <f t="shared" si="538"/>
        <v>84.452720373450006</v>
      </c>
      <c r="BO172" s="145">
        <f t="shared" si="538"/>
        <v>99.807760441349956</v>
      </c>
      <c r="BP172" s="145">
        <f t="shared" si="538"/>
        <v>76.775200339500032</v>
      </c>
      <c r="BQ172" s="145">
        <f t="shared" si="538"/>
        <v>76.775200339500032</v>
      </c>
      <c r="BR172" s="146">
        <f t="shared" si="538"/>
        <v>76.775200339500032</v>
      </c>
      <c r="BS172" s="147">
        <f t="shared" si="460"/>
        <v>729.36440322525027</v>
      </c>
      <c r="BT172" s="148">
        <f t="shared" ref="BT172:CE172" si="539">+BT170-BT171</f>
        <v>153.55040067900006</v>
      </c>
      <c r="BU172" s="145">
        <f t="shared" si="539"/>
        <v>153.55040067900006</v>
      </c>
      <c r="BV172" s="145">
        <f t="shared" si="539"/>
        <v>153.55040067900006</v>
      </c>
      <c r="BW172" s="145">
        <f t="shared" si="539"/>
        <v>76.775200339500032</v>
      </c>
      <c r="BX172" s="145">
        <f t="shared" si="539"/>
        <v>76.775200339500032</v>
      </c>
      <c r="BY172" s="145">
        <f t="shared" si="539"/>
        <v>76.775200339500032</v>
      </c>
      <c r="BZ172" s="145">
        <f t="shared" si="539"/>
        <v>76.775200339500032</v>
      </c>
      <c r="CA172" s="145">
        <f t="shared" si="539"/>
        <v>0</v>
      </c>
      <c r="CB172" s="145">
        <f t="shared" si="539"/>
        <v>0</v>
      </c>
      <c r="CC172" s="145">
        <f t="shared" si="539"/>
        <v>0</v>
      </c>
      <c r="CD172" s="145">
        <f t="shared" si="539"/>
        <v>0</v>
      </c>
      <c r="CE172" s="146">
        <f t="shared" si="539"/>
        <v>0</v>
      </c>
      <c r="CF172" s="147">
        <f t="shared" si="502"/>
        <v>767.75200339500043</v>
      </c>
      <c r="CG172" s="148">
        <f t="shared" ref="CG172:CR172" si="540">+CG170-CG171</f>
        <v>0</v>
      </c>
      <c r="CH172" s="145">
        <f t="shared" si="540"/>
        <v>0</v>
      </c>
      <c r="CI172" s="145">
        <f t="shared" si="540"/>
        <v>0</v>
      </c>
      <c r="CJ172" s="145">
        <f t="shared" si="540"/>
        <v>0</v>
      </c>
      <c r="CK172" s="145">
        <f t="shared" si="540"/>
        <v>0</v>
      </c>
      <c r="CL172" s="145">
        <f t="shared" si="540"/>
        <v>0</v>
      </c>
      <c r="CM172" s="145">
        <f t="shared" si="540"/>
        <v>0</v>
      </c>
      <c r="CN172" s="145">
        <f t="shared" si="540"/>
        <v>0</v>
      </c>
      <c r="CO172" s="145">
        <f t="shared" si="540"/>
        <v>0</v>
      </c>
      <c r="CP172" s="145">
        <f t="shared" si="540"/>
        <v>0</v>
      </c>
      <c r="CQ172" s="145">
        <f t="shared" si="540"/>
        <v>0</v>
      </c>
      <c r="CR172" s="146">
        <f t="shared" si="540"/>
        <v>0</v>
      </c>
      <c r="CS172" s="147">
        <f t="shared" si="503"/>
        <v>0</v>
      </c>
      <c r="CT172" s="148">
        <f t="shared" ref="CT172:DE172" si="541">+CT170-CT171</f>
        <v>0</v>
      </c>
      <c r="CU172" s="145">
        <f t="shared" si="541"/>
        <v>0</v>
      </c>
      <c r="CV172" s="145">
        <f t="shared" si="541"/>
        <v>0</v>
      </c>
      <c r="CW172" s="145">
        <f t="shared" si="541"/>
        <v>0</v>
      </c>
      <c r="CX172" s="145">
        <f t="shared" si="541"/>
        <v>0</v>
      </c>
      <c r="CY172" s="145">
        <f t="shared" si="541"/>
        <v>0</v>
      </c>
      <c r="CZ172" s="145">
        <f t="shared" si="541"/>
        <v>0</v>
      </c>
      <c r="DA172" s="145">
        <f t="shared" si="541"/>
        <v>0</v>
      </c>
      <c r="DB172" s="145">
        <f t="shared" si="541"/>
        <v>0</v>
      </c>
      <c r="DC172" s="145">
        <f t="shared" si="541"/>
        <v>0</v>
      </c>
      <c r="DD172" s="145">
        <f t="shared" si="541"/>
        <v>0</v>
      </c>
      <c r="DE172" s="146">
        <f t="shared" si="541"/>
        <v>0</v>
      </c>
      <c r="DF172" s="147">
        <f t="shared" si="504"/>
        <v>0</v>
      </c>
      <c r="DG172" s="146">
        <f>+DG170-DG171</f>
        <v>0</v>
      </c>
      <c r="DH172" s="98">
        <f t="shared" si="373"/>
        <v>767.75200339500032</v>
      </c>
      <c r="DI172" s="99">
        <f t="shared" si="374"/>
        <v>0</v>
      </c>
      <c r="DJ172" s="100">
        <f t="shared" si="375"/>
        <v>-767.75200339500032</v>
      </c>
    </row>
    <row r="173" spans="1:115" ht="15" customHeight="1" outlineLevel="1">
      <c r="A173" s="607"/>
      <c r="B173" s="557" t="s">
        <v>355</v>
      </c>
      <c r="C173" s="246" t="s">
        <v>62</v>
      </c>
      <c r="D173" s="183" t="s">
        <v>122</v>
      </c>
      <c r="E173" s="153">
        <f>AF173+AS173+BF173+BS173+CF173+CS173+DF173+S173+DG173</f>
        <v>27465.024328800006</v>
      </c>
      <c r="F173" s="153"/>
      <c r="G173" s="154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284"/>
      <c r="S173" s="157">
        <f t="shared" si="530"/>
        <v>0</v>
      </c>
      <c r="T173" s="378"/>
      <c r="U173" s="382"/>
      <c r="V173" s="382"/>
      <c r="W173" s="382"/>
      <c r="X173" s="389"/>
      <c r="Y173" s="389"/>
      <c r="Z173" s="389"/>
      <c r="AA173" s="389"/>
      <c r="AB173" s="389"/>
      <c r="AC173" s="389"/>
      <c r="AD173" s="389"/>
      <c r="AE173" s="482"/>
      <c r="AF173" s="157">
        <f t="shared" si="531"/>
        <v>0</v>
      </c>
      <c r="AG173" s="500"/>
      <c r="AH173" s="513"/>
      <c r="AI173" s="513"/>
      <c r="AJ173" s="513"/>
      <c r="AK173" s="513"/>
      <c r="AL173" s="513"/>
      <c r="AM173" s="513"/>
      <c r="AN173" s="513"/>
      <c r="AO173" s="513"/>
      <c r="AP173" s="513"/>
      <c r="AQ173" s="513"/>
      <c r="AR173" s="512"/>
      <c r="AS173" s="409">
        <f t="shared" si="532"/>
        <v>0</v>
      </c>
      <c r="AT173" s="500"/>
      <c r="AU173" s="513"/>
      <c r="AV173" s="513"/>
      <c r="AW173" s="155"/>
      <c r="AX173" s="155"/>
      <c r="AY173" s="155"/>
      <c r="AZ173" s="155"/>
      <c r="BA173" s="155"/>
      <c r="BB173" s="155"/>
      <c r="BC173" s="155">
        <v>1373.2520274000001</v>
      </c>
      <c r="BD173" s="155">
        <v>1373.2520274000001</v>
      </c>
      <c r="BE173" s="156">
        <v>1373.2520274000001</v>
      </c>
      <c r="BF173" s="157">
        <f t="shared" si="368"/>
        <v>4119.7560822000005</v>
      </c>
      <c r="BG173" s="158">
        <v>1373.2520274000001</v>
      </c>
      <c r="BH173" s="155">
        <v>1373.2520274000001</v>
      </c>
      <c r="BI173" s="155">
        <v>1373.2520274000001</v>
      </c>
      <c r="BJ173" s="155">
        <v>1373.2520274000001</v>
      </c>
      <c r="BK173" s="155">
        <v>1373.2520274000001</v>
      </c>
      <c r="BL173" s="155">
        <v>1373.2520274000001</v>
      </c>
      <c r="BM173" s="155">
        <v>686.62601370000004</v>
      </c>
      <c r="BN173" s="155">
        <v>686.62601370000004</v>
      </c>
      <c r="BO173" s="155">
        <v>686.62601370000004</v>
      </c>
      <c r="BP173" s="155">
        <v>686.62601370000004</v>
      </c>
      <c r="BQ173" s="155">
        <v>686.62601370000004</v>
      </c>
      <c r="BR173" s="156">
        <v>686.62601370000004</v>
      </c>
      <c r="BS173" s="157">
        <f t="shared" si="460"/>
        <v>12359.268246600006</v>
      </c>
      <c r="BT173" s="158">
        <f>10986/12</f>
        <v>915.5</v>
      </c>
      <c r="BU173" s="155">
        <f t="shared" ref="BU173:CE173" si="542">10986/12</f>
        <v>915.5</v>
      </c>
      <c r="BV173" s="155">
        <f t="shared" si="542"/>
        <v>915.5</v>
      </c>
      <c r="BW173" s="155">
        <f t="shared" si="542"/>
        <v>915.5</v>
      </c>
      <c r="BX173" s="155">
        <f t="shared" si="542"/>
        <v>915.5</v>
      </c>
      <c r="BY173" s="155">
        <f t="shared" si="542"/>
        <v>915.5</v>
      </c>
      <c r="BZ173" s="155">
        <f t="shared" si="542"/>
        <v>915.5</v>
      </c>
      <c r="CA173" s="155">
        <f t="shared" si="542"/>
        <v>915.5</v>
      </c>
      <c r="CB173" s="155">
        <f t="shared" si="542"/>
        <v>915.5</v>
      </c>
      <c r="CC173" s="155">
        <f t="shared" si="542"/>
        <v>915.5</v>
      </c>
      <c r="CD173" s="155">
        <f t="shared" si="542"/>
        <v>915.5</v>
      </c>
      <c r="CE173" s="156">
        <f t="shared" si="542"/>
        <v>915.5</v>
      </c>
      <c r="CF173" s="157">
        <f t="shared" si="502"/>
        <v>10986</v>
      </c>
      <c r="CG173" s="158"/>
      <c r="CH173" s="155"/>
      <c r="CI173" s="155"/>
      <c r="CJ173" s="155"/>
      <c r="CK173" s="155"/>
      <c r="CL173" s="155"/>
      <c r="CM173" s="155"/>
      <c r="CN173" s="155"/>
      <c r="CO173" s="155"/>
      <c r="CP173" s="155"/>
      <c r="CQ173" s="155"/>
      <c r="CR173" s="156"/>
      <c r="CS173" s="157">
        <f t="shared" si="503"/>
        <v>0</v>
      </c>
      <c r="CT173" s="158"/>
      <c r="CU173" s="155"/>
      <c r="CV173" s="155"/>
      <c r="CW173" s="155"/>
      <c r="CX173" s="155"/>
      <c r="CY173" s="155"/>
      <c r="CZ173" s="155"/>
      <c r="DA173" s="155"/>
      <c r="DB173" s="155"/>
      <c r="DC173" s="155"/>
      <c r="DD173" s="155"/>
      <c r="DE173" s="156"/>
      <c r="DF173" s="157">
        <f t="shared" si="504"/>
        <v>0</v>
      </c>
      <c r="DG173" s="280"/>
      <c r="DH173" s="159">
        <f t="shared" si="373"/>
        <v>16479.024328800006</v>
      </c>
      <c r="DI173" s="160">
        <f t="shared" si="374"/>
        <v>27465.024328800006</v>
      </c>
      <c r="DJ173" s="161">
        <f t="shared" si="375"/>
        <v>10986</v>
      </c>
    </row>
    <row r="174" spans="1:115" ht="15" customHeight="1" outlineLevel="1">
      <c r="A174" s="607"/>
      <c r="B174" s="560"/>
      <c r="C174" s="245" t="s">
        <v>63</v>
      </c>
      <c r="D174" s="184" t="s">
        <v>124</v>
      </c>
      <c r="E174" s="136">
        <f>AF174+AS174+BF174+BS174+CF174+CS174+DF174+S174+DG174</f>
        <v>23345.270679480003</v>
      </c>
      <c r="F174" s="136"/>
      <c r="G174" s="137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9"/>
      <c r="S174" s="162">
        <f t="shared" si="530"/>
        <v>0</v>
      </c>
      <c r="T174" s="380"/>
      <c r="U174" s="381"/>
      <c r="V174" s="381"/>
      <c r="W174" s="381"/>
      <c r="X174" s="388"/>
      <c r="Y174" s="388"/>
      <c r="Z174" s="388"/>
      <c r="AA174" s="388"/>
      <c r="AB174" s="388"/>
      <c r="AC174" s="388"/>
      <c r="AD174" s="388"/>
      <c r="AE174" s="483"/>
      <c r="AF174" s="162">
        <f t="shared" si="531"/>
        <v>0</v>
      </c>
      <c r="AG174" s="501"/>
      <c r="AH174" s="499"/>
      <c r="AI174" s="499"/>
      <c r="AJ174" s="499"/>
      <c r="AK174" s="499"/>
      <c r="AL174" s="499"/>
      <c r="AM174" s="499"/>
      <c r="AN174" s="499"/>
      <c r="AO174" s="499"/>
      <c r="AP174" s="499"/>
      <c r="AQ174" s="499"/>
      <c r="AR174" s="511"/>
      <c r="AS174" s="410">
        <f t="shared" si="532"/>
        <v>0</v>
      </c>
      <c r="AT174" s="501"/>
      <c r="AU174" s="499"/>
      <c r="AV174" s="499"/>
      <c r="AW174" s="138"/>
      <c r="AX174" s="138"/>
      <c r="AY174" s="138"/>
      <c r="AZ174" s="138"/>
      <c r="BA174" s="138"/>
      <c r="BB174" s="138"/>
      <c r="BC174" s="138">
        <f>BC173*0.85</f>
        <v>1167.26422329</v>
      </c>
      <c r="BD174" s="138">
        <f>BD173*0.85</f>
        <v>1167.26422329</v>
      </c>
      <c r="BE174" s="139">
        <f>BE173*0.85</f>
        <v>1167.26422329</v>
      </c>
      <c r="BF174" s="162">
        <f t="shared" si="368"/>
        <v>3501.7926698700003</v>
      </c>
      <c r="BG174" s="141">
        <f t="shared" ref="BG174:BR174" si="543">BG173*0.85</f>
        <v>1167.26422329</v>
      </c>
      <c r="BH174" s="138">
        <f t="shared" si="543"/>
        <v>1167.26422329</v>
      </c>
      <c r="BI174" s="138">
        <f t="shared" si="543"/>
        <v>1167.26422329</v>
      </c>
      <c r="BJ174" s="138">
        <f t="shared" si="543"/>
        <v>1167.26422329</v>
      </c>
      <c r="BK174" s="138">
        <f t="shared" si="543"/>
        <v>1167.26422329</v>
      </c>
      <c r="BL174" s="138">
        <f t="shared" si="543"/>
        <v>1167.26422329</v>
      </c>
      <c r="BM174" s="138">
        <f t="shared" si="543"/>
        <v>583.63211164500001</v>
      </c>
      <c r="BN174" s="138">
        <f t="shared" si="543"/>
        <v>583.63211164500001</v>
      </c>
      <c r="BO174" s="138">
        <f t="shared" si="543"/>
        <v>583.63211164500001</v>
      </c>
      <c r="BP174" s="138">
        <f t="shared" si="543"/>
        <v>583.63211164500001</v>
      </c>
      <c r="BQ174" s="138">
        <f t="shared" si="543"/>
        <v>583.63211164500001</v>
      </c>
      <c r="BR174" s="139">
        <f t="shared" si="543"/>
        <v>583.63211164500001</v>
      </c>
      <c r="BS174" s="162">
        <f t="shared" si="460"/>
        <v>10505.37800961</v>
      </c>
      <c r="BT174" s="141">
        <f t="shared" ref="BT174:CE174" si="544">BT173*0.85</f>
        <v>778.17499999999995</v>
      </c>
      <c r="BU174" s="138">
        <f t="shared" si="544"/>
        <v>778.17499999999995</v>
      </c>
      <c r="BV174" s="138">
        <f t="shared" si="544"/>
        <v>778.17499999999995</v>
      </c>
      <c r="BW174" s="138">
        <f t="shared" si="544"/>
        <v>778.17499999999995</v>
      </c>
      <c r="BX174" s="138">
        <f t="shared" si="544"/>
        <v>778.17499999999995</v>
      </c>
      <c r="BY174" s="138">
        <f t="shared" si="544"/>
        <v>778.17499999999995</v>
      </c>
      <c r="BZ174" s="138">
        <f t="shared" si="544"/>
        <v>778.17499999999995</v>
      </c>
      <c r="CA174" s="138">
        <f t="shared" si="544"/>
        <v>778.17499999999995</v>
      </c>
      <c r="CB174" s="138">
        <f t="shared" si="544"/>
        <v>778.17499999999995</v>
      </c>
      <c r="CC174" s="138">
        <f t="shared" si="544"/>
        <v>778.17499999999995</v>
      </c>
      <c r="CD174" s="138">
        <f t="shared" si="544"/>
        <v>778.17499999999995</v>
      </c>
      <c r="CE174" s="139">
        <f t="shared" si="544"/>
        <v>778.17499999999995</v>
      </c>
      <c r="CF174" s="162">
        <f t="shared" si="502"/>
        <v>9338.1</v>
      </c>
      <c r="CG174" s="141"/>
      <c r="CH174" s="138"/>
      <c r="CI174" s="138"/>
      <c r="CJ174" s="138"/>
      <c r="CK174" s="138"/>
      <c r="CL174" s="138"/>
      <c r="CM174" s="138"/>
      <c r="CN174" s="138"/>
      <c r="CO174" s="138"/>
      <c r="CP174" s="138"/>
      <c r="CQ174" s="138"/>
      <c r="CR174" s="139"/>
      <c r="CS174" s="162">
        <f t="shared" si="503"/>
        <v>0</v>
      </c>
      <c r="CT174" s="141"/>
      <c r="CU174" s="138"/>
      <c r="CV174" s="138"/>
      <c r="CW174" s="138"/>
      <c r="CX174" s="138"/>
      <c r="CY174" s="138"/>
      <c r="CZ174" s="138"/>
      <c r="DA174" s="138"/>
      <c r="DB174" s="138"/>
      <c r="DC174" s="138"/>
      <c r="DD174" s="138"/>
      <c r="DE174" s="139"/>
      <c r="DF174" s="162">
        <f t="shared" si="504"/>
        <v>0</v>
      </c>
      <c r="DG174" s="279"/>
      <c r="DH174" s="90">
        <f t="shared" si="373"/>
        <v>14007.170679480001</v>
      </c>
      <c r="DI174" s="91">
        <f t="shared" si="374"/>
        <v>23345.270679480003</v>
      </c>
      <c r="DJ174" s="92">
        <f t="shared" si="375"/>
        <v>9338.1000000000022</v>
      </c>
      <c r="DK174" s="64">
        <f>+DH174/DH173</f>
        <v>0.84999999999999976</v>
      </c>
    </row>
    <row r="175" spans="1:115" ht="15" customHeight="1" outlineLevel="1">
      <c r="A175" s="607"/>
      <c r="B175" s="561"/>
      <c r="C175" s="554" t="s">
        <v>11</v>
      </c>
      <c r="D175" s="555"/>
      <c r="E175" s="143"/>
      <c r="F175" s="144">
        <f t="shared" ref="F175:R175" si="545">+F173-F174</f>
        <v>0</v>
      </c>
      <c r="G175" s="145">
        <f t="shared" si="545"/>
        <v>0</v>
      </c>
      <c r="H175" s="145">
        <f t="shared" si="545"/>
        <v>0</v>
      </c>
      <c r="I175" s="145">
        <f t="shared" si="545"/>
        <v>0</v>
      </c>
      <c r="J175" s="145">
        <f t="shared" si="545"/>
        <v>0</v>
      </c>
      <c r="K175" s="145">
        <f t="shared" si="545"/>
        <v>0</v>
      </c>
      <c r="L175" s="145">
        <f t="shared" si="545"/>
        <v>0</v>
      </c>
      <c r="M175" s="145">
        <f t="shared" si="545"/>
        <v>0</v>
      </c>
      <c r="N175" s="145">
        <f t="shared" si="545"/>
        <v>0</v>
      </c>
      <c r="O175" s="145">
        <f t="shared" si="545"/>
        <v>0</v>
      </c>
      <c r="P175" s="145">
        <f t="shared" si="545"/>
        <v>0</v>
      </c>
      <c r="Q175" s="145">
        <f t="shared" si="545"/>
        <v>0</v>
      </c>
      <c r="R175" s="146">
        <f t="shared" si="545"/>
        <v>0</v>
      </c>
      <c r="S175" s="147">
        <f t="shared" si="530"/>
        <v>0</v>
      </c>
      <c r="T175" s="148">
        <f t="shared" ref="T175:AE175" si="546">+T173-T174</f>
        <v>0</v>
      </c>
      <c r="U175" s="145">
        <f t="shared" si="546"/>
        <v>0</v>
      </c>
      <c r="V175" s="145">
        <f t="shared" si="546"/>
        <v>0</v>
      </c>
      <c r="W175" s="145">
        <f t="shared" si="546"/>
        <v>0</v>
      </c>
      <c r="X175" s="145">
        <f t="shared" si="546"/>
        <v>0</v>
      </c>
      <c r="Y175" s="145">
        <f t="shared" si="546"/>
        <v>0</v>
      </c>
      <c r="Z175" s="145">
        <f t="shared" si="546"/>
        <v>0</v>
      </c>
      <c r="AA175" s="145">
        <f t="shared" si="546"/>
        <v>0</v>
      </c>
      <c r="AB175" s="145">
        <f t="shared" si="546"/>
        <v>0</v>
      </c>
      <c r="AC175" s="145">
        <f t="shared" si="546"/>
        <v>0</v>
      </c>
      <c r="AD175" s="145">
        <f t="shared" si="546"/>
        <v>0</v>
      </c>
      <c r="AE175" s="146">
        <f t="shared" si="546"/>
        <v>0</v>
      </c>
      <c r="AF175" s="147">
        <f t="shared" si="531"/>
        <v>0</v>
      </c>
      <c r="AG175" s="148">
        <f t="shared" ref="AG175:AR175" si="547">+AG173-AG174</f>
        <v>0</v>
      </c>
      <c r="AH175" s="145">
        <f t="shared" si="547"/>
        <v>0</v>
      </c>
      <c r="AI175" s="145">
        <f t="shared" si="547"/>
        <v>0</v>
      </c>
      <c r="AJ175" s="145">
        <f t="shared" si="547"/>
        <v>0</v>
      </c>
      <c r="AK175" s="145">
        <f t="shared" si="547"/>
        <v>0</v>
      </c>
      <c r="AL175" s="145">
        <f t="shared" si="547"/>
        <v>0</v>
      </c>
      <c r="AM175" s="145">
        <f t="shared" si="547"/>
        <v>0</v>
      </c>
      <c r="AN175" s="145">
        <f t="shared" si="547"/>
        <v>0</v>
      </c>
      <c r="AO175" s="145">
        <f t="shared" si="547"/>
        <v>0</v>
      </c>
      <c r="AP175" s="145">
        <f t="shared" si="547"/>
        <v>0</v>
      </c>
      <c r="AQ175" s="145">
        <f t="shared" si="547"/>
        <v>0</v>
      </c>
      <c r="AR175" s="146">
        <f t="shared" si="547"/>
        <v>0</v>
      </c>
      <c r="AS175" s="408">
        <f t="shared" si="532"/>
        <v>0</v>
      </c>
      <c r="AT175" s="148">
        <f t="shared" ref="AT175:BE175" si="548">+AT173-AT174</f>
        <v>0</v>
      </c>
      <c r="AU175" s="145">
        <f t="shared" si="548"/>
        <v>0</v>
      </c>
      <c r="AV175" s="145">
        <f t="shared" si="548"/>
        <v>0</v>
      </c>
      <c r="AW175" s="145">
        <f t="shared" si="548"/>
        <v>0</v>
      </c>
      <c r="AX175" s="145">
        <f t="shared" si="548"/>
        <v>0</v>
      </c>
      <c r="AY175" s="145">
        <f t="shared" si="548"/>
        <v>0</v>
      </c>
      <c r="AZ175" s="145">
        <f t="shared" si="548"/>
        <v>0</v>
      </c>
      <c r="BA175" s="145">
        <f t="shared" si="548"/>
        <v>0</v>
      </c>
      <c r="BB175" s="145">
        <f t="shared" si="548"/>
        <v>0</v>
      </c>
      <c r="BC175" s="145">
        <f>+BC173-BC174</f>
        <v>205.98780411000007</v>
      </c>
      <c r="BD175" s="145">
        <f t="shared" si="548"/>
        <v>205.98780411000007</v>
      </c>
      <c r="BE175" s="146">
        <f t="shared" si="548"/>
        <v>205.98780411000007</v>
      </c>
      <c r="BF175" s="147">
        <f t="shared" si="368"/>
        <v>617.96341233000021</v>
      </c>
      <c r="BG175" s="148">
        <f t="shared" ref="BG175:BR175" si="549">+BG173-BG174</f>
        <v>205.98780411000007</v>
      </c>
      <c r="BH175" s="145">
        <f t="shared" si="549"/>
        <v>205.98780411000007</v>
      </c>
      <c r="BI175" s="145">
        <f t="shared" si="549"/>
        <v>205.98780411000007</v>
      </c>
      <c r="BJ175" s="145">
        <f t="shared" si="549"/>
        <v>205.98780411000007</v>
      </c>
      <c r="BK175" s="145">
        <f t="shared" si="549"/>
        <v>205.98780411000007</v>
      </c>
      <c r="BL175" s="145">
        <f t="shared" si="549"/>
        <v>205.98780411000007</v>
      </c>
      <c r="BM175" s="145">
        <f t="shared" si="549"/>
        <v>102.99390205500004</v>
      </c>
      <c r="BN175" s="145">
        <f t="shared" si="549"/>
        <v>102.99390205500004</v>
      </c>
      <c r="BO175" s="145">
        <f t="shared" si="549"/>
        <v>102.99390205500004</v>
      </c>
      <c r="BP175" s="145">
        <f t="shared" si="549"/>
        <v>102.99390205500004</v>
      </c>
      <c r="BQ175" s="145">
        <f t="shared" si="549"/>
        <v>102.99390205500004</v>
      </c>
      <c r="BR175" s="146">
        <f t="shared" si="549"/>
        <v>102.99390205500004</v>
      </c>
      <c r="BS175" s="147">
        <f t="shared" si="460"/>
        <v>1853.8902369900006</v>
      </c>
      <c r="BT175" s="148">
        <f t="shared" ref="BT175:CE175" si="550">+BT173-BT174</f>
        <v>137.32500000000005</v>
      </c>
      <c r="BU175" s="145">
        <f t="shared" si="550"/>
        <v>137.32500000000005</v>
      </c>
      <c r="BV175" s="145">
        <f t="shared" si="550"/>
        <v>137.32500000000005</v>
      </c>
      <c r="BW175" s="145">
        <f t="shared" si="550"/>
        <v>137.32500000000005</v>
      </c>
      <c r="BX175" s="145">
        <f t="shared" si="550"/>
        <v>137.32500000000005</v>
      </c>
      <c r="BY175" s="145">
        <f t="shared" si="550"/>
        <v>137.32500000000005</v>
      </c>
      <c r="BZ175" s="145">
        <f t="shared" si="550"/>
        <v>137.32500000000005</v>
      </c>
      <c r="CA175" s="145">
        <f t="shared" si="550"/>
        <v>137.32500000000005</v>
      </c>
      <c r="CB175" s="145">
        <f t="shared" si="550"/>
        <v>137.32500000000005</v>
      </c>
      <c r="CC175" s="145">
        <f t="shared" si="550"/>
        <v>137.32500000000005</v>
      </c>
      <c r="CD175" s="145">
        <f t="shared" si="550"/>
        <v>137.32500000000005</v>
      </c>
      <c r="CE175" s="146">
        <f t="shared" si="550"/>
        <v>137.32500000000005</v>
      </c>
      <c r="CF175" s="147">
        <f t="shared" si="502"/>
        <v>1647.9000000000005</v>
      </c>
      <c r="CG175" s="148">
        <f t="shared" ref="CG175:CR175" si="551">+CG173-CG174</f>
        <v>0</v>
      </c>
      <c r="CH175" s="145">
        <f t="shared" si="551"/>
        <v>0</v>
      </c>
      <c r="CI175" s="145">
        <f t="shared" si="551"/>
        <v>0</v>
      </c>
      <c r="CJ175" s="145">
        <f t="shared" si="551"/>
        <v>0</v>
      </c>
      <c r="CK175" s="145">
        <f t="shared" si="551"/>
        <v>0</v>
      </c>
      <c r="CL175" s="145">
        <f t="shared" si="551"/>
        <v>0</v>
      </c>
      <c r="CM175" s="145">
        <f t="shared" si="551"/>
        <v>0</v>
      </c>
      <c r="CN175" s="145">
        <f t="shared" si="551"/>
        <v>0</v>
      </c>
      <c r="CO175" s="145">
        <f t="shared" si="551"/>
        <v>0</v>
      </c>
      <c r="CP175" s="145">
        <f t="shared" si="551"/>
        <v>0</v>
      </c>
      <c r="CQ175" s="145">
        <f t="shared" si="551"/>
        <v>0</v>
      </c>
      <c r="CR175" s="146">
        <f t="shared" si="551"/>
        <v>0</v>
      </c>
      <c r="CS175" s="147">
        <f t="shared" si="503"/>
        <v>0</v>
      </c>
      <c r="CT175" s="148">
        <f t="shared" ref="CT175:DE175" si="552">+CT173-CT174</f>
        <v>0</v>
      </c>
      <c r="CU175" s="145">
        <f t="shared" si="552"/>
        <v>0</v>
      </c>
      <c r="CV175" s="145">
        <f t="shared" si="552"/>
        <v>0</v>
      </c>
      <c r="CW175" s="145">
        <f t="shared" si="552"/>
        <v>0</v>
      </c>
      <c r="CX175" s="145">
        <f t="shared" si="552"/>
        <v>0</v>
      </c>
      <c r="CY175" s="145">
        <f t="shared" si="552"/>
        <v>0</v>
      </c>
      <c r="CZ175" s="145">
        <f t="shared" si="552"/>
        <v>0</v>
      </c>
      <c r="DA175" s="145">
        <f t="shared" si="552"/>
        <v>0</v>
      </c>
      <c r="DB175" s="145">
        <f t="shared" si="552"/>
        <v>0</v>
      </c>
      <c r="DC175" s="145">
        <f t="shared" si="552"/>
        <v>0</v>
      </c>
      <c r="DD175" s="145">
        <f t="shared" si="552"/>
        <v>0</v>
      </c>
      <c r="DE175" s="146">
        <f t="shared" si="552"/>
        <v>0</v>
      </c>
      <c r="DF175" s="147">
        <f t="shared" si="504"/>
        <v>0</v>
      </c>
      <c r="DG175" s="146">
        <f>+DG173-DG174</f>
        <v>0</v>
      </c>
      <c r="DH175" s="98">
        <f t="shared" si="373"/>
        <v>2471.8536493200008</v>
      </c>
      <c r="DI175" s="99">
        <f t="shared" si="374"/>
        <v>0</v>
      </c>
      <c r="DJ175" s="100">
        <f t="shared" si="375"/>
        <v>-2471.8536493200008</v>
      </c>
    </row>
    <row r="176" spans="1:115" ht="15" customHeight="1" outlineLevel="1">
      <c r="A176" s="607"/>
      <c r="B176" s="557" t="s">
        <v>196</v>
      </c>
      <c r="C176" s="246" t="s">
        <v>62</v>
      </c>
      <c r="D176" s="183" t="s">
        <v>122</v>
      </c>
      <c r="E176" s="153">
        <f>AF176+AS176+BF176+BS176+CF176+CS176+DF176+S176+DG176</f>
        <v>88.324705020350223</v>
      </c>
      <c r="F176" s="153"/>
      <c r="G176" s="154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284"/>
      <c r="S176" s="157">
        <f>SUM(G176:R176)</f>
        <v>0</v>
      </c>
      <c r="T176" s="378"/>
      <c r="U176" s="382"/>
      <c r="V176" s="382"/>
      <c r="W176" s="382"/>
      <c r="X176" s="389"/>
      <c r="Y176" s="389"/>
      <c r="Z176" s="389"/>
      <c r="AA176" s="389"/>
      <c r="AB176" s="389">
        <v>17.980844063528171</v>
      </c>
      <c r="AC176" s="389">
        <v>26.256696587449088</v>
      </c>
      <c r="AD176" s="389"/>
      <c r="AE176" s="482"/>
      <c r="AF176" s="157">
        <f t="shared" si="531"/>
        <v>44.237540650977259</v>
      </c>
      <c r="AG176" s="500">
        <v>44.087164369372957</v>
      </c>
      <c r="AH176" s="513"/>
      <c r="AI176" s="513"/>
      <c r="AJ176" s="513"/>
      <c r="AK176" s="513"/>
      <c r="AL176" s="513"/>
      <c r="AM176" s="513"/>
      <c r="AN176" s="513"/>
      <c r="AO176" s="513"/>
      <c r="AP176" s="513"/>
      <c r="AQ176" s="513"/>
      <c r="AR176" s="512"/>
      <c r="AS176" s="409">
        <f t="shared" si="532"/>
        <v>44.087164369372957</v>
      </c>
      <c r="AT176" s="500"/>
      <c r="AU176" s="513"/>
      <c r="AV176" s="513"/>
      <c r="AW176" s="155"/>
      <c r="AX176" s="155"/>
      <c r="AY176" s="155"/>
      <c r="AZ176" s="155"/>
      <c r="BA176" s="155"/>
      <c r="BB176" s="155"/>
      <c r="BC176" s="155"/>
      <c r="BD176" s="155"/>
      <c r="BE176" s="156"/>
      <c r="BF176" s="157">
        <f t="shared" si="368"/>
        <v>0</v>
      </c>
      <c r="BG176" s="158"/>
      <c r="BH176" s="155"/>
      <c r="BI176" s="155"/>
      <c r="BJ176" s="155"/>
      <c r="BK176" s="155"/>
      <c r="BL176" s="155"/>
      <c r="BM176" s="155"/>
      <c r="BN176" s="155"/>
      <c r="BO176" s="155"/>
      <c r="BP176" s="155"/>
      <c r="BQ176" s="155"/>
      <c r="BR176" s="156"/>
      <c r="BS176" s="157">
        <f t="shared" si="460"/>
        <v>0</v>
      </c>
      <c r="BT176" s="158"/>
      <c r="BU176" s="155"/>
      <c r="BV176" s="155"/>
      <c r="BW176" s="155"/>
      <c r="BX176" s="155"/>
      <c r="BY176" s="155"/>
      <c r="BZ176" s="155"/>
      <c r="CA176" s="155"/>
      <c r="CB176" s="155"/>
      <c r="CC176" s="155"/>
      <c r="CD176" s="155"/>
      <c r="CE176" s="156"/>
      <c r="CF176" s="157">
        <f t="shared" si="502"/>
        <v>0</v>
      </c>
      <c r="CG176" s="158"/>
      <c r="CH176" s="155"/>
      <c r="CI176" s="155"/>
      <c r="CJ176" s="155"/>
      <c r="CK176" s="155"/>
      <c r="CL176" s="155"/>
      <c r="CM176" s="155"/>
      <c r="CN176" s="155"/>
      <c r="CO176" s="155"/>
      <c r="CP176" s="155"/>
      <c r="CQ176" s="155"/>
      <c r="CR176" s="156"/>
      <c r="CS176" s="157">
        <f t="shared" si="503"/>
        <v>0</v>
      </c>
      <c r="CT176" s="158"/>
      <c r="CU176" s="155"/>
      <c r="CV176" s="155"/>
      <c r="CW176" s="155"/>
      <c r="CX176" s="155"/>
      <c r="CY176" s="155"/>
      <c r="CZ176" s="155"/>
      <c r="DA176" s="155"/>
      <c r="DB176" s="155"/>
      <c r="DC176" s="155"/>
      <c r="DD176" s="155"/>
      <c r="DE176" s="156"/>
      <c r="DF176" s="157">
        <f t="shared" si="504"/>
        <v>0</v>
      </c>
      <c r="DG176" s="280"/>
      <c r="DH176" s="159">
        <f t="shared" si="373"/>
        <v>88.324705020350223</v>
      </c>
      <c r="DI176" s="160">
        <f t="shared" si="374"/>
        <v>88.324705020350223</v>
      </c>
      <c r="DJ176" s="161">
        <f t="shared" si="375"/>
        <v>0</v>
      </c>
    </row>
    <row r="177" spans="1:115" ht="15" customHeight="1" outlineLevel="1">
      <c r="A177" s="607"/>
      <c r="B177" s="560"/>
      <c r="C177" s="245" t="s">
        <v>63</v>
      </c>
      <c r="D177" s="184" t="s">
        <v>124</v>
      </c>
      <c r="E177" s="136">
        <f>AF177+AS177+BF177+BS177+CF177+CS177+DF177+S177+DG177</f>
        <v>64.880511011411514</v>
      </c>
      <c r="F177" s="136"/>
      <c r="G177" s="137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9"/>
      <c r="S177" s="162">
        <f>SUM(G177:R177)</f>
        <v>0</v>
      </c>
      <c r="T177" s="380"/>
      <c r="U177" s="381"/>
      <c r="V177" s="381"/>
      <c r="W177" s="381"/>
      <c r="X177" s="388"/>
      <c r="Y177" s="388"/>
      <c r="Z177" s="388"/>
      <c r="AA177" s="388"/>
      <c r="AB177" s="388">
        <v>24.002225923067549</v>
      </c>
      <c r="AC177" s="388">
        <v>17.524738028391791</v>
      </c>
      <c r="AD177" s="388">
        <v>5.6982566448458076</v>
      </c>
      <c r="AE177" s="483"/>
      <c r="AF177" s="162">
        <f t="shared" si="531"/>
        <v>47.225220596305142</v>
      </c>
      <c r="AG177" s="501">
        <v>17.655290415106368</v>
      </c>
      <c r="AH177" s="499"/>
      <c r="AI177" s="499"/>
      <c r="AJ177" s="499"/>
      <c r="AK177" s="499"/>
      <c r="AL177" s="499"/>
      <c r="AM177" s="499"/>
      <c r="AN177" s="499"/>
      <c r="AO177" s="499"/>
      <c r="AP177" s="499"/>
      <c r="AQ177" s="499"/>
      <c r="AR177" s="511"/>
      <c r="AS177" s="410">
        <f t="shared" si="532"/>
        <v>17.655290415106368</v>
      </c>
      <c r="AT177" s="501"/>
      <c r="AU177" s="499"/>
      <c r="AV177" s="499"/>
      <c r="AW177" s="138"/>
      <c r="AX177" s="138"/>
      <c r="AY177" s="138"/>
      <c r="AZ177" s="138"/>
      <c r="BA177" s="138"/>
      <c r="BB177" s="138"/>
      <c r="BC177" s="138"/>
      <c r="BD177" s="138"/>
      <c r="BE177" s="139"/>
      <c r="BF177" s="162">
        <f t="shared" si="368"/>
        <v>0</v>
      </c>
      <c r="BG177" s="141"/>
      <c r="BH177" s="138"/>
      <c r="BI177" s="138"/>
      <c r="BJ177" s="138"/>
      <c r="BK177" s="138"/>
      <c r="BL177" s="138"/>
      <c r="BM177" s="138"/>
      <c r="BN177" s="138"/>
      <c r="BO177" s="138"/>
      <c r="BP177" s="138"/>
      <c r="BQ177" s="138"/>
      <c r="BR177" s="139"/>
      <c r="BS177" s="162">
        <f t="shared" si="460"/>
        <v>0</v>
      </c>
      <c r="BT177" s="141"/>
      <c r="BU177" s="138"/>
      <c r="BV177" s="138"/>
      <c r="BW177" s="138"/>
      <c r="BX177" s="138"/>
      <c r="BY177" s="138"/>
      <c r="BZ177" s="138"/>
      <c r="CA177" s="138"/>
      <c r="CB177" s="138"/>
      <c r="CC177" s="138"/>
      <c r="CD177" s="138"/>
      <c r="CE177" s="139"/>
      <c r="CF177" s="162">
        <f t="shared" si="502"/>
        <v>0</v>
      </c>
      <c r="CG177" s="141"/>
      <c r="CH177" s="138"/>
      <c r="CI177" s="138"/>
      <c r="CJ177" s="138"/>
      <c r="CK177" s="138"/>
      <c r="CL177" s="138"/>
      <c r="CM177" s="138"/>
      <c r="CN177" s="138"/>
      <c r="CO177" s="138"/>
      <c r="CP177" s="138"/>
      <c r="CQ177" s="138"/>
      <c r="CR177" s="139"/>
      <c r="CS177" s="162">
        <f t="shared" si="503"/>
        <v>0</v>
      </c>
      <c r="CT177" s="141"/>
      <c r="CU177" s="138"/>
      <c r="CV177" s="138"/>
      <c r="CW177" s="138"/>
      <c r="CX177" s="138"/>
      <c r="CY177" s="138"/>
      <c r="CZ177" s="138"/>
      <c r="DA177" s="138"/>
      <c r="DB177" s="138"/>
      <c r="DC177" s="138"/>
      <c r="DD177" s="138"/>
      <c r="DE177" s="139"/>
      <c r="DF177" s="162">
        <f t="shared" si="504"/>
        <v>0</v>
      </c>
      <c r="DG177" s="279"/>
      <c r="DH177" s="90">
        <f t="shared" si="373"/>
        <v>64.880511011411514</v>
      </c>
      <c r="DI177" s="91">
        <f t="shared" si="374"/>
        <v>64.880511011411514</v>
      </c>
      <c r="DJ177" s="92">
        <f t="shared" si="375"/>
        <v>0</v>
      </c>
      <c r="DK177" s="64">
        <f>+DH177/DH176</f>
        <v>0.73456810296125974</v>
      </c>
    </row>
    <row r="178" spans="1:115" ht="15" customHeight="1" outlineLevel="1">
      <c r="A178" s="607"/>
      <c r="B178" s="561"/>
      <c r="C178" s="554" t="s">
        <v>11</v>
      </c>
      <c r="D178" s="555"/>
      <c r="E178" s="143">
        <v>47.072000000000003</v>
      </c>
      <c r="F178" s="144">
        <f t="shared" ref="F178:R178" si="553">+F176-F177</f>
        <v>0</v>
      </c>
      <c r="G178" s="145">
        <f t="shared" si="553"/>
        <v>0</v>
      </c>
      <c r="H178" s="145">
        <f t="shared" si="553"/>
        <v>0</v>
      </c>
      <c r="I178" s="145">
        <f t="shared" si="553"/>
        <v>0</v>
      </c>
      <c r="J178" s="145">
        <f t="shared" si="553"/>
        <v>0</v>
      </c>
      <c r="K178" s="145">
        <f t="shared" si="553"/>
        <v>0</v>
      </c>
      <c r="L178" s="145">
        <f t="shared" si="553"/>
        <v>0</v>
      </c>
      <c r="M178" s="145">
        <f t="shared" si="553"/>
        <v>0</v>
      </c>
      <c r="N178" s="145">
        <f t="shared" si="553"/>
        <v>0</v>
      </c>
      <c r="O178" s="145">
        <f t="shared" si="553"/>
        <v>0</v>
      </c>
      <c r="P178" s="145">
        <f t="shared" si="553"/>
        <v>0</v>
      </c>
      <c r="Q178" s="145">
        <f t="shared" si="553"/>
        <v>0</v>
      </c>
      <c r="R178" s="146">
        <f t="shared" si="553"/>
        <v>0</v>
      </c>
      <c r="S178" s="147">
        <f>SUM(G178:R178)</f>
        <v>0</v>
      </c>
      <c r="T178" s="148">
        <f t="shared" ref="T178:AE178" si="554">+T176-T177</f>
        <v>0</v>
      </c>
      <c r="U178" s="145">
        <f t="shared" si="554"/>
        <v>0</v>
      </c>
      <c r="V178" s="145">
        <f t="shared" si="554"/>
        <v>0</v>
      </c>
      <c r="W178" s="145">
        <f t="shared" si="554"/>
        <v>0</v>
      </c>
      <c r="X178" s="145">
        <f t="shared" si="554"/>
        <v>0</v>
      </c>
      <c r="Y178" s="145">
        <f t="shared" si="554"/>
        <v>0</v>
      </c>
      <c r="Z178" s="145">
        <f t="shared" si="554"/>
        <v>0</v>
      </c>
      <c r="AA178" s="145">
        <f t="shared" si="554"/>
        <v>0</v>
      </c>
      <c r="AB178" s="145">
        <f t="shared" si="554"/>
        <v>-6.0213818595393782</v>
      </c>
      <c r="AC178" s="145">
        <f t="shared" si="554"/>
        <v>8.731958559057297</v>
      </c>
      <c r="AD178" s="145">
        <f t="shared" si="554"/>
        <v>-5.6982566448458076</v>
      </c>
      <c r="AE178" s="146">
        <f t="shared" si="554"/>
        <v>0</v>
      </c>
      <c r="AF178" s="147">
        <f t="shared" si="531"/>
        <v>-2.9876799453278888</v>
      </c>
      <c r="AG178" s="148">
        <f t="shared" ref="AG178:AR178" si="555">+AG176-AG177</f>
        <v>26.431873954266589</v>
      </c>
      <c r="AH178" s="145">
        <f t="shared" si="555"/>
        <v>0</v>
      </c>
      <c r="AI178" s="145">
        <f t="shared" si="555"/>
        <v>0</v>
      </c>
      <c r="AJ178" s="145">
        <f t="shared" si="555"/>
        <v>0</v>
      </c>
      <c r="AK178" s="145">
        <f t="shared" si="555"/>
        <v>0</v>
      </c>
      <c r="AL178" s="145">
        <f t="shared" si="555"/>
        <v>0</v>
      </c>
      <c r="AM178" s="145">
        <f t="shared" si="555"/>
        <v>0</v>
      </c>
      <c r="AN178" s="145">
        <f t="shared" si="555"/>
        <v>0</v>
      </c>
      <c r="AO178" s="145">
        <f t="shared" si="555"/>
        <v>0</v>
      </c>
      <c r="AP178" s="145">
        <f t="shared" si="555"/>
        <v>0</v>
      </c>
      <c r="AQ178" s="145">
        <f t="shared" si="555"/>
        <v>0</v>
      </c>
      <c r="AR178" s="146">
        <f t="shared" si="555"/>
        <v>0</v>
      </c>
      <c r="AS178" s="408">
        <f t="shared" si="532"/>
        <v>26.431873954266589</v>
      </c>
      <c r="AT178" s="148">
        <f t="shared" ref="AT178:BE178" si="556">+AT176-AT177</f>
        <v>0</v>
      </c>
      <c r="AU178" s="145">
        <f t="shared" si="556"/>
        <v>0</v>
      </c>
      <c r="AV178" s="145">
        <f t="shared" si="556"/>
        <v>0</v>
      </c>
      <c r="AW178" s="145">
        <f t="shared" si="556"/>
        <v>0</v>
      </c>
      <c r="AX178" s="145">
        <f t="shared" si="556"/>
        <v>0</v>
      </c>
      <c r="AY178" s="145">
        <f t="shared" si="556"/>
        <v>0</v>
      </c>
      <c r="AZ178" s="145">
        <f t="shared" si="556"/>
        <v>0</v>
      </c>
      <c r="BA178" s="145">
        <f t="shared" si="556"/>
        <v>0</v>
      </c>
      <c r="BB178" s="145">
        <f t="shared" si="556"/>
        <v>0</v>
      </c>
      <c r="BC178" s="145">
        <f t="shared" si="556"/>
        <v>0</v>
      </c>
      <c r="BD178" s="145">
        <f t="shared" si="556"/>
        <v>0</v>
      </c>
      <c r="BE178" s="146">
        <f t="shared" si="556"/>
        <v>0</v>
      </c>
      <c r="BF178" s="147">
        <f t="shared" si="368"/>
        <v>0</v>
      </c>
      <c r="BG178" s="148">
        <f t="shared" ref="BG178:BR178" si="557">+BG176-BG177</f>
        <v>0</v>
      </c>
      <c r="BH178" s="145">
        <f t="shared" si="557"/>
        <v>0</v>
      </c>
      <c r="BI178" s="145">
        <f t="shared" si="557"/>
        <v>0</v>
      </c>
      <c r="BJ178" s="145">
        <f t="shared" si="557"/>
        <v>0</v>
      </c>
      <c r="BK178" s="145">
        <f t="shared" si="557"/>
        <v>0</v>
      </c>
      <c r="BL178" s="145">
        <f t="shared" si="557"/>
        <v>0</v>
      </c>
      <c r="BM178" s="145">
        <f t="shared" si="557"/>
        <v>0</v>
      </c>
      <c r="BN178" s="145">
        <f t="shared" si="557"/>
        <v>0</v>
      </c>
      <c r="BO178" s="145">
        <f t="shared" si="557"/>
        <v>0</v>
      </c>
      <c r="BP178" s="145">
        <f t="shared" si="557"/>
        <v>0</v>
      </c>
      <c r="BQ178" s="145">
        <f t="shared" si="557"/>
        <v>0</v>
      </c>
      <c r="BR178" s="146">
        <f t="shared" si="557"/>
        <v>0</v>
      </c>
      <c r="BS178" s="147">
        <f t="shared" si="460"/>
        <v>0</v>
      </c>
      <c r="BT178" s="148">
        <f t="shared" ref="BT178:CE178" si="558">+BT176-BT177</f>
        <v>0</v>
      </c>
      <c r="BU178" s="145">
        <f t="shared" si="558"/>
        <v>0</v>
      </c>
      <c r="BV178" s="145">
        <f t="shared" si="558"/>
        <v>0</v>
      </c>
      <c r="BW178" s="145">
        <f t="shared" si="558"/>
        <v>0</v>
      </c>
      <c r="BX178" s="145">
        <f t="shared" si="558"/>
        <v>0</v>
      </c>
      <c r="BY178" s="145">
        <f t="shared" si="558"/>
        <v>0</v>
      </c>
      <c r="BZ178" s="145">
        <f t="shared" si="558"/>
        <v>0</v>
      </c>
      <c r="CA178" s="145">
        <f t="shared" si="558"/>
        <v>0</v>
      </c>
      <c r="CB178" s="145">
        <f t="shared" si="558"/>
        <v>0</v>
      </c>
      <c r="CC178" s="145">
        <f t="shared" si="558"/>
        <v>0</v>
      </c>
      <c r="CD178" s="145">
        <f t="shared" si="558"/>
        <v>0</v>
      </c>
      <c r="CE178" s="146">
        <f t="shared" si="558"/>
        <v>0</v>
      </c>
      <c r="CF178" s="147">
        <f t="shared" si="502"/>
        <v>0</v>
      </c>
      <c r="CG178" s="148">
        <f t="shared" ref="CG178:CR178" si="559">+CG176-CG177</f>
        <v>0</v>
      </c>
      <c r="CH178" s="145">
        <f t="shared" si="559"/>
        <v>0</v>
      </c>
      <c r="CI178" s="145">
        <f t="shared" si="559"/>
        <v>0</v>
      </c>
      <c r="CJ178" s="145">
        <f t="shared" si="559"/>
        <v>0</v>
      </c>
      <c r="CK178" s="145">
        <f t="shared" si="559"/>
        <v>0</v>
      </c>
      <c r="CL178" s="145">
        <f t="shared" si="559"/>
        <v>0</v>
      </c>
      <c r="CM178" s="145">
        <f t="shared" si="559"/>
        <v>0</v>
      </c>
      <c r="CN178" s="145">
        <f t="shared" si="559"/>
        <v>0</v>
      </c>
      <c r="CO178" s="145">
        <f t="shared" si="559"/>
        <v>0</v>
      </c>
      <c r="CP178" s="145">
        <f t="shared" si="559"/>
        <v>0</v>
      </c>
      <c r="CQ178" s="145">
        <f t="shared" si="559"/>
        <v>0</v>
      </c>
      <c r="CR178" s="146">
        <f t="shared" si="559"/>
        <v>0</v>
      </c>
      <c r="CS178" s="147">
        <f t="shared" si="503"/>
        <v>0</v>
      </c>
      <c r="CT178" s="148">
        <f t="shared" ref="CT178:DE178" si="560">+CT176-CT177</f>
        <v>0</v>
      </c>
      <c r="CU178" s="145">
        <f t="shared" si="560"/>
        <v>0</v>
      </c>
      <c r="CV178" s="145">
        <f t="shared" si="560"/>
        <v>0</v>
      </c>
      <c r="CW178" s="145">
        <f t="shared" si="560"/>
        <v>0</v>
      </c>
      <c r="CX178" s="145">
        <f t="shared" si="560"/>
        <v>0</v>
      </c>
      <c r="CY178" s="145">
        <f t="shared" si="560"/>
        <v>0</v>
      </c>
      <c r="CZ178" s="145">
        <f t="shared" si="560"/>
        <v>0</v>
      </c>
      <c r="DA178" s="145">
        <f t="shared" si="560"/>
        <v>0</v>
      </c>
      <c r="DB178" s="145">
        <f t="shared" si="560"/>
        <v>0</v>
      </c>
      <c r="DC178" s="145">
        <f t="shared" si="560"/>
        <v>0</v>
      </c>
      <c r="DD178" s="145">
        <f t="shared" si="560"/>
        <v>0</v>
      </c>
      <c r="DE178" s="146">
        <f t="shared" si="560"/>
        <v>0</v>
      </c>
      <c r="DF178" s="147">
        <f t="shared" si="504"/>
        <v>0</v>
      </c>
      <c r="DG178" s="146">
        <f>+DG176-DG177</f>
        <v>0</v>
      </c>
      <c r="DH178" s="98">
        <f t="shared" si="373"/>
        <v>23.444194008938702</v>
      </c>
      <c r="DI178" s="99">
        <f t="shared" si="374"/>
        <v>47.072000000000003</v>
      </c>
      <c r="DJ178" s="100">
        <f t="shared" si="375"/>
        <v>23.627805991061301</v>
      </c>
    </row>
    <row r="179" spans="1:115" ht="15" customHeight="1" outlineLevel="1">
      <c r="A179" s="607"/>
      <c r="B179" s="557" t="s">
        <v>339</v>
      </c>
      <c r="C179" s="246" t="s">
        <v>62</v>
      </c>
      <c r="D179" s="183" t="s">
        <v>122</v>
      </c>
      <c r="E179" s="153">
        <f>AF179+AS179+BF179+BS179+CF179+CS179+DF179+S179+DG179</f>
        <v>373.29150958900448</v>
      </c>
      <c r="F179" s="153"/>
      <c r="G179" s="154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284"/>
      <c r="S179" s="157"/>
      <c r="T179" s="378"/>
      <c r="U179" s="382"/>
      <c r="V179" s="382"/>
      <c r="W179" s="382"/>
      <c r="X179" s="382"/>
      <c r="Y179" s="382"/>
      <c r="Z179" s="382"/>
      <c r="AA179" s="382"/>
      <c r="AB179" s="382"/>
      <c r="AC179" s="382"/>
      <c r="AD179" s="382"/>
      <c r="AE179" s="481"/>
      <c r="AF179" s="157">
        <f t="shared" ref="AF179:AF184" si="561">SUM(T179:AE179)</f>
        <v>0</v>
      </c>
      <c r="AG179" s="500"/>
      <c r="AH179" s="513"/>
      <c r="AI179" s="513">
        <v>38.05509318954401</v>
      </c>
      <c r="AJ179" s="513">
        <v>62.401107138738318</v>
      </c>
      <c r="AK179" s="513"/>
      <c r="AL179" s="513"/>
      <c r="AM179" s="513"/>
      <c r="AN179" s="513"/>
      <c r="AO179" s="513"/>
      <c r="AP179" s="513"/>
      <c r="AQ179" s="513">
        <v>24.601068465123326</v>
      </c>
      <c r="AR179" s="512"/>
      <c r="AS179" s="409">
        <f t="shared" si="532"/>
        <v>125.05726879340565</v>
      </c>
      <c r="AT179" s="500">
        <v>248.23424079559879</v>
      </c>
      <c r="AU179" s="513"/>
      <c r="AV179" s="513"/>
      <c r="AW179" s="155"/>
      <c r="AX179" s="155"/>
      <c r="AY179" s="155"/>
      <c r="AZ179" s="155"/>
      <c r="BA179" s="155"/>
      <c r="BB179" s="155"/>
      <c r="BC179" s="155"/>
      <c r="BD179" s="155"/>
      <c r="BE179" s="285"/>
      <c r="BF179" s="157">
        <f t="shared" si="368"/>
        <v>248.23424079559879</v>
      </c>
      <c r="BG179" s="359"/>
      <c r="BH179" s="283"/>
      <c r="BI179" s="283"/>
      <c r="BJ179" s="283"/>
      <c r="BK179" s="283"/>
      <c r="BL179" s="283"/>
      <c r="BM179" s="283"/>
      <c r="BN179" s="283"/>
      <c r="BO179" s="283"/>
      <c r="BP179" s="283"/>
      <c r="BQ179" s="283"/>
      <c r="BR179" s="285"/>
      <c r="BS179" s="157">
        <f t="shared" si="460"/>
        <v>0</v>
      </c>
      <c r="BT179" s="359"/>
      <c r="BU179" s="283"/>
      <c r="BV179" s="283"/>
      <c r="BW179" s="283"/>
      <c r="BX179" s="283"/>
      <c r="BY179" s="283"/>
      <c r="BZ179" s="283"/>
      <c r="CA179" s="283"/>
      <c r="CB179" s="283"/>
      <c r="CC179" s="283"/>
      <c r="CD179" s="283"/>
      <c r="CE179" s="285"/>
      <c r="CF179" s="157">
        <f t="shared" si="502"/>
        <v>0</v>
      </c>
      <c r="CG179" s="359"/>
      <c r="CH179" s="283"/>
      <c r="CI179" s="283"/>
      <c r="CJ179" s="283"/>
      <c r="CK179" s="283"/>
      <c r="CL179" s="283"/>
      <c r="CM179" s="283"/>
      <c r="CN179" s="283"/>
      <c r="CO179" s="283"/>
      <c r="CP179" s="283"/>
      <c r="CQ179" s="283"/>
      <c r="CR179" s="285"/>
      <c r="CS179" s="157">
        <f t="shared" si="503"/>
        <v>0</v>
      </c>
      <c r="CT179" s="359"/>
      <c r="CU179" s="283"/>
      <c r="CV179" s="283"/>
      <c r="CW179" s="283"/>
      <c r="CX179" s="283"/>
      <c r="CY179" s="283"/>
      <c r="CZ179" s="283"/>
      <c r="DA179" s="283"/>
      <c r="DB179" s="283"/>
      <c r="DC179" s="283"/>
      <c r="DD179" s="283"/>
      <c r="DE179" s="285"/>
      <c r="DF179" s="157">
        <f t="shared" si="504"/>
        <v>0</v>
      </c>
      <c r="DG179" s="280"/>
      <c r="DH179" s="159">
        <f t="shared" si="373"/>
        <v>373.29150958900448</v>
      </c>
      <c r="DI179" s="160">
        <f t="shared" si="374"/>
        <v>373.29150958900448</v>
      </c>
      <c r="DJ179" s="161">
        <f t="shared" si="375"/>
        <v>0</v>
      </c>
    </row>
    <row r="180" spans="1:115" ht="15" customHeight="1" outlineLevel="1">
      <c r="A180" s="607"/>
      <c r="B180" s="560"/>
      <c r="C180" s="245" t="s">
        <v>63</v>
      </c>
      <c r="D180" s="184" t="s">
        <v>124</v>
      </c>
      <c r="E180" s="136">
        <f>AF180+AS180+BF180+BS180+CF180+CS180+DF180+S180+DG180</f>
        <v>85.297062187461009</v>
      </c>
      <c r="F180" s="136"/>
      <c r="G180" s="137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9"/>
      <c r="S180" s="162"/>
      <c r="T180" s="380"/>
      <c r="U180" s="381"/>
      <c r="V180" s="381"/>
      <c r="W180" s="381"/>
      <c r="X180" s="381"/>
      <c r="Y180" s="381"/>
      <c r="Z180" s="381"/>
      <c r="AA180" s="381"/>
      <c r="AB180" s="381"/>
      <c r="AC180" s="381"/>
      <c r="AD180" s="381"/>
      <c r="AE180" s="392"/>
      <c r="AF180" s="162">
        <f t="shared" si="561"/>
        <v>0</v>
      </c>
      <c r="AG180" s="501"/>
      <c r="AH180" s="499"/>
      <c r="AI180" s="499">
        <v>34.501934122611651</v>
      </c>
      <c r="AJ180" s="499">
        <v>42.431092146234569</v>
      </c>
      <c r="AK180" s="499"/>
      <c r="AL180" s="499"/>
      <c r="AM180" s="499"/>
      <c r="AN180" s="499"/>
      <c r="AO180" s="499"/>
      <c r="AP180" s="499"/>
      <c r="AQ180" s="499">
        <v>8.3640359186147837</v>
      </c>
      <c r="AR180" s="511"/>
      <c r="AS180" s="410">
        <f t="shared" si="532"/>
        <v>85.297062187461009</v>
      </c>
      <c r="AT180" s="501"/>
      <c r="AU180" s="499"/>
      <c r="AV180" s="499"/>
      <c r="AW180" s="138"/>
      <c r="AX180" s="138"/>
      <c r="AY180" s="138"/>
      <c r="AZ180" s="138"/>
      <c r="BA180" s="138"/>
      <c r="BB180" s="138"/>
      <c r="BC180" s="138"/>
      <c r="BD180" s="138"/>
      <c r="BE180" s="338"/>
      <c r="BF180" s="162">
        <f t="shared" ref="BF180:BF187" si="562">SUM(AT180:BE180)</f>
        <v>0</v>
      </c>
      <c r="BG180" s="353"/>
      <c r="BH180" s="253"/>
      <c r="BI180" s="253"/>
      <c r="BJ180" s="253"/>
      <c r="BK180" s="253"/>
      <c r="BL180" s="253"/>
      <c r="BM180" s="253"/>
      <c r="BN180" s="253"/>
      <c r="BO180" s="253"/>
      <c r="BP180" s="253"/>
      <c r="BQ180" s="253"/>
      <c r="BR180" s="338"/>
      <c r="BS180" s="162">
        <f t="shared" si="460"/>
        <v>0</v>
      </c>
      <c r="BT180" s="353"/>
      <c r="BU180" s="253"/>
      <c r="BV180" s="253"/>
      <c r="BW180" s="253"/>
      <c r="BX180" s="253"/>
      <c r="BY180" s="253"/>
      <c r="BZ180" s="253"/>
      <c r="CA180" s="253"/>
      <c r="CB180" s="253"/>
      <c r="CC180" s="253"/>
      <c r="CD180" s="253"/>
      <c r="CE180" s="338"/>
      <c r="CF180" s="162">
        <f t="shared" si="502"/>
        <v>0</v>
      </c>
      <c r="CG180" s="353"/>
      <c r="CH180" s="353"/>
      <c r="CI180" s="353"/>
      <c r="CJ180" s="353"/>
      <c r="CK180" s="353"/>
      <c r="CL180" s="253"/>
      <c r="CM180" s="253"/>
      <c r="CN180" s="253"/>
      <c r="CO180" s="253"/>
      <c r="CP180" s="253"/>
      <c r="CQ180" s="253"/>
      <c r="CR180" s="338"/>
      <c r="CS180" s="162">
        <f t="shared" si="503"/>
        <v>0</v>
      </c>
      <c r="CT180" s="353"/>
      <c r="CU180" s="353"/>
      <c r="CV180" s="353"/>
      <c r="CW180" s="353"/>
      <c r="CX180" s="353"/>
      <c r="CY180" s="253"/>
      <c r="CZ180" s="253"/>
      <c r="DA180" s="253"/>
      <c r="DB180" s="253"/>
      <c r="DC180" s="253"/>
      <c r="DD180" s="253"/>
      <c r="DE180" s="338"/>
      <c r="DF180" s="162">
        <f t="shared" si="504"/>
        <v>0</v>
      </c>
      <c r="DG180" s="279"/>
      <c r="DH180" s="90">
        <f t="shared" si="373"/>
        <v>85.297062187461009</v>
      </c>
      <c r="DI180" s="91">
        <f t="shared" si="374"/>
        <v>85.297062187461009</v>
      </c>
      <c r="DJ180" s="92">
        <f t="shared" ref="DJ180:DJ187" si="563">+DI180-DH180</f>
        <v>0</v>
      </c>
      <c r="DK180" s="64">
        <f>+DH180/DH179</f>
        <v>0.22849987207416914</v>
      </c>
    </row>
    <row r="181" spans="1:115" ht="15" customHeight="1" outlineLevel="1">
      <c r="A181" s="607"/>
      <c r="B181" s="561"/>
      <c r="C181" s="357" t="s">
        <v>11</v>
      </c>
      <c r="D181" s="358"/>
      <c r="E181" s="143">
        <f t="shared" ref="E181:R181" si="564">+E179-E180</f>
        <v>287.99444740154348</v>
      </c>
      <c r="F181" s="144">
        <f t="shared" si="564"/>
        <v>0</v>
      </c>
      <c r="G181" s="145">
        <f t="shared" si="564"/>
        <v>0</v>
      </c>
      <c r="H181" s="145">
        <f t="shared" si="564"/>
        <v>0</v>
      </c>
      <c r="I181" s="145">
        <f t="shared" si="564"/>
        <v>0</v>
      </c>
      <c r="J181" s="145">
        <f t="shared" si="564"/>
        <v>0</v>
      </c>
      <c r="K181" s="145">
        <f t="shared" si="564"/>
        <v>0</v>
      </c>
      <c r="L181" s="145">
        <f t="shared" si="564"/>
        <v>0</v>
      </c>
      <c r="M181" s="145">
        <f t="shared" si="564"/>
        <v>0</v>
      </c>
      <c r="N181" s="145">
        <f t="shared" si="564"/>
        <v>0</v>
      </c>
      <c r="O181" s="145">
        <f t="shared" si="564"/>
        <v>0</v>
      </c>
      <c r="P181" s="145">
        <f t="shared" si="564"/>
        <v>0</v>
      </c>
      <c r="Q181" s="145">
        <f t="shared" si="564"/>
        <v>0</v>
      </c>
      <c r="R181" s="146">
        <f t="shared" si="564"/>
        <v>0</v>
      </c>
      <c r="S181" s="147"/>
      <c r="T181" s="148">
        <f t="shared" ref="T181:AE181" si="565">+T179-T180</f>
        <v>0</v>
      </c>
      <c r="U181" s="145">
        <f t="shared" si="565"/>
        <v>0</v>
      </c>
      <c r="V181" s="145">
        <f t="shared" si="565"/>
        <v>0</v>
      </c>
      <c r="W181" s="145">
        <f t="shared" si="565"/>
        <v>0</v>
      </c>
      <c r="X181" s="145">
        <f t="shared" si="565"/>
        <v>0</v>
      </c>
      <c r="Y181" s="145">
        <f t="shared" si="565"/>
        <v>0</v>
      </c>
      <c r="Z181" s="145">
        <f t="shared" si="565"/>
        <v>0</v>
      </c>
      <c r="AA181" s="145">
        <f t="shared" si="565"/>
        <v>0</v>
      </c>
      <c r="AB181" s="145">
        <f t="shared" si="565"/>
        <v>0</v>
      </c>
      <c r="AC181" s="145">
        <f t="shared" si="565"/>
        <v>0</v>
      </c>
      <c r="AD181" s="145">
        <f t="shared" si="565"/>
        <v>0</v>
      </c>
      <c r="AE181" s="146">
        <f t="shared" si="565"/>
        <v>0</v>
      </c>
      <c r="AF181" s="147">
        <f t="shared" si="561"/>
        <v>0</v>
      </c>
      <c r="AG181" s="148">
        <f t="shared" ref="AG181:AR181" si="566">+AG179-AG180</f>
        <v>0</v>
      </c>
      <c r="AH181" s="145">
        <f t="shared" si="566"/>
        <v>0</v>
      </c>
      <c r="AI181" s="145">
        <f t="shared" si="566"/>
        <v>3.5531590669323592</v>
      </c>
      <c r="AJ181" s="145">
        <f t="shared" si="566"/>
        <v>19.970014992503749</v>
      </c>
      <c r="AK181" s="145">
        <f t="shared" si="566"/>
        <v>0</v>
      </c>
      <c r="AL181" s="145">
        <f t="shared" si="566"/>
        <v>0</v>
      </c>
      <c r="AM181" s="145">
        <f t="shared" si="566"/>
        <v>0</v>
      </c>
      <c r="AN181" s="145">
        <f t="shared" si="566"/>
        <v>0</v>
      </c>
      <c r="AO181" s="145">
        <f t="shared" si="566"/>
        <v>0</v>
      </c>
      <c r="AP181" s="145">
        <f t="shared" si="566"/>
        <v>0</v>
      </c>
      <c r="AQ181" s="145">
        <f t="shared" si="566"/>
        <v>16.237032546508544</v>
      </c>
      <c r="AR181" s="146">
        <f t="shared" si="566"/>
        <v>0</v>
      </c>
      <c r="AS181" s="408">
        <f t="shared" si="532"/>
        <v>39.760206605944653</v>
      </c>
      <c r="AT181" s="148">
        <f t="shared" ref="AT181:BE181" si="567">+AT179-AT180</f>
        <v>248.23424079559879</v>
      </c>
      <c r="AU181" s="145">
        <f t="shared" si="567"/>
        <v>0</v>
      </c>
      <c r="AV181" s="145">
        <f t="shared" si="567"/>
        <v>0</v>
      </c>
      <c r="AW181" s="145">
        <f t="shared" si="567"/>
        <v>0</v>
      </c>
      <c r="AX181" s="145">
        <f t="shared" si="567"/>
        <v>0</v>
      </c>
      <c r="AY181" s="145">
        <f t="shared" si="567"/>
        <v>0</v>
      </c>
      <c r="AZ181" s="145">
        <f t="shared" si="567"/>
        <v>0</v>
      </c>
      <c r="BA181" s="145">
        <f t="shared" si="567"/>
        <v>0</v>
      </c>
      <c r="BB181" s="145">
        <f t="shared" si="567"/>
        <v>0</v>
      </c>
      <c r="BC181" s="145">
        <f t="shared" si="567"/>
        <v>0</v>
      </c>
      <c r="BD181" s="145">
        <f t="shared" si="567"/>
        <v>0</v>
      </c>
      <c r="BE181" s="146">
        <f t="shared" si="567"/>
        <v>0</v>
      </c>
      <c r="BF181" s="147">
        <f t="shared" si="562"/>
        <v>248.23424079559879</v>
      </c>
      <c r="BG181" s="148">
        <f t="shared" ref="BG181:BR181" si="568">+BG179-BG180</f>
        <v>0</v>
      </c>
      <c r="BH181" s="145">
        <f t="shared" si="568"/>
        <v>0</v>
      </c>
      <c r="BI181" s="145">
        <f t="shared" si="568"/>
        <v>0</v>
      </c>
      <c r="BJ181" s="145">
        <f t="shared" si="568"/>
        <v>0</v>
      </c>
      <c r="BK181" s="145">
        <f t="shared" si="568"/>
        <v>0</v>
      </c>
      <c r="BL181" s="145">
        <f t="shared" si="568"/>
        <v>0</v>
      </c>
      <c r="BM181" s="145">
        <f t="shared" si="568"/>
        <v>0</v>
      </c>
      <c r="BN181" s="145">
        <f t="shared" si="568"/>
        <v>0</v>
      </c>
      <c r="BO181" s="145">
        <f t="shared" si="568"/>
        <v>0</v>
      </c>
      <c r="BP181" s="145">
        <f t="shared" si="568"/>
        <v>0</v>
      </c>
      <c r="BQ181" s="145">
        <f t="shared" si="568"/>
        <v>0</v>
      </c>
      <c r="BR181" s="146">
        <f t="shared" si="568"/>
        <v>0</v>
      </c>
      <c r="BS181" s="147">
        <f t="shared" si="460"/>
        <v>0</v>
      </c>
      <c r="BT181" s="148">
        <f t="shared" ref="BT181:CE181" si="569">+BT179-BT180</f>
        <v>0</v>
      </c>
      <c r="BU181" s="145">
        <f t="shared" si="569"/>
        <v>0</v>
      </c>
      <c r="BV181" s="145">
        <f t="shared" si="569"/>
        <v>0</v>
      </c>
      <c r="BW181" s="145">
        <f t="shared" si="569"/>
        <v>0</v>
      </c>
      <c r="BX181" s="145">
        <f t="shared" si="569"/>
        <v>0</v>
      </c>
      <c r="BY181" s="145">
        <f t="shared" si="569"/>
        <v>0</v>
      </c>
      <c r="BZ181" s="145">
        <f t="shared" si="569"/>
        <v>0</v>
      </c>
      <c r="CA181" s="145">
        <f t="shared" si="569"/>
        <v>0</v>
      </c>
      <c r="CB181" s="145">
        <f t="shared" si="569"/>
        <v>0</v>
      </c>
      <c r="CC181" s="145">
        <f t="shared" si="569"/>
        <v>0</v>
      </c>
      <c r="CD181" s="145">
        <f t="shared" si="569"/>
        <v>0</v>
      </c>
      <c r="CE181" s="146">
        <f t="shared" si="569"/>
        <v>0</v>
      </c>
      <c r="CF181" s="147">
        <f t="shared" si="502"/>
        <v>0</v>
      </c>
      <c r="CG181" s="148">
        <f t="shared" ref="CG181:CR181" si="570">+CG179-CG180</f>
        <v>0</v>
      </c>
      <c r="CH181" s="145">
        <f t="shared" si="570"/>
        <v>0</v>
      </c>
      <c r="CI181" s="145">
        <f t="shared" si="570"/>
        <v>0</v>
      </c>
      <c r="CJ181" s="145">
        <f t="shared" si="570"/>
        <v>0</v>
      </c>
      <c r="CK181" s="145">
        <f t="shared" si="570"/>
        <v>0</v>
      </c>
      <c r="CL181" s="145">
        <f t="shared" si="570"/>
        <v>0</v>
      </c>
      <c r="CM181" s="145">
        <f t="shared" si="570"/>
        <v>0</v>
      </c>
      <c r="CN181" s="145">
        <f t="shared" si="570"/>
        <v>0</v>
      </c>
      <c r="CO181" s="145">
        <f t="shared" si="570"/>
        <v>0</v>
      </c>
      <c r="CP181" s="145">
        <f t="shared" si="570"/>
        <v>0</v>
      </c>
      <c r="CQ181" s="145">
        <f t="shared" si="570"/>
        <v>0</v>
      </c>
      <c r="CR181" s="146">
        <f t="shared" si="570"/>
        <v>0</v>
      </c>
      <c r="CS181" s="147">
        <f t="shared" si="503"/>
        <v>0</v>
      </c>
      <c r="CT181" s="148">
        <f t="shared" ref="CT181:DE181" si="571">+CT179-CT180</f>
        <v>0</v>
      </c>
      <c r="CU181" s="145">
        <f t="shared" si="571"/>
        <v>0</v>
      </c>
      <c r="CV181" s="145">
        <f t="shared" si="571"/>
        <v>0</v>
      </c>
      <c r="CW181" s="145">
        <f t="shared" si="571"/>
        <v>0</v>
      </c>
      <c r="CX181" s="145">
        <f t="shared" si="571"/>
        <v>0</v>
      </c>
      <c r="CY181" s="145">
        <f t="shared" si="571"/>
        <v>0</v>
      </c>
      <c r="CZ181" s="145">
        <f t="shared" si="571"/>
        <v>0</v>
      </c>
      <c r="DA181" s="145">
        <f t="shared" si="571"/>
        <v>0</v>
      </c>
      <c r="DB181" s="145">
        <f t="shared" si="571"/>
        <v>0</v>
      </c>
      <c r="DC181" s="145">
        <f t="shared" si="571"/>
        <v>0</v>
      </c>
      <c r="DD181" s="145">
        <f t="shared" si="571"/>
        <v>0</v>
      </c>
      <c r="DE181" s="146">
        <f t="shared" si="571"/>
        <v>0</v>
      </c>
      <c r="DF181" s="147">
        <f t="shared" si="504"/>
        <v>0</v>
      </c>
      <c r="DG181" s="146">
        <f>+DG179-DG180</f>
        <v>0</v>
      </c>
      <c r="DH181" s="98">
        <f t="shared" si="373"/>
        <v>287.99444740154343</v>
      </c>
      <c r="DI181" s="99">
        <f t="shared" si="374"/>
        <v>287.99444740154348</v>
      </c>
      <c r="DJ181" s="100">
        <f t="shared" si="563"/>
        <v>0</v>
      </c>
    </row>
    <row r="182" spans="1:115" ht="15" customHeight="1" outlineLevel="1">
      <c r="A182" s="607"/>
      <c r="B182" s="557" t="s">
        <v>340</v>
      </c>
      <c r="C182" s="246" t="s">
        <v>62</v>
      </c>
      <c r="D182" s="183" t="s">
        <v>122</v>
      </c>
      <c r="E182" s="153">
        <f>AF182+AS182+BF182+BS182+CF182+CS182+DF182+S182+DG182</f>
        <v>9.4357050756066112</v>
      </c>
      <c r="F182" s="153"/>
      <c r="G182" s="154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284"/>
      <c r="S182" s="157"/>
      <c r="T182" s="378"/>
      <c r="U182" s="382"/>
      <c r="V182" s="382"/>
      <c r="W182" s="382"/>
      <c r="X182" s="382"/>
      <c r="Y182" s="382"/>
      <c r="Z182" s="382"/>
      <c r="AA182" s="382"/>
      <c r="AB182" s="382"/>
      <c r="AC182" s="382"/>
      <c r="AD182" s="382"/>
      <c r="AE182" s="481"/>
      <c r="AF182" s="157">
        <f t="shared" si="561"/>
        <v>0</v>
      </c>
      <c r="AG182" s="500"/>
      <c r="AH182" s="513"/>
      <c r="AI182" s="513">
        <v>9.4357050756066112</v>
      </c>
      <c r="AJ182" s="513"/>
      <c r="AK182" s="513"/>
      <c r="AL182" s="513"/>
      <c r="AM182" s="513"/>
      <c r="AN182" s="513"/>
      <c r="AO182" s="513"/>
      <c r="AP182" s="513"/>
      <c r="AQ182" s="513"/>
      <c r="AR182" s="512"/>
      <c r="AS182" s="409">
        <f t="shared" si="532"/>
        <v>9.4357050756066112</v>
      </c>
      <c r="AT182" s="500"/>
      <c r="AU182" s="513"/>
      <c r="AV182" s="513"/>
      <c r="AW182" s="155"/>
      <c r="AX182" s="155"/>
      <c r="AY182" s="155"/>
      <c r="AZ182" s="155"/>
      <c r="BA182" s="155"/>
      <c r="BB182" s="155"/>
      <c r="BC182" s="155"/>
      <c r="BD182" s="155"/>
      <c r="BE182" s="285"/>
      <c r="BF182" s="157">
        <f t="shared" si="562"/>
        <v>0</v>
      </c>
      <c r="BG182" s="359"/>
      <c r="BH182" s="283"/>
      <c r="BI182" s="283"/>
      <c r="BJ182" s="283"/>
      <c r="BK182" s="283"/>
      <c r="BL182" s="283"/>
      <c r="BM182" s="283"/>
      <c r="BN182" s="283"/>
      <c r="BO182" s="283"/>
      <c r="BP182" s="283"/>
      <c r="BQ182" s="283"/>
      <c r="BR182" s="285"/>
      <c r="BS182" s="157">
        <f t="shared" si="460"/>
        <v>0</v>
      </c>
      <c r="BT182" s="359"/>
      <c r="BU182" s="283"/>
      <c r="BV182" s="283"/>
      <c r="BW182" s="283"/>
      <c r="BX182" s="283"/>
      <c r="BY182" s="283"/>
      <c r="BZ182" s="283"/>
      <c r="CA182" s="283"/>
      <c r="CB182" s="283"/>
      <c r="CC182" s="283"/>
      <c r="CD182" s="283"/>
      <c r="CE182" s="285"/>
      <c r="CF182" s="157">
        <f t="shared" si="502"/>
        <v>0</v>
      </c>
      <c r="CG182" s="359"/>
      <c r="CH182" s="283"/>
      <c r="CI182" s="283"/>
      <c r="CJ182" s="283"/>
      <c r="CK182" s="283"/>
      <c r="CL182" s="283"/>
      <c r="CM182" s="283"/>
      <c r="CN182" s="283"/>
      <c r="CO182" s="283"/>
      <c r="CP182" s="283"/>
      <c r="CQ182" s="283"/>
      <c r="CR182" s="285"/>
      <c r="CS182" s="157">
        <f t="shared" si="503"/>
        <v>0</v>
      </c>
      <c r="CT182" s="359"/>
      <c r="CU182" s="283"/>
      <c r="CV182" s="283"/>
      <c r="CW182" s="283"/>
      <c r="CX182" s="283"/>
      <c r="CY182" s="283"/>
      <c r="CZ182" s="283"/>
      <c r="DA182" s="283"/>
      <c r="DB182" s="283"/>
      <c r="DC182" s="283"/>
      <c r="DD182" s="283"/>
      <c r="DE182" s="285"/>
      <c r="DF182" s="157">
        <f t="shared" si="504"/>
        <v>0</v>
      </c>
      <c r="DG182" s="280"/>
      <c r="DH182" s="159">
        <f t="shared" si="373"/>
        <v>9.4357050756066112</v>
      </c>
      <c r="DI182" s="160">
        <f t="shared" si="374"/>
        <v>9.4357050756066112</v>
      </c>
      <c r="DJ182" s="161">
        <f t="shared" si="563"/>
        <v>0</v>
      </c>
    </row>
    <row r="183" spans="1:115" ht="15" customHeight="1" outlineLevel="1">
      <c r="A183" s="607"/>
      <c r="B183" s="560"/>
      <c r="C183" s="245" t="s">
        <v>63</v>
      </c>
      <c r="D183" s="184" t="s">
        <v>124</v>
      </c>
      <c r="E183" s="136">
        <f>AF183+AS183+BF183+BS183+CF183+CS183+DF183+S183+DG183</f>
        <v>7.3016507638807493</v>
      </c>
      <c r="F183" s="136"/>
      <c r="G183" s="137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9"/>
      <c r="S183" s="162"/>
      <c r="T183" s="380"/>
      <c r="U183" s="381"/>
      <c r="V183" s="381"/>
      <c r="W183" s="381"/>
      <c r="X183" s="381"/>
      <c r="Y183" s="381"/>
      <c r="Z183" s="381"/>
      <c r="AA183" s="381"/>
      <c r="AB183" s="381"/>
      <c r="AC183" s="381"/>
      <c r="AD183" s="381"/>
      <c r="AE183" s="392"/>
      <c r="AF183" s="162">
        <f t="shared" si="561"/>
        <v>0</v>
      </c>
      <c r="AG183" s="501"/>
      <c r="AH183" s="499"/>
      <c r="AI183" s="499">
        <v>7.3016507638807493</v>
      </c>
      <c r="AJ183" s="499"/>
      <c r="AK183" s="499"/>
      <c r="AL183" s="499"/>
      <c r="AM183" s="499"/>
      <c r="AN183" s="499"/>
      <c r="AO183" s="499"/>
      <c r="AP183" s="499"/>
      <c r="AQ183" s="499"/>
      <c r="AR183" s="511"/>
      <c r="AS183" s="410">
        <f t="shared" si="532"/>
        <v>7.3016507638807493</v>
      </c>
      <c r="AT183" s="501"/>
      <c r="AU183" s="499"/>
      <c r="AV183" s="499"/>
      <c r="AW183" s="138"/>
      <c r="AX183" s="138"/>
      <c r="AY183" s="138"/>
      <c r="AZ183" s="138"/>
      <c r="BA183" s="138"/>
      <c r="BB183" s="138"/>
      <c r="BC183" s="138"/>
      <c r="BD183" s="138"/>
      <c r="BE183" s="338"/>
      <c r="BF183" s="162">
        <f t="shared" si="562"/>
        <v>0</v>
      </c>
      <c r="BG183" s="353"/>
      <c r="BH183" s="253"/>
      <c r="BI183" s="253"/>
      <c r="BJ183" s="253"/>
      <c r="BK183" s="253"/>
      <c r="BL183" s="253"/>
      <c r="BM183" s="253"/>
      <c r="BN183" s="253"/>
      <c r="BO183" s="253"/>
      <c r="BP183" s="253"/>
      <c r="BQ183" s="253"/>
      <c r="BR183" s="338"/>
      <c r="BS183" s="162">
        <f t="shared" si="460"/>
        <v>0</v>
      </c>
      <c r="BT183" s="353"/>
      <c r="BU183" s="253"/>
      <c r="BV183" s="253"/>
      <c r="BW183" s="253"/>
      <c r="BX183" s="253"/>
      <c r="BY183" s="253"/>
      <c r="BZ183" s="253"/>
      <c r="CA183" s="253"/>
      <c r="CB183" s="253"/>
      <c r="CC183" s="253"/>
      <c r="CD183" s="253"/>
      <c r="CE183" s="338"/>
      <c r="CF183" s="162">
        <f t="shared" si="502"/>
        <v>0</v>
      </c>
      <c r="CG183" s="353"/>
      <c r="CH183" s="353"/>
      <c r="CI183" s="353"/>
      <c r="CJ183" s="353"/>
      <c r="CK183" s="353"/>
      <c r="CL183" s="253"/>
      <c r="CM183" s="253"/>
      <c r="CN183" s="253"/>
      <c r="CO183" s="253"/>
      <c r="CP183" s="253"/>
      <c r="CQ183" s="253"/>
      <c r="CR183" s="338"/>
      <c r="CS183" s="162">
        <f t="shared" si="503"/>
        <v>0</v>
      </c>
      <c r="CT183" s="353"/>
      <c r="CU183" s="353"/>
      <c r="CV183" s="353"/>
      <c r="CW183" s="353"/>
      <c r="CX183" s="353"/>
      <c r="CY183" s="253"/>
      <c r="CZ183" s="253"/>
      <c r="DA183" s="253"/>
      <c r="DB183" s="253"/>
      <c r="DC183" s="253"/>
      <c r="DD183" s="253"/>
      <c r="DE183" s="338"/>
      <c r="DF183" s="162">
        <f t="shared" si="504"/>
        <v>0</v>
      </c>
      <c r="DG183" s="279"/>
      <c r="DH183" s="90">
        <f t="shared" si="373"/>
        <v>7.3016507638807493</v>
      </c>
      <c r="DI183" s="91">
        <f t="shared" si="374"/>
        <v>7.3016507638807493</v>
      </c>
      <c r="DJ183" s="92">
        <f t="shared" si="563"/>
        <v>0</v>
      </c>
      <c r="DK183" s="64">
        <f>+DH183/DH182</f>
        <v>0.77383202477969926</v>
      </c>
    </row>
    <row r="184" spans="1:115" ht="15" customHeight="1" outlineLevel="1">
      <c r="A184" s="607"/>
      <c r="B184" s="561"/>
      <c r="C184" s="357" t="s">
        <v>11</v>
      </c>
      <c r="D184" s="358"/>
      <c r="E184" s="143">
        <f t="shared" ref="E184:R184" si="572">+E182-E183</f>
        <v>2.1340543117258619</v>
      </c>
      <c r="F184" s="144">
        <f t="shared" si="572"/>
        <v>0</v>
      </c>
      <c r="G184" s="145">
        <f t="shared" si="572"/>
        <v>0</v>
      </c>
      <c r="H184" s="145">
        <f t="shared" si="572"/>
        <v>0</v>
      </c>
      <c r="I184" s="145">
        <f t="shared" si="572"/>
        <v>0</v>
      </c>
      <c r="J184" s="145">
        <f t="shared" si="572"/>
        <v>0</v>
      </c>
      <c r="K184" s="145">
        <f t="shared" si="572"/>
        <v>0</v>
      </c>
      <c r="L184" s="145">
        <f t="shared" si="572"/>
        <v>0</v>
      </c>
      <c r="M184" s="145">
        <f t="shared" si="572"/>
        <v>0</v>
      </c>
      <c r="N184" s="145">
        <f t="shared" si="572"/>
        <v>0</v>
      </c>
      <c r="O184" s="145">
        <f t="shared" si="572"/>
        <v>0</v>
      </c>
      <c r="P184" s="145">
        <f t="shared" si="572"/>
        <v>0</v>
      </c>
      <c r="Q184" s="145">
        <f t="shared" si="572"/>
        <v>0</v>
      </c>
      <c r="R184" s="146">
        <f t="shared" si="572"/>
        <v>0</v>
      </c>
      <c r="S184" s="147"/>
      <c r="T184" s="148">
        <f t="shared" ref="T184:AE184" si="573">+T182-T183</f>
        <v>0</v>
      </c>
      <c r="U184" s="145">
        <f t="shared" si="573"/>
        <v>0</v>
      </c>
      <c r="V184" s="145">
        <f t="shared" si="573"/>
        <v>0</v>
      </c>
      <c r="W184" s="145">
        <f t="shared" si="573"/>
        <v>0</v>
      </c>
      <c r="X184" s="145">
        <f t="shared" si="573"/>
        <v>0</v>
      </c>
      <c r="Y184" s="145">
        <f t="shared" si="573"/>
        <v>0</v>
      </c>
      <c r="Z184" s="145">
        <f t="shared" si="573"/>
        <v>0</v>
      </c>
      <c r="AA184" s="145">
        <f t="shared" si="573"/>
        <v>0</v>
      </c>
      <c r="AB184" s="145">
        <f t="shared" si="573"/>
        <v>0</v>
      </c>
      <c r="AC184" s="145">
        <f t="shared" si="573"/>
        <v>0</v>
      </c>
      <c r="AD184" s="145">
        <f t="shared" si="573"/>
        <v>0</v>
      </c>
      <c r="AE184" s="146">
        <f t="shared" si="573"/>
        <v>0</v>
      </c>
      <c r="AF184" s="147">
        <f t="shared" si="561"/>
        <v>0</v>
      </c>
      <c r="AG184" s="148">
        <f t="shared" ref="AG184:AR184" si="574">+AG182-AG183</f>
        <v>0</v>
      </c>
      <c r="AH184" s="145">
        <f t="shared" si="574"/>
        <v>0</v>
      </c>
      <c r="AI184" s="145">
        <f t="shared" si="574"/>
        <v>2.1340543117258619</v>
      </c>
      <c r="AJ184" s="145">
        <f t="shared" si="574"/>
        <v>0</v>
      </c>
      <c r="AK184" s="145">
        <f t="shared" si="574"/>
        <v>0</v>
      </c>
      <c r="AL184" s="145">
        <f t="shared" si="574"/>
        <v>0</v>
      </c>
      <c r="AM184" s="145">
        <f t="shared" si="574"/>
        <v>0</v>
      </c>
      <c r="AN184" s="145">
        <f t="shared" si="574"/>
        <v>0</v>
      </c>
      <c r="AO184" s="145">
        <f t="shared" si="574"/>
        <v>0</v>
      </c>
      <c r="AP184" s="145">
        <f t="shared" si="574"/>
        <v>0</v>
      </c>
      <c r="AQ184" s="145">
        <f t="shared" si="574"/>
        <v>0</v>
      </c>
      <c r="AR184" s="146">
        <f t="shared" si="574"/>
        <v>0</v>
      </c>
      <c r="AS184" s="408">
        <f t="shared" si="532"/>
        <v>2.1340543117258619</v>
      </c>
      <c r="AT184" s="148">
        <f t="shared" ref="AT184:BE184" si="575">+AT182-AT183</f>
        <v>0</v>
      </c>
      <c r="AU184" s="145">
        <f t="shared" si="575"/>
        <v>0</v>
      </c>
      <c r="AV184" s="145">
        <f t="shared" si="575"/>
        <v>0</v>
      </c>
      <c r="AW184" s="145">
        <f t="shared" si="575"/>
        <v>0</v>
      </c>
      <c r="AX184" s="145">
        <f t="shared" si="575"/>
        <v>0</v>
      </c>
      <c r="AY184" s="145">
        <f t="shared" si="575"/>
        <v>0</v>
      </c>
      <c r="AZ184" s="145">
        <f t="shared" si="575"/>
        <v>0</v>
      </c>
      <c r="BA184" s="145">
        <f t="shared" si="575"/>
        <v>0</v>
      </c>
      <c r="BB184" s="145">
        <f t="shared" si="575"/>
        <v>0</v>
      </c>
      <c r="BC184" s="145">
        <f t="shared" si="575"/>
        <v>0</v>
      </c>
      <c r="BD184" s="145">
        <f t="shared" si="575"/>
        <v>0</v>
      </c>
      <c r="BE184" s="146">
        <f t="shared" si="575"/>
        <v>0</v>
      </c>
      <c r="BF184" s="147">
        <f t="shared" si="562"/>
        <v>0</v>
      </c>
      <c r="BG184" s="148">
        <f t="shared" ref="BG184:BR184" si="576">+BG182-BG183</f>
        <v>0</v>
      </c>
      <c r="BH184" s="145">
        <f t="shared" si="576"/>
        <v>0</v>
      </c>
      <c r="BI184" s="145">
        <f t="shared" si="576"/>
        <v>0</v>
      </c>
      <c r="BJ184" s="145">
        <f t="shared" si="576"/>
        <v>0</v>
      </c>
      <c r="BK184" s="145">
        <f t="shared" si="576"/>
        <v>0</v>
      </c>
      <c r="BL184" s="145">
        <f t="shared" si="576"/>
        <v>0</v>
      </c>
      <c r="BM184" s="145">
        <f t="shared" si="576"/>
        <v>0</v>
      </c>
      <c r="BN184" s="145">
        <f t="shared" si="576"/>
        <v>0</v>
      </c>
      <c r="BO184" s="145">
        <f t="shared" si="576"/>
        <v>0</v>
      </c>
      <c r="BP184" s="145">
        <f t="shared" si="576"/>
        <v>0</v>
      </c>
      <c r="BQ184" s="145">
        <f t="shared" si="576"/>
        <v>0</v>
      </c>
      <c r="BR184" s="146">
        <f t="shared" si="576"/>
        <v>0</v>
      </c>
      <c r="BS184" s="147">
        <f t="shared" si="460"/>
        <v>0</v>
      </c>
      <c r="BT184" s="148">
        <f t="shared" ref="BT184:CE184" si="577">+BT182-BT183</f>
        <v>0</v>
      </c>
      <c r="BU184" s="145">
        <f t="shared" si="577"/>
        <v>0</v>
      </c>
      <c r="BV184" s="145">
        <f t="shared" si="577"/>
        <v>0</v>
      </c>
      <c r="BW184" s="145">
        <f t="shared" si="577"/>
        <v>0</v>
      </c>
      <c r="BX184" s="145">
        <f t="shared" si="577"/>
        <v>0</v>
      </c>
      <c r="BY184" s="145">
        <f t="shared" si="577"/>
        <v>0</v>
      </c>
      <c r="BZ184" s="145">
        <f t="shared" si="577"/>
        <v>0</v>
      </c>
      <c r="CA184" s="145">
        <f t="shared" si="577"/>
        <v>0</v>
      </c>
      <c r="CB184" s="145">
        <f t="shared" si="577"/>
        <v>0</v>
      </c>
      <c r="CC184" s="145">
        <f t="shared" si="577"/>
        <v>0</v>
      </c>
      <c r="CD184" s="145">
        <f t="shared" si="577"/>
        <v>0</v>
      </c>
      <c r="CE184" s="146">
        <f t="shared" si="577"/>
        <v>0</v>
      </c>
      <c r="CF184" s="147">
        <f t="shared" si="502"/>
        <v>0</v>
      </c>
      <c r="CG184" s="148">
        <f t="shared" ref="CG184:CR184" si="578">+CG182-CG183</f>
        <v>0</v>
      </c>
      <c r="CH184" s="145">
        <f t="shared" si="578"/>
        <v>0</v>
      </c>
      <c r="CI184" s="145">
        <f t="shared" si="578"/>
        <v>0</v>
      </c>
      <c r="CJ184" s="145">
        <f t="shared" si="578"/>
        <v>0</v>
      </c>
      <c r="CK184" s="145">
        <f t="shared" si="578"/>
        <v>0</v>
      </c>
      <c r="CL184" s="145">
        <f t="shared" si="578"/>
        <v>0</v>
      </c>
      <c r="CM184" s="145">
        <f t="shared" si="578"/>
        <v>0</v>
      </c>
      <c r="CN184" s="145">
        <f t="shared" si="578"/>
        <v>0</v>
      </c>
      <c r="CO184" s="145">
        <f t="shared" si="578"/>
        <v>0</v>
      </c>
      <c r="CP184" s="145">
        <f t="shared" si="578"/>
        <v>0</v>
      </c>
      <c r="CQ184" s="145">
        <f t="shared" si="578"/>
        <v>0</v>
      </c>
      <c r="CR184" s="146">
        <f t="shared" si="578"/>
        <v>0</v>
      </c>
      <c r="CS184" s="147">
        <f t="shared" si="503"/>
        <v>0</v>
      </c>
      <c r="CT184" s="148">
        <f t="shared" ref="CT184:DE184" si="579">+CT182-CT183</f>
        <v>0</v>
      </c>
      <c r="CU184" s="145">
        <f t="shared" si="579"/>
        <v>0</v>
      </c>
      <c r="CV184" s="145">
        <f t="shared" si="579"/>
        <v>0</v>
      </c>
      <c r="CW184" s="145">
        <f t="shared" si="579"/>
        <v>0</v>
      </c>
      <c r="CX184" s="145">
        <f t="shared" si="579"/>
        <v>0</v>
      </c>
      <c r="CY184" s="145">
        <f t="shared" si="579"/>
        <v>0</v>
      </c>
      <c r="CZ184" s="145">
        <f t="shared" si="579"/>
        <v>0</v>
      </c>
      <c r="DA184" s="145">
        <f t="shared" si="579"/>
        <v>0</v>
      </c>
      <c r="DB184" s="145">
        <f t="shared" si="579"/>
        <v>0</v>
      </c>
      <c r="DC184" s="145">
        <f t="shared" si="579"/>
        <v>0</v>
      </c>
      <c r="DD184" s="145">
        <f t="shared" si="579"/>
        <v>0</v>
      </c>
      <c r="DE184" s="146">
        <f t="shared" si="579"/>
        <v>0</v>
      </c>
      <c r="DF184" s="147">
        <f t="shared" si="504"/>
        <v>0</v>
      </c>
      <c r="DG184" s="146">
        <f>+DG182-DG183</f>
        <v>0</v>
      </c>
      <c r="DH184" s="98">
        <f t="shared" si="373"/>
        <v>2.1340543117258619</v>
      </c>
      <c r="DI184" s="99">
        <f t="shared" si="374"/>
        <v>2.1340543117258619</v>
      </c>
      <c r="DJ184" s="100">
        <f t="shared" si="563"/>
        <v>0</v>
      </c>
    </row>
    <row r="185" spans="1:115" ht="15" customHeight="1" outlineLevel="1">
      <c r="A185" s="607"/>
      <c r="B185" s="557" t="s">
        <v>341</v>
      </c>
      <c r="C185" s="246" t="s">
        <v>62</v>
      </c>
      <c r="D185" s="183" t="s">
        <v>122</v>
      </c>
      <c r="E185" s="153">
        <f>AF185+AS185+BF185+BS185+CF185+CS185+DF185+S185+DG185</f>
        <v>748.25368189345545</v>
      </c>
      <c r="F185" s="153"/>
      <c r="G185" s="154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284"/>
      <c r="S185" s="157"/>
      <c r="T185" s="378"/>
      <c r="U185" s="382"/>
      <c r="V185" s="382"/>
      <c r="W185" s="382"/>
      <c r="X185" s="382"/>
      <c r="Y185" s="382"/>
      <c r="Z185" s="382"/>
      <c r="AA185" s="382"/>
      <c r="AB185" s="382"/>
      <c r="AC185" s="382"/>
      <c r="AD185" s="382"/>
      <c r="AE185" s="481"/>
      <c r="AF185" s="157">
        <f t="shared" si="531"/>
        <v>0</v>
      </c>
      <c r="AG185" s="500"/>
      <c r="AH185" s="513"/>
      <c r="AI185" s="513">
        <v>61.609006212636267</v>
      </c>
      <c r="AJ185" s="513">
        <v>62.120825664091001</v>
      </c>
      <c r="AK185" s="513">
        <v>23.375557332308283</v>
      </c>
      <c r="AL185" s="513">
        <v>81.425505692927004</v>
      </c>
      <c r="AM185" s="513"/>
      <c r="AN185" s="513"/>
      <c r="AO185" s="513"/>
      <c r="AP185" s="513">
        <v>77.413328581746299</v>
      </c>
      <c r="AQ185" s="513">
        <v>117.37834785738643</v>
      </c>
      <c r="AR185" s="512"/>
      <c r="AS185" s="409">
        <f t="shared" si="532"/>
        <v>423.32257134109528</v>
      </c>
      <c r="AT185" s="500"/>
      <c r="AU185" s="513"/>
      <c r="AV185" s="513">
        <v>60.074434081771976</v>
      </c>
      <c r="AW185" s="155">
        <f>68.3155+89</f>
        <v>157.31549999999999</v>
      </c>
      <c r="AX185" s="155">
        <v>99.000000000000014</v>
      </c>
      <c r="AY185" s="155">
        <v>8.5411764705882351</v>
      </c>
      <c r="AZ185" s="155"/>
      <c r="BA185" s="155"/>
      <c r="BB185" s="155"/>
      <c r="BC185" s="155"/>
      <c r="BD185" s="155"/>
      <c r="BE185" s="285"/>
      <c r="BF185" s="157">
        <f t="shared" si="562"/>
        <v>324.93111055236022</v>
      </c>
      <c r="BG185" s="359"/>
      <c r="BH185" s="283"/>
      <c r="BI185" s="283"/>
      <c r="BJ185" s="283"/>
      <c r="BK185" s="283"/>
      <c r="BL185" s="283"/>
      <c r="BM185" s="283"/>
      <c r="BN185" s="283"/>
      <c r="BO185" s="283"/>
      <c r="BP185" s="283"/>
      <c r="BQ185" s="283"/>
      <c r="BR185" s="285"/>
      <c r="BS185" s="157">
        <f t="shared" si="460"/>
        <v>0</v>
      </c>
      <c r="BT185" s="359"/>
      <c r="BU185" s="283"/>
      <c r="BV185" s="283"/>
      <c r="BW185" s="283"/>
      <c r="BX185" s="283"/>
      <c r="BY185" s="283"/>
      <c r="BZ185" s="283"/>
      <c r="CA185" s="283"/>
      <c r="CB185" s="283"/>
      <c r="CC185" s="283"/>
      <c r="CD185" s="283"/>
      <c r="CE185" s="285"/>
      <c r="CF185" s="157">
        <f t="shared" si="502"/>
        <v>0</v>
      </c>
      <c r="CG185" s="359"/>
      <c r="CH185" s="283"/>
      <c r="CI185" s="283"/>
      <c r="CJ185" s="283"/>
      <c r="CK185" s="283"/>
      <c r="CL185" s="283"/>
      <c r="CM185" s="283"/>
      <c r="CN185" s="283"/>
      <c r="CO185" s="283"/>
      <c r="CP185" s="283"/>
      <c r="CQ185" s="283"/>
      <c r="CR185" s="285"/>
      <c r="CS185" s="157">
        <f t="shared" si="503"/>
        <v>0</v>
      </c>
      <c r="CT185" s="359"/>
      <c r="CU185" s="283"/>
      <c r="CV185" s="283"/>
      <c r="CW185" s="283"/>
      <c r="CX185" s="283"/>
      <c r="CY185" s="283"/>
      <c r="CZ185" s="283"/>
      <c r="DA185" s="283"/>
      <c r="DB185" s="283"/>
      <c r="DC185" s="283"/>
      <c r="DD185" s="283"/>
      <c r="DE185" s="285"/>
      <c r="DF185" s="157">
        <f t="shared" si="504"/>
        <v>0</v>
      </c>
      <c r="DG185" s="280"/>
      <c r="DH185" s="159">
        <f t="shared" si="373"/>
        <v>748.25368189345545</v>
      </c>
      <c r="DI185" s="160">
        <f t="shared" si="374"/>
        <v>748.25368189345545</v>
      </c>
      <c r="DJ185" s="161">
        <f t="shared" si="563"/>
        <v>0</v>
      </c>
    </row>
    <row r="186" spans="1:115" ht="15" customHeight="1" outlineLevel="1">
      <c r="A186" s="607"/>
      <c r="B186" s="560"/>
      <c r="C186" s="245" t="s">
        <v>63</v>
      </c>
      <c r="D186" s="184" t="s">
        <v>124</v>
      </c>
      <c r="E186" s="136">
        <f>AF186+AS186+BF186+BS186+CF186+CS186+DF186+S186+DG186</f>
        <v>645.75134788192418</v>
      </c>
      <c r="F186" s="136"/>
      <c r="G186" s="137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9"/>
      <c r="S186" s="162"/>
      <c r="T186" s="380"/>
      <c r="U186" s="381"/>
      <c r="V186" s="381"/>
      <c r="W186" s="381"/>
      <c r="X186" s="381"/>
      <c r="Y186" s="381"/>
      <c r="Z186" s="381"/>
      <c r="AA186" s="381"/>
      <c r="AB186" s="381"/>
      <c r="AC186" s="381"/>
      <c r="AD186" s="381"/>
      <c r="AE186" s="392"/>
      <c r="AF186" s="162">
        <f t="shared" si="531"/>
        <v>0</v>
      </c>
      <c r="AG186" s="501"/>
      <c r="AH186" s="499"/>
      <c r="AI186" s="499">
        <v>18.599630680264134</v>
      </c>
      <c r="AJ186" s="499">
        <v>38.3687926805828</v>
      </c>
      <c r="AK186" s="499">
        <v>18.978009532961753</v>
      </c>
      <c r="AL186" s="499">
        <v>62.260875599003256</v>
      </c>
      <c r="AM186" s="499">
        <v>7.5172400442900233</v>
      </c>
      <c r="AN186" s="499">
        <v>7.421694496003636</v>
      </c>
      <c r="AO186" s="499">
        <v>7.1154665050933463</v>
      </c>
      <c r="AP186" s="499">
        <v>37.918251377960239</v>
      </c>
      <c r="AQ186" s="499">
        <v>89.210936005759095</v>
      </c>
      <c r="AR186" s="511">
        <v>85.620626065449017</v>
      </c>
      <c r="AS186" s="410">
        <f t="shared" si="532"/>
        <v>373.0115229873673</v>
      </c>
      <c r="AT186" s="501">
        <v>112.4205108298388</v>
      </c>
      <c r="AU186" s="499">
        <v>9.7564914143349935</v>
      </c>
      <c r="AV186" s="499">
        <v>41.862822650383073</v>
      </c>
      <c r="AW186" s="138">
        <f>58.3-42</f>
        <v>16.299999999999997</v>
      </c>
      <c r="AX186" s="138">
        <v>84.7</v>
      </c>
      <c r="AY186" s="138">
        <v>7.7000000000000011</v>
      </c>
      <c r="AZ186" s="138"/>
      <c r="BA186" s="138"/>
      <c r="BB186" s="138"/>
      <c r="BC186" s="138"/>
      <c r="BD186" s="138"/>
      <c r="BE186" s="338"/>
      <c r="BF186" s="162">
        <f t="shared" si="562"/>
        <v>272.73982489455682</v>
      </c>
      <c r="BG186" s="353"/>
      <c r="BH186" s="253"/>
      <c r="BI186" s="253"/>
      <c r="BJ186" s="253"/>
      <c r="BK186" s="253"/>
      <c r="BL186" s="253"/>
      <c r="BM186" s="253"/>
      <c r="BN186" s="253"/>
      <c r="BO186" s="253"/>
      <c r="BP186" s="253"/>
      <c r="BQ186" s="253"/>
      <c r="BR186" s="338"/>
      <c r="BS186" s="162">
        <f t="shared" si="460"/>
        <v>0</v>
      </c>
      <c r="BT186" s="353"/>
      <c r="BU186" s="253"/>
      <c r="BV186" s="253"/>
      <c r="BW186" s="253"/>
      <c r="BX186" s="253"/>
      <c r="BY186" s="253"/>
      <c r="BZ186" s="253"/>
      <c r="CA186" s="253"/>
      <c r="CB186" s="253"/>
      <c r="CC186" s="253"/>
      <c r="CD186" s="253"/>
      <c r="CE186" s="338"/>
      <c r="CF186" s="162">
        <f t="shared" si="502"/>
        <v>0</v>
      </c>
      <c r="CG186" s="353"/>
      <c r="CH186" s="353"/>
      <c r="CI186" s="353"/>
      <c r="CJ186" s="353"/>
      <c r="CK186" s="353"/>
      <c r="CL186" s="253"/>
      <c r="CM186" s="253"/>
      <c r="CN186" s="253"/>
      <c r="CO186" s="253"/>
      <c r="CP186" s="253"/>
      <c r="CQ186" s="253"/>
      <c r="CR186" s="338"/>
      <c r="CS186" s="162">
        <f t="shared" si="503"/>
        <v>0</v>
      </c>
      <c r="CT186" s="353"/>
      <c r="CU186" s="353"/>
      <c r="CV186" s="353"/>
      <c r="CW186" s="353"/>
      <c r="CX186" s="353"/>
      <c r="CY186" s="253"/>
      <c r="CZ186" s="253"/>
      <c r="DA186" s="253"/>
      <c r="DB186" s="253"/>
      <c r="DC186" s="253"/>
      <c r="DD186" s="253"/>
      <c r="DE186" s="338"/>
      <c r="DF186" s="162">
        <f t="shared" si="504"/>
        <v>0</v>
      </c>
      <c r="DG186" s="279"/>
      <c r="DH186" s="90">
        <f t="shared" si="373"/>
        <v>645.75134788192418</v>
      </c>
      <c r="DI186" s="91">
        <f t="shared" si="374"/>
        <v>645.75134788192418</v>
      </c>
      <c r="DJ186" s="92">
        <f t="shared" si="563"/>
        <v>0</v>
      </c>
      <c r="DK186" s="64">
        <f>+DH186/DH185</f>
        <v>0.86301125341321516</v>
      </c>
    </row>
    <row r="187" spans="1:115" ht="15" customHeight="1" outlineLevel="1">
      <c r="A187" s="607"/>
      <c r="B187" s="561"/>
      <c r="C187" s="357" t="s">
        <v>11</v>
      </c>
      <c r="D187" s="358"/>
      <c r="E187" s="143">
        <f t="shared" ref="E187:R187" si="580">+E185-E186</f>
        <v>102.50233401153127</v>
      </c>
      <c r="F187" s="144">
        <f t="shared" si="580"/>
        <v>0</v>
      </c>
      <c r="G187" s="145">
        <f t="shared" si="580"/>
        <v>0</v>
      </c>
      <c r="H187" s="145">
        <f t="shared" si="580"/>
        <v>0</v>
      </c>
      <c r="I187" s="145">
        <f t="shared" si="580"/>
        <v>0</v>
      </c>
      <c r="J187" s="145">
        <f t="shared" si="580"/>
        <v>0</v>
      </c>
      <c r="K187" s="145">
        <f t="shared" si="580"/>
        <v>0</v>
      </c>
      <c r="L187" s="145">
        <f t="shared" si="580"/>
        <v>0</v>
      </c>
      <c r="M187" s="145">
        <f t="shared" si="580"/>
        <v>0</v>
      </c>
      <c r="N187" s="145">
        <f t="shared" si="580"/>
        <v>0</v>
      </c>
      <c r="O187" s="145">
        <f t="shared" si="580"/>
        <v>0</v>
      </c>
      <c r="P187" s="145">
        <f t="shared" si="580"/>
        <v>0</v>
      </c>
      <c r="Q187" s="145">
        <f t="shared" si="580"/>
        <v>0</v>
      </c>
      <c r="R187" s="146">
        <f t="shared" si="580"/>
        <v>0</v>
      </c>
      <c r="S187" s="147"/>
      <c r="T187" s="148">
        <f t="shared" ref="T187:AE187" si="581">+T185-T186</f>
        <v>0</v>
      </c>
      <c r="U187" s="145">
        <f t="shared" si="581"/>
        <v>0</v>
      </c>
      <c r="V187" s="145">
        <f t="shared" si="581"/>
        <v>0</v>
      </c>
      <c r="W187" s="145">
        <f t="shared" si="581"/>
        <v>0</v>
      </c>
      <c r="X187" s="145">
        <f t="shared" si="581"/>
        <v>0</v>
      </c>
      <c r="Y187" s="145">
        <f t="shared" si="581"/>
        <v>0</v>
      </c>
      <c r="Z187" s="145">
        <f t="shared" si="581"/>
        <v>0</v>
      </c>
      <c r="AA187" s="145">
        <f t="shared" si="581"/>
        <v>0</v>
      </c>
      <c r="AB187" s="145">
        <f t="shared" si="581"/>
        <v>0</v>
      </c>
      <c r="AC187" s="145">
        <f t="shared" si="581"/>
        <v>0</v>
      </c>
      <c r="AD187" s="145">
        <f t="shared" si="581"/>
        <v>0</v>
      </c>
      <c r="AE187" s="146">
        <f t="shared" si="581"/>
        <v>0</v>
      </c>
      <c r="AF187" s="147">
        <f t="shared" si="531"/>
        <v>0</v>
      </c>
      <c r="AG187" s="148">
        <f t="shared" ref="AG187:AR187" si="582">+AG185-AG186</f>
        <v>0</v>
      </c>
      <c r="AH187" s="145">
        <f t="shared" si="582"/>
        <v>0</v>
      </c>
      <c r="AI187" s="145">
        <f t="shared" si="582"/>
        <v>43.009375532372133</v>
      </c>
      <c r="AJ187" s="145">
        <f t="shared" si="582"/>
        <v>23.752032983508201</v>
      </c>
      <c r="AK187" s="145">
        <f t="shared" si="582"/>
        <v>4.3975477993465297</v>
      </c>
      <c r="AL187" s="145">
        <f t="shared" si="582"/>
        <v>19.164630093923748</v>
      </c>
      <c r="AM187" s="145">
        <f t="shared" si="582"/>
        <v>-7.5172400442900233</v>
      </c>
      <c r="AN187" s="145">
        <f t="shared" si="582"/>
        <v>-7.421694496003636</v>
      </c>
      <c r="AO187" s="145">
        <f t="shared" si="582"/>
        <v>-7.1154665050933463</v>
      </c>
      <c r="AP187" s="145">
        <f t="shared" si="582"/>
        <v>39.49507720378606</v>
      </c>
      <c r="AQ187" s="145">
        <f t="shared" si="582"/>
        <v>28.167411851627335</v>
      </c>
      <c r="AR187" s="146">
        <f t="shared" si="582"/>
        <v>-85.620626065449017</v>
      </c>
      <c r="AS187" s="408">
        <f t="shared" si="532"/>
        <v>50.311048353727983</v>
      </c>
      <c r="AT187" s="148">
        <f t="shared" ref="AT187:BE187" si="583">+AT185-AT186</f>
        <v>-112.4205108298388</v>
      </c>
      <c r="AU187" s="145">
        <f t="shared" si="583"/>
        <v>-9.7564914143349935</v>
      </c>
      <c r="AV187" s="145">
        <f t="shared" si="583"/>
        <v>18.211611431388903</v>
      </c>
      <c r="AW187" s="145">
        <f t="shared" si="583"/>
        <v>141.01549999999997</v>
      </c>
      <c r="AX187" s="145">
        <f t="shared" si="583"/>
        <v>14.300000000000011</v>
      </c>
      <c r="AY187" s="145">
        <f t="shared" si="583"/>
        <v>0.84117647058823408</v>
      </c>
      <c r="AZ187" s="145">
        <f t="shared" si="583"/>
        <v>0</v>
      </c>
      <c r="BA187" s="145">
        <f t="shared" si="583"/>
        <v>0</v>
      </c>
      <c r="BB187" s="145">
        <f t="shared" si="583"/>
        <v>0</v>
      </c>
      <c r="BC187" s="145">
        <f t="shared" si="583"/>
        <v>0</v>
      </c>
      <c r="BD187" s="145">
        <f t="shared" si="583"/>
        <v>0</v>
      </c>
      <c r="BE187" s="146">
        <f t="shared" si="583"/>
        <v>0</v>
      </c>
      <c r="BF187" s="147">
        <f t="shared" si="562"/>
        <v>52.191285657803334</v>
      </c>
      <c r="BG187" s="148">
        <f t="shared" ref="BG187:BR187" si="584">+BG185-BG186</f>
        <v>0</v>
      </c>
      <c r="BH187" s="145">
        <f t="shared" si="584"/>
        <v>0</v>
      </c>
      <c r="BI187" s="145">
        <f t="shared" si="584"/>
        <v>0</v>
      </c>
      <c r="BJ187" s="145">
        <f t="shared" si="584"/>
        <v>0</v>
      </c>
      <c r="BK187" s="145">
        <f t="shared" si="584"/>
        <v>0</v>
      </c>
      <c r="BL187" s="145">
        <f t="shared" si="584"/>
        <v>0</v>
      </c>
      <c r="BM187" s="145">
        <f t="shared" si="584"/>
        <v>0</v>
      </c>
      <c r="BN187" s="145">
        <f t="shared" si="584"/>
        <v>0</v>
      </c>
      <c r="BO187" s="145">
        <f t="shared" si="584"/>
        <v>0</v>
      </c>
      <c r="BP187" s="145">
        <f t="shared" si="584"/>
        <v>0</v>
      </c>
      <c r="BQ187" s="145">
        <f t="shared" si="584"/>
        <v>0</v>
      </c>
      <c r="BR187" s="146">
        <f t="shared" si="584"/>
        <v>0</v>
      </c>
      <c r="BS187" s="147">
        <f t="shared" si="460"/>
        <v>0</v>
      </c>
      <c r="BT187" s="148">
        <f t="shared" ref="BT187:CE187" si="585">+BT185-BT186</f>
        <v>0</v>
      </c>
      <c r="BU187" s="145">
        <f t="shared" si="585"/>
        <v>0</v>
      </c>
      <c r="BV187" s="145">
        <f t="shared" si="585"/>
        <v>0</v>
      </c>
      <c r="BW187" s="145">
        <f t="shared" si="585"/>
        <v>0</v>
      </c>
      <c r="BX187" s="145">
        <f t="shared" si="585"/>
        <v>0</v>
      </c>
      <c r="BY187" s="145">
        <f t="shared" si="585"/>
        <v>0</v>
      </c>
      <c r="BZ187" s="145">
        <f t="shared" si="585"/>
        <v>0</v>
      </c>
      <c r="CA187" s="145">
        <f t="shared" si="585"/>
        <v>0</v>
      </c>
      <c r="CB187" s="145">
        <f t="shared" si="585"/>
        <v>0</v>
      </c>
      <c r="CC187" s="145">
        <f t="shared" si="585"/>
        <v>0</v>
      </c>
      <c r="CD187" s="145">
        <f t="shared" si="585"/>
        <v>0</v>
      </c>
      <c r="CE187" s="146">
        <f t="shared" si="585"/>
        <v>0</v>
      </c>
      <c r="CF187" s="147">
        <f t="shared" si="502"/>
        <v>0</v>
      </c>
      <c r="CG187" s="148">
        <f t="shared" ref="CG187:CR187" si="586">+CG185-CG186</f>
        <v>0</v>
      </c>
      <c r="CH187" s="145">
        <f t="shared" si="586"/>
        <v>0</v>
      </c>
      <c r="CI187" s="145">
        <f t="shared" si="586"/>
        <v>0</v>
      </c>
      <c r="CJ187" s="145">
        <f t="shared" si="586"/>
        <v>0</v>
      </c>
      <c r="CK187" s="145">
        <f t="shared" si="586"/>
        <v>0</v>
      </c>
      <c r="CL187" s="145">
        <f t="shared" si="586"/>
        <v>0</v>
      </c>
      <c r="CM187" s="145">
        <f t="shared" si="586"/>
        <v>0</v>
      </c>
      <c r="CN187" s="145">
        <f t="shared" si="586"/>
        <v>0</v>
      </c>
      <c r="CO187" s="145">
        <f t="shared" si="586"/>
        <v>0</v>
      </c>
      <c r="CP187" s="145">
        <f t="shared" si="586"/>
        <v>0</v>
      </c>
      <c r="CQ187" s="145">
        <f t="shared" si="586"/>
        <v>0</v>
      </c>
      <c r="CR187" s="146">
        <f t="shared" si="586"/>
        <v>0</v>
      </c>
      <c r="CS187" s="147">
        <f t="shared" si="503"/>
        <v>0</v>
      </c>
      <c r="CT187" s="148">
        <f t="shared" ref="CT187:DE187" si="587">+CT185-CT186</f>
        <v>0</v>
      </c>
      <c r="CU187" s="145">
        <f t="shared" si="587"/>
        <v>0</v>
      </c>
      <c r="CV187" s="145">
        <f t="shared" si="587"/>
        <v>0</v>
      </c>
      <c r="CW187" s="145">
        <f t="shared" si="587"/>
        <v>0</v>
      </c>
      <c r="CX187" s="145">
        <f t="shared" si="587"/>
        <v>0</v>
      </c>
      <c r="CY187" s="145">
        <f t="shared" si="587"/>
        <v>0</v>
      </c>
      <c r="CZ187" s="145">
        <f t="shared" si="587"/>
        <v>0</v>
      </c>
      <c r="DA187" s="145">
        <f t="shared" si="587"/>
        <v>0</v>
      </c>
      <c r="DB187" s="145">
        <f t="shared" si="587"/>
        <v>0</v>
      </c>
      <c r="DC187" s="145">
        <f t="shared" si="587"/>
        <v>0</v>
      </c>
      <c r="DD187" s="145">
        <f t="shared" si="587"/>
        <v>0</v>
      </c>
      <c r="DE187" s="146">
        <f t="shared" si="587"/>
        <v>0</v>
      </c>
      <c r="DF187" s="147">
        <f t="shared" si="504"/>
        <v>0</v>
      </c>
      <c r="DG187" s="146">
        <f>+DG185-DG186</f>
        <v>0</v>
      </c>
      <c r="DH187" s="98">
        <f t="shared" si="373"/>
        <v>102.50233401153132</v>
      </c>
      <c r="DI187" s="99">
        <f t="shared" si="374"/>
        <v>102.50233401153127</v>
      </c>
      <c r="DJ187" s="100">
        <f t="shared" si="563"/>
        <v>0</v>
      </c>
    </row>
    <row r="188" spans="1:115" ht="15" customHeight="1" outlineLevel="1">
      <c r="A188" s="607"/>
      <c r="B188" s="584" t="s">
        <v>65</v>
      </c>
      <c r="C188" s="247" t="s">
        <v>62</v>
      </c>
      <c r="D188" s="270" t="s">
        <v>121</v>
      </c>
      <c r="E188" s="128">
        <f>+E116+E119+E122+E125+E128+E146+E149+E152+E155+E158+E161+E164+E176+E131+E134+E137+E140+E143+E179+E182+E185+E167+E170+E173</f>
        <v>72890.712107550033</v>
      </c>
      <c r="F188" s="128">
        <f t="shared" ref="F188:R189" si="588">+F116+F119+F122+F125+F128+F146+F149+F152+F155+F158+F161+F164+F176+F131+F134+F137+F140+F143+F179+F182+F185+F167</f>
        <v>4518.8</v>
      </c>
      <c r="G188" s="154">
        <f t="shared" si="588"/>
        <v>1446.9860853396385</v>
      </c>
      <c r="H188" s="133">
        <f t="shared" si="588"/>
        <v>1600.5721697625108</v>
      </c>
      <c r="I188" s="130">
        <f t="shared" si="588"/>
        <v>197.49988019759451</v>
      </c>
      <c r="J188" s="130">
        <f t="shared" si="588"/>
        <v>203.76240601633</v>
      </c>
      <c r="K188" s="130">
        <f t="shared" si="588"/>
        <v>203.52472583690988</v>
      </c>
      <c r="L188" s="130">
        <f t="shared" si="588"/>
        <v>1761.1070524043598</v>
      </c>
      <c r="M188" s="130">
        <f t="shared" si="588"/>
        <v>202.53425388380506</v>
      </c>
      <c r="N188" s="130">
        <f t="shared" si="588"/>
        <v>252.31313609715244</v>
      </c>
      <c r="O188" s="130">
        <f t="shared" si="588"/>
        <v>325.86367331950208</v>
      </c>
      <c r="P188" s="130">
        <f t="shared" si="588"/>
        <v>320.2341748461223</v>
      </c>
      <c r="Q188" s="130">
        <f t="shared" si="588"/>
        <v>174.9569280847528</v>
      </c>
      <c r="R188" s="130">
        <f t="shared" si="588"/>
        <v>1926.7326529313932</v>
      </c>
      <c r="S188" s="163">
        <f>SUM(G188:R188)</f>
        <v>8616.0871387200714</v>
      </c>
      <c r="T188" s="383">
        <f t="shared" ref="T188:AE189" si="589">+T116+T119+T122+T125+T128+T146+T149+T152+T155+T158+T161+T164+T176+T131+T134+T137+T140+T143+T179+T182+T185+T167</f>
        <v>293.58488553744587</v>
      </c>
      <c r="U188" s="385">
        <f t="shared" si="589"/>
        <v>292.12821459525804</v>
      </c>
      <c r="V188" s="379">
        <f t="shared" si="589"/>
        <v>316.20420848903331</v>
      </c>
      <c r="W188" s="379">
        <f t="shared" si="589"/>
        <v>165.98700604445858</v>
      </c>
      <c r="X188" s="379">
        <f t="shared" si="589"/>
        <v>257.02267432828722</v>
      </c>
      <c r="Y188" s="382">
        <f t="shared" si="589"/>
        <v>312.62496350017835</v>
      </c>
      <c r="Z188" s="378">
        <f t="shared" si="589"/>
        <v>381.25734166168559</v>
      </c>
      <c r="AA188" s="385">
        <f t="shared" si="589"/>
        <v>397.61622295503901</v>
      </c>
      <c r="AB188" s="379">
        <f t="shared" si="589"/>
        <v>297.7605984808481</v>
      </c>
      <c r="AC188" s="379">
        <f t="shared" si="589"/>
        <v>201.58822136106608</v>
      </c>
      <c r="AD188" s="379">
        <f t="shared" si="589"/>
        <v>1123.6811590030761</v>
      </c>
      <c r="AE188" s="379">
        <f t="shared" si="589"/>
        <v>803.87516163598548</v>
      </c>
      <c r="AF188" s="163">
        <f>SUM(T188:AE188)</f>
        <v>4843.3306575923616</v>
      </c>
      <c r="AG188" s="510">
        <f t="shared" ref="AG188:AR189" si="590">+AG116+AG119+AG122+AG125+AG128+AG146+AG149+AG152+AG155+AG158+AG161+AG164+AG176+AG131+AG134+AG137+AG140+AG143+AG179+AG182+AG185+AG167+AG170+AG173</f>
        <v>225.45159628714794</v>
      </c>
      <c r="AH188" s="510">
        <f t="shared" si="590"/>
        <v>170.53877422135162</v>
      </c>
      <c r="AI188" s="510">
        <f t="shared" si="590"/>
        <v>277.89255542531157</v>
      </c>
      <c r="AJ188" s="510">
        <f t="shared" si="590"/>
        <v>292.29663775804403</v>
      </c>
      <c r="AK188" s="510">
        <f t="shared" si="590"/>
        <v>192.99309102440901</v>
      </c>
      <c r="AL188" s="510">
        <f t="shared" si="590"/>
        <v>652.88475840521301</v>
      </c>
      <c r="AM188" s="510">
        <f t="shared" si="590"/>
        <v>101.19415871864381</v>
      </c>
      <c r="AN188" s="510">
        <f t="shared" si="590"/>
        <v>233.27865199439373</v>
      </c>
      <c r="AO188" s="510">
        <f t="shared" si="590"/>
        <v>780.35716128299316</v>
      </c>
      <c r="AP188" s="510">
        <f t="shared" si="590"/>
        <v>249.2924158588973</v>
      </c>
      <c r="AQ188" s="510">
        <f t="shared" si="590"/>
        <v>319.28322430189826</v>
      </c>
      <c r="AR188" s="510">
        <f t="shared" si="590"/>
        <v>4666.111637899543</v>
      </c>
      <c r="AS188" s="414">
        <f>SUM(AG188:AR188)</f>
        <v>8161.5746631778466</v>
      </c>
      <c r="AT188" s="500">
        <f t="shared" ref="AT188:BE189" si="591">+AT116+AT119+AT122+AT125+AT128+AT146+AT149+AT152+AT155+AT158+AT161+AT164+AT176+AT131+AT134+AT137+AT140+AT143+AT179+AT182+AT185+AT167+AT170+AT173</f>
        <v>5258.0498534990184</v>
      </c>
      <c r="AU188" s="516">
        <f t="shared" si="591"/>
        <v>1271.7899111153699</v>
      </c>
      <c r="AV188" s="510">
        <f t="shared" si="591"/>
        <v>1078.2924728058865</v>
      </c>
      <c r="AW188" s="130">
        <f t="shared" si="591"/>
        <v>718.41664261531946</v>
      </c>
      <c r="AX188" s="130">
        <f t="shared" si="591"/>
        <v>99.000000000000014</v>
      </c>
      <c r="AY188" s="130">
        <f t="shared" si="591"/>
        <v>836.94117647058829</v>
      </c>
      <c r="AZ188" s="130">
        <f t="shared" si="591"/>
        <v>0</v>
      </c>
      <c r="BA188" s="130">
        <f t="shared" si="591"/>
        <v>0</v>
      </c>
      <c r="BB188" s="130">
        <f t="shared" si="591"/>
        <v>0</v>
      </c>
      <c r="BC188" s="130">
        <f t="shared" si="591"/>
        <v>1373.2520274000001</v>
      </c>
      <c r="BD188" s="130">
        <f t="shared" si="591"/>
        <v>1823.2520274000001</v>
      </c>
      <c r="BE188" s="131">
        <f t="shared" si="591"/>
        <v>1629.1693618650002</v>
      </c>
      <c r="BF188" s="163">
        <f>SUM(AT188:BE188)</f>
        <v>14088.163473171184</v>
      </c>
      <c r="BG188" s="154">
        <f t="shared" ref="BG188:BR189" si="592">+BG116+BG119+BG122+BG125+BG128+BG146+BG149+BG152+BG155+BG158+BG161+BG164+BG176+BG131+BG134+BG137+BG140+BG143+BG179+BG182+BG185+BG167+BG170+BG173</f>
        <v>2264.1693618650002</v>
      </c>
      <c r="BH188" s="133">
        <f t="shared" si="592"/>
        <v>1996.3693618650002</v>
      </c>
      <c r="BI188" s="130">
        <f t="shared" si="592"/>
        <v>2238.9693618649999</v>
      </c>
      <c r="BJ188" s="130">
        <f t="shared" si="592"/>
        <v>1629.1693618650002</v>
      </c>
      <c r="BK188" s="130">
        <f t="shared" si="592"/>
        <v>2614.1693618650002</v>
      </c>
      <c r="BL188" s="130">
        <f t="shared" si="592"/>
        <v>1629.1693618650002</v>
      </c>
      <c r="BM188" s="130">
        <f t="shared" si="592"/>
        <v>1249.6441495230001</v>
      </c>
      <c r="BN188" s="130">
        <f t="shared" si="592"/>
        <v>1249.6441495230001</v>
      </c>
      <c r="BO188" s="130">
        <f t="shared" si="592"/>
        <v>1352.011083309</v>
      </c>
      <c r="BP188" s="130">
        <f t="shared" si="592"/>
        <v>1623.4606826300001</v>
      </c>
      <c r="BQ188" s="130">
        <f t="shared" si="592"/>
        <v>1198.4606826300001</v>
      </c>
      <c r="BR188" s="131">
        <f t="shared" si="592"/>
        <v>1198.4606826300001</v>
      </c>
      <c r="BS188" s="163">
        <f>SUM(BG188:BR188)</f>
        <v>20243.697601435004</v>
      </c>
      <c r="BT188" s="154">
        <f t="shared" ref="BT188:CE189" si="593">+BT116+BT119+BT122+BT125+BT128+BT146+BT149+BT152+BT155+BT158+BT161+BT164+BT176+BT131+BT134+BT137+BT140+BT143+BT179+BT182+BT185+BT167+BT170+BT173</f>
        <v>1939.16933786</v>
      </c>
      <c r="BU188" s="133">
        <f t="shared" si="593"/>
        <v>1939.16933786</v>
      </c>
      <c r="BV188" s="130">
        <f t="shared" si="593"/>
        <v>1939.16933786</v>
      </c>
      <c r="BW188" s="130">
        <f t="shared" si="593"/>
        <v>1427.3346689300001</v>
      </c>
      <c r="BX188" s="130">
        <f t="shared" si="593"/>
        <v>1427.3346689300001</v>
      </c>
      <c r="BY188" s="130">
        <f t="shared" si="593"/>
        <v>1427.3346689300001</v>
      </c>
      <c r="BZ188" s="130">
        <f t="shared" si="593"/>
        <v>1427.3346689300001</v>
      </c>
      <c r="CA188" s="130">
        <f t="shared" si="593"/>
        <v>915.5</v>
      </c>
      <c r="CB188" s="130">
        <f t="shared" si="593"/>
        <v>915.5</v>
      </c>
      <c r="CC188" s="130">
        <f t="shared" si="593"/>
        <v>915.5</v>
      </c>
      <c r="CD188" s="130">
        <f t="shared" si="593"/>
        <v>915.5</v>
      </c>
      <c r="CE188" s="131">
        <f t="shared" si="593"/>
        <v>915.5</v>
      </c>
      <c r="CF188" s="163">
        <f t="shared" si="502"/>
        <v>16104.346689299999</v>
      </c>
      <c r="CG188" s="154">
        <f t="shared" ref="CG188:CR189" si="594">+CG116+CG119+CG122+CG125+CG128+CG146+CG149+CG152+CG155+CG158+CG161+CG164+CG176+CG131+CG134+CG137+CG140+CG143+CG179+CG182+CG185+CG167+CG170+CG173</f>
        <v>0</v>
      </c>
      <c r="CH188" s="133">
        <f t="shared" si="594"/>
        <v>0</v>
      </c>
      <c r="CI188" s="130">
        <f t="shared" si="594"/>
        <v>0</v>
      </c>
      <c r="CJ188" s="130">
        <f t="shared" si="594"/>
        <v>0</v>
      </c>
      <c r="CK188" s="130">
        <f t="shared" si="594"/>
        <v>0</v>
      </c>
      <c r="CL188" s="130">
        <f t="shared" si="594"/>
        <v>0</v>
      </c>
      <c r="CM188" s="130">
        <f t="shared" si="594"/>
        <v>216</v>
      </c>
      <c r="CN188" s="130">
        <f t="shared" si="594"/>
        <v>0</v>
      </c>
      <c r="CO188" s="130">
        <f t="shared" si="594"/>
        <v>0</v>
      </c>
      <c r="CP188" s="130">
        <f t="shared" si="594"/>
        <v>0</v>
      </c>
      <c r="CQ188" s="130">
        <f t="shared" si="594"/>
        <v>0</v>
      </c>
      <c r="CR188" s="131">
        <f t="shared" si="594"/>
        <v>432</v>
      </c>
      <c r="CS188" s="163">
        <f t="shared" si="503"/>
        <v>648</v>
      </c>
      <c r="CT188" s="154">
        <f t="shared" ref="CT188:DE189" si="595">+CT116+CT119+CT122+CT125+CT128+CT146+CT149+CT152+CT155+CT158+CT161+CT164+CT176+CT131+CT134+CT137+CT140+CT143+CT179+CT182+CT185+CT167+CT170+CT173</f>
        <v>0</v>
      </c>
      <c r="CU188" s="133">
        <f t="shared" si="595"/>
        <v>0</v>
      </c>
      <c r="CV188" s="130">
        <f t="shared" si="595"/>
        <v>0</v>
      </c>
      <c r="CW188" s="130">
        <f t="shared" si="595"/>
        <v>0</v>
      </c>
      <c r="CX188" s="130">
        <f t="shared" si="595"/>
        <v>0</v>
      </c>
      <c r="CY188" s="130">
        <f t="shared" si="595"/>
        <v>0</v>
      </c>
      <c r="CZ188" s="130">
        <f t="shared" si="595"/>
        <v>0</v>
      </c>
      <c r="DA188" s="130">
        <f t="shared" si="595"/>
        <v>0</v>
      </c>
      <c r="DB188" s="130">
        <f t="shared" si="595"/>
        <v>0</v>
      </c>
      <c r="DC188" s="130">
        <f t="shared" si="595"/>
        <v>0</v>
      </c>
      <c r="DD188" s="130">
        <f t="shared" si="595"/>
        <v>0</v>
      </c>
      <c r="DE188" s="131">
        <f t="shared" si="595"/>
        <v>0</v>
      </c>
      <c r="DF188" s="163">
        <f t="shared" si="504"/>
        <v>0</v>
      </c>
      <c r="DG188" s="278">
        <f>+DG116+DG119+DG122+DG125+DG128+DG146+DG149+DG152+DG155+DG158+DG161+DG164+DG176+DG131+DG134+DG137+DG140+DG143+DG179+DG182+DG185+DG167</f>
        <v>0</v>
      </c>
      <c r="DH188" s="159">
        <f t="shared" si="373"/>
        <v>60471.653534096462</v>
      </c>
      <c r="DI188" s="165">
        <f t="shared" si="374"/>
        <v>72890.712107550033</v>
      </c>
      <c r="DJ188" s="166">
        <f>+DI188-DH188</f>
        <v>12419.058573453571</v>
      </c>
    </row>
    <row r="189" spans="1:115" ht="15" customHeight="1" outlineLevel="1">
      <c r="A189" s="607"/>
      <c r="B189" s="585"/>
      <c r="C189" s="248" t="s">
        <v>63</v>
      </c>
      <c r="D189" s="268" t="s">
        <v>123</v>
      </c>
      <c r="E189" s="136">
        <f>+E117+E120+E123+E126+E129+E147+E150+E153+E156+E159+E162+E165+E177+E132+E135+E138+E141+E144+E180+E183+E186+E168+E171+E174</f>
        <v>52750.72997573411</v>
      </c>
      <c r="F189" s="136">
        <f t="shared" si="588"/>
        <v>764.56299999999999</v>
      </c>
      <c r="G189" s="137">
        <f t="shared" si="588"/>
        <v>344.84293361994833</v>
      </c>
      <c r="H189" s="141">
        <f t="shared" si="588"/>
        <v>572.91472136038317</v>
      </c>
      <c r="I189" s="138">
        <f t="shared" si="588"/>
        <v>342.86583402061854</v>
      </c>
      <c r="J189" s="138">
        <f t="shared" si="588"/>
        <v>307.70382587021913</v>
      </c>
      <c r="K189" s="138">
        <f t="shared" si="588"/>
        <v>378.06021459227463</v>
      </c>
      <c r="L189" s="138">
        <f t="shared" si="588"/>
        <v>331.52618512502676</v>
      </c>
      <c r="M189" s="138">
        <f t="shared" si="588"/>
        <v>547.588254054054</v>
      </c>
      <c r="N189" s="138">
        <f t="shared" si="588"/>
        <v>446.69652198492463</v>
      </c>
      <c r="O189" s="138">
        <f t="shared" si="588"/>
        <v>389.7156837759336</v>
      </c>
      <c r="P189" s="138">
        <f t="shared" si="588"/>
        <v>445.62703315551903</v>
      </c>
      <c r="Q189" s="138">
        <f t="shared" si="588"/>
        <v>336.55121661819692</v>
      </c>
      <c r="R189" s="138">
        <f t="shared" si="588"/>
        <v>330.0292080665281</v>
      </c>
      <c r="S189" s="162">
        <f>SUM(G189:R189)</f>
        <v>4774.1216322436267</v>
      </c>
      <c r="T189" s="384">
        <f t="shared" si="589"/>
        <v>578.56152106457591</v>
      </c>
      <c r="U189" s="380">
        <f t="shared" si="589"/>
        <v>308.07637612428454</v>
      </c>
      <c r="V189" s="381">
        <f t="shared" si="589"/>
        <v>342.53473785540211</v>
      </c>
      <c r="W189" s="381">
        <f t="shared" si="589"/>
        <v>254.23005766095361</v>
      </c>
      <c r="X189" s="381">
        <f t="shared" si="589"/>
        <v>364.16260973290008</v>
      </c>
      <c r="Y189" s="381">
        <f t="shared" si="589"/>
        <v>323.99966424919751</v>
      </c>
      <c r="Z189" s="380">
        <f t="shared" si="589"/>
        <v>340.2244832835226</v>
      </c>
      <c r="AA189" s="380">
        <f t="shared" si="589"/>
        <v>289.4499950534867</v>
      </c>
      <c r="AB189" s="381">
        <f t="shared" si="589"/>
        <v>420.36241918843166</v>
      </c>
      <c r="AC189" s="381">
        <f t="shared" si="589"/>
        <v>339.00504329945829</v>
      </c>
      <c r="AD189" s="381">
        <f t="shared" si="589"/>
        <v>274.49949901411782</v>
      </c>
      <c r="AE189" s="381">
        <f t="shared" si="589"/>
        <v>211.97657137810572</v>
      </c>
      <c r="AF189" s="162">
        <f>SUM(T189:AE189)</f>
        <v>4047.0829779044375</v>
      </c>
      <c r="AG189" s="499">
        <f t="shared" si="590"/>
        <v>302.7955640188037</v>
      </c>
      <c r="AH189" s="499">
        <f t="shared" si="590"/>
        <v>205.55864301665034</v>
      </c>
      <c r="AI189" s="499">
        <f t="shared" si="590"/>
        <v>246.13406200914315</v>
      </c>
      <c r="AJ189" s="499">
        <f t="shared" si="590"/>
        <v>263.73287083381388</v>
      </c>
      <c r="AK189" s="499">
        <f t="shared" si="590"/>
        <v>185.67154883720929</v>
      </c>
      <c r="AL189" s="499">
        <f t="shared" si="590"/>
        <v>370.64357320299024</v>
      </c>
      <c r="AM189" s="499">
        <f t="shared" si="590"/>
        <v>190.16632293535952</v>
      </c>
      <c r="AN189" s="499">
        <f t="shared" si="590"/>
        <v>244.01203246335089</v>
      </c>
      <c r="AO189" s="499">
        <f t="shared" si="590"/>
        <v>228.41093244215551</v>
      </c>
      <c r="AP189" s="499">
        <f t="shared" si="590"/>
        <v>277.03597464553167</v>
      </c>
      <c r="AQ189" s="499">
        <f t="shared" si="590"/>
        <v>398.38691728867497</v>
      </c>
      <c r="AR189" s="499">
        <f t="shared" si="590"/>
        <v>2885.2588395357684</v>
      </c>
      <c r="AS189" s="410">
        <f>SUM(AG189:AR189)</f>
        <v>5797.8072812294513</v>
      </c>
      <c r="AT189" s="501">
        <f t="shared" si="591"/>
        <v>2509.9388374177661</v>
      </c>
      <c r="AU189" s="501">
        <f t="shared" si="591"/>
        <v>550.08497474128001</v>
      </c>
      <c r="AV189" s="499">
        <f t="shared" si="591"/>
        <v>522.1515235909884</v>
      </c>
      <c r="AW189" s="138">
        <f t="shared" si="591"/>
        <v>250.05996040441318</v>
      </c>
      <c r="AX189" s="138">
        <f t="shared" si="591"/>
        <v>172.7</v>
      </c>
      <c r="AY189" s="138">
        <f t="shared" si="591"/>
        <v>398.64</v>
      </c>
      <c r="AZ189" s="138">
        <f t="shared" si="591"/>
        <v>72</v>
      </c>
      <c r="BA189" s="138">
        <f t="shared" si="591"/>
        <v>72</v>
      </c>
      <c r="BB189" s="138">
        <f t="shared" si="591"/>
        <v>72</v>
      </c>
      <c r="BC189" s="138">
        <f>+BC117+BC120+BC123+BC126+BC129+BC147+BC150+BC153+BC156+BC159+BC162+BC165+BC177+BC132+BC135+BC138+BC141+BC144+BC180+BC183+BC186+BC168+BC171+BC174</f>
        <v>1239.26422329</v>
      </c>
      <c r="BD189" s="138">
        <f t="shared" si="591"/>
        <v>1239.26422329</v>
      </c>
      <c r="BE189" s="139">
        <f t="shared" si="591"/>
        <v>1456.7939575852502</v>
      </c>
      <c r="BF189" s="162">
        <f>SUM(AT189:BE189)</f>
        <v>8554.8977003196978</v>
      </c>
      <c r="BG189" s="137">
        <f t="shared" si="592"/>
        <v>1464.9419575852501</v>
      </c>
      <c r="BH189" s="141">
        <f t="shared" si="592"/>
        <v>1777.0619575852502</v>
      </c>
      <c r="BI189" s="138">
        <f t="shared" si="592"/>
        <v>1464.9419575852501</v>
      </c>
      <c r="BJ189" s="138">
        <f t="shared" si="592"/>
        <v>1464.9419575852501</v>
      </c>
      <c r="BK189" s="138">
        <f t="shared" si="592"/>
        <v>1464.9419575852501</v>
      </c>
      <c r="BL189" s="138">
        <f t="shared" si="592"/>
        <v>1434.9419575852501</v>
      </c>
      <c r="BM189" s="138">
        <f t="shared" si="592"/>
        <v>1112.3455270945501</v>
      </c>
      <c r="BN189" s="138">
        <f t="shared" si="592"/>
        <v>1112.3455270945501</v>
      </c>
      <c r="BO189" s="138">
        <f t="shared" si="592"/>
        <v>1199.3574208126502</v>
      </c>
      <c r="BP189" s="138">
        <f t="shared" si="592"/>
        <v>1068.8395802354999</v>
      </c>
      <c r="BQ189" s="138">
        <f t="shared" si="592"/>
        <v>1038.8395802354999</v>
      </c>
      <c r="BR189" s="139">
        <f t="shared" si="592"/>
        <v>1038.8395802354999</v>
      </c>
      <c r="BS189" s="162">
        <f>SUM(BG189:BR189)</f>
        <v>15642.338961219753</v>
      </c>
      <c r="BT189" s="137">
        <f t="shared" si="593"/>
        <v>1654.2939371809998</v>
      </c>
      <c r="BU189" s="141">
        <f t="shared" si="593"/>
        <v>1654.2939371809998</v>
      </c>
      <c r="BV189" s="138">
        <f t="shared" si="593"/>
        <v>1654.2939371809998</v>
      </c>
      <c r="BW189" s="138">
        <f t="shared" si="593"/>
        <v>1219.2344685905</v>
      </c>
      <c r="BX189" s="138">
        <f t="shared" si="593"/>
        <v>1219.2344685905</v>
      </c>
      <c r="BY189" s="138">
        <f t="shared" si="593"/>
        <v>1219.2344685905</v>
      </c>
      <c r="BZ189" s="138">
        <f t="shared" si="593"/>
        <v>1219.2344685905</v>
      </c>
      <c r="CA189" s="138">
        <f t="shared" si="593"/>
        <v>784.17499999999995</v>
      </c>
      <c r="CB189" s="138">
        <f t="shared" si="593"/>
        <v>784.17499999999995</v>
      </c>
      <c r="CC189" s="138">
        <f t="shared" si="593"/>
        <v>784.17499999999995</v>
      </c>
      <c r="CD189" s="138">
        <f t="shared" si="593"/>
        <v>784.17499999999995</v>
      </c>
      <c r="CE189" s="139">
        <f t="shared" si="593"/>
        <v>784.17499999999995</v>
      </c>
      <c r="CF189" s="162">
        <f t="shared" si="502"/>
        <v>13760.694685904997</v>
      </c>
      <c r="CG189" s="137">
        <f t="shared" si="594"/>
        <v>6</v>
      </c>
      <c r="CH189" s="141">
        <f t="shared" si="594"/>
        <v>6</v>
      </c>
      <c r="CI189" s="138">
        <f t="shared" si="594"/>
        <v>6</v>
      </c>
      <c r="CJ189" s="138">
        <f t="shared" si="594"/>
        <v>6</v>
      </c>
      <c r="CK189" s="138">
        <f t="shared" si="594"/>
        <v>6</v>
      </c>
      <c r="CL189" s="138">
        <f t="shared" si="594"/>
        <v>6</v>
      </c>
      <c r="CM189" s="138">
        <f t="shared" si="594"/>
        <v>6</v>
      </c>
      <c r="CN189" s="138">
        <f t="shared" si="594"/>
        <v>0</v>
      </c>
      <c r="CO189" s="138">
        <f t="shared" si="594"/>
        <v>0</v>
      </c>
      <c r="CP189" s="138">
        <f t="shared" si="594"/>
        <v>0</v>
      </c>
      <c r="CQ189" s="138">
        <f t="shared" si="594"/>
        <v>0</v>
      </c>
      <c r="CR189" s="139">
        <f t="shared" si="594"/>
        <v>0</v>
      </c>
      <c r="CS189" s="162">
        <f t="shared" si="503"/>
        <v>42</v>
      </c>
      <c r="CT189" s="137">
        <f t="shared" si="595"/>
        <v>0</v>
      </c>
      <c r="CU189" s="141">
        <f t="shared" si="595"/>
        <v>0</v>
      </c>
      <c r="CV189" s="138">
        <f t="shared" si="595"/>
        <v>0</v>
      </c>
      <c r="CW189" s="138">
        <f t="shared" si="595"/>
        <v>0</v>
      </c>
      <c r="CX189" s="138">
        <f t="shared" si="595"/>
        <v>0</v>
      </c>
      <c r="CY189" s="138">
        <f t="shared" si="595"/>
        <v>0</v>
      </c>
      <c r="CZ189" s="138">
        <f t="shared" si="595"/>
        <v>0</v>
      </c>
      <c r="DA189" s="138">
        <f t="shared" si="595"/>
        <v>0</v>
      </c>
      <c r="DB189" s="138">
        <f t="shared" si="595"/>
        <v>0</v>
      </c>
      <c r="DC189" s="138">
        <f t="shared" si="595"/>
        <v>0</v>
      </c>
      <c r="DD189" s="138">
        <f t="shared" si="595"/>
        <v>0</v>
      </c>
      <c r="DE189" s="139">
        <f t="shared" si="595"/>
        <v>0</v>
      </c>
      <c r="DF189" s="162">
        <f t="shared" si="504"/>
        <v>0</v>
      </c>
      <c r="DG189" s="279">
        <f>+DG117+DG120+DG123+DG126+DG129+DG147+DG150+DG153+DG156+DG159+DG162+DG165+DG177+DG132+DG135+DG138+DG141+DG144+DG180+DG183+DG186+DG168</f>
        <v>0</v>
      </c>
      <c r="DH189" s="90">
        <f t="shared" si="373"/>
        <v>39580.811552916974</v>
      </c>
      <c r="DI189" s="91">
        <f t="shared" si="374"/>
        <v>52750.72997573411</v>
      </c>
      <c r="DJ189" s="92">
        <f>+DI189-DH189</f>
        <v>13169.918422817136</v>
      </c>
      <c r="DK189" s="64">
        <f>+DH189/DH188</f>
        <v>0.65453496373469677</v>
      </c>
    </row>
    <row r="190" spans="1:115" ht="15" customHeight="1" outlineLevel="1">
      <c r="A190" s="608"/>
      <c r="B190" s="610"/>
      <c r="C190" s="617" t="s">
        <v>11</v>
      </c>
      <c r="D190" s="618"/>
      <c r="E190" s="169">
        <f t="shared" ref="E190:R190" si="596">+E188-E189</f>
        <v>20139.982131815923</v>
      </c>
      <c r="F190" s="170">
        <f t="shared" si="596"/>
        <v>3754.2370000000001</v>
      </c>
      <c r="G190" s="171">
        <f t="shared" si="596"/>
        <v>1102.1431517196902</v>
      </c>
      <c r="H190" s="171">
        <f t="shared" si="596"/>
        <v>1027.6574484021276</v>
      </c>
      <c r="I190" s="171">
        <f t="shared" si="596"/>
        <v>-145.36595382302403</v>
      </c>
      <c r="J190" s="171">
        <f t="shared" si="596"/>
        <v>-103.94141985388913</v>
      </c>
      <c r="K190" s="171">
        <f t="shared" si="596"/>
        <v>-174.53548875536475</v>
      </c>
      <c r="L190" s="171">
        <f t="shared" si="596"/>
        <v>1429.580867279333</v>
      </c>
      <c r="M190" s="171">
        <f t="shared" si="596"/>
        <v>-345.05400017024897</v>
      </c>
      <c r="N190" s="171">
        <f t="shared" si="596"/>
        <v>-194.38338588777219</v>
      </c>
      <c r="O190" s="171">
        <f t="shared" si="596"/>
        <v>-63.852010456431515</v>
      </c>
      <c r="P190" s="171">
        <f t="shared" si="596"/>
        <v>-125.39285830939673</v>
      </c>
      <c r="Q190" s="171">
        <f t="shared" si="596"/>
        <v>-161.59428853344411</v>
      </c>
      <c r="R190" s="172">
        <f t="shared" si="596"/>
        <v>1596.7034448648651</v>
      </c>
      <c r="S190" s="173">
        <f>SUM(G190:R190)</f>
        <v>3841.9655064764452</v>
      </c>
      <c r="T190" s="174">
        <f t="shared" ref="T190:AE190" si="597">+T188-T189</f>
        <v>-284.97663552713004</v>
      </c>
      <c r="U190" s="171">
        <f t="shared" si="597"/>
        <v>-15.948161529026493</v>
      </c>
      <c r="V190" s="171">
        <f t="shared" si="597"/>
        <v>-26.330529366368808</v>
      </c>
      <c r="W190" s="171">
        <f t="shared" si="597"/>
        <v>-88.243051616495023</v>
      </c>
      <c r="X190" s="171">
        <f t="shared" si="597"/>
        <v>-107.13993540461286</v>
      </c>
      <c r="Y190" s="171">
        <f t="shared" si="597"/>
        <v>-11.374700749019155</v>
      </c>
      <c r="Z190" s="171">
        <f t="shared" si="597"/>
        <v>41.032858378162985</v>
      </c>
      <c r="AA190" s="171">
        <f t="shared" si="597"/>
        <v>108.1662279015523</v>
      </c>
      <c r="AB190" s="171">
        <f t="shared" si="597"/>
        <v>-122.60182070758356</v>
      </c>
      <c r="AC190" s="171">
        <f t="shared" si="597"/>
        <v>-137.41682193839222</v>
      </c>
      <c r="AD190" s="171">
        <f t="shared" si="597"/>
        <v>849.18165998895824</v>
      </c>
      <c r="AE190" s="172">
        <f t="shared" si="597"/>
        <v>591.89859025787973</v>
      </c>
      <c r="AF190" s="173">
        <f>SUM(T190:AE190)</f>
        <v>796.24767968792503</v>
      </c>
      <c r="AG190" s="174">
        <f t="shared" ref="AG190:AR190" si="598">+AG188-AG189</f>
        <v>-77.343967731655766</v>
      </c>
      <c r="AH190" s="171">
        <f t="shared" si="598"/>
        <v>-35.01986879529872</v>
      </c>
      <c r="AI190" s="171">
        <f t="shared" si="598"/>
        <v>31.75849341616842</v>
      </c>
      <c r="AJ190" s="171">
        <f t="shared" si="598"/>
        <v>28.563766924230151</v>
      </c>
      <c r="AK190" s="171">
        <f t="shared" si="598"/>
        <v>7.321542187199725</v>
      </c>
      <c r="AL190" s="171">
        <f t="shared" si="598"/>
        <v>282.24118520222277</v>
      </c>
      <c r="AM190" s="171">
        <f t="shared" si="598"/>
        <v>-88.972164216715711</v>
      </c>
      <c r="AN190" s="171">
        <f t="shared" si="598"/>
        <v>-10.733380468957165</v>
      </c>
      <c r="AO190" s="171">
        <f t="shared" si="598"/>
        <v>551.94622884083765</v>
      </c>
      <c r="AP190" s="171">
        <f t="shared" si="598"/>
        <v>-27.743558786634367</v>
      </c>
      <c r="AQ190" s="171">
        <f t="shared" si="598"/>
        <v>-79.103692986776707</v>
      </c>
      <c r="AR190" s="172">
        <f t="shared" si="598"/>
        <v>1780.8527983637746</v>
      </c>
      <c r="AS190" s="411">
        <f>SUM(AG190:AR190)</f>
        <v>2363.7673819483948</v>
      </c>
      <c r="AT190" s="174">
        <f t="shared" ref="AT190:BE190" si="599">+AT188-AT189</f>
        <v>2748.1110160812523</v>
      </c>
      <c r="AU190" s="171">
        <f t="shared" si="599"/>
        <v>721.70493637408993</v>
      </c>
      <c r="AV190" s="171">
        <f t="shared" si="599"/>
        <v>556.14094921489811</v>
      </c>
      <c r="AW190" s="171">
        <f t="shared" si="599"/>
        <v>468.35668221090629</v>
      </c>
      <c r="AX190" s="171">
        <f t="shared" si="599"/>
        <v>-73.699999999999974</v>
      </c>
      <c r="AY190" s="171">
        <f t="shared" si="599"/>
        <v>438.3011764705883</v>
      </c>
      <c r="AZ190" s="171">
        <f t="shared" si="599"/>
        <v>-72</v>
      </c>
      <c r="BA190" s="171">
        <f t="shared" si="599"/>
        <v>-72</v>
      </c>
      <c r="BB190" s="171">
        <f t="shared" si="599"/>
        <v>-72</v>
      </c>
      <c r="BC190" s="171">
        <f t="shared" si="599"/>
        <v>133.98780411000007</v>
      </c>
      <c r="BD190" s="171">
        <f t="shared" si="599"/>
        <v>583.98780411000007</v>
      </c>
      <c r="BE190" s="172">
        <f t="shared" si="599"/>
        <v>172.37540427975</v>
      </c>
      <c r="BF190" s="173">
        <f>SUM(AT190:BE190)</f>
        <v>5533.2657728514851</v>
      </c>
      <c r="BG190" s="174">
        <f t="shared" ref="BG190:BR190" si="600">+BG188-BG189</f>
        <v>799.22740427975009</v>
      </c>
      <c r="BH190" s="171">
        <f t="shared" si="600"/>
        <v>219.30740427975002</v>
      </c>
      <c r="BI190" s="171">
        <f t="shared" si="600"/>
        <v>774.02740427974982</v>
      </c>
      <c r="BJ190" s="171">
        <f t="shared" si="600"/>
        <v>164.22740427975009</v>
      </c>
      <c r="BK190" s="171">
        <f t="shared" si="600"/>
        <v>1149.2274042797501</v>
      </c>
      <c r="BL190" s="171">
        <f t="shared" si="600"/>
        <v>194.22740427975009</v>
      </c>
      <c r="BM190" s="171">
        <f t="shared" si="600"/>
        <v>137.29862242845002</v>
      </c>
      <c r="BN190" s="171">
        <f t="shared" si="600"/>
        <v>137.29862242845002</v>
      </c>
      <c r="BO190" s="171">
        <f t="shared" si="600"/>
        <v>152.65366249634985</v>
      </c>
      <c r="BP190" s="171">
        <f t="shared" si="600"/>
        <v>554.62110239450021</v>
      </c>
      <c r="BQ190" s="171">
        <f t="shared" si="600"/>
        <v>159.62110239450021</v>
      </c>
      <c r="BR190" s="172">
        <f t="shared" si="600"/>
        <v>159.62110239450021</v>
      </c>
      <c r="BS190" s="173">
        <f>SUM(BG190:BR190)</f>
        <v>4601.3586402152505</v>
      </c>
      <c r="BT190" s="174">
        <f t="shared" ref="BT190:CE190" si="601">+BT188-BT189</f>
        <v>284.87540067900022</v>
      </c>
      <c r="BU190" s="171">
        <f t="shared" si="601"/>
        <v>284.87540067900022</v>
      </c>
      <c r="BV190" s="171">
        <f t="shared" si="601"/>
        <v>284.87540067900022</v>
      </c>
      <c r="BW190" s="171">
        <f t="shared" si="601"/>
        <v>208.10020033950013</v>
      </c>
      <c r="BX190" s="171">
        <f t="shared" si="601"/>
        <v>208.10020033950013</v>
      </c>
      <c r="BY190" s="171">
        <f t="shared" si="601"/>
        <v>208.10020033950013</v>
      </c>
      <c r="BZ190" s="171">
        <f t="shared" si="601"/>
        <v>208.10020033950013</v>
      </c>
      <c r="CA190" s="171">
        <f t="shared" si="601"/>
        <v>131.32500000000005</v>
      </c>
      <c r="CB190" s="171">
        <f t="shared" si="601"/>
        <v>131.32500000000005</v>
      </c>
      <c r="CC190" s="171">
        <f t="shared" si="601"/>
        <v>131.32500000000005</v>
      </c>
      <c r="CD190" s="171">
        <f t="shared" si="601"/>
        <v>131.32500000000005</v>
      </c>
      <c r="CE190" s="172">
        <f t="shared" si="601"/>
        <v>131.32500000000005</v>
      </c>
      <c r="CF190" s="173">
        <f>SUM(BT190:CE190)</f>
        <v>2343.652003395001</v>
      </c>
      <c r="CG190" s="174">
        <f t="shared" ref="CG190:CR190" si="602">+CG188-CG189</f>
        <v>-6</v>
      </c>
      <c r="CH190" s="171">
        <f t="shared" si="602"/>
        <v>-6</v>
      </c>
      <c r="CI190" s="171">
        <f t="shared" si="602"/>
        <v>-6</v>
      </c>
      <c r="CJ190" s="171">
        <f t="shared" si="602"/>
        <v>-6</v>
      </c>
      <c r="CK190" s="171">
        <f t="shared" si="602"/>
        <v>-6</v>
      </c>
      <c r="CL190" s="171">
        <f t="shared" si="602"/>
        <v>-6</v>
      </c>
      <c r="CM190" s="171">
        <f t="shared" si="602"/>
        <v>210</v>
      </c>
      <c r="CN190" s="171">
        <f t="shared" si="602"/>
        <v>0</v>
      </c>
      <c r="CO190" s="171">
        <f t="shared" si="602"/>
        <v>0</v>
      </c>
      <c r="CP190" s="171">
        <f t="shared" si="602"/>
        <v>0</v>
      </c>
      <c r="CQ190" s="171">
        <f t="shared" si="602"/>
        <v>0</v>
      </c>
      <c r="CR190" s="172">
        <f t="shared" si="602"/>
        <v>432</v>
      </c>
      <c r="CS190" s="173">
        <f>SUM(CG190:CR190)</f>
        <v>606</v>
      </c>
      <c r="CT190" s="174">
        <f t="shared" ref="CT190:DE190" si="603">+CT188-CT189</f>
        <v>0</v>
      </c>
      <c r="CU190" s="171">
        <f t="shared" si="603"/>
        <v>0</v>
      </c>
      <c r="CV190" s="171">
        <f t="shared" si="603"/>
        <v>0</v>
      </c>
      <c r="CW190" s="171">
        <f t="shared" si="603"/>
        <v>0</v>
      </c>
      <c r="CX190" s="171">
        <f t="shared" si="603"/>
        <v>0</v>
      </c>
      <c r="CY190" s="171">
        <f t="shared" si="603"/>
        <v>0</v>
      </c>
      <c r="CZ190" s="171">
        <f t="shared" si="603"/>
        <v>0</v>
      </c>
      <c r="DA190" s="171">
        <f t="shared" si="603"/>
        <v>0</v>
      </c>
      <c r="DB190" s="171">
        <f t="shared" si="603"/>
        <v>0</v>
      </c>
      <c r="DC190" s="171">
        <f t="shared" si="603"/>
        <v>0</v>
      </c>
      <c r="DD190" s="171">
        <f t="shared" si="603"/>
        <v>0</v>
      </c>
      <c r="DE190" s="172">
        <f t="shared" si="603"/>
        <v>0</v>
      </c>
      <c r="DF190" s="173">
        <f>SUM(CT190:DE190)</f>
        <v>0</v>
      </c>
      <c r="DG190" s="172">
        <f>+DG188-DG189</f>
        <v>0</v>
      </c>
      <c r="DH190" s="98">
        <f t="shared" si="373"/>
        <v>20890.841981179503</v>
      </c>
      <c r="DI190" s="150">
        <f t="shared" si="374"/>
        <v>20139.982131815923</v>
      </c>
      <c r="DJ190" s="151">
        <f>+DI190-DH190</f>
        <v>-750.85984936358</v>
      </c>
    </row>
    <row r="191" spans="1:115" ht="6" customHeight="1">
      <c r="A191" s="175"/>
      <c r="B191" s="182"/>
      <c r="C191" s="175"/>
      <c r="D191" s="176"/>
      <c r="E191" s="177"/>
      <c r="F191" s="177"/>
      <c r="G191" s="178"/>
      <c r="H191" s="178"/>
      <c r="I191" s="178"/>
      <c r="J191" s="178"/>
      <c r="K191" s="178"/>
      <c r="L191" s="178"/>
      <c r="M191" s="178"/>
      <c r="N191" s="178"/>
      <c r="O191" s="178"/>
      <c r="P191" s="178"/>
      <c r="Q191" s="178"/>
      <c r="R191" s="178"/>
      <c r="S191" s="177"/>
      <c r="T191" s="178"/>
      <c r="U191" s="178"/>
      <c r="V191" s="178"/>
      <c r="W191" s="178"/>
      <c r="X191" s="178"/>
      <c r="Y191" s="178"/>
      <c r="Z191" s="178"/>
      <c r="AA191" s="178"/>
      <c r="AB191" s="178"/>
      <c r="AC191" s="178"/>
      <c r="AD191" s="178"/>
      <c r="AE191" s="178"/>
      <c r="AF191" s="177"/>
      <c r="AG191" s="178"/>
      <c r="AH191" s="178"/>
      <c r="AI191" s="178"/>
      <c r="AJ191" s="178"/>
      <c r="AK191" s="178"/>
      <c r="AL191" s="178"/>
      <c r="AM191" s="178"/>
      <c r="AN191" s="178"/>
      <c r="AO191" s="178"/>
      <c r="AP191" s="178"/>
      <c r="AQ191" s="178"/>
      <c r="AR191" s="178"/>
      <c r="AS191" s="412"/>
      <c r="AT191" s="178"/>
      <c r="AU191" s="178"/>
      <c r="AV191" s="178"/>
      <c r="AW191" s="178"/>
      <c r="AX191" s="178"/>
      <c r="AY191" s="178"/>
      <c r="AZ191" s="178"/>
      <c r="BA191" s="178"/>
      <c r="BB191" s="178"/>
      <c r="BC191" s="178"/>
      <c r="BD191" s="178"/>
      <c r="BE191" s="178"/>
      <c r="BF191" s="177"/>
      <c r="BG191" s="178"/>
      <c r="BH191" s="178"/>
      <c r="BI191" s="178"/>
      <c r="BJ191" s="178"/>
      <c r="BK191" s="178"/>
      <c r="BL191" s="178"/>
      <c r="BM191" s="178"/>
      <c r="BN191" s="178"/>
      <c r="BO191" s="178"/>
      <c r="BP191" s="178"/>
      <c r="BQ191" s="178"/>
      <c r="BR191" s="178"/>
      <c r="BS191" s="177"/>
      <c r="BT191" s="178"/>
      <c r="BU191" s="178"/>
      <c r="BV191" s="178"/>
      <c r="BW191" s="178"/>
      <c r="BX191" s="178"/>
      <c r="BY191" s="178"/>
      <c r="BZ191" s="178"/>
      <c r="CA191" s="178"/>
      <c r="CB191" s="178"/>
      <c r="CC191" s="178"/>
      <c r="CD191" s="178"/>
      <c r="CE191" s="178"/>
      <c r="CF191" s="177"/>
      <c r="CG191" s="178"/>
      <c r="CH191" s="178"/>
      <c r="CI191" s="178"/>
      <c r="CJ191" s="178"/>
      <c r="CK191" s="178"/>
      <c r="CL191" s="178"/>
      <c r="CM191" s="178"/>
      <c r="CN191" s="178"/>
      <c r="CO191" s="178"/>
      <c r="CP191" s="178"/>
      <c r="CQ191" s="178"/>
      <c r="CR191" s="178"/>
      <c r="CS191" s="177"/>
      <c r="CT191" s="178"/>
      <c r="CU191" s="178"/>
      <c r="CV191" s="178"/>
      <c r="CW191" s="178"/>
      <c r="CX191" s="178"/>
      <c r="CY191" s="178"/>
      <c r="CZ191" s="178"/>
      <c r="DA191" s="178"/>
      <c r="DB191" s="178"/>
      <c r="DC191" s="178"/>
      <c r="DD191" s="178"/>
      <c r="DE191" s="178"/>
      <c r="DF191" s="177"/>
      <c r="DG191" s="178"/>
      <c r="DH191" s="179"/>
      <c r="DI191" s="179"/>
      <c r="DJ191" s="179"/>
    </row>
    <row r="192" spans="1:115" ht="15" customHeight="1">
      <c r="A192" s="601" t="s">
        <v>80</v>
      </c>
      <c r="B192" s="546" t="s">
        <v>195</v>
      </c>
      <c r="C192" s="550" t="s">
        <v>62</v>
      </c>
      <c r="D192" s="551"/>
      <c r="E192" s="153">
        <f t="shared" ref="E192:E206" si="604">AF192+AS192+BF192+BS192+CF192+CS192+DF192+S192+DG192</f>
        <v>0</v>
      </c>
      <c r="F192" s="153"/>
      <c r="G192" s="154"/>
      <c r="H192" s="155"/>
      <c r="I192" s="155"/>
      <c r="J192" s="155"/>
      <c r="K192" s="155"/>
      <c r="L192" s="155"/>
      <c r="M192" s="155"/>
      <c r="N192" s="155"/>
      <c r="O192" s="155"/>
      <c r="P192" s="155"/>
      <c r="Q192" s="155"/>
      <c r="R192" s="156"/>
      <c r="S192" s="180">
        <f t="shared" ref="S192:S219" si="605">SUM(G192:R192)</f>
        <v>0</v>
      </c>
      <c r="T192" s="383"/>
      <c r="U192" s="382"/>
      <c r="V192" s="382"/>
      <c r="W192" s="382"/>
      <c r="X192" s="382"/>
      <c r="Y192" s="382"/>
      <c r="Z192" s="382"/>
      <c r="AA192" s="382"/>
      <c r="AB192" s="382"/>
      <c r="AC192" s="382"/>
      <c r="AD192" s="382"/>
      <c r="AE192" s="481"/>
      <c r="AF192" s="180">
        <f t="shared" ref="AF192:AF219" si="606">SUM(T192:AE192)</f>
        <v>0</v>
      </c>
      <c r="AG192" s="498"/>
      <c r="AH192" s="513"/>
      <c r="AI192" s="513"/>
      <c r="AJ192" s="513"/>
      <c r="AK192" s="513"/>
      <c r="AL192" s="513"/>
      <c r="AM192" s="513"/>
      <c r="AN192" s="513"/>
      <c r="AO192" s="513"/>
      <c r="AP192" s="513"/>
      <c r="AQ192" s="513"/>
      <c r="AR192" s="512"/>
      <c r="AS192" s="413">
        <f>SUM(AG192:AR192)</f>
        <v>0</v>
      </c>
      <c r="AT192" s="500"/>
      <c r="AU192" s="513"/>
      <c r="AV192" s="513"/>
      <c r="AW192" s="155"/>
      <c r="AX192" s="155"/>
      <c r="AY192" s="155"/>
      <c r="AZ192" s="155"/>
      <c r="BA192" s="155"/>
      <c r="BB192" s="155"/>
      <c r="BC192" s="155"/>
      <c r="BD192" s="155"/>
      <c r="BE192" s="156"/>
      <c r="BF192" s="180">
        <f t="shared" ref="BF192:BF219" si="607">SUM(AT192:BE192)</f>
        <v>0</v>
      </c>
      <c r="BG192" s="158"/>
      <c r="BH192" s="155"/>
      <c r="BI192" s="155"/>
      <c r="BJ192" s="155"/>
      <c r="BK192" s="155"/>
      <c r="BL192" s="155"/>
      <c r="BM192" s="155"/>
      <c r="BN192" s="155"/>
      <c r="BO192" s="155"/>
      <c r="BP192" s="155"/>
      <c r="BQ192" s="155"/>
      <c r="BR192" s="156"/>
      <c r="BS192" s="180">
        <f t="shared" ref="BS192:BS216" si="608">SUM(BG192:BR192)</f>
        <v>0</v>
      </c>
      <c r="BT192" s="158"/>
      <c r="BU192" s="155"/>
      <c r="BV192" s="155"/>
      <c r="BW192" s="155"/>
      <c r="BX192" s="155"/>
      <c r="BY192" s="155"/>
      <c r="BZ192" s="155"/>
      <c r="CA192" s="155"/>
      <c r="CB192" s="155"/>
      <c r="CC192" s="155"/>
      <c r="CD192" s="155"/>
      <c r="CE192" s="156"/>
      <c r="CF192" s="180">
        <f t="shared" ref="CF192:CF216" si="609">SUM(BT192:CE192)</f>
        <v>0</v>
      </c>
      <c r="CG192" s="158"/>
      <c r="CH192" s="155"/>
      <c r="CI192" s="155"/>
      <c r="CJ192" s="155"/>
      <c r="CK192" s="155"/>
      <c r="CL192" s="155"/>
      <c r="CM192" s="155"/>
      <c r="CN192" s="155"/>
      <c r="CO192" s="155"/>
      <c r="CP192" s="155"/>
      <c r="CQ192" s="155"/>
      <c r="CR192" s="156"/>
      <c r="CS192" s="180">
        <f t="shared" ref="CS192:CS216" si="610">SUM(CG192:CR192)</f>
        <v>0</v>
      </c>
      <c r="CT192" s="158"/>
      <c r="CU192" s="155"/>
      <c r="CV192" s="155"/>
      <c r="CW192" s="155"/>
      <c r="CX192" s="155"/>
      <c r="CY192" s="155"/>
      <c r="CZ192" s="155"/>
      <c r="DA192" s="155"/>
      <c r="DB192" s="155"/>
      <c r="DC192" s="155"/>
      <c r="DD192" s="155"/>
      <c r="DE192" s="156"/>
      <c r="DF192" s="180">
        <f t="shared" ref="DF192:DF216" si="611">SUM(CT192:DE192)</f>
        <v>0</v>
      </c>
      <c r="DG192" s="280"/>
      <c r="DH192" s="164">
        <f>+F192+S192+AF192+AS192+BF192+BS192+DG192</f>
        <v>0</v>
      </c>
      <c r="DI192" s="165">
        <f t="shared" ref="DI192:DI219" si="612">+E192</f>
        <v>0</v>
      </c>
      <c r="DJ192" s="166">
        <f t="shared" ref="DJ192:DJ219" si="613">+DI192-DH192</f>
        <v>0</v>
      </c>
    </row>
    <row r="193" spans="1:115" ht="15" customHeight="1">
      <c r="A193" s="602"/>
      <c r="B193" s="547"/>
      <c r="C193" s="552" t="s">
        <v>63</v>
      </c>
      <c r="D193" s="184" t="s">
        <v>107</v>
      </c>
      <c r="E193" s="128">
        <f t="shared" si="604"/>
        <v>0</v>
      </c>
      <c r="F193" s="128"/>
      <c r="G193" s="129"/>
      <c r="H193" s="130"/>
      <c r="I193" s="130"/>
      <c r="J193" s="130"/>
      <c r="K193" s="130"/>
      <c r="L193" s="130"/>
      <c r="M193" s="130"/>
      <c r="N193" s="282"/>
      <c r="O193" s="282"/>
      <c r="P193" s="282"/>
      <c r="Q193" s="282"/>
      <c r="R193" s="282"/>
      <c r="S193" s="140">
        <f t="shared" si="605"/>
        <v>0</v>
      </c>
      <c r="T193" s="384"/>
      <c r="U193" s="381"/>
      <c r="V193" s="381"/>
      <c r="W193" s="381"/>
      <c r="X193" s="381"/>
      <c r="Y193" s="381"/>
      <c r="Z193" s="381"/>
      <c r="AA193" s="381"/>
      <c r="AB193" s="381"/>
      <c r="AC193" s="381"/>
      <c r="AD193" s="381"/>
      <c r="AE193" s="392"/>
      <c r="AF193" s="140">
        <f t="shared" si="606"/>
        <v>0</v>
      </c>
      <c r="AG193" s="497"/>
      <c r="AH193" s="499"/>
      <c r="AI193" s="499"/>
      <c r="AJ193" s="499"/>
      <c r="AK193" s="499"/>
      <c r="AL193" s="499"/>
      <c r="AM193" s="499"/>
      <c r="AN193" s="499"/>
      <c r="AO193" s="499"/>
      <c r="AP193" s="499"/>
      <c r="AQ193" s="499"/>
      <c r="AR193" s="511"/>
      <c r="AS193" s="407">
        <f>SUM(AG193:AR193)</f>
        <v>0</v>
      </c>
      <c r="AT193" s="516"/>
      <c r="AU193" s="516"/>
      <c r="AV193" s="499"/>
      <c r="AW193" s="133"/>
      <c r="AX193" s="253"/>
      <c r="AY193" s="253"/>
      <c r="AZ193" s="130"/>
      <c r="BA193" s="130"/>
      <c r="BB193" s="130"/>
      <c r="BC193" s="130"/>
      <c r="BD193" s="130"/>
      <c r="BE193" s="131"/>
      <c r="BF193" s="140">
        <f t="shared" si="607"/>
        <v>0</v>
      </c>
      <c r="BG193" s="133"/>
      <c r="BH193" s="130"/>
      <c r="BI193" s="130"/>
      <c r="BJ193" s="130"/>
      <c r="BK193" s="130"/>
      <c r="BL193" s="138"/>
      <c r="BM193" s="130"/>
      <c r="BN193" s="130"/>
      <c r="BO193" s="130"/>
      <c r="BP193" s="130"/>
      <c r="BQ193" s="130"/>
      <c r="BR193" s="131"/>
      <c r="BS193" s="140">
        <f t="shared" si="608"/>
        <v>0</v>
      </c>
      <c r="BT193" s="133"/>
      <c r="BU193" s="130"/>
      <c r="BV193" s="130"/>
      <c r="BW193" s="130"/>
      <c r="BX193" s="130"/>
      <c r="BY193" s="138"/>
      <c r="BZ193" s="130"/>
      <c r="CA193" s="130"/>
      <c r="CB193" s="130"/>
      <c r="CC193" s="130"/>
      <c r="CD193" s="130"/>
      <c r="CE193" s="131"/>
      <c r="CF193" s="140">
        <f t="shared" si="609"/>
        <v>0</v>
      </c>
      <c r="CG193" s="133"/>
      <c r="CH193" s="130"/>
      <c r="CI193" s="130"/>
      <c r="CJ193" s="130"/>
      <c r="CK193" s="130"/>
      <c r="CL193" s="138"/>
      <c r="CM193" s="130"/>
      <c r="CN193" s="130"/>
      <c r="CO193" s="130"/>
      <c r="CP193" s="130"/>
      <c r="CQ193" s="130"/>
      <c r="CR193" s="131"/>
      <c r="CS193" s="140">
        <f t="shared" si="610"/>
        <v>0</v>
      </c>
      <c r="CT193" s="133"/>
      <c r="CU193" s="130"/>
      <c r="CV193" s="130"/>
      <c r="CW193" s="130"/>
      <c r="CX193" s="130"/>
      <c r="CY193" s="138"/>
      <c r="CZ193" s="130"/>
      <c r="DA193" s="130"/>
      <c r="DB193" s="130"/>
      <c r="DC193" s="130"/>
      <c r="DD193" s="130"/>
      <c r="DE193" s="131"/>
      <c r="DF193" s="140">
        <f t="shared" si="611"/>
        <v>0</v>
      </c>
      <c r="DG193" s="278"/>
      <c r="DH193" s="90">
        <f t="shared" ref="DH193:DH256" si="614">+F193+S193+AF193+AS193+BF193+BS193+DG193</f>
        <v>0</v>
      </c>
      <c r="DI193" s="91">
        <f>+E193</f>
        <v>0</v>
      </c>
      <c r="DJ193" s="92">
        <f>+DI193-DH193</f>
        <v>0</v>
      </c>
    </row>
    <row r="194" spans="1:115" ht="15" customHeight="1">
      <c r="A194" s="602"/>
      <c r="B194" s="548"/>
      <c r="C194" s="553"/>
      <c r="D194" s="184" t="s">
        <v>108</v>
      </c>
      <c r="E194" s="136">
        <f t="shared" si="604"/>
        <v>330.4595208512518</v>
      </c>
      <c r="F194" s="136"/>
      <c r="G194" s="137"/>
      <c r="H194" s="138"/>
      <c r="I194" s="138"/>
      <c r="J194" s="138"/>
      <c r="K194" s="130"/>
      <c r="L194" s="130"/>
      <c r="M194" s="130"/>
      <c r="N194" s="130"/>
      <c r="O194" s="130"/>
      <c r="P194" s="130"/>
      <c r="Q194" s="253"/>
      <c r="R194" s="338"/>
      <c r="S194" s="140">
        <f t="shared" si="605"/>
        <v>0</v>
      </c>
      <c r="T194" s="384"/>
      <c r="U194" s="381">
        <f>3.148</f>
        <v>3.1480000000000001</v>
      </c>
      <c r="V194" s="381"/>
      <c r="W194" s="381"/>
      <c r="X194" s="381">
        <f>4.366</f>
        <v>4.3659999999999997</v>
      </c>
      <c r="Y194" s="381">
        <f>6.972</f>
        <v>6.9720000000000004</v>
      </c>
      <c r="Z194" s="381">
        <f>4.39+3.013</f>
        <v>7.4029999999999996</v>
      </c>
      <c r="AA194" s="381">
        <v>38.940004423711102</v>
      </c>
      <c r="AB194" s="381"/>
      <c r="AC194" s="381"/>
      <c r="AD194" s="381"/>
      <c r="AE194" s="381"/>
      <c r="AF194" s="140">
        <f t="shared" si="606"/>
        <v>60.829004423711098</v>
      </c>
      <c r="AG194" s="499">
        <v>58.258070870846943</v>
      </c>
      <c r="AH194" s="499">
        <v>15.385985230166503</v>
      </c>
      <c r="AI194" s="499"/>
      <c r="AJ194" s="499">
        <v>80.510501480029205</v>
      </c>
      <c r="AK194" s="499"/>
      <c r="AL194" s="499"/>
      <c r="AM194" s="499"/>
      <c r="AN194" s="499"/>
      <c r="AO194" s="499">
        <v>104.18113625175144</v>
      </c>
      <c r="AP194" s="499">
        <v>11.294822594746645</v>
      </c>
      <c r="AQ194" s="499"/>
      <c r="AR194" s="499"/>
      <c r="AS194" s="407">
        <f>SUM(AG194:AR194)</f>
        <v>269.63051642754067</v>
      </c>
      <c r="AT194" s="499"/>
      <c r="AU194" s="499"/>
      <c r="AV194" s="499"/>
      <c r="AW194" s="253"/>
      <c r="AX194" s="138"/>
      <c r="AY194" s="253"/>
      <c r="AZ194" s="138"/>
      <c r="BA194" s="138"/>
      <c r="BB194" s="138"/>
      <c r="BC194" s="138"/>
      <c r="BD194" s="138"/>
      <c r="BE194" s="139"/>
      <c r="BF194" s="140">
        <f t="shared" si="607"/>
        <v>0</v>
      </c>
      <c r="BG194" s="141"/>
      <c r="BH194" s="138"/>
      <c r="BI194" s="138"/>
      <c r="BJ194" s="138"/>
      <c r="BK194" s="138"/>
      <c r="BL194" s="138"/>
      <c r="BM194" s="138"/>
      <c r="BN194" s="138"/>
      <c r="BO194" s="138"/>
      <c r="BP194" s="138"/>
      <c r="BQ194" s="138"/>
      <c r="BR194" s="139"/>
      <c r="BS194" s="140">
        <f t="shared" si="608"/>
        <v>0</v>
      </c>
      <c r="BT194" s="141"/>
      <c r="BU194" s="138"/>
      <c r="BV194" s="138"/>
      <c r="BW194" s="138"/>
      <c r="BX194" s="138"/>
      <c r="BY194" s="138"/>
      <c r="BZ194" s="138"/>
      <c r="CA194" s="138"/>
      <c r="CB194" s="138"/>
      <c r="CC194" s="138"/>
      <c r="CD194" s="138"/>
      <c r="CE194" s="139"/>
      <c r="CF194" s="140">
        <f t="shared" si="609"/>
        <v>0</v>
      </c>
      <c r="CG194" s="141"/>
      <c r="CH194" s="138"/>
      <c r="CI194" s="138"/>
      <c r="CJ194" s="138"/>
      <c r="CK194" s="138"/>
      <c r="CL194" s="138"/>
      <c r="CM194" s="138"/>
      <c r="CN194" s="138"/>
      <c r="CO194" s="138"/>
      <c r="CP194" s="138"/>
      <c r="CQ194" s="138"/>
      <c r="CR194" s="139"/>
      <c r="CS194" s="140">
        <f t="shared" si="610"/>
        <v>0</v>
      </c>
      <c r="CT194" s="141"/>
      <c r="CU194" s="138"/>
      <c r="CV194" s="138"/>
      <c r="CW194" s="138"/>
      <c r="CX194" s="138"/>
      <c r="CY194" s="138"/>
      <c r="CZ194" s="138"/>
      <c r="DA194" s="138"/>
      <c r="DB194" s="138"/>
      <c r="DC194" s="138"/>
      <c r="DD194" s="138"/>
      <c r="DE194" s="139"/>
      <c r="DF194" s="140">
        <f t="shared" si="611"/>
        <v>0</v>
      </c>
      <c r="DG194" s="279"/>
      <c r="DH194" s="90">
        <f t="shared" si="614"/>
        <v>330.4595208512518</v>
      </c>
      <c r="DI194" s="91">
        <f t="shared" si="612"/>
        <v>330.4595208512518</v>
      </c>
      <c r="DJ194" s="92">
        <f t="shared" si="613"/>
        <v>0</v>
      </c>
      <c r="DK194" s="64" t="e">
        <f>+DH194/DH192</f>
        <v>#DIV/0!</v>
      </c>
    </row>
    <row r="195" spans="1:115" ht="15" customHeight="1">
      <c r="A195" s="602"/>
      <c r="B195" s="556"/>
      <c r="C195" s="554" t="s">
        <v>11</v>
      </c>
      <c r="D195" s="555"/>
      <c r="E195" s="143">
        <f>+E192-E193-E194</f>
        <v>-330.4595208512518</v>
      </c>
      <c r="F195" s="144">
        <f>+F192-F193-F194</f>
        <v>0</v>
      </c>
      <c r="G195" s="145">
        <f>+G192-G193-G194</f>
        <v>0</v>
      </c>
      <c r="H195" s="145">
        <f t="shared" ref="H195:R195" si="615">+H192-H193-H194</f>
        <v>0</v>
      </c>
      <c r="I195" s="145">
        <f t="shared" si="615"/>
        <v>0</v>
      </c>
      <c r="J195" s="145">
        <f t="shared" si="615"/>
        <v>0</v>
      </c>
      <c r="K195" s="145">
        <f t="shared" si="615"/>
        <v>0</v>
      </c>
      <c r="L195" s="145">
        <f t="shared" si="615"/>
        <v>0</v>
      </c>
      <c r="M195" s="145">
        <f t="shared" si="615"/>
        <v>0</v>
      </c>
      <c r="N195" s="145">
        <f t="shared" si="615"/>
        <v>0</v>
      </c>
      <c r="O195" s="145">
        <f t="shared" si="615"/>
        <v>0</v>
      </c>
      <c r="P195" s="145">
        <f t="shared" si="615"/>
        <v>0</v>
      </c>
      <c r="Q195" s="145">
        <f t="shared" si="615"/>
        <v>0</v>
      </c>
      <c r="R195" s="145">
        <f t="shared" si="615"/>
        <v>0</v>
      </c>
      <c r="S195" s="147">
        <f t="shared" si="605"/>
        <v>0</v>
      </c>
      <c r="T195" s="393">
        <f t="shared" ref="T195:AE195" si="616">+T192-T193-T194</f>
        <v>0</v>
      </c>
      <c r="U195" s="145">
        <f t="shared" si="616"/>
        <v>-3.1480000000000001</v>
      </c>
      <c r="V195" s="145">
        <f t="shared" si="616"/>
        <v>0</v>
      </c>
      <c r="W195" s="145">
        <f t="shared" si="616"/>
        <v>0</v>
      </c>
      <c r="X195" s="145">
        <f t="shared" si="616"/>
        <v>-4.3659999999999997</v>
      </c>
      <c r="Y195" s="145">
        <f t="shared" si="616"/>
        <v>-6.9720000000000004</v>
      </c>
      <c r="Z195" s="145">
        <f t="shared" si="616"/>
        <v>-7.4029999999999996</v>
      </c>
      <c r="AA195" s="145">
        <f t="shared" si="616"/>
        <v>-38.940004423711102</v>
      </c>
      <c r="AB195" s="145">
        <f t="shared" si="616"/>
        <v>0</v>
      </c>
      <c r="AC195" s="145">
        <f t="shared" si="616"/>
        <v>0</v>
      </c>
      <c r="AD195" s="145">
        <f t="shared" si="616"/>
        <v>0</v>
      </c>
      <c r="AE195" s="146">
        <f t="shared" si="616"/>
        <v>0</v>
      </c>
      <c r="AF195" s="147">
        <f t="shared" si="606"/>
        <v>-60.829004423711098</v>
      </c>
      <c r="AG195" s="148">
        <f t="shared" ref="AG195:BE195" si="617">+AG192-AG193-AG194</f>
        <v>-58.258070870846943</v>
      </c>
      <c r="AH195" s="145">
        <f t="shared" si="617"/>
        <v>-15.385985230166503</v>
      </c>
      <c r="AI195" s="145">
        <f t="shared" si="617"/>
        <v>0</v>
      </c>
      <c r="AJ195" s="145">
        <f t="shared" si="617"/>
        <v>-80.510501480029205</v>
      </c>
      <c r="AK195" s="145">
        <f t="shared" si="617"/>
        <v>0</v>
      </c>
      <c r="AL195" s="145">
        <f t="shared" si="617"/>
        <v>0</v>
      </c>
      <c r="AM195" s="145">
        <f t="shared" si="617"/>
        <v>0</v>
      </c>
      <c r="AN195" s="145">
        <f t="shared" si="617"/>
        <v>0</v>
      </c>
      <c r="AO195" s="145">
        <f t="shared" si="617"/>
        <v>-104.18113625175144</v>
      </c>
      <c r="AP195" s="145">
        <f t="shared" si="617"/>
        <v>-11.294822594746645</v>
      </c>
      <c r="AQ195" s="145">
        <f t="shared" si="617"/>
        <v>0</v>
      </c>
      <c r="AR195" s="146">
        <f t="shared" si="617"/>
        <v>0</v>
      </c>
      <c r="AS195" s="408">
        <f t="shared" si="617"/>
        <v>-269.63051642754067</v>
      </c>
      <c r="AT195" s="148">
        <f t="shared" si="617"/>
        <v>0</v>
      </c>
      <c r="AU195" s="145">
        <f t="shared" si="617"/>
        <v>0</v>
      </c>
      <c r="AV195" s="145">
        <f t="shared" si="617"/>
        <v>0</v>
      </c>
      <c r="AW195" s="145">
        <f t="shared" si="617"/>
        <v>0</v>
      </c>
      <c r="AX195" s="145">
        <f t="shared" si="617"/>
        <v>0</v>
      </c>
      <c r="AY195" s="145">
        <f t="shared" si="617"/>
        <v>0</v>
      </c>
      <c r="AZ195" s="145">
        <f t="shared" si="617"/>
        <v>0</v>
      </c>
      <c r="BA195" s="145">
        <f t="shared" si="617"/>
        <v>0</v>
      </c>
      <c r="BB195" s="145">
        <f t="shared" si="617"/>
        <v>0</v>
      </c>
      <c r="BC195" s="145">
        <f t="shared" si="617"/>
        <v>0</v>
      </c>
      <c r="BD195" s="145">
        <f t="shared" si="617"/>
        <v>0</v>
      </c>
      <c r="BE195" s="146">
        <f t="shared" si="617"/>
        <v>0</v>
      </c>
      <c r="BF195" s="147">
        <f t="shared" si="607"/>
        <v>0</v>
      </c>
      <c r="BG195" s="148">
        <f t="shared" ref="BG195:BR195" si="618">+BG192-BG193-BG194</f>
        <v>0</v>
      </c>
      <c r="BH195" s="145">
        <f t="shared" si="618"/>
        <v>0</v>
      </c>
      <c r="BI195" s="145">
        <f t="shared" si="618"/>
        <v>0</v>
      </c>
      <c r="BJ195" s="145">
        <f t="shared" si="618"/>
        <v>0</v>
      </c>
      <c r="BK195" s="145">
        <f t="shared" si="618"/>
        <v>0</v>
      </c>
      <c r="BL195" s="145">
        <f t="shared" si="618"/>
        <v>0</v>
      </c>
      <c r="BM195" s="145">
        <f t="shared" si="618"/>
        <v>0</v>
      </c>
      <c r="BN195" s="145">
        <f t="shared" si="618"/>
        <v>0</v>
      </c>
      <c r="BO195" s="145">
        <f t="shared" si="618"/>
        <v>0</v>
      </c>
      <c r="BP195" s="145">
        <f t="shared" si="618"/>
        <v>0</v>
      </c>
      <c r="BQ195" s="145">
        <f t="shared" si="618"/>
        <v>0</v>
      </c>
      <c r="BR195" s="146">
        <f t="shared" si="618"/>
        <v>0</v>
      </c>
      <c r="BS195" s="147">
        <f t="shared" si="608"/>
        <v>0</v>
      </c>
      <c r="BT195" s="148">
        <f>+BT192-BT193-BT194</f>
        <v>0</v>
      </c>
      <c r="BU195" s="145">
        <f t="shared" ref="BU195:CC195" si="619">+BU192-BU193-BU194</f>
        <v>0</v>
      </c>
      <c r="BV195" s="145">
        <f t="shared" si="619"/>
        <v>0</v>
      </c>
      <c r="BW195" s="145">
        <f t="shared" si="619"/>
        <v>0</v>
      </c>
      <c r="BX195" s="145">
        <f t="shared" si="619"/>
        <v>0</v>
      </c>
      <c r="BY195" s="145">
        <f t="shared" si="619"/>
        <v>0</v>
      </c>
      <c r="BZ195" s="145">
        <f t="shared" si="619"/>
        <v>0</v>
      </c>
      <c r="CA195" s="145">
        <f t="shared" si="619"/>
        <v>0</v>
      </c>
      <c r="CB195" s="145">
        <f t="shared" si="619"/>
        <v>0</v>
      </c>
      <c r="CC195" s="145">
        <f t="shared" si="619"/>
        <v>0</v>
      </c>
      <c r="CD195" s="145">
        <f>+CD192-CD193-CD194</f>
        <v>0</v>
      </c>
      <c r="CE195" s="146">
        <f>+CE192-CE193-CE194</f>
        <v>0</v>
      </c>
      <c r="CF195" s="147">
        <f t="shared" si="609"/>
        <v>0</v>
      </c>
      <c r="CG195" s="148">
        <f>+CG192-CG193-CG194</f>
        <v>0</v>
      </c>
      <c r="CH195" s="145">
        <f t="shared" ref="CH195:CP195" si="620">+CH192-CH193-CH194</f>
        <v>0</v>
      </c>
      <c r="CI195" s="145">
        <f t="shared" si="620"/>
        <v>0</v>
      </c>
      <c r="CJ195" s="145">
        <f t="shared" si="620"/>
        <v>0</v>
      </c>
      <c r="CK195" s="145">
        <f t="shared" si="620"/>
        <v>0</v>
      </c>
      <c r="CL195" s="145">
        <f t="shared" si="620"/>
        <v>0</v>
      </c>
      <c r="CM195" s="145">
        <f t="shared" si="620"/>
        <v>0</v>
      </c>
      <c r="CN195" s="145">
        <f t="shared" si="620"/>
        <v>0</v>
      </c>
      <c r="CO195" s="145">
        <f t="shared" si="620"/>
        <v>0</v>
      </c>
      <c r="CP195" s="145">
        <f t="shared" si="620"/>
        <v>0</v>
      </c>
      <c r="CQ195" s="145">
        <f>+CQ192-CQ193-CQ194</f>
        <v>0</v>
      </c>
      <c r="CR195" s="146">
        <f>+CR192-CR193-CR194</f>
        <v>0</v>
      </c>
      <c r="CS195" s="147">
        <f t="shared" si="610"/>
        <v>0</v>
      </c>
      <c r="CT195" s="148">
        <f>+CT192-CT193-CT194</f>
        <v>0</v>
      </c>
      <c r="CU195" s="145">
        <f t="shared" ref="CU195:DC195" si="621">+CU192-CU193-CU194</f>
        <v>0</v>
      </c>
      <c r="CV195" s="145">
        <f t="shared" si="621"/>
        <v>0</v>
      </c>
      <c r="CW195" s="145">
        <f t="shared" si="621"/>
        <v>0</v>
      </c>
      <c r="CX195" s="145">
        <f t="shared" si="621"/>
        <v>0</v>
      </c>
      <c r="CY195" s="145">
        <f t="shared" si="621"/>
        <v>0</v>
      </c>
      <c r="CZ195" s="145">
        <f t="shared" si="621"/>
        <v>0</v>
      </c>
      <c r="DA195" s="145">
        <f t="shared" si="621"/>
        <v>0</v>
      </c>
      <c r="DB195" s="145">
        <f t="shared" si="621"/>
        <v>0</v>
      </c>
      <c r="DC195" s="145">
        <f t="shared" si="621"/>
        <v>0</v>
      </c>
      <c r="DD195" s="145">
        <f>+DD192-DD193-DD194</f>
        <v>0</v>
      </c>
      <c r="DE195" s="146">
        <f>+DE192-DE193-DE194</f>
        <v>0</v>
      </c>
      <c r="DF195" s="147">
        <f t="shared" si="611"/>
        <v>0</v>
      </c>
      <c r="DG195" s="146">
        <f>+DG192-DG193-DG194</f>
        <v>0</v>
      </c>
      <c r="DH195" s="149">
        <f t="shared" si="614"/>
        <v>-330.4595208512518</v>
      </c>
      <c r="DI195" s="150">
        <f t="shared" si="612"/>
        <v>-330.4595208512518</v>
      </c>
      <c r="DJ195" s="151">
        <f t="shared" si="613"/>
        <v>0</v>
      </c>
    </row>
    <row r="196" spans="1:115" ht="15" customHeight="1">
      <c r="A196" s="602"/>
      <c r="B196" s="593" t="s">
        <v>212</v>
      </c>
      <c r="C196" s="550" t="s">
        <v>62</v>
      </c>
      <c r="D196" s="551"/>
      <c r="E196" s="153">
        <f t="shared" si="604"/>
        <v>182631.04794520547</v>
      </c>
      <c r="F196" s="128"/>
      <c r="G196" s="129"/>
      <c r="H196" s="130"/>
      <c r="I196" s="130"/>
      <c r="J196" s="130"/>
      <c r="K196" s="130"/>
      <c r="L196" s="130"/>
      <c r="M196" s="130"/>
      <c r="N196" s="282"/>
      <c r="O196" s="282"/>
      <c r="P196" s="282"/>
      <c r="Q196" s="282"/>
      <c r="R196" s="131"/>
      <c r="S196" s="140">
        <f t="shared" si="605"/>
        <v>0</v>
      </c>
      <c r="T196" s="391"/>
      <c r="U196" s="379"/>
      <c r="V196" s="379"/>
      <c r="W196" s="379"/>
      <c r="X196" s="379"/>
      <c r="Y196" s="379"/>
      <c r="Z196" s="379"/>
      <c r="AA196" s="379"/>
      <c r="AB196" s="379"/>
      <c r="AC196" s="379"/>
      <c r="AD196" s="379"/>
      <c r="AE196" s="480"/>
      <c r="AF196" s="132">
        <f t="shared" si="606"/>
        <v>0</v>
      </c>
      <c r="AG196" s="496"/>
      <c r="AH196" s="510"/>
      <c r="AI196" s="510"/>
      <c r="AJ196" s="510"/>
      <c r="AK196" s="510"/>
      <c r="AL196" s="510"/>
      <c r="AM196" s="510"/>
      <c r="AN196" s="510"/>
      <c r="AO196" s="510"/>
      <c r="AP196" s="510"/>
      <c r="AQ196" s="510"/>
      <c r="AR196" s="510">
        <v>3473.0479452054801</v>
      </c>
      <c r="AS196" s="406">
        <f>SUM(AG196:AR196)</f>
        <v>3473.0479452054801</v>
      </c>
      <c r="AT196" s="516"/>
      <c r="AU196" s="510"/>
      <c r="AV196" s="510"/>
      <c r="AW196" s="130"/>
      <c r="AX196" s="130"/>
      <c r="AY196" s="130"/>
      <c r="AZ196" s="130"/>
      <c r="BA196" s="130"/>
      <c r="BB196" s="130"/>
      <c r="BC196" s="130"/>
      <c r="BD196" s="130"/>
      <c r="BE196" s="131"/>
      <c r="BF196" s="132">
        <f t="shared" si="607"/>
        <v>0</v>
      </c>
      <c r="BG196" s="133"/>
      <c r="BH196" s="130"/>
      <c r="BI196" s="130"/>
      <c r="BJ196" s="130"/>
      <c r="BK196" s="282"/>
      <c r="BL196" s="282"/>
      <c r="BM196" s="282"/>
      <c r="BN196" s="282"/>
      <c r="BO196" s="282"/>
      <c r="BP196" s="282"/>
      <c r="BQ196" s="282"/>
      <c r="BR196" s="284"/>
      <c r="BS196" s="132">
        <f t="shared" si="608"/>
        <v>0</v>
      </c>
      <c r="BT196" s="133"/>
      <c r="BU196" s="130"/>
      <c r="BV196" s="130"/>
      <c r="BW196" s="130"/>
      <c r="BX196" s="282"/>
      <c r="BY196" s="282"/>
      <c r="BZ196" s="282">
        <f>AX197+AY197</f>
        <v>27958</v>
      </c>
      <c r="CA196" s="282"/>
      <c r="CB196" s="282"/>
      <c r="CC196" s="282"/>
      <c r="CD196" s="282"/>
      <c r="CE196" s="284"/>
      <c r="CF196" s="132">
        <f t="shared" si="609"/>
        <v>27958</v>
      </c>
      <c r="CG196" s="133"/>
      <c r="CH196" s="130"/>
      <c r="CI196" s="130"/>
      <c r="CJ196" s="130"/>
      <c r="CK196" s="282"/>
      <c r="CL196" s="282"/>
      <c r="CM196" s="282"/>
      <c r="CN196" s="282"/>
      <c r="CO196" s="282"/>
      <c r="CP196" s="282"/>
      <c r="CQ196" s="282"/>
      <c r="CR196" s="284"/>
      <c r="CS196" s="132">
        <f t="shared" si="610"/>
        <v>0</v>
      </c>
      <c r="CT196" s="133"/>
      <c r="CU196" s="130"/>
      <c r="CV196" s="130"/>
      <c r="CW196" s="130">
        <v>64200</v>
      </c>
      <c r="CX196" s="282"/>
      <c r="CY196" s="282"/>
      <c r="CZ196" s="282"/>
      <c r="DA196" s="282"/>
      <c r="DB196" s="282"/>
      <c r="DC196" s="282"/>
      <c r="DD196" s="282"/>
      <c r="DE196" s="284"/>
      <c r="DF196" s="132">
        <f t="shared" si="611"/>
        <v>64200</v>
      </c>
      <c r="DG196" s="278">
        <v>87000</v>
      </c>
      <c r="DH196" s="159">
        <f>+F196+S196+AF196+AS196+BF196+BS196+DG196</f>
        <v>90473.047945205486</v>
      </c>
      <c r="DI196" s="160">
        <f t="shared" si="612"/>
        <v>182631.04794520547</v>
      </c>
      <c r="DJ196" s="161">
        <f t="shared" si="613"/>
        <v>92157.999999999985</v>
      </c>
    </row>
    <row r="197" spans="1:115" ht="15" customHeight="1">
      <c r="A197" s="602"/>
      <c r="B197" s="547"/>
      <c r="C197" s="552" t="s">
        <v>63</v>
      </c>
      <c r="D197" s="184" t="s">
        <v>362</v>
      </c>
      <c r="E197" s="128">
        <f t="shared" si="604"/>
        <v>89335.505665837496</v>
      </c>
      <c r="F197" s="136"/>
      <c r="G197" s="137"/>
      <c r="H197" s="138"/>
      <c r="I197" s="138"/>
      <c r="J197" s="138"/>
      <c r="K197" s="130"/>
      <c r="L197" s="130"/>
      <c r="M197" s="130"/>
      <c r="N197" s="253"/>
      <c r="O197" s="253"/>
      <c r="P197" s="253"/>
      <c r="Q197" s="253">
        <v>498.54590776900704</v>
      </c>
      <c r="R197" s="131"/>
      <c r="S197" s="140">
        <f t="shared" si="605"/>
        <v>498.54590776900704</v>
      </c>
      <c r="T197" s="391"/>
      <c r="U197" s="381"/>
      <c r="V197" s="381"/>
      <c r="W197" s="381"/>
      <c r="X197" s="381"/>
      <c r="Y197" s="381">
        <v>3617.1561051004637</v>
      </c>
      <c r="Z197" s="381"/>
      <c r="AA197" s="381"/>
      <c r="AB197" s="381"/>
      <c r="AC197" s="381"/>
      <c r="AD197" s="381"/>
      <c r="AE197" s="381"/>
      <c r="AF197" s="140">
        <f t="shared" si="606"/>
        <v>3617.1561051004637</v>
      </c>
      <c r="AG197" s="496"/>
      <c r="AH197" s="515"/>
      <c r="AI197" s="499"/>
      <c r="AJ197" s="499"/>
      <c r="AK197" s="499"/>
      <c r="AL197" s="518"/>
      <c r="AM197" s="510"/>
      <c r="AN197" s="510"/>
      <c r="AO197" s="510"/>
      <c r="AP197" s="518"/>
      <c r="AQ197" s="518"/>
      <c r="AR197" s="510">
        <v>57261.803652968032</v>
      </c>
      <c r="AS197" s="407">
        <f t="shared" ref="AS197:AS219" si="622">SUM(AG197:AR197)</f>
        <v>57261.803652968032</v>
      </c>
      <c r="AT197" s="516"/>
      <c r="AU197" s="510"/>
      <c r="AV197" s="510"/>
      <c r="AW197" s="282"/>
      <c r="AX197" s="282">
        <v>19083</v>
      </c>
      <c r="AY197" s="282">
        <v>8875</v>
      </c>
      <c r="AZ197" s="130"/>
      <c r="BA197" s="130"/>
      <c r="BB197" s="284"/>
      <c r="BC197" s="130"/>
      <c r="BD197" s="130"/>
      <c r="BE197" s="131"/>
      <c r="BF197" s="140">
        <f t="shared" si="607"/>
        <v>27958</v>
      </c>
      <c r="BG197" s="133"/>
      <c r="BH197" s="130"/>
      <c r="BI197" s="130"/>
      <c r="BJ197" s="130"/>
      <c r="BK197" s="282"/>
      <c r="BL197" s="282"/>
      <c r="BM197" s="282"/>
      <c r="BN197" s="282"/>
      <c r="BO197" s="282"/>
      <c r="BP197" s="282"/>
      <c r="BQ197" s="282"/>
      <c r="BR197" s="284"/>
      <c r="BS197" s="140">
        <f t="shared" si="608"/>
        <v>0</v>
      </c>
      <c r="BT197" s="133"/>
      <c r="BU197" s="138"/>
      <c r="BV197" s="130"/>
      <c r="BW197" s="130"/>
      <c r="BX197" s="282"/>
      <c r="BY197" s="282"/>
      <c r="BZ197" s="282"/>
      <c r="CA197" s="282"/>
      <c r="CB197" s="282"/>
      <c r="CC197" s="282"/>
      <c r="CD197" s="282"/>
      <c r="CE197" s="284"/>
      <c r="CF197" s="140">
        <f t="shared" si="609"/>
        <v>0</v>
      </c>
      <c r="CG197" s="133"/>
      <c r="CH197" s="130"/>
      <c r="CI197" s="130"/>
      <c r="CJ197" s="130"/>
      <c r="CK197" s="282"/>
      <c r="CL197" s="282"/>
      <c r="CM197" s="282"/>
      <c r="CN197" s="282"/>
      <c r="CO197" s="282"/>
      <c r="CP197" s="282"/>
      <c r="CQ197" s="282"/>
      <c r="CR197" s="284"/>
      <c r="CS197" s="140">
        <f t="shared" si="610"/>
        <v>0</v>
      </c>
      <c r="CT197" s="133"/>
      <c r="CU197" s="130"/>
      <c r="CV197" s="130"/>
      <c r="CW197" s="130"/>
      <c r="CX197" s="282"/>
      <c r="CY197" s="282"/>
      <c r="CZ197" s="282"/>
      <c r="DA197" s="282"/>
      <c r="DB197" s="282"/>
      <c r="DC197" s="282"/>
      <c r="DD197" s="282"/>
      <c r="DE197" s="284"/>
      <c r="DF197" s="140">
        <f t="shared" si="611"/>
        <v>0</v>
      </c>
      <c r="DG197" s="278"/>
      <c r="DH197" s="90">
        <f t="shared" si="614"/>
        <v>89335.505665837496</v>
      </c>
      <c r="DI197" s="91">
        <f>+E197</f>
        <v>89335.505665837496</v>
      </c>
      <c r="DJ197" s="92">
        <f>+DI197-DH197</f>
        <v>0</v>
      </c>
    </row>
    <row r="198" spans="1:115" ht="15" customHeight="1">
      <c r="A198" s="602"/>
      <c r="B198" s="548"/>
      <c r="C198" s="553"/>
      <c r="D198" s="184" t="s">
        <v>108</v>
      </c>
      <c r="E198" s="136">
        <f t="shared" si="604"/>
        <v>0</v>
      </c>
      <c r="F198" s="136"/>
      <c r="G198" s="137"/>
      <c r="H198" s="138"/>
      <c r="I198" s="138"/>
      <c r="J198" s="138"/>
      <c r="K198" s="138"/>
      <c r="L198" s="138"/>
      <c r="M198" s="138"/>
      <c r="N198" s="138"/>
      <c r="O198" s="138"/>
      <c r="P198" s="138"/>
      <c r="Q198" s="363"/>
      <c r="R198" s="356"/>
      <c r="S198" s="140">
        <f t="shared" si="605"/>
        <v>0</v>
      </c>
      <c r="T198" s="384"/>
      <c r="U198" s="381"/>
      <c r="V198" s="381"/>
      <c r="W198" s="381"/>
      <c r="X198" s="381"/>
      <c r="Y198" s="381"/>
      <c r="Z198" s="381"/>
      <c r="AA198" s="381"/>
      <c r="AB198" s="381"/>
      <c r="AC198" s="381"/>
      <c r="AD198" s="381"/>
      <c r="AE198" s="392"/>
      <c r="AF198" s="140">
        <f t="shared" si="606"/>
        <v>0</v>
      </c>
      <c r="AG198" s="497"/>
      <c r="AH198" s="499"/>
      <c r="AI198" s="499"/>
      <c r="AJ198" s="499"/>
      <c r="AK198" s="499"/>
      <c r="AL198" s="499"/>
      <c r="AM198" s="499"/>
      <c r="AN198" s="499"/>
      <c r="AO198" s="499"/>
      <c r="AP198" s="499"/>
      <c r="AQ198" s="499"/>
      <c r="AR198" s="511"/>
      <c r="AS198" s="407">
        <f t="shared" si="622"/>
        <v>0</v>
      </c>
      <c r="AT198" s="501"/>
      <c r="AU198" s="499"/>
      <c r="AV198" s="499"/>
      <c r="AW198" s="138"/>
      <c r="AX198" s="138"/>
      <c r="AY198" s="138"/>
      <c r="AZ198" s="138"/>
      <c r="BA198" s="138"/>
      <c r="BB198" s="138"/>
      <c r="BC198" s="138"/>
      <c r="BD198" s="138"/>
      <c r="BE198" s="139"/>
      <c r="BF198" s="140">
        <f t="shared" si="607"/>
        <v>0</v>
      </c>
      <c r="BG198" s="141"/>
      <c r="BH198" s="138"/>
      <c r="BI198" s="138"/>
      <c r="BJ198" s="138"/>
      <c r="BK198" s="253"/>
      <c r="BL198" s="253"/>
      <c r="BM198" s="253"/>
      <c r="BN198" s="253"/>
      <c r="BO198" s="253"/>
      <c r="BP198" s="253"/>
      <c r="BQ198" s="253"/>
      <c r="BR198" s="338"/>
      <c r="BS198" s="140">
        <f t="shared" si="608"/>
        <v>0</v>
      </c>
      <c r="BT198" s="141"/>
      <c r="BV198" s="138"/>
      <c r="BW198" s="138"/>
      <c r="BX198" s="253"/>
      <c r="BY198" s="253"/>
      <c r="BZ198" s="253"/>
      <c r="CA198" s="253"/>
      <c r="CB198" s="253"/>
      <c r="CC198" s="253"/>
      <c r="CD198" s="253"/>
      <c r="CE198" s="338"/>
      <c r="CF198" s="140">
        <f t="shared" si="609"/>
        <v>0</v>
      </c>
      <c r="CG198" s="141"/>
      <c r="CH198" s="138"/>
      <c r="CI198" s="138"/>
      <c r="CJ198" s="138"/>
      <c r="CK198" s="253"/>
      <c r="CL198" s="253"/>
      <c r="CM198" s="253"/>
      <c r="CN198" s="253"/>
      <c r="CO198" s="253"/>
      <c r="CP198" s="253"/>
      <c r="CQ198" s="253"/>
      <c r="CR198" s="338"/>
      <c r="CS198" s="140">
        <f t="shared" si="610"/>
        <v>0</v>
      </c>
      <c r="CT198" s="141"/>
      <c r="CU198" s="138"/>
      <c r="CV198" s="138"/>
      <c r="CW198" s="138"/>
      <c r="CX198" s="253"/>
      <c r="CY198" s="253"/>
      <c r="CZ198" s="253"/>
      <c r="DA198" s="253"/>
      <c r="DB198" s="253"/>
      <c r="DC198" s="253"/>
      <c r="DD198" s="253"/>
      <c r="DE198" s="338"/>
      <c r="DF198" s="140">
        <f t="shared" si="611"/>
        <v>0</v>
      </c>
      <c r="DG198" s="279"/>
      <c r="DH198" s="90">
        <f t="shared" si="614"/>
        <v>0</v>
      </c>
      <c r="DI198" s="91">
        <f t="shared" si="612"/>
        <v>0</v>
      </c>
      <c r="DJ198" s="92">
        <f t="shared" si="613"/>
        <v>0</v>
      </c>
      <c r="DK198" s="64">
        <f>+DH198/DH196</f>
        <v>0</v>
      </c>
    </row>
    <row r="199" spans="1:115" ht="15" customHeight="1">
      <c r="A199" s="602"/>
      <c r="B199" s="556"/>
      <c r="C199" s="554" t="s">
        <v>11</v>
      </c>
      <c r="D199" s="555"/>
      <c r="E199" s="143">
        <f t="shared" ref="E199:R199" si="623">+E196-E197-E198</f>
        <v>93295.542279367975</v>
      </c>
      <c r="F199" s="144">
        <f t="shared" si="623"/>
        <v>0</v>
      </c>
      <c r="G199" s="145">
        <f t="shared" si="623"/>
        <v>0</v>
      </c>
      <c r="H199" s="145">
        <f t="shared" si="623"/>
        <v>0</v>
      </c>
      <c r="I199" s="145">
        <f t="shared" si="623"/>
        <v>0</v>
      </c>
      <c r="J199" s="145">
        <f t="shared" si="623"/>
        <v>0</v>
      </c>
      <c r="K199" s="145">
        <f t="shared" si="623"/>
        <v>0</v>
      </c>
      <c r="L199" s="145">
        <f t="shared" si="623"/>
        <v>0</v>
      </c>
      <c r="M199" s="145">
        <f t="shared" si="623"/>
        <v>0</v>
      </c>
      <c r="N199" s="145">
        <f t="shared" si="623"/>
        <v>0</v>
      </c>
      <c r="O199" s="145">
        <f t="shared" si="623"/>
        <v>0</v>
      </c>
      <c r="P199" s="145">
        <f t="shared" si="623"/>
        <v>0</v>
      </c>
      <c r="Q199" s="145">
        <f t="shared" si="623"/>
        <v>-498.54590776900704</v>
      </c>
      <c r="R199" s="146">
        <f t="shared" si="623"/>
        <v>0</v>
      </c>
      <c r="S199" s="147">
        <f t="shared" si="605"/>
        <v>-498.54590776900704</v>
      </c>
      <c r="T199" s="393">
        <f>+T196-T197-T198</f>
        <v>0</v>
      </c>
      <c r="U199" s="145">
        <f t="shared" ref="U199:AE199" si="624">+U196-U197-U198</f>
        <v>0</v>
      </c>
      <c r="V199" s="145">
        <f t="shared" si="624"/>
        <v>0</v>
      </c>
      <c r="W199" s="145">
        <f>+W196-W197-W198</f>
        <v>0</v>
      </c>
      <c r="X199" s="145">
        <f t="shared" si="624"/>
        <v>0</v>
      </c>
      <c r="Y199" s="145">
        <f t="shared" si="624"/>
        <v>-3617.1561051004637</v>
      </c>
      <c r="Z199" s="145">
        <f t="shared" si="624"/>
        <v>0</v>
      </c>
      <c r="AA199" s="145">
        <f>+AA196-AA197-AA198</f>
        <v>0</v>
      </c>
      <c r="AB199" s="145">
        <f t="shared" si="624"/>
        <v>0</v>
      </c>
      <c r="AC199" s="145">
        <f t="shared" si="624"/>
        <v>0</v>
      </c>
      <c r="AD199" s="145">
        <f t="shared" si="624"/>
        <v>0</v>
      </c>
      <c r="AE199" s="146">
        <f t="shared" si="624"/>
        <v>0</v>
      </c>
      <c r="AF199" s="147">
        <f t="shared" si="606"/>
        <v>-3617.1561051004637</v>
      </c>
      <c r="AG199" s="145">
        <f>+AG196-AG197-AG198</f>
        <v>0</v>
      </c>
      <c r="AH199" s="145">
        <f t="shared" ref="AH199:AP199" si="625">+AH196-AH197-AH198</f>
        <v>0</v>
      </c>
      <c r="AI199" s="145">
        <f t="shared" si="625"/>
        <v>0</v>
      </c>
      <c r="AJ199" s="145">
        <f t="shared" si="625"/>
        <v>0</v>
      </c>
      <c r="AK199" s="145">
        <f t="shared" si="625"/>
        <v>0</v>
      </c>
      <c r="AL199" s="145">
        <f t="shared" si="625"/>
        <v>0</v>
      </c>
      <c r="AM199" s="145">
        <f t="shared" si="625"/>
        <v>0</v>
      </c>
      <c r="AN199" s="145">
        <f t="shared" si="625"/>
        <v>0</v>
      </c>
      <c r="AO199" s="145">
        <f t="shared" si="625"/>
        <v>0</v>
      </c>
      <c r="AP199" s="145">
        <f t="shared" si="625"/>
        <v>0</v>
      </c>
      <c r="AQ199" s="145">
        <f>+AQ196-AQ197-AQ198</f>
        <v>0</v>
      </c>
      <c r="AR199" s="146">
        <f>+AR196-AR197-AR198</f>
        <v>-53788.755707762553</v>
      </c>
      <c r="AS199" s="408">
        <f t="shared" si="622"/>
        <v>-53788.755707762553</v>
      </c>
      <c r="AT199" s="148">
        <f>+AT196-AT197-AT198</f>
        <v>0</v>
      </c>
      <c r="AU199" s="145">
        <f t="shared" ref="AU199:BE199" si="626">+AU196-AU197-AU198</f>
        <v>0</v>
      </c>
      <c r="AV199" s="145">
        <f t="shared" si="626"/>
        <v>0</v>
      </c>
      <c r="AW199" s="145">
        <f t="shared" si="626"/>
        <v>0</v>
      </c>
      <c r="AX199" s="145">
        <f t="shared" si="626"/>
        <v>-19083</v>
      </c>
      <c r="AY199" s="145">
        <f t="shared" si="626"/>
        <v>-8875</v>
      </c>
      <c r="AZ199" s="145">
        <f t="shared" si="626"/>
        <v>0</v>
      </c>
      <c r="BA199" s="145">
        <f t="shared" si="626"/>
        <v>0</v>
      </c>
      <c r="BB199" s="145">
        <f t="shared" si="626"/>
        <v>0</v>
      </c>
      <c r="BC199" s="145">
        <f t="shared" si="626"/>
        <v>0</v>
      </c>
      <c r="BD199" s="145">
        <f t="shared" si="626"/>
        <v>0</v>
      </c>
      <c r="BE199" s="146">
        <f t="shared" si="626"/>
        <v>0</v>
      </c>
      <c r="BF199" s="147">
        <f t="shared" si="607"/>
        <v>-27958</v>
      </c>
      <c r="BG199" s="145">
        <f>+BG196-BG197-BG198</f>
        <v>0</v>
      </c>
      <c r="BH199" s="145">
        <f t="shared" ref="BH199:BR199" si="627">+BH196-BH197-BH198</f>
        <v>0</v>
      </c>
      <c r="BI199" s="145">
        <f t="shared" si="627"/>
        <v>0</v>
      </c>
      <c r="BJ199" s="145">
        <f t="shared" si="627"/>
        <v>0</v>
      </c>
      <c r="BK199" s="145">
        <f t="shared" si="627"/>
        <v>0</v>
      </c>
      <c r="BL199" s="145">
        <f t="shared" si="627"/>
        <v>0</v>
      </c>
      <c r="BM199" s="145">
        <f t="shared" si="627"/>
        <v>0</v>
      </c>
      <c r="BN199" s="145">
        <f t="shared" si="627"/>
        <v>0</v>
      </c>
      <c r="BO199" s="145">
        <f t="shared" si="627"/>
        <v>0</v>
      </c>
      <c r="BP199" s="145">
        <f t="shared" si="627"/>
        <v>0</v>
      </c>
      <c r="BQ199" s="145">
        <f t="shared" si="627"/>
        <v>0</v>
      </c>
      <c r="BR199" s="146">
        <f t="shared" si="627"/>
        <v>0</v>
      </c>
      <c r="BS199" s="147">
        <f t="shared" si="608"/>
        <v>0</v>
      </c>
      <c r="BT199" s="145">
        <f>+BT196-BT197-BT198</f>
        <v>0</v>
      </c>
      <c r="BU199" s="145">
        <f>+BU196-BU197-BU198</f>
        <v>0</v>
      </c>
      <c r="BV199" s="145">
        <f t="shared" ref="BV199:CE199" si="628">+BV196-BV197-BV198</f>
        <v>0</v>
      </c>
      <c r="BW199" s="145">
        <f t="shared" si="628"/>
        <v>0</v>
      </c>
      <c r="BX199" s="145">
        <f t="shared" si="628"/>
        <v>0</v>
      </c>
      <c r="BY199" s="145">
        <f t="shared" si="628"/>
        <v>0</v>
      </c>
      <c r="BZ199" s="145">
        <f t="shared" si="628"/>
        <v>27958</v>
      </c>
      <c r="CA199" s="145">
        <f t="shared" si="628"/>
        <v>0</v>
      </c>
      <c r="CB199" s="145">
        <f t="shared" si="628"/>
        <v>0</v>
      </c>
      <c r="CC199" s="145">
        <f t="shared" si="628"/>
        <v>0</v>
      </c>
      <c r="CD199" s="145">
        <f t="shared" si="628"/>
        <v>0</v>
      </c>
      <c r="CE199" s="146">
        <f t="shared" si="628"/>
        <v>0</v>
      </c>
      <c r="CF199" s="147">
        <f t="shared" si="609"/>
        <v>27958</v>
      </c>
      <c r="CG199" s="145">
        <f>+CG196-CG197-CG198</f>
        <v>0</v>
      </c>
      <c r="CH199" s="145">
        <f t="shared" ref="CH199:CR199" si="629">+CH196-CH197-CH198</f>
        <v>0</v>
      </c>
      <c r="CI199" s="145">
        <f t="shared" si="629"/>
        <v>0</v>
      </c>
      <c r="CJ199" s="145">
        <f t="shared" si="629"/>
        <v>0</v>
      </c>
      <c r="CK199" s="145">
        <f t="shared" si="629"/>
        <v>0</v>
      </c>
      <c r="CL199" s="145">
        <f t="shared" si="629"/>
        <v>0</v>
      </c>
      <c r="CM199" s="145">
        <f t="shared" si="629"/>
        <v>0</v>
      </c>
      <c r="CN199" s="145">
        <f t="shared" si="629"/>
        <v>0</v>
      </c>
      <c r="CO199" s="145">
        <f t="shared" si="629"/>
        <v>0</v>
      </c>
      <c r="CP199" s="145">
        <f t="shared" si="629"/>
        <v>0</v>
      </c>
      <c r="CQ199" s="145">
        <f t="shared" si="629"/>
        <v>0</v>
      </c>
      <c r="CR199" s="146">
        <f t="shared" si="629"/>
        <v>0</v>
      </c>
      <c r="CS199" s="147">
        <f t="shared" si="610"/>
        <v>0</v>
      </c>
      <c r="CT199" s="145">
        <f>+CT196-CT197-CT198</f>
        <v>0</v>
      </c>
      <c r="CU199" s="145">
        <f t="shared" ref="CU199:DE199" si="630">+CU196-CU197-CU198</f>
        <v>0</v>
      </c>
      <c r="CV199" s="145">
        <f t="shared" si="630"/>
        <v>0</v>
      </c>
      <c r="CW199" s="145">
        <f t="shared" si="630"/>
        <v>64200</v>
      </c>
      <c r="CX199" s="145">
        <f t="shared" si="630"/>
        <v>0</v>
      </c>
      <c r="CY199" s="145">
        <f t="shared" si="630"/>
        <v>0</v>
      </c>
      <c r="CZ199" s="145">
        <f t="shared" si="630"/>
        <v>0</v>
      </c>
      <c r="DA199" s="145">
        <f t="shared" si="630"/>
        <v>0</v>
      </c>
      <c r="DB199" s="145">
        <f t="shared" si="630"/>
        <v>0</v>
      </c>
      <c r="DC199" s="145">
        <f t="shared" si="630"/>
        <v>0</v>
      </c>
      <c r="DD199" s="145">
        <f t="shared" si="630"/>
        <v>0</v>
      </c>
      <c r="DE199" s="146">
        <f t="shared" si="630"/>
        <v>0</v>
      </c>
      <c r="DF199" s="147">
        <f t="shared" si="611"/>
        <v>64200</v>
      </c>
      <c r="DG199" s="146">
        <f>+DG196-DG198</f>
        <v>87000</v>
      </c>
      <c r="DH199" s="98">
        <f t="shared" si="614"/>
        <v>1137.5422793679754</v>
      </c>
      <c r="DI199" s="99">
        <f t="shared" si="612"/>
        <v>93295.542279367975</v>
      </c>
      <c r="DJ199" s="100">
        <f t="shared" si="613"/>
        <v>92158</v>
      </c>
    </row>
    <row r="200" spans="1:115" ht="15" customHeight="1">
      <c r="A200" s="602"/>
      <c r="B200" s="546" t="s">
        <v>30</v>
      </c>
      <c r="C200" s="550" t="s">
        <v>62</v>
      </c>
      <c r="D200" s="551"/>
      <c r="E200" s="153">
        <f t="shared" si="604"/>
        <v>0</v>
      </c>
      <c r="F200" s="128"/>
      <c r="G200" s="129"/>
      <c r="H200" s="130"/>
      <c r="I200" s="130"/>
      <c r="J200" s="130"/>
      <c r="K200" s="130"/>
      <c r="L200" s="130"/>
      <c r="M200" s="130"/>
      <c r="N200" s="130"/>
      <c r="O200" s="130"/>
      <c r="P200" s="282"/>
      <c r="Q200" s="282"/>
      <c r="R200" s="284"/>
      <c r="S200" s="132">
        <f t="shared" si="605"/>
        <v>0</v>
      </c>
      <c r="T200" s="391"/>
      <c r="U200" s="379"/>
      <c r="V200" s="379"/>
      <c r="W200" s="379"/>
      <c r="X200" s="379"/>
      <c r="Y200" s="379"/>
      <c r="Z200" s="379"/>
      <c r="AA200" s="379"/>
      <c r="AB200" s="379"/>
      <c r="AC200" s="379"/>
      <c r="AD200" s="379"/>
      <c r="AE200" s="480"/>
      <c r="AF200" s="132">
        <f t="shared" si="606"/>
        <v>0</v>
      </c>
      <c r="AG200" s="496"/>
      <c r="AH200" s="510"/>
      <c r="AI200" s="510"/>
      <c r="AJ200" s="510"/>
      <c r="AK200" s="510"/>
      <c r="AL200" s="510"/>
      <c r="AM200" s="510"/>
      <c r="AN200" s="510"/>
      <c r="AO200" s="510"/>
      <c r="AP200" s="510"/>
      <c r="AQ200" s="510"/>
      <c r="AR200" s="515"/>
      <c r="AS200" s="406">
        <f t="shared" si="622"/>
        <v>0</v>
      </c>
      <c r="AT200" s="516"/>
      <c r="AU200" s="510"/>
      <c r="AV200" s="510"/>
      <c r="AW200" s="282"/>
      <c r="AX200" s="282"/>
      <c r="AY200" s="282"/>
      <c r="AZ200" s="282"/>
      <c r="BA200" s="282"/>
      <c r="BB200" s="282"/>
      <c r="BC200" s="282"/>
      <c r="BD200" s="282"/>
      <c r="BE200" s="284"/>
      <c r="BF200" s="132">
        <f t="shared" si="607"/>
        <v>0</v>
      </c>
      <c r="BG200" s="133"/>
      <c r="BH200" s="130"/>
      <c r="BI200" s="130"/>
      <c r="BJ200" s="130"/>
      <c r="BK200" s="130"/>
      <c r="BL200" s="130"/>
      <c r="BM200" s="130"/>
      <c r="BN200" s="130"/>
      <c r="BO200" s="130"/>
      <c r="BP200" s="130"/>
      <c r="BQ200" s="130"/>
      <c r="BR200" s="131"/>
      <c r="BS200" s="132">
        <f t="shared" si="608"/>
        <v>0</v>
      </c>
      <c r="BT200" s="133"/>
      <c r="BU200" s="130"/>
      <c r="BV200" s="130"/>
      <c r="BW200" s="130"/>
      <c r="BX200" s="130"/>
      <c r="BY200" s="130"/>
      <c r="BZ200" s="130"/>
      <c r="CA200" s="130"/>
      <c r="CB200" s="130"/>
      <c r="CC200" s="130"/>
      <c r="CD200" s="130"/>
      <c r="CE200" s="131"/>
      <c r="CF200" s="132">
        <f t="shared" si="609"/>
        <v>0</v>
      </c>
      <c r="CG200" s="133"/>
      <c r="CH200" s="130"/>
      <c r="CI200" s="130"/>
      <c r="CJ200" s="130"/>
      <c r="CK200" s="130"/>
      <c r="CL200" s="130"/>
      <c r="CM200" s="130"/>
      <c r="CN200" s="130"/>
      <c r="CO200" s="130"/>
      <c r="CP200" s="130"/>
      <c r="CQ200" s="130"/>
      <c r="CR200" s="131"/>
      <c r="CS200" s="132">
        <f t="shared" si="610"/>
        <v>0</v>
      </c>
      <c r="CT200" s="133"/>
      <c r="CU200" s="130"/>
      <c r="CV200" s="130"/>
      <c r="CW200" s="130"/>
      <c r="CX200" s="130"/>
      <c r="CY200" s="130"/>
      <c r="CZ200" s="130"/>
      <c r="DA200" s="130"/>
      <c r="DB200" s="130"/>
      <c r="DC200" s="130"/>
      <c r="DD200" s="130"/>
      <c r="DE200" s="131"/>
      <c r="DF200" s="132">
        <f t="shared" si="611"/>
        <v>0</v>
      </c>
      <c r="DG200" s="278"/>
      <c r="DH200" s="164">
        <f t="shared" si="614"/>
        <v>0</v>
      </c>
      <c r="DI200" s="91">
        <f t="shared" si="612"/>
        <v>0</v>
      </c>
      <c r="DJ200" s="92">
        <f t="shared" si="613"/>
        <v>0</v>
      </c>
    </row>
    <row r="201" spans="1:115" ht="15" customHeight="1">
      <c r="A201" s="602"/>
      <c r="B201" s="547"/>
      <c r="C201" s="552" t="s">
        <v>63</v>
      </c>
      <c r="D201" s="184" t="s">
        <v>107</v>
      </c>
      <c r="E201" s="128">
        <f t="shared" si="604"/>
        <v>42000</v>
      </c>
      <c r="F201" s="128"/>
      <c r="G201" s="129"/>
      <c r="H201" s="130"/>
      <c r="I201" s="130"/>
      <c r="J201" s="130"/>
      <c r="K201" s="130"/>
      <c r="L201" s="130"/>
      <c r="M201" s="130"/>
      <c r="N201" s="130"/>
      <c r="O201" s="130"/>
      <c r="P201" s="282"/>
      <c r="Q201" s="282"/>
      <c r="R201" s="284"/>
      <c r="S201" s="140">
        <f t="shared" si="605"/>
        <v>0</v>
      </c>
      <c r="T201" s="391"/>
      <c r="U201" s="379"/>
      <c r="V201" s="379"/>
      <c r="W201" s="379"/>
      <c r="X201" s="379"/>
      <c r="Y201" s="379"/>
      <c r="Z201" s="379"/>
      <c r="AA201" s="379"/>
      <c r="AB201" s="379"/>
      <c r="AC201" s="379"/>
      <c r="AD201" s="379"/>
      <c r="AE201" s="381"/>
      <c r="AF201" s="140">
        <f t="shared" si="606"/>
        <v>0</v>
      </c>
      <c r="AG201" s="496"/>
      <c r="AH201" s="510"/>
      <c r="AI201" s="510"/>
      <c r="AJ201" s="499"/>
      <c r="AK201" s="510"/>
      <c r="AL201" s="510"/>
      <c r="AM201" s="510"/>
      <c r="AN201" s="510"/>
      <c r="AO201" s="499"/>
      <c r="AP201" s="499"/>
      <c r="AQ201" s="510"/>
      <c r="AR201" s="510"/>
      <c r="AS201" s="407">
        <f t="shared" si="622"/>
        <v>0</v>
      </c>
      <c r="AT201" s="516"/>
      <c r="AU201" s="499"/>
      <c r="AV201" s="499"/>
      <c r="AW201" s="253"/>
      <c r="AX201" s="253"/>
      <c r="AY201" s="338"/>
      <c r="AZ201" s="282"/>
      <c r="BA201" s="282"/>
      <c r="BB201" s="282"/>
      <c r="BC201" s="338"/>
      <c r="BD201" s="338"/>
      <c r="BE201" s="338"/>
      <c r="BF201" s="140">
        <f t="shared" si="607"/>
        <v>0</v>
      </c>
      <c r="BG201" s="133"/>
      <c r="BH201" s="130"/>
      <c r="BI201" s="130"/>
      <c r="BJ201" s="130"/>
      <c r="BK201" s="130"/>
      <c r="BL201" s="130"/>
      <c r="BM201" s="130"/>
      <c r="BN201" s="535">
        <v>42000</v>
      </c>
      <c r="BO201" s="130"/>
      <c r="BP201" s="130"/>
      <c r="BQ201" s="130"/>
      <c r="BR201" s="131"/>
      <c r="BS201" s="140">
        <f t="shared" si="608"/>
        <v>42000</v>
      </c>
      <c r="BT201" s="133"/>
      <c r="BU201" s="130"/>
      <c r="BV201" s="130"/>
      <c r="BW201" s="130"/>
      <c r="BX201" s="130"/>
      <c r="BY201" s="130"/>
      <c r="BZ201" s="130"/>
      <c r="CA201" s="130"/>
      <c r="CB201" s="130"/>
      <c r="CC201" s="130"/>
      <c r="CD201" s="130"/>
      <c r="CE201" s="131"/>
      <c r="CF201" s="140">
        <f t="shared" si="609"/>
        <v>0</v>
      </c>
      <c r="CG201" s="133"/>
      <c r="CH201" s="130"/>
      <c r="CI201" s="130"/>
      <c r="CJ201" s="130"/>
      <c r="CK201" s="130"/>
      <c r="CL201" s="130"/>
      <c r="CM201" s="130"/>
      <c r="CN201" s="130"/>
      <c r="CO201" s="130"/>
      <c r="CP201" s="130"/>
      <c r="CQ201" s="130"/>
      <c r="CR201" s="131"/>
      <c r="CS201" s="140">
        <f t="shared" si="610"/>
        <v>0</v>
      </c>
      <c r="CT201" s="133"/>
      <c r="CU201" s="130"/>
      <c r="CV201" s="130"/>
      <c r="CW201" s="130"/>
      <c r="CX201" s="130"/>
      <c r="CY201" s="130"/>
      <c r="CZ201" s="130"/>
      <c r="DA201" s="130"/>
      <c r="DB201" s="130"/>
      <c r="DC201" s="130"/>
      <c r="DD201" s="130"/>
      <c r="DE201" s="131"/>
      <c r="DF201" s="140">
        <f t="shared" si="611"/>
        <v>0</v>
      </c>
      <c r="DG201" s="278"/>
      <c r="DH201" s="90">
        <f t="shared" si="614"/>
        <v>42000</v>
      </c>
      <c r="DI201" s="91">
        <f t="shared" si="612"/>
        <v>42000</v>
      </c>
      <c r="DJ201" s="92">
        <f t="shared" si="613"/>
        <v>0</v>
      </c>
    </row>
    <row r="202" spans="1:115" ht="15" customHeight="1">
      <c r="A202" s="602"/>
      <c r="B202" s="548"/>
      <c r="C202" s="553"/>
      <c r="D202" s="184" t="s">
        <v>108</v>
      </c>
      <c r="E202" s="136">
        <f t="shared" si="604"/>
        <v>0</v>
      </c>
      <c r="F202" s="136"/>
      <c r="G202" s="137"/>
      <c r="H202" s="138"/>
      <c r="I202" s="138"/>
      <c r="J202" s="138"/>
      <c r="K202" s="138"/>
      <c r="L202" s="138"/>
      <c r="M202" s="138"/>
      <c r="N202" s="130"/>
      <c r="O202" s="130"/>
      <c r="P202" s="130"/>
      <c r="Q202" s="130"/>
      <c r="R202" s="130"/>
      <c r="S202" s="140">
        <f t="shared" si="605"/>
        <v>0</v>
      </c>
      <c r="T202" s="384"/>
      <c r="U202" s="381"/>
      <c r="V202" s="381"/>
      <c r="W202" s="381"/>
      <c r="X202" s="381"/>
      <c r="Y202" s="381"/>
      <c r="Z202" s="381"/>
      <c r="AA202" s="381"/>
      <c r="AB202" s="381"/>
      <c r="AC202" s="381"/>
      <c r="AD202" s="379"/>
      <c r="AE202" s="392"/>
      <c r="AF202" s="140">
        <f t="shared" si="606"/>
        <v>0</v>
      </c>
      <c r="AG202" s="510"/>
      <c r="AH202" s="499"/>
      <c r="AI202" s="499"/>
      <c r="AJ202" s="499"/>
      <c r="AK202" s="499"/>
      <c r="AL202" s="499"/>
      <c r="AM202" s="499"/>
      <c r="AN202" s="499"/>
      <c r="AO202" s="499"/>
      <c r="AP202" s="499"/>
      <c r="AQ202" s="499"/>
      <c r="AR202" s="511"/>
      <c r="AS202" s="407">
        <f t="shared" si="622"/>
        <v>0</v>
      </c>
      <c r="AT202" s="501"/>
      <c r="AU202" s="499"/>
      <c r="AV202" s="499"/>
      <c r="AW202" s="253"/>
      <c r="AX202" s="253"/>
      <c r="AY202" s="253"/>
      <c r="AZ202" s="253"/>
      <c r="BA202" s="253"/>
      <c r="BB202" s="253"/>
      <c r="BC202" s="253"/>
      <c r="BD202" s="253"/>
      <c r="BE202" s="338"/>
      <c r="BF202" s="140">
        <f t="shared" si="607"/>
        <v>0</v>
      </c>
      <c r="BG202" s="141"/>
      <c r="BH202" s="138"/>
      <c r="BI202" s="138"/>
      <c r="BJ202" s="138"/>
      <c r="BK202" s="138"/>
      <c r="BL202" s="138"/>
      <c r="BM202" s="138"/>
      <c r="BN202" s="138"/>
      <c r="BO202" s="138"/>
      <c r="BP202" s="138"/>
      <c r="BQ202" s="138"/>
      <c r="BR202" s="139"/>
      <c r="BS202" s="140">
        <f t="shared" si="608"/>
        <v>0</v>
      </c>
      <c r="BT202" s="141"/>
      <c r="BU202" s="138"/>
      <c r="BV202" s="138"/>
      <c r="BW202" s="138"/>
      <c r="BX202" s="138"/>
      <c r="BY202" s="138"/>
      <c r="BZ202" s="138"/>
      <c r="CA202" s="138"/>
      <c r="CB202" s="138"/>
      <c r="CC202" s="138"/>
      <c r="CD202" s="138"/>
      <c r="CE202" s="139"/>
      <c r="CF202" s="140">
        <f t="shared" si="609"/>
        <v>0</v>
      </c>
      <c r="CG202" s="141"/>
      <c r="CH202" s="138"/>
      <c r="CI202" s="138"/>
      <c r="CJ202" s="138"/>
      <c r="CK202" s="138"/>
      <c r="CL202" s="138"/>
      <c r="CM202" s="138"/>
      <c r="CN202" s="138"/>
      <c r="CO202" s="138"/>
      <c r="CP202" s="138"/>
      <c r="CQ202" s="138"/>
      <c r="CR202" s="139"/>
      <c r="CS202" s="140">
        <f t="shared" si="610"/>
        <v>0</v>
      </c>
      <c r="CT202" s="141"/>
      <c r="CU202" s="138"/>
      <c r="CV202" s="138"/>
      <c r="CW202" s="138"/>
      <c r="CX202" s="138"/>
      <c r="CY202" s="138"/>
      <c r="CZ202" s="138"/>
      <c r="DA202" s="138"/>
      <c r="DB202" s="138"/>
      <c r="DC202" s="138"/>
      <c r="DD202" s="138"/>
      <c r="DE202" s="139"/>
      <c r="DF202" s="140">
        <f t="shared" si="611"/>
        <v>0</v>
      </c>
      <c r="DG202" s="279"/>
      <c r="DH202" s="90">
        <f t="shared" si="614"/>
        <v>0</v>
      </c>
      <c r="DI202" s="91">
        <f t="shared" si="612"/>
        <v>0</v>
      </c>
      <c r="DJ202" s="92">
        <f t="shared" si="613"/>
        <v>0</v>
      </c>
      <c r="DK202" s="64" t="e">
        <f>+DH202/DH200</f>
        <v>#DIV/0!</v>
      </c>
    </row>
    <row r="203" spans="1:115" ht="15" customHeight="1">
      <c r="A203" s="602"/>
      <c r="B203" s="556"/>
      <c r="C203" s="554" t="s">
        <v>11</v>
      </c>
      <c r="D203" s="555"/>
      <c r="E203" s="143">
        <f>+E200-E201-E202</f>
        <v>-42000</v>
      </c>
      <c r="F203" s="144">
        <f>+F200-F201-F202</f>
        <v>0</v>
      </c>
      <c r="G203" s="145">
        <f t="shared" ref="G203:R203" si="631">+G200-G201-G202</f>
        <v>0</v>
      </c>
      <c r="H203" s="145">
        <f t="shared" si="631"/>
        <v>0</v>
      </c>
      <c r="I203" s="145">
        <f t="shared" si="631"/>
        <v>0</v>
      </c>
      <c r="J203" s="145">
        <f t="shared" si="631"/>
        <v>0</v>
      </c>
      <c r="K203" s="145">
        <f t="shared" si="631"/>
        <v>0</v>
      </c>
      <c r="L203" s="145">
        <f t="shared" si="631"/>
        <v>0</v>
      </c>
      <c r="M203" s="145">
        <f t="shared" si="631"/>
        <v>0</v>
      </c>
      <c r="N203" s="145">
        <f t="shared" si="631"/>
        <v>0</v>
      </c>
      <c r="O203" s="145">
        <f t="shared" si="631"/>
        <v>0</v>
      </c>
      <c r="P203" s="145">
        <f t="shared" si="631"/>
        <v>0</v>
      </c>
      <c r="Q203" s="145">
        <f t="shared" si="631"/>
        <v>0</v>
      </c>
      <c r="R203" s="145">
        <f t="shared" si="631"/>
        <v>0</v>
      </c>
      <c r="S203" s="147">
        <f t="shared" si="605"/>
        <v>0</v>
      </c>
      <c r="T203" s="393">
        <f>+T200-T201-T202</f>
        <v>0</v>
      </c>
      <c r="U203" s="145">
        <f t="shared" ref="U203:AE203" si="632">+U200-U201-U202</f>
        <v>0</v>
      </c>
      <c r="V203" s="145">
        <f t="shared" si="632"/>
        <v>0</v>
      </c>
      <c r="W203" s="145">
        <f t="shared" si="632"/>
        <v>0</v>
      </c>
      <c r="X203" s="145">
        <f t="shared" si="632"/>
        <v>0</v>
      </c>
      <c r="Y203" s="145">
        <f t="shared" si="632"/>
        <v>0</v>
      </c>
      <c r="Z203" s="145">
        <f t="shared" si="632"/>
        <v>0</v>
      </c>
      <c r="AA203" s="145">
        <f t="shared" si="632"/>
        <v>0</v>
      </c>
      <c r="AB203" s="145">
        <f t="shared" si="632"/>
        <v>0</v>
      </c>
      <c r="AC203" s="145">
        <f t="shared" si="632"/>
        <v>0</v>
      </c>
      <c r="AD203" s="145">
        <f t="shared" si="632"/>
        <v>0</v>
      </c>
      <c r="AE203" s="146">
        <f t="shared" si="632"/>
        <v>0</v>
      </c>
      <c r="AF203" s="147">
        <f t="shared" si="606"/>
        <v>0</v>
      </c>
      <c r="AG203" s="148">
        <f t="shared" ref="AG203:AR203" si="633">+AG200-AG201-AG202</f>
        <v>0</v>
      </c>
      <c r="AH203" s="145">
        <f t="shared" si="633"/>
        <v>0</v>
      </c>
      <c r="AI203" s="145">
        <f t="shared" si="633"/>
        <v>0</v>
      </c>
      <c r="AJ203" s="145">
        <f t="shared" si="633"/>
        <v>0</v>
      </c>
      <c r="AK203" s="145">
        <f t="shared" si="633"/>
        <v>0</v>
      </c>
      <c r="AL203" s="145">
        <f t="shared" si="633"/>
        <v>0</v>
      </c>
      <c r="AM203" s="145">
        <f t="shared" si="633"/>
        <v>0</v>
      </c>
      <c r="AN203" s="145">
        <f t="shared" si="633"/>
        <v>0</v>
      </c>
      <c r="AO203" s="145">
        <f t="shared" si="633"/>
        <v>0</v>
      </c>
      <c r="AP203" s="145">
        <f t="shared" si="633"/>
        <v>0</v>
      </c>
      <c r="AQ203" s="145">
        <f t="shared" si="633"/>
        <v>0</v>
      </c>
      <c r="AR203" s="146">
        <f t="shared" si="633"/>
        <v>0</v>
      </c>
      <c r="AS203" s="408">
        <f t="shared" si="622"/>
        <v>0</v>
      </c>
      <c r="AT203" s="148">
        <f t="shared" ref="AT203:BE203" si="634">+AT200-AT201-AT202</f>
        <v>0</v>
      </c>
      <c r="AU203" s="145">
        <f t="shared" si="634"/>
        <v>0</v>
      </c>
      <c r="AV203" s="145">
        <f t="shared" si="634"/>
        <v>0</v>
      </c>
      <c r="AW203" s="145">
        <f t="shared" si="634"/>
        <v>0</v>
      </c>
      <c r="AX203" s="145">
        <f t="shared" si="634"/>
        <v>0</v>
      </c>
      <c r="AY203" s="145">
        <f t="shared" si="634"/>
        <v>0</v>
      </c>
      <c r="AZ203" s="145">
        <f t="shared" si="634"/>
        <v>0</v>
      </c>
      <c r="BA203" s="145">
        <f t="shared" si="634"/>
        <v>0</v>
      </c>
      <c r="BB203" s="145">
        <f t="shared" si="634"/>
        <v>0</v>
      </c>
      <c r="BC203" s="145">
        <f t="shared" si="634"/>
        <v>0</v>
      </c>
      <c r="BD203" s="145">
        <f t="shared" si="634"/>
        <v>0</v>
      </c>
      <c r="BE203" s="146">
        <f t="shared" si="634"/>
        <v>0</v>
      </c>
      <c r="BF203" s="147">
        <f t="shared" si="607"/>
        <v>0</v>
      </c>
      <c r="BG203" s="148">
        <f t="shared" ref="BG203:BR203" si="635">+BG200-BG201-BG202</f>
        <v>0</v>
      </c>
      <c r="BH203" s="145">
        <f t="shared" si="635"/>
        <v>0</v>
      </c>
      <c r="BI203" s="145">
        <f t="shared" si="635"/>
        <v>0</v>
      </c>
      <c r="BJ203" s="145">
        <f t="shared" si="635"/>
        <v>0</v>
      </c>
      <c r="BK203" s="145">
        <f t="shared" si="635"/>
        <v>0</v>
      </c>
      <c r="BL203" s="145">
        <f t="shared" si="635"/>
        <v>0</v>
      </c>
      <c r="BM203" s="145">
        <f t="shared" si="635"/>
        <v>0</v>
      </c>
      <c r="BN203" s="145">
        <f t="shared" si="635"/>
        <v>-42000</v>
      </c>
      <c r="BO203" s="145">
        <f t="shared" si="635"/>
        <v>0</v>
      </c>
      <c r="BP203" s="145">
        <f t="shared" si="635"/>
        <v>0</v>
      </c>
      <c r="BQ203" s="145">
        <f t="shared" si="635"/>
        <v>0</v>
      </c>
      <c r="BR203" s="146">
        <f t="shared" si="635"/>
        <v>0</v>
      </c>
      <c r="BS203" s="147">
        <f t="shared" si="608"/>
        <v>-42000</v>
      </c>
      <c r="BT203" s="148">
        <f t="shared" ref="BT203:CE203" si="636">+BT200-BT201-BT202</f>
        <v>0</v>
      </c>
      <c r="BU203" s="145">
        <f t="shared" si="636"/>
        <v>0</v>
      </c>
      <c r="BV203" s="145">
        <f t="shared" si="636"/>
        <v>0</v>
      </c>
      <c r="BW203" s="145">
        <f t="shared" si="636"/>
        <v>0</v>
      </c>
      <c r="BX203" s="145">
        <f t="shared" si="636"/>
        <v>0</v>
      </c>
      <c r="BY203" s="145">
        <f t="shared" si="636"/>
        <v>0</v>
      </c>
      <c r="BZ203" s="145">
        <f t="shared" si="636"/>
        <v>0</v>
      </c>
      <c r="CA203" s="145">
        <f t="shared" si="636"/>
        <v>0</v>
      </c>
      <c r="CB203" s="145">
        <f t="shared" si="636"/>
        <v>0</v>
      </c>
      <c r="CC203" s="145">
        <f t="shared" si="636"/>
        <v>0</v>
      </c>
      <c r="CD203" s="145">
        <f t="shared" si="636"/>
        <v>0</v>
      </c>
      <c r="CE203" s="146">
        <f t="shared" si="636"/>
        <v>0</v>
      </c>
      <c r="CF203" s="147">
        <f t="shared" si="609"/>
        <v>0</v>
      </c>
      <c r="CG203" s="148">
        <f t="shared" ref="CG203:CR203" si="637">+CG200-CG201-CG202</f>
        <v>0</v>
      </c>
      <c r="CH203" s="145">
        <f t="shared" si="637"/>
        <v>0</v>
      </c>
      <c r="CI203" s="145">
        <f t="shared" si="637"/>
        <v>0</v>
      </c>
      <c r="CJ203" s="145">
        <f t="shared" si="637"/>
        <v>0</v>
      </c>
      <c r="CK203" s="145">
        <f t="shared" si="637"/>
        <v>0</v>
      </c>
      <c r="CL203" s="145">
        <f t="shared" si="637"/>
        <v>0</v>
      </c>
      <c r="CM203" s="145">
        <f t="shared" si="637"/>
        <v>0</v>
      </c>
      <c r="CN203" s="145">
        <f t="shared" si="637"/>
        <v>0</v>
      </c>
      <c r="CO203" s="145">
        <f t="shared" si="637"/>
        <v>0</v>
      </c>
      <c r="CP203" s="145">
        <f t="shared" si="637"/>
        <v>0</v>
      </c>
      <c r="CQ203" s="145">
        <f t="shared" si="637"/>
        <v>0</v>
      </c>
      <c r="CR203" s="146">
        <f t="shared" si="637"/>
        <v>0</v>
      </c>
      <c r="CS203" s="147">
        <f t="shared" si="610"/>
        <v>0</v>
      </c>
      <c r="CT203" s="148">
        <f t="shared" ref="CT203:DE203" si="638">+CT200-CT201-CT202</f>
        <v>0</v>
      </c>
      <c r="CU203" s="145">
        <f t="shared" si="638"/>
        <v>0</v>
      </c>
      <c r="CV203" s="145">
        <f t="shared" si="638"/>
        <v>0</v>
      </c>
      <c r="CW203" s="145">
        <f t="shared" si="638"/>
        <v>0</v>
      </c>
      <c r="CX203" s="145">
        <f t="shared" si="638"/>
        <v>0</v>
      </c>
      <c r="CY203" s="145">
        <f t="shared" si="638"/>
        <v>0</v>
      </c>
      <c r="CZ203" s="145">
        <f t="shared" si="638"/>
        <v>0</v>
      </c>
      <c r="DA203" s="145">
        <f t="shared" si="638"/>
        <v>0</v>
      </c>
      <c r="DB203" s="145">
        <f t="shared" si="638"/>
        <v>0</v>
      </c>
      <c r="DC203" s="145">
        <f t="shared" si="638"/>
        <v>0</v>
      </c>
      <c r="DD203" s="145">
        <f t="shared" si="638"/>
        <v>0</v>
      </c>
      <c r="DE203" s="146">
        <f t="shared" si="638"/>
        <v>0</v>
      </c>
      <c r="DF203" s="147">
        <f t="shared" si="611"/>
        <v>0</v>
      </c>
      <c r="DG203" s="146">
        <f>+DG200-DG201-DG202</f>
        <v>0</v>
      </c>
      <c r="DH203" s="149">
        <f t="shared" si="614"/>
        <v>-42000</v>
      </c>
      <c r="DI203" s="150">
        <f t="shared" si="612"/>
        <v>-42000</v>
      </c>
      <c r="DJ203" s="151">
        <f t="shared" si="613"/>
        <v>0</v>
      </c>
    </row>
    <row r="204" spans="1:115" ht="15" customHeight="1">
      <c r="A204" s="602"/>
      <c r="B204" s="546" t="s">
        <v>78</v>
      </c>
      <c r="C204" s="550" t="s">
        <v>62</v>
      </c>
      <c r="D204" s="551"/>
      <c r="E204" s="153">
        <f t="shared" si="604"/>
        <v>41034.650409563896</v>
      </c>
      <c r="F204" s="128"/>
      <c r="G204" s="129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1"/>
      <c r="S204" s="132">
        <f t="shared" si="605"/>
        <v>0</v>
      </c>
      <c r="T204" s="391"/>
      <c r="U204" s="379"/>
      <c r="V204" s="379"/>
      <c r="W204" s="379"/>
      <c r="X204" s="379"/>
      <c r="Y204" s="379"/>
      <c r="Z204" s="379"/>
      <c r="AA204" s="379"/>
      <c r="AB204" s="379"/>
      <c r="AC204" s="379"/>
      <c r="AD204" s="379"/>
      <c r="AE204" s="480"/>
      <c r="AF204" s="132">
        <f t="shared" si="606"/>
        <v>0</v>
      </c>
      <c r="AG204" s="496"/>
      <c r="AH204" s="510"/>
      <c r="AI204" s="510"/>
      <c r="AJ204" s="510"/>
      <c r="AK204" s="510"/>
      <c r="AL204" s="510"/>
      <c r="AM204" s="510">
        <v>530.84411274865397</v>
      </c>
      <c r="AN204" s="510"/>
      <c r="AO204" s="510">
        <v>7.806296815238384</v>
      </c>
      <c r="AP204" s="510"/>
      <c r="AQ204" s="510"/>
      <c r="AR204" s="515"/>
      <c r="AS204" s="406">
        <f t="shared" si="622"/>
        <v>538.65040956389237</v>
      </c>
      <c r="AT204" s="516"/>
      <c r="AU204" s="510"/>
      <c r="AV204" s="510"/>
      <c r="AW204" s="130"/>
      <c r="AX204" s="130"/>
      <c r="AY204" s="130"/>
      <c r="AZ204" s="130"/>
      <c r="BA204" s="130"/>
      <c r="BB204" s="130"/>
      <c r="BC204" s="130"/>
      <c r="BD204" s="130"/>
      <c r="BE204" s="131"/>
      <c r="BF204" s="132">
        <f t="shared" si="607"/>
        <v>0</v>
      </c>
      <c r="BG204" s="133"/>
      <c r="BH204" s="130"/>
      <c r="BI204" s="130"/>
      <c r="BJ204" s="130"/>
      <c r="BK204" s="130"/>
      <c r="BL204" s="130"/>
      <c r="BM204" s="130"/>
      <c r="BN204" s="130"/>
      <c r="BO204" s="130"/>
      <c r="BP204" s="130"/>
      <c r="BQ204" s="130"/>
      <c r="BR204" s="131"/>
      <c r="BS204" s="132">
        <f t="shared" si="608"/>
        <v>0</v>
      </c>
      <c r="BT204" s="133"/>
      <c r="BU204" s="130"/>
      <c r="BV204" s="130"/>
      <c r="BW204" s="130"/>
      <c r="BX204" s="130"/>
      <c r="BY204" s="130"/>
      <c r="BZ204" s="130"/>
      <c r="CA204" s="130"/>
      <c r="CB204" s="130"/>
      <c r="CC204" s="130"/>
      <c r="CD204" s="130"/>
      <c r="CE204" s="131"/>
      <c r="CF204" s="132">
        <f t="shared" si="609"/>
        <v>0</v>
      </c>
      <c r="CG204" s="133"/>
      <c r="CH204" s="130"/>
      <c r="CI204" s="130"/>
      <c r="CJ204" s="130"/>
      <c r="CK204" s="130"/>
      <c r="CL204" s="130"/>
      <c r="CM204" s="130"/>
      <c r="CN204" s="130"/>
      <c r="CO204" s="130"/>
      <c r="CP204" s="130"/>
      <c r="CQ204" s="130"/>
      <c r="CR204" s="131"/>
      <c r="CS204" s="132">
        <f t="shared" si="610"/>
        <v>0</v>
      </c>
      <c r="CT204" s="133"/>
      <c r="CU204" s="130"/>
      <c r="CV204" s="130"/>
      <c r="CW204" s="130"/>
      <c r="CX204" s="130"/>
      <c r="CY204" s="130"/>
      <c r="CZ204" s="130"/>
      <c r="DA204" s="130"/>
      <c r="DB204" s="130"/>
      <c r="DC204" s="130"/>
      <c r="DD204" s="130"/>
      <c r="DE204" s="131"/>
      <c r="DF204" s="132">
        <f t="shared" si="611"/>
        <v>0</v>
      </c>
      <c r="DG204" s="278">
        <v>40496</v>
      </c>
      <c r="DH204" s="159">
        <f t="shared" si="614"/>
        <v>41034.650409563896</v>
      </c>
      <c r="DI204" s="160">
        <f t="shared" si="612"/>
        <v>41034.650409563896</v>
      </c>
      <c r="DJ204" s="161">
        <f t="shared" si="613"/>
        <v>0</v>
      </c>
    </row>
    <row r="205" spans="1:115" ht="15" customHeight="1">
      <c r="A205" s="602"/>
      <c r="B205" s="547"/>
      <c r="C205" s="552" t="s">
        <v>63</v>
      </c>
      <c r="D205" s="184" t="s">
        <v>107</v>
      </c>
      <c r="E205" s="128">
        <f t="shared" si="604"/>
        <v>20038.410239033146</v>
      </c>
      <c r="F205" s="128"/>
      <c r="G205" s="129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1"/>
      <c r="S205" s="140">
        <f t="shared" si="605"/>
        <v>0</v>
      </c>
      <c r="T205" s="391"/>
      <c r="U205" s="379"/>
      <c r="V205" s="379"/>
      <c r="W205" s="379"/>
      <c r="X205" s="379"/>
      <c r="Y205" s="379"/>
      <c r="Z205" s="379"/>
      <c r="AA205" s="379"/>
      <c r="AB205" s="379"/>
      <c r="AC205" s="392"/>
      <c r="AD205" s="392"/>
      <c r="AE205" s="392"/>
      <c r="AF205" s="132">
        <f t="shared" si="606"/>
        <v>0</v>
      </c>
      <c r="AG205" s="511"/>
      <c r="AH205" s="510"/>
      <c r="AI205" s="511"/>
      <c r="AJ205" s="510"/>
      <c r="AK205" s="511">
        <v>4021.1840861041705</v>
      </c>
      <c r="AL205" s="511">
        <v>10025.982748706154</v>
      </c>
      <c r="AM205" s="510">
        <v>5991.2434042228197</v>
      </c>
      <c r="AN205" s="510"/>
      <c r="AO205" s="510"/>
      <c r="AP205" s="510"/>
      <c r="AQ205" s="510"/>
      <c r="AR205" s="511"/>
      <c r="AS205" s="407">
        <f t="shared" si="622"/>
        <v>20038.410239033146</v>
      </c>
      <c r="AT205" s="516"/>
      <c r="AU205" s="510"/>
      <c r="AV205" s="510"/>
      <c r="AW205" s="130"/>
      <c r="AX205" s="130"/>
      <c r="AY205" s="130"/>
      <c r="AZ205" s="130"/>
      <c r="BA205" s="130"/>
      <c r="BB205" s="130"/>
      <c r="BC205" s="130"/>
      <c r="BD205" s="130"/>
      <c r="BE205" s="131"/>
      <c r="BF205" s="140">
        <f t="shared" si="607"/>
        <v>0</v>
      </c>
      <c r="BG205" s="133"/>
      <c r="BH205" s="130"/>
      <c r="BI205" s="130"/>
      <c r="BJ205" s="130"/>
      <c r="BK205" s="130"/>
      <c r="BL205" s="130"/>
      <c r="BM205" s="130"/>
      <c r="BN205" s="130"/>
      <c r="BO205" s="130"/>
      <c r="BP205" s="130"/>
      <c r="BQ205" s="130"/>
      <c r="BR205" s="131"/>
      <c r="BS205" s="140">
        <f t="shared" si="608"/>
        <v>0</v>
      </c>
      <c r="BT205" s="133"/>
      <c r="BU205" s="130"/>
      <c r="BV205" s="130"/>
      <c r="BW205" s="130"/>
      <c r="BX205" s="130"/>
      <c r="BY205" s="130"/>
      <c r="BZ205" s="130"/>
      <c r="CA205" s="130"/>
      <c r="CB205" s="130"/>
      <c r="CC205" s="130"/>
      <c r="CD205" s="130"/>
      <c r="CE205" s="131"/>
      <c r="CF205" s="140">
        <f t="shared" si="609"/>
        <v>0</v>
      </c>
      <c r="CG205" s="133"/>
      <c r="CH205" s="130"/>
      <c r="CI205" s="130"/>
      <c r="CJ205" s="130"/>
      <c r="CK205" s="130"/>
      <c r="CL205" s="130"/>
      <c r="CM205" s="130"/>
      <c r="CN205" s="130"/>
      <c r="CO205" s="130"/>
      <c r="CP205" s="130"/>
      <c r="CQ205" s="130"/>
      <c r="CR205" s="131"/>
      <c r="CS205" s="140">
        <f t="shared" si="610"/>
        <v>0</v>
      </c>
      <c r="CT205" s="133"/>
      <c r="CU205" s="130"/>
      <c r="CV205" s="130"/>
      <c r="CW205" s="130"/>
      <c r="CX205" s="130"/>
      <c r="CY205" s="130"/>
      <c r="CZ205" s="130"/>
      <c r="DA205" s="130"/>
      <c r="DB205" s="130"/>
      <c r="DC205" s="130"/>
      <c r="DD205" s="130"/>
      <c r="DE205" s="131"/>
      <c r="DF205" s="140">
        <f t="shared" si="611"/>
        <v>0</v>
      </c>
      <c r="DG205" s="278"/>
      <c r="DH205" s="90">
        <f t="shared" si="614"/>
        <v>20038.410239033146</v>
      </c>
      <c r="DI205" s="91">
        <f t="shared" si="612"/>
        <v>20038.410239033146</v>
      </c>
      <c r="DJ205" s="92">
        <f t="shared" si="613"/>
        <v>0</v>
      </c>
    </row>
    <row r="206" spans="1:115" ht="15" customHeight="1">
      <c r="A206" s="602"/>
      <c r="B206" s="548"/>
      <c r="C206" s="553"/>
      <c r="D206" s="184" t="s">
        <v>108</v>
      </c>
      <c r="E206" s="136">
        <f t="shared" si="604"/>
        <v>568.34267787744659</v>
      </c>
      <c r="F206" s="136"/>
      <c r="G206" s="137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1"/>
      <c r="S206" s="140">
        <f t="shared" si="605"/>
        <v>0</v>
      </c>
      <c r="T206" s="391"/>
      <c r="U206" s="381"/>
      <c r="V206" s="381"/>
      <c r="W206" s="381">
        <f>16.062+5.468</f>
        <v>21.53</v>
      </c>
      <c r="X206" s="381">
        <f>1.027+3.895</f>
        <v>4.9219999999999997</v>
      </c>
      <c r="Y206" s="381">
        <f>4.109+6.888</f>
        <v>10.997</v>
      </c>
      <c r="Z206" s="392">
        <f>0.638</f>
        <v>0.63800000000000001</v>
      </c>
      <c r="AA206" s="392">
        <v>73.918668060805899</v>
      </c>
      <c r="AB206" s="392">
        <v>8.1238068158739178</v>
      </c>
      <c r="AC206" s="395"/>
      <c r="AD206" s="395"/>
      <c r="AE206" s="392"/>
      <c r="AF206" s="132">
        <f t="shared" si="606"/>
        <v>120.12947487667982</v>
      </c>
      <c r="AG206" s="497">
        <v>77.894345470480445</v>
      </c>
      <c r="AH206" s="499">
        <v>19.692176023506367</v>
      </c>
      <c r="AI206" s="499">
        <v>24.701050326261086</v>
      </c>
      <c r="AJ206" s="499">
        <v>199.96308922461844</v>
      </c>
      <c r="AK206" s="499">
        <v>34.834084566596196</v>
      </c>
      <c r="AL206" s="499">
        <v>91.128457389304202</v>
      </c>
      <c r="AM206" s="499"/>
      <c r="AN206" s="499"/>
      <c r="AO206" s="499"/>
      <c r="AP206" s="499"/>
      <c r="AQ206" s="499"/>
      <c r="AR206" s="511"/>
      <c r="AS206" s="407">
        <f t="shared" si="622"/>
        <v>448.21320300076673</v>
      </c>
      <c r="AT206" s="501"/>
      <c r="AU206" s="499"/>
      <c r="AV206" s="499"/>
      <c r="AW206" s="138"/>
      <c r="AX206" s="138"/>
      <c r="AY206" s="138"/>
      <c r="AZ206" s="138"/>
      <c r="BA206" s="138"/>
      <c r="BB206" s="138"/>
      <c r="BC206" s="138"/>
      <c r="BD206" s="138"/>
      <c r="BE206" s="139"/>
      <c r="BF206" s="140">
        <f t="shared" si="607"/>
        <v>0</v>
      </c>
      <c r="BG206" s="141"/>
      <c r="BH206" s="138"/>
      <c r="BI206" s="138"/>
      <c r="BJ206" s="138"/>
      <c r="BK206" s="138"/>
      <c r="BL206" s="138"/>
      <c r="BM206" s="138"/>
      <c r="BN206" s="138"/>
      <c r="BO206" s="138"/>
      <c r="BP206" s="138"/>
      <c r="BQ206" s="138"/>
      <c r="BR206" s="139"/>
      <c r="BS206" s="140">
        <f t="shared" si="608"/>
        <v>0</v>
      </c>
      <c r="BT206" s="141"/>
      <c r="BU206" s="138"/>
      <c r="BV206" s="138"/>
      <c r="BW206" s="138"/>
      <c r="BX206" s="138"/>
      <c r="BY206" s="138"/>
      <c r="BZ206" s="138"/>
      <c r="CA206" s="138"/>
      <c r="CB206" s="138"/>
      <c r="CC206" s="138"/>
      <c r="CD206" s="138"/>
      <c r="CE206" s="139"/>
      <c r="CF206" s="140">
        <f t="shared" si="609"/>
        <v>0</v>
      </c>
      <c r="CG206" s="141"/>
      <c r="CH206" s="138"/>
      <c r="CI206" s="138"/>
      <c r="CJ206" s="138"/>
      <c r="CK206" s="138"/>
      <c r="CL206" s="138"/>
      <c r="CM206" s="138"/>
      <c r="CN206" s="138"/>
      <c r="CO206" s="138"/>
      <c r="CP206" s="138"/>
      <c r="CQ206" s="138"/>
      <c r="CR206" s="139"/>
      <c r="CS206" s="140">
        <f t="shared" si="610"/>
        <v>0</v>
      </c>
      <c r="CT206" s="141"/>
      <c r="CU206" s="138"/>
      <c r="CV206" s="138"/>
      <c r="CW206" s="138"/>
      <c r="CX206" s="138"/>
      <c r="CY206" s="138"/>
      <c r="CZ206" s="138"/>
      <c r="DA206" s="138"/>
      <c r="DB206" s="138"/>
      <c r="DC206" s="138"/>
      <c r="DD206" s="138"/>
      <c r="DE206" s="139"/>
      <c r="DF206" s="140">
        <f t="shared" si="611"/>
        <v>0</v>
      </c>
      <c r="DG206" s="279"/>
      <c r="DH206" s="90">
        <f t="shared" si="614"/>
        <v>568.34267787744659</v>
      </c>
      <c r="DI206" s="91">
        <f t="shared" si="612"/>
        <v>568.34267787744659</v>
      </c>
      <c r="DJ206" s="92">
        <f t="shared" si="613"/>
        <v>0</v>
      </c>
      <c r="DK206" s="64">
        <f>+DH206/DH204</f>
        <v>1.3850311193219856E-2</v>
      </c>
    </row>
    <row r="207" spans="1:115" ht="15" customHeight="1">
      <c r="A207" s="602"/>
      <c r="B207" s="549"/>
      <c r="C207" s="554" t="s">
        <v>11</v>
      </c>
      <c r="D207" s="555"/>
      <c r="E207" s="143">
        <f t="shared" ref="E207:R207" si="639">+E204-E205-E206</f>
        <v>20427.897492653301</v>
      </c>
      <c r="F207" s="144">
        <f t="shared" si="639"/>
        <v>0</v>
      </c>
      <c r="G207" s="145">
        <f t="shared" si="639"/>
        <v>0</v>
      </c>
      <c r="H207" s="145">
        <f t="shared" si="639"/>
        <v>0</v>
      </c>
      <c r="I207" s="145">
        <f t="shared" si="639"/>
        <v>0</v>
      </c>
      <c r="J207" s="145">
        <f t="shared" si="639"/>
        <v>0</v>
      </c>
      <c r="K207" s="145">
        <f t="shared" si="639"/>
        <v>0</v>
      </c>
      <c r="L207" s="145">
        <f t="shared" si="639"/>
        <v>0</v>
      </c>
      <c r="M207" s="145">
        <f t="shared" si="639"/>
        <v>0</v>
      </c>
      <c r="N207" s="145">
        <f t="shared" si="639"/>
        <v>0</v>
      </c>
      <c r="O207" s="145">
        <f t="shared" si="639"/>
        <v>0</v>
      </c>
      <c r="P207" s="145">
        <f t="shared" si="639"/>
        <v>0</v>
      </c>
      <c r="Q207" s="145">
        <f t="shared" si="639"/>
        <v>0</v>
      </c>
      <c r="R207" s="146">
        <f t="shared" si="639"/>
        <v>0</v>
      </c>
      <c r="S207" s="147">
        <f t="shared" si="605"/>
        <v>0</v>
      </c>
      <c r="T207" s="393">
        <f>+T204-T205-T206</f>
        <v>0</v>
      </c>
      <c r="U207" s="145">
        <f t="shared" ref="U207:AE207" si="640">+U204-U205-U206</f>
        <v>0</v>
      </c>
      <c r="V207" s="145">
        <f t="shared" si="640"/>
        <v>0</v>
      </c>
      <c r="W207" s="145">
        <f t="shared" si="640"/>
        <v>-21.53</v>
      </c>
      <c r="X207" s="145">
        <f t="shared" si="640"/>
        <v>-4.9219999999999997</v>
      </c>
      <c r="Y207" s="145">
        <f t="shared" si="640"/>
        <v>-10.997</v>
      </c>
      <c r="Z207" s="145">
        <f t="shared" si="640"/>
        <v>-0.63800000000000001</v>
      </c>
      <c r="AA207" s="145">
        <f t="shared" si="640"/>
        <v>-73.918668060805899</v>
      </c>
      <c r="AB207" s="145">
        <f t="shared" si="640"/>
        <v>-8.1238068158739178</v>
      </c>
      <c r="AC207" s="145">
        <f t="shared" si="640"/>
        <v>0</v>
      </c>
      <c r="AD207" s="145">
        <f t="shared" si="640"/>
        <v>0</v>
      </c>
      <c r="AE207" s="146">
        <f t="shared" si="640"/>
        <v>0</v>
      </c>
      <c r="AF207" s="147">
        <f t="shared" si="606"/>
        <v>-120.12947487667982</v>
      </c>
      <c r="AG207" s="145">
        <f>+AG204-AG205-AG206</f>
        <v>-77.894345470480445</v>
      </c>
      <c r="AH207" s="145">
        <f t="shared" ref="AH207:AR207" si="641">+AH204-AH205-AH206</f>
        <v>-19.692176023506367</v>
      </c>
      <c r="AI207" s="145">
        <f t="shared" si="641"/>
        <v>-24.701050326261086</v>
      </c>
      <c r="AJ207" s="145">
        <f t="shared" si="641"/>
        <v>-199.96308922461844</v>
      </c>
      <c r="AK207" s="145">
        <f t="shared" si="641"/>
        <v>-4056.0181706707667</v>
      </c>
      <c r="AL207" s="145">
        <f t="shared" si="641"/>
        <v>-10117.111206095458</v>
      </c>
      <c r="AM207" s="145">
        <f t="shared" si="641"/>
        <v>-5460.3992914741657</v>
      </c>
      <c r="AN207" s="145">
        <f t="shared" si="641"/>
        <v>0</v>
      </c>
      <c r="AO207" s="145">
        <f t="shared" si="641"/>
        <v>7.806296815238384</v>
      </c>
      <c r="AP207" s="145">
        <f t="shared" si="641"/>
        <v>0</v>
      </c>
      <c r="AQ207" s="145">
        <f t="shared" si="641"/>
        <v>0</v>
      </c>
      <c r="AR207" s="146">
        <f t="shared" si="641"/>
        <v>0</v>
      </c>
      <c r="AS207" s="408">
        <f t="shared" si="622"/>
        <v>-19947.973032470021</v>
      </c>
      <c r="AT207" s="148">
        <f>+AT204-AT205-AT206</f>
        <v>0</v>
      </c>
      <c r="AU207" s="145">
        <f t="shared" ref="AU207:BE207" si="642">+AU204-AU205-AU206</f>
        <v>0</v>
      </c>
      <c r="AV207" s="145">
        <f t="shared" si="642"/>
        <v>0</v>
      </c>
      <c r="AW207" s="145">
        <f t="shared" si="642"/>
        <v>0</v>
      </c>
      <c r="AX207" s="145">
        <f t="shared" si="642"/>
        <v>0</v>
      </c>
      <c r="AY207" s="145">
        <f t="shared" si="642"/>
        <v>0</v>
      </c>
      <c r="AZ207" s="145">
        <f t="shared" si="642"/>
        <v>0</v>
      </c>
      <c r="BA207" s="145">
        <f t="shared" si="642"/>
        <v>0</v>
      </c>
      <c r="BB207" s="145">
        <f t="shared" si="642"/>
        <v>0</v>
      </c>
      <c r="BC207" s="145">
        <f t="shared" si="642"/>
        <v>0</v>
      </c>
      <c r="BD207" s="145">
        <f t="shared" si="642"/>
        <v>0</v>
      </c>
      <c r="BE207" s="146">
        <f t="shared" si="642"/>
        <v>0</v>
      </c>
      <c r="BF207" s="147">
        <f t="shared" si="607"/>
        <v>0</v>
      </c>
      <c r="BG207" s="145">
        <f>+BG204-BG205-BG206</f>
        <v>0</v>
      </c>
      <c r="BH207" s="145">
        <f t="shared" ref="BH207:BR207" si="643">+BH204-BH205-BH206</f>
        <v>0</v>
      </c>
      <c r="BI207" s="145">
        <f t="shared" si="643"/>
        <v>0</v>
      </c>
      <c r="BJ207" s="145">
        <f t="shared" si="643"/>
        <v>0</v>
      </c>
      <c r="BK207" s="145">
        <f t="shared" si="643"/>
        <v>0</v>
      </c>
      <c r="BL207" s="145">
        <f t="shared" si="643"/>
        <v>0</v>
      </c>
      <c r="BM207" s="145">
        <f t="shared" si="643"/>
        <v>0</v>
      </c>
      <c r="BN207" s="145">
        <f t="shared" si="643"/>
        <v>0</v>
      </c>
      <c r="BO207" s="145">
        <f t="shared" si="643"/>
        <v>0</v>
      </c>
      <c r="BP207" s="145">
        <f t="shared" si="643"/>
        <v>0</v>
      </c>
      <c r="BQ207" s="145">
        <f t="shared" si="643"/>
        <v>0</v>
      </c>
      <c r="BR207" s="146">
        <f t="shared" si="643"/>
        <v>0</v>
      </c>
      <c r="BS207" s="147">
        <f t="shared" si="608"/>
        <v>0</v>
      </c>
      <c r="BT207" s="145">
        <f>+BT204-BT205-BT206</f>
        <v>0</v>
      </c>
      <c r="BU207" s="145">
        <f t="shared" ref="BU207:CE207" si="644">+BU204-BU205-BU206</f>
        <v>0</v>
      </c>
      <c r="BV207" s="145">
        <f t="shared" si="644"/>
        <v>0</v>
      </c>
      <c r="BW207" s="145">
        <f t="shared" si="644"/>
        <v>0</v>
      </c>
      <c r="BX207" s="145">
        <f t="shared" si="644"/>
        <v>0</v>
      </c>
      <c r="BY207" s="145">
        <f t="shared" si="644"/>
        <v>0</v>
      </c>
      <c r="BZ207" s="145">
        <f t="shared" si="644"/>
        <v>0</v>
      </c>
      <c r="CA207" s="145">
        <f t="shared" si="644"/>
        <v>0</v>
      </c>
      <c r="CB207" s="145">
        <f t="shared" si="644"/>
        <v>0</v>
      </c>
      <c r="CC207" s="145">
        <f t="shared" si="644"/>
        <v>0</v>
      </c>
      <c r="CD207" s="145">
        <f t="shared" si="644"/>
        <v>0</v>
      </c>
      <c r="CE207" s="146">
        <f t="shared" si="644"/>
        <v>0</v>
      </c>
      <c r="CF207" s="147">
        <f t="shared" si="609"/>
        <v>0</v>
      </c>
      <c r="CG207" s="145">
        <f>+CG204-CG205-CG206</f>
        <v>0</v>
      </c>
      <c r="CH207" s="145">
        <f t="shared" ref="CH207:CR207" si="645">+CH204-CH205-CH206</f>
        <v>0</v>
      </c>
      <c r="CI207" s="145">
        <f t="shared" si="645"/>
        <v>0</v>
      </c>
      <c r="CJ207" s="145">
        <f t="shared" si="645"/>
        <v>0</v>
      </c>
      <c r="CK207" s="145">
        <f t="shared" si="645"/>
        <v>0</v>
      </c>
      <c r="CL207" s="145">
        <f t="shared" si="645"/>
        <v>0</v>
      </c>
      <c r="CM207" s="145">
        <f t="shared" si="645"/>
        <v>0</v>
      </c>
      <c r="CN207" s="145">
        <f t="shared" si="645"/>
        <v>0</v>
      </c>
      <c r="CO207" s="145">
        <f t="shared" si="645"/>
        <v>0</v>
      </c>
      <c r="CP207" s="145">
        <f t="shared" si="645"/>
        <v>0</v>
      </c>
      <c r="CQ207" s="145">
        <f t="shared" si="645"/>
        <v>0</v>
      </c>
      <c r="CR207" s="146">
        <f t="shared" si="645"/>
        <v>0</v>
      </c>
      <c r="CS207" s="147">
        <f t="shared" si="610"/>
        <v>0</v>
      </c>
      <c r="CT207" s="145">
        <f>+CT204-CT205-CT206</f>
        <v>0</v>
      </c>
      <c r="CU207" s="145">
        <f t="shared" ref="CU207:DE207" si="646">+CU204-CU205-CU206</f>
        <v>0</v>
      </c>
      <c r="CV207" s="145">
        <f t="shared" si="646"/>
        <v>0</v>
      </c>
      <c r="CW207" s="145">
        <f t="shared" si="646"/>
        <v>0</v>
      </c>
      <c r="CX207" s="145">
        <f t="shared" si="646"/>
        <v>0</v>
      </c>
      <c r="CY207" s="145">
        <f t="shared" si="646"/>
        <v>0</v>
      </c>
      <c r="CZ207" s="145">
        <f t="shared" si="646"/>
        <v>0</v>
      </c>
      <c r="DA207" s="145">
        <f t="shared" si="646"/>
        <v>0</v>
      </c>
      <c r="DB207" s="145">
        <f t="shared" si="646"/>
        <v>0</v>
      </c>
      <c r="DC207" s="145">
        <f t="shared" si="646"/>
        <v>0</v>
      </c>
      <c r="DD207" s="145">
        <f t="shared" si="646"/>
        <v>0</v>
      </c>
      <c r="DE207" s="146">
        <f t="shared" si="646"/>
        <v>0</v>
      </c>
      <c r="DF207" s="147">
        <f t="shared" si="611"/>
        <v>0</v>
      </c>
      <c r="DG207" s="146">
        <f>+DG204-DG206</f>
        <v>40496</v>
      </c>
      <c r="DH207" s="98">
        <f t="shared" si="614"/>
        <v>20427.897492653297</v>
      </c>
      <c r="DI207" s="99">
        <f t="shared" si="612"/>
        <v>20427.897492653301</v>
      </c>
      <c r="DJ207" s="100">
        <f t="shared" si="613"/>
        <v>0</v>
      </c>
    </row>
    <row r="208" spans="1:115" ht="15" customHeight="1">
      <c r="A208" s="602"/>
      <c r="B208" s="546" t="s">
        <v>358</v>
      </c>
      <c r="C208" s="550" t="s">
        <v>62</v>
      </c>
      <c r="D208" s="551"/>
      <c r="E208" s="153">
        <f t="shared" ref="E208:E210" si="647">AF208+AS208+BF208+BS208+CF208+CS208+DF208+S208+DG208</f>
        <v>0</v>
      </c>
      <c r="F208" s="128"/>
      <c r="G208" s="129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1"/>
      <c r="S208" s="132">
        <f t="shared" si="605"/>
        <v>0</v>
      </c>
      <c r="T208" s="391"/>
      <c r="U208" s="379"/>
      <c r="V208" s="379"/>
      <c r="W208" s="379"/>
      <c r="X208" s="379"/>
      <c r="Y208" s="379"/>
      <c r="Z208" s="379"/>
      <c r="AA208" s="379"/>
      <c r="AB208" s="379"/>
      <c r="AC208" s="379"/>
      <c r="AD208" s="379"/>
      <c r="AE208" s="480"/>
      <c r="AF208" s="132">
        <v>0</v>
      </c>
      <c r="AG208" s="496"/>
      <c r="AH208" s="510"/>
      <c r="AI208" s="510"/>
      <c r="AJ208" s="510"/>
      <c r="AK208" s="510"/>
      <c r="AL208" s="510"/>
      <c r="AM208" s="510">
        <v>530.84411274865397</v>
      </c>
      <c r="AN208" s="510"/>
      <c r="AO208" s="510">
        <v>7.806296815238384</v>
      </c>
      <c r="AP208" s="510"/>
      <c r="AQ208" s="510"/>
      <c r="AR208" s="515"/>
      <c r="AS208" s="406">
        <v>0</v>
      </c>
      <c r="AT208" s="516"/>
      <c r="AU208" s="510"/>
      <c r="AV208" s="510"/>
      <c r="AW208" s="130"/>
      <c r="AX208" s="130"/>
      <c r="AY208" s="130"/>
      <c r="AZ208" s="130"/>
      <c r="BA208" s="130"/>
      <c r="BB208" s="130"/>
      <c r="BC208" s="130"/>
      <c r="BD208" s="130"/>
      <c r="BE208" s="131"/>
      <c r="BF208" s="132">
        <f t="shared" si="607"/>
        <v>0</v>
      </c>
      <c r="BG208" s="133"/>
      <c r="BH208" s="130"/>
      <c r="BI208" s="130"/>
      <c r="BJ208" s="130"/>
      <c r="BK208" s="130"/>
      <c r="BL208" s="130"/>
      <c r="BM208" s="130"/>
      <c r="BN208" s="130"/>
      <c r="BO208" s="130"/>
      <c r="BP208" s="130"/>
      <c r="BQ208" s="130"/>
      <c r="BR208" s="131"/>
      <c r="BS208" s="132">
        <f t="shared" si="608"/>
        <v>0</v>
      </c>
      <c r="BT208" s="133"/>
      <c r="BU208" s="130"/>
      <c r="BV208" s="130"/>
      <c r="BW208" s="130"/>
      <c r="BX208" s="130"/>
      <c r="BY208" s="130"/>
      <c r="BZ208" s="130"/>
      <c r="CA208" s="130"/>
      <c r="CB208" s="130"/>
      <c r="CC208" s="130"/>
      <c r="CD208" s="130"/>
      <c r="CE208" s="131"/>
      <c r="CF208" s="132">
        <f t="shared" si="609"/>
        <v>0</v>
      </c>
      <c r="CG208" s="133"/>
      <c r="CH208" s="130"/>
      <c r="CI208" s="130"/>
      <c r="CJ208" s="130"/>
      <c r="CK208" s="130"/>
      <c r="CL208" s="130"/>
      <c r="CM208" s="130"/>
      <c r="CN208" s="130"/>
      <c r="CO208" s="130"/>
      <c r="CP208" s="130"/>
      <c r="CQ208" s="130"/>
      <c r="CR208" s="131"/>
      <c r="CS208" s="132">
        <f t="shared" si="610"/>
        <v>0</v>
      </c>
      <c r="CT208" s="133"/>
      <c r="CU208" s="130"/>
      <c r="CV208" s="130"/>
      <c r="CW208" s="130"/>
      <c r="CX208" s="130"/>
      <c r="CY208" s="130"/>
      <c r="CZ208" s="130"/>
      <c r="DA208" s="130"/>
      <c r="DB208" s="130"/>
      <c r="DC208" s="130"/>
      <c r="DD208" s="130"/>
      <c r="DE208" s="131"/>
      <c r="DF208" s="132">
        <f t="shared" si="611"/>
        <v>0</v>
      </c>
      <c r="DG208" s="278"/>
      <c r="DH208" s="159">
        <f t="shared" si="614"/>
        <v>0</v>
      </c>
      <c r="DI208" s="160">
        <f t="shared" si="612"/>
        <v>0</v>
      </c>
      <c r="DJ208" s="161">
        <f t="shared" si="613"/>
        <v>0</v>
      </c>
    </row>
    <row r="209" spans="1:115" ht="15" customHeight="1">
      <c r="A209" s="602"/>
      <c r="B209" s="547"/>
      <c r="C209" s="552" t="s">
        <v>63</v>
      </c>
      <c r="D209" s="184" t="s">
        <v>107</v>
      </c>
      <c r="E209" s="128">
        <f t="shared" si="647"/>
        <v>12000</v>
      </c>
      <c r="F209" s="128"/>
      <c r="G209" s="129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1"/>
      <c r="S209" s="140">
        <f t="shared" si="605"/>
        <v>0</v>
      </c>
      <c r="T209" s="391"/>
      <c r="U209" s="379"/>
      <c r="V209" s="379"/>
      <c r="W209" s="379"/>
      <c r="X209" s="379"/>
      <c r="Y209" s="379"/>
      <c r="Z209" s="379"/>
      <c r="AA209" s="379"/>
      <c r="AB209" s="379"/>
      <c r="AC209" s="392"/>
      <c r="AD209" s="392"/>
      <c r="AE209" s="392"/>
      <c r="AF209" s="132">
        <v>0</v>
      </c>
      <c r="AG209" s="511"/>
      <c r="AH209" s="510"/>
      <c r="AI209" s="511"/>
      <c r="AJ209" s="510"/>
      <c r="AK209" s="511">
        <v>4021.1840861041705</v>
      </c>
      <c r="AL209" s="511">
        <v>10025.982748706154</v>
      </c>
      <c r="AM209" s="510">
        <v>5991.2434042228197</v>
      </c>
      <c r="AN209" s="510"/>
      <c r="AO209" s="510"/>
      <c r="AP209" s="510"/>
      <c r="AQ209" s="510"/>
      <c r="AR209" s="511"/>
      <c r="AS209" s="407">
        <v>0</v>
      </c>
      <c r="AT209" s="516"/>
      <c r="AU209" s="510"/>
      <c r="AV209" s="510"/>
      <c r="AW209" s="130"/>
      <c r="AX209" s="130"/>
      <c r="AY209" s="130"/>
      <c r="AZ209" s="130"/>
      <c r="BA209" s="130"/>
      <c r="BB209" s="130"/>
      <c r="BC209" s="130">
        <v>6000</v>
      </c>
      <c r="BD209" s="130"/>
      <c r="BE209" s="131"/>
      <c r="BF209" s="140">
        <f t="shared" si="607"/>
        <v>6000</v>
      </c>
      <c r="BG209" s="133"/>
      <c r="BH209" s="130"/>
      <c r="BI209" s="130"/>
      <c r="BJ209" s="130"/>
      <c r="BK209" s="130"/>
      <c r="BL209" s="130"/>
      <c r="BM209" s="130"/>
      <c r="BN209" s="130"/>
      <c r="BO209" s="130">
        <v>6000</v>
      </c>
      <c r="BP209" s="130"/>
      <c r="BQ209" s="130"/>
      <c r="BR209" s="131"/>
      <c r="BS209" s="140">
        <f t="shared" si="608"/>
        <v>6000</v>
      </c>
      <c r="BT209" s="133"/>
      <c r="BU209" s="130"/>
      <c r="BV209" s="130"/>
      <c r="BW209" s="130"/>
      <c r="BX209" s="130"/>
      <c r="BY209" s="130"/>
      <c r="BZ209" s="130"/>
      <c r="CA209" s="130"/>
      <c r="CB209" s="130"/>
      <c r="CC209" s="130"/>
      <c r="CD209" s="130"/>
      <c r="CE209" s="131"/>
      <c r="CF209" s="140">
        <f t="shared" si="609"/>
        <v>0</v>
      </c>
      <c r="CG209" s="133"/>
      <c r="CH209" s="130"/>
      <c r="CI209" s="130"/>
      <c r="CJ209" s="130"/>
      <c r="CK209" s="130"/>
      <c r="CL209" s="130"/>
      <c r="CM209" s="130"/>
      <c r="CN209" s="130"/>
      <c r="CO209" s="130"/>
      <c r="CP209" s="130"/>
      <c r="CQ209" s="130"/>
      <c r="CR209" s="131"/>
      <c r="CS209" s="140">
        <f t="shared" si="610"/>
        <v>0</v>
      </c>
      <c r="CT209" s="133"/>
      <c r="CU209" s="130"/>
      <c r="CV209" s="130"/>
      <c r="CW209" s="130"/>
      <c r="CX209" s="130"/>
      <c r="CY209" s="130"/>
      <c r="CZ209" s="130"/>
      <c r="DA209" s="130"/>
      <c r="DB209" s="130"/>
      <c r="DC209" s="130"/>
      <c r="DD209" s="130"/>
      <c r="DE209" s="131"/>
      <c r="DF209" s="140">
        <f t="shared" si="611"/>
        <v>0</v>
      </c>
      <c r="DG209" s="278"/>
      <c r="DH209" s="90">
        <f t="shared" si="614"/>
        <v>12000</v>
      </c>
      <c r="DI209" s="91">
        <f t="shared" si="612"/>
        <v>12000</v>
      </c>
      <c r="DJ209" s="92">
        <f t="shared" si="613"/>
        <v>0</v>
      </c>
    </row>
    <row r="210" spans="1:115" ht="15" customHeight="1">
      <c r="A210" s="602"/>
      <c r="B210" s="548"/>
      <c r="C210" s="553"/>
      <c r="D210" s="184" t="s">
        <v>108</v>
      </c>
      <c r="E210" s="136">
        <f t="shared" si="647"/>
        <v>0</v>
      </c>
      <c r="F210" s="136"/>
      <c r="G210" s="137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1"/>
      <c r="S210" s="140">
        <f t="shared" si="605"/>
        <v>0</v>
      </c>
      <c r="T210" s="391"/>
      <c r="U210" s="381"/>
      <c r="V210" s="381"/>
      <c r="W210" s="381">
        <f>16.062+5.468</f>
        <v>21.53</v>
      </c>
      <c r="X210" s="381">
        <f>1.027+3.895</f>
        <v>4.9219999999999997</v>
      </c>
      <c r="Y210" s="381">
        <f>4.109+6.888</f>
        <v>10.997</v>
      </c>
      <c r="Z210" s="392">
        <f>0.638</f>
        <v>0.63800000000000001</v>
      </c>
      <c r="AA210" s="392">
        <v>73.918668060805899</v>
      </c>
      <c r="AB210" s="392">
        <v>8.1238068158739178</v>
      </c>
      <c r="AC210" s="395"/>
      <c r="AD210" s="395"/>
      <c r="AE210" s="392"/>
      <c r="AF210" s="132">
        <v>0</v>
      </c>
      <c r="AG210" s="497">
        <v>77.894345470480445</v>
      </c>
      <c r="AH210" s="499">
        <v>19.692176023506367</v>
      </c>
      <c r="AI210" s="499">
        <v>24.701050326261086</v>
      </c>
      <c r="AJ210" s="499">
        <v>199.96308922461844</v>
      </c>
      <c r="AK210" s="499">
        <v>34.834084566596196</v>
      </c>
      <c r="AL210" s="499">
        <v>91.128457389304202</v>
      </c>
      <c r="AM210" s="499"/>
      <c r="AN210" s="499"/>
      <c r="AO210" s="499"/>
      <c r="AP210" s="499"/>
      <c r="AQ210" s="499"/>
      <c r="AR210" s="511"/>
      <c r="AS210" s="407">
        <v>0</v>
      </c>
      <c r="AT210" s="501"/>
      <c r="AU210" s="499"/>
      <c r="AV210" s="499"/>
      <c r="AW210" s="138"/>
      <c r="AX210" s="138"/>
      <c r="AY210" s="138"/>
      <c r="AZ210" s="138"/>
      <c r="BA210" s="138"/>
      <c r="BB210" s="138"/>
      <c r="BC210" s="138"/>
      <c r="BD210" s="138"/>
      <c r="BE210" s="139"/>
      <c r="BF210" s="140">
        <f t="shared" si="607"/>
        <v>0</v>
      </c>
      <c r="BG210" s="141"/>
      <c r="BH210" s="138"/>
      <c r="BI210" s="138"/>
      <c r="BJ210" s="138"/>
      <c r="BK210" s="138"/>
      <c r="BL210" s="138"/>
      <c r="BM210" s="138"/>
      <c r="BN210" s="138"/>
      <c r="BO210" s="138"/>
      <c r="BP210" s="138"/>
      <c r="BQ210" s="138"/>
      <c r="BR210" s="139"/>
      <c r="BS210" s="140">
        <f t="shared" si="608"/>
        <v>0</v>
      </c>
      <c r="BT210" s="141"/>
      <c r="BU210" s="138"/>
      <c r="BV210" s="138"/>
      <c r="BW210" s="138"/>
      <c r="BX210" s="138"/>
      <c r="BY210" s="138"/>
      <c r="BZ210" s="138"/>
      <c r="CA210" s="138"/>
      <c r="CB210" s="138"/>
      <c r="CC210" s="138"/>
      <c r="CD210" s="138"/>
      <c r="CE210" s="139"/>
      <c r="CF210" s="140">
        <f t="shared" si="609"/>
        <v>0</v>
      </c>
      <c r="CG210" s="141"/>
      <c r="CH210" s="138"/>
      <c r="CI210" s="138"/>
      <c r="CJ210" s="138"/>
      <c r="CK210" s="138"/>
      <c r="CL210" s="138"/>
      <c r="CM210" s="138"/>
      <c r="CN210" s="138"/>
      <c r="CO210" s="138"/>
      <c r="CP210" s="138"/>
      <c r="CQ210" s="138"/>
      <c r="CR210" s="139"/>
      <c r="CS210" s="140">
        <f t="shared" si="610"/>
        <v>0</v>
      </c>
      <c r="CT210" s="141"/>
      <c r="CU210" s="138"/>
      <c r="CV210" s="138"/>
      <c r="CW210" s="138"/>
      <c r="CX210" s="138"/>
      <c r="CY210" s="138"/>
      <c r="CZ210" s="138"/>
      <c r="DA210" s="138"/>
      <c r="DB210" s="138"/>
      <c r="DC210" s="138"/>
      <c r="DD210" s="138"/>
      <c r="DE210" s="139"/>
      <c r="DF210" s="140">
        <f t="shared" si="611"/>
        <v>0</v>
      </c>
      <c r="DG210" s="279"/>
      <c r="DH210" s="90">
        <f t="shared" si="614"/>
        <v>0</v>
      </c>
      <c r="DI210" s="91">
        <f t="shared" si="612"/>
        <v>0</v>
      </c>
      <c r="DJ210" s="92">
        <f t="shared" si="613"/>
        <v>0</v>
      </c>
      <c r="DK210" s="64" t="e">
        <f>+DH210/DH208</f>
        <v>#DIV/0!</v>
      </c>
    </row>
    <row r="211" spans="1:115" ht="15" customHeight="1">
      <c r="A211" s="602"/>
      <c r="B211" s="549"/>
      <c r="C211" s="554" t="s">
        <v>11</v>
      </c>
      <c r="D211" s="555"/>
      <c r="E211" s="143">
        <f t="shared" ref="E211:R211" si="648">+E208-E209-E210</f>
        <v>-12000</v>
      </c>
      <c r="F211" s="144">
        <f t="shared" si="648"/>
        <v>0</v>
      </c>
      <c r="G211" s="145">
        <f t="shared" si="648"/>
        <v>0</v>
      </c>
      <c r="H211" s="145">
        <f t="shared" si="648"/>
        <v>0</v>
      </c>
      <c r="I211" s="145">
        <f t="shared" si="648"/>
        <v>0</v>
      </c>
      <c r="J211" s="145">
        <f t="shared" si="648"/>
        <v>0</v>
      </c>
      <c r="K211" s="145">
        <f t="shared" si="648"/>
        <v>0</v>
      </c>
      <c r="L211" s="145">
        <f t="shared" si="648"/>
        <v>0</v>
      </c>
      <c r="M211" s="145">
        <f t="shared" si="648"/>
        <v>0</v>
      </c>
      <c r="N211" s="145">
        <f t="shared" si="648"/>
        <v>0</v>
      </c>
      <c r="O211" s="145">
        <f t="shared" si="648"/>
        <v>0</v>
      </c>
      <c r="P211" s="145">
        <f t="shared" si="648"/>
        <v>0</v>
      </c>
      <c r="Q211" s="145">
        <f t="shared" si="648"/>
        <v>0</v>
      </c>
      <c r="R211" s="146">
        <f t="shared" si="648"/>
        <v>0</v>
      </c>
      <c r="S211" s="147">
        <f t="shared" si="605"/>
        <v>0</v>
      </c>
      <c r="T211" s="393">
        <f>+T208-T209-T210</f>
        <v>0</v>
      </c>
      <c r="U211" s="145">
        <f t="shared" ref="U211:AE211" si="649">+U208-U209-U210</f>
        <v>0</v>
      </c>
      <c r="V211" s="145">
        <f t="shared" si="649"/>
        <v>0</v>
      </c>
      <c r="W211" s="145">
        <f t="shared" si="649"/>
        <v>-21.53</v>
      </c>
      <c r="X211" s="145">
        <f t="shared" si="649"/>
        <v>-4.9219999999999997</v>
      </c>
      <c r="Y211" s="145">
        <f t="shared" si="649"/>
        <v>-10.997</v>
      </c>
      <c r="Z211" s="145">
        <f t="shared" si="649"/>
        <v>-0.63800000000000001</v>
      </c>
      <c r="AA211" s="145">
        <f t="shared" si="649"/>
        <v>-73.918668060805899</v>
      </c>
      <c r="AB211" s="145">
        <f t="shared" si="649"/>
        <v>-8.1238068158739178</v>
      </c>
      <c r="AC211" s="145">
        <f t="shared" si="649"/>
        <v>0</v>
      </c>
      <c r="AD211" s="145">
        <f t="shared" si="649"/>
        <v>0</v>
      </c>
      <c r="AE211" s="146">
        <f t="shared" si="649"/>
        <v>0</v>
      </c>
      <c r="AF211" s="147">
        <v>0</v>
      </c>
      <c r="AG211" s="145">
        <f>+AG208-AG209-AG210</f>
        <v>-77.894345470480445</v>
      </c>
      <c r="AH211" s="145">
        <f t="shared" ref="AH211:AR211" si="650">+AH208-AH209-AH210</f>
        <v>-19.692176023506367</v>
      </c>
      <c r="AI211" s="145">
        <f t="shared" si="650"/>
        <v>-24.701050326261086</v>
      </c>
      <c r="AJ211" s="145">
        <f t="shared" si="650"/>
        <v>-199.96308922461844</v>
      </c>
      <c r="AK211" s="145">
        <f t="shared" si="650"/>
        <v>-4056.0181706707667</v>
      </c>
      <c r="AL211" s="145">
        <f t="shared" si="650"/>
        <v>-10117.111206095458</v>
      </c>
      <c r="AM211" s="145">
        <f t="shared" si="650"/>
        <v>-5460.3992914741657</v>
      </c>
      <c r="AN211" s="145">
        <f t="shared" si="650"/>
        <v>0</v>
      </c>
      <c r="AO211" s="145">
        <f t="shared" si="650"/>
        <v>7.806296815238384</v>
      </c>
      <c r="AP211" s="145">
        <f t="shared" si="650"/>
        <v>0</v>
      </c>
      <c r="AQ211" s="145">
        <f t="shared" si="650"/>
        <v>0</v>
      </c>
      <c r="AR211" s="146">
        <f t="shared" si="650"/>
        <v>0</v>
      </c>
      <c r="AS211" s="408">
        <v>0</v>
      </c>
      <c r="AT211" s="148">
        <f>+AT208-AT209-AT210</f>
        <v>0</v>
      </c>
      <c r="AU211" s="145">
        <f t="shared" ref="AU211:BE211" si="651">+AU208-AU209-AU210</f>
        <v>0</v>
      </c>
      <c r="AV211" s="145">
        <f t="shared" si="651"/>
        <v>0</v>
      </c>
      <c r="AW211" s="145">
        <f t="shared" si="651"/>
        <v>0</v>
      </c>
      <c r="AX211" s="145">
        <f t="shared" si="651"/>
        <v>0</v>
      </c>
      <c r="AY211" s="145">
        <f t="shared" si="651"/>
        <v>0</v>
      </c>
      <c r="AZ211" s="145">
        <f t="shared" si="651"/>
        <v>0</v>
      </c>
      <c r="BA211" s="145">
        <f t="shared" si="651"/>
        <v>0</v>
      </c>
      <c r="BB211" s="145">
        <f t="shared" si="651"/>
        <v>0</v>
      </c>
      <c r="BC211" s="145">
        <f t="shared" si="651"/>
        <v>-6000</v>
      </c>
      <c r="BD211" s="145">
        <f t="shared" si="651"/>
        <v>0</v>
      </c>
      <c r="BE211" s="146">
        <f t="shared" si="651"/>
        <v>0</v>
      </c>
      <c r="BF211" s="147">
        <f t="shared" si="607"/>
        <v>-6000</v>
      </c>
      <c r="BG211" s="145">
        <f>+BG208-BG209-BG210</f>
        <v>0</v>
      </c>
      <c r="BH211" s="145">
        <f t="shared" ref="BH211:BR211" si="652">+BH208-BH209-BH210</f>
        <v>0</v>
      </c>
      <c r="BI211" s="145">
        <f t="shared" si="652"/>
        <v>0</v>
      </c>
      <c r="BJ211" s="145">
        <f t="shared" si="652"/>
        <v>0</v>
      </c>
      <c r="BK211" s="145">
        <f t="shared" si="652"/>
        <v>0</v>
      </c>
      <c r="BL211" s="145">
        <f t="shared" si="652"/>
        <v>0</v>
      </c>
      <c r="BM211" s="145">
        <f t="shared" si="652"/>
        <v>0</v>
      </c>
      <c r="BN211" s="145">
        <f t="shared" si="652"/>
        <v>0</v>
      </c>
      <c r="BO211" s="145">
        <f>+BO208-BO209-BO210</f>
        <v>-6000</v>
      </c>
      <c r="BP211" s="145">
        <f t="shared" si="652"/>
        <v>0</v>
      </c>
      <c r="BQ211" s="145">
        <f t="shared" si="652"/>
        <v>0</v>
      </c>
      <c r="BR211" s="146">
        <f t="shared" si="652"/>
        <v>0</v>
      </c>
      <c r="BS211" s="147">
        <f t="shared" si="608"/>
        <v>-6000</v>
      </c>
      <c r="BT211" s="145">
        <f>+BT208-BT209-BT210</f>
        <v>0</v>
      </c>
      <c r="BU211" s="145">
        <f t="shared" ref="BU211:CE211" si="653">+BU208-BU209-BU210</f>
        <v>0</v>
      </c>
      <c r="BV211" s="145">
        <f t="shared" si="653"/>
        <v>0</v>
      </c>
      <c r="BW211" s="145">
        <f t="shared" si="653"/>
        <v>0</v>
      </c>
      <c r="BX211" s="145">
        <f t="shared" si="653"/>
        <v>0</v>
      </c>
      <c r="BY211" s="145">
        <f t="shared" si="653"/>
        <v>0</v>
      </c>
      <c r="BZ211" s="145">
        <f t="shared" si="653"/>
        <v>0</v>
      </c>
      <c r="CA211" s="145">
        <f t="shared" si="653"/>
        <v>0</v>
      </c>
      <c r="CB211" s="145">
        <f t="shared" si="653"/>
        <v>0</v>
      </c>
      <c r="CC211" s="145">
        <f t="shared" si="653"/>
        <v>0</v>
      </c>
      <c r="CD211" s="145">
        <f t="shared" si="653"/>
        <v>0</v>
      </c>
      <c r="CE211" s="146">
        <f t="shared" si="653"/>
        <v>0</v>
      </c>
      <c r="CF211" s="147">
        <f t="shared" si="609"/>
        <v>0</v>
      </c>
      <c r="CG211" s="145">
        <f>+CG208-CG209-CG210</f>
        <v>0</v>
      </c>
      <c r="CH211" s="145">
        <f t="shared" ref="CH211:CR211" si="654">+CH208-CH209-CH210</f>
        <v>0</v>
      </c>
      <c r="CI211" s="145">
        <f t="shared" si="654"/>
        <v>0</v>
      </c>
      <c r="CJ211" s="145">
        <f t="shared" si="654"/>
        <v>0</v>
      </c>
      <c r="CK211" s="145">
        <f t="shared" si="654"/>
        <v>0</v>
      </c>
      <c r="CL211" s="145">
        <f t="shared" si="654"/>
        <v>0</v>
      </c>
      <c r="CM211" s="145">
        <f t="shared" si="654"/>
        <v>0</v>
      </c>
      <c r="CN211" s="145">
        <f t="shared" si="654"/>
        <v>0</v>
      </c>
      <c r="CO211" s="145">
        <f t="shared" si="654"/>
        <v>0</v>
      </c>
      <c r="CP211" s="145">
        <f t="shared" si="654"/>
        <v>0</v>
      </c>
      <c r="CQ211" s="145">
        <f t="shared" si="654"/>
        <v>0</v>
      </c>
      <c r="CR211" s="146">
        <f t="shared" si="654"/>
        <v>0</v>
      </c>
      <c r="CS211" s="147">
        <f t="shared" si="610"/>
        <v>0</v>
      </c>
      <c r="CT211" s="145">
        <f>+CT208-CT209-CT210</f>
        <v>0</v>
      </c>
      <c r="CU211" s="145">
        <f t="shared" ref="CU211:DE211" si="655">+CU208-CU209-CU210</f>
        <v>0</v>
      </c>
      <c r="CV211" s="145">
        <f t="shared" si="655"/>
        <v>0</v>
      </c>
      <c r="CW211" s="145">
        <f t="shared" si="655"/>
        <v>0</v>
      </c>
      <c r="CX211" s="145">
        <f t="shared" si="655"/>
        <v>0</v>
      </c>
      <c r="CY211" s="145">
        <f t="shared" si="655"/>
        <v>0</v>
      </c>
      <c r="CZ211" s="145">
        <f t="shared" si="655"/>
        <v>0</v>
      </c>
      <c r="DA211" s="145">
        <f t="shared" si="655"/>
        <v>0</v>
      </c>
      <c r="DB211" s="145">
        <f t="shared" si="655"/>
        <v>0</v>
      </c>
      <c r="DC211" s="145">
        <f t="shared" si="655"/>
        <v>0</v>
      </c>
      <c r="DD211" s="145">
        <f t="shared" si="655"/>
        <v>0</v>
      </c>
      <c r="DE211" s="146">
        <f t="shared" si="655"/>
        <v>0</v>
      </c>
      <c r="DF211" s="147">
        <f t="shared" si="611"/>
        <v>0</v>
      </c>
      <c r="DG211" s="146">
        <f>+DG208-DG210</f>
        <v>0</v>
      </c>
      <c r="DH211" s="98">
        <f t="shared" si="614"/>
        <v>-12000</v>
      </c>
      <c r="DI211" s="99">
        <f t="shared" si="612"/>
        <v>-12000</v>
      </c>
      <c r="DJ211" s="100">
        <f t="shared" si="613"/>
        <v>0</v>
      </c>
    </row>
    <row r="212" spans="1:115" ht="15" customHeight="1">
      <c r="A212" s="602"/>
      <c r="B212" s="546" t="s">
        <v>200</v>
      </c>
      <c r="C212" s="550" t="s">
        <v>62</v>
      </c>
      <c r="D212" s="551"/>
      <c r="E212" s="153">
        <f t="shared" ref="E212:E214" si="656">AF212+AS212+BF212+BS212+CF212+CS212+DF212+S212+DG212</f>
        <v>0</v>
      </c>
      <c r="F212" s="128"/>
      <c r="G212" s="129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1"/>
      <c r="S212" s="132">
        <f t="shared" si="605"/>
        <v>0</v>
      </c>
      <c r="T212" s="391"/>
      <c r="U212" s="379"/>
      <c r="V212" s="379"/>
      <c r="W212" s="379"/>
      <c r="X212" s="379"/>
      <c r="Y212" s="379"/>
      <c r="Z212" s="379"/>
      <c r="AA212" s="379"/>
      <c r="AB212" s="379"/>
      <c r="AC212" s="379"/>
      <c r="AD212" s="379"/>
      <c r="AE212" s="480"/>
      <c r="AF212" s="132">
        <v>0</v>
      </c>
      <c r="AG212" s="496"/>
      <c r="AH212" s="510"/>
      <c r="AI212" s="510"/>
      <c r="AJ212" s="510"/>
      <c r="AK212" s="510"/>
      <c r="AL212" s="510"/>
      <c r="AM212" s="510">
        <v>530.84411274865397</v>
      </c>
      <c r="AN212" s="510"/>
      <c r="AO212" s="510">
        <v>7.806296815238384</v>
      </c>
      <c r="AP212" s="510"/>
      <c r="AQ212" s="510"/>
      <c r="AR212" s="515"/>
      <c r="AS212" s="406">
        <v>0</v>
      </c>
      <c r="AT212" s="516"/>
      <c r="AU212" s="510"/>
      <c r="AV212" s="510"/>
      <c r="AW212" s="130"/>
      <c r="AX212" s="130"/>
      <c r="AY212" s="130"/>
      <c r="AZ212" s="130"/>
      <c r="BA212" s="130"/>
      <c r="BB212" s="130"/>
      <c r="BC212" s="130"/>
      <c r="BD212" s="130"/>
      <c r="BE212" s="131"/>
      <c r="BF212" s="132">
        <f t="shared" si="607"/>
        <v>0</v>
      </c>
      <c r="BG212" s="133"/>
      <c r="BH212" s="130"/>
      <c r="BI212" s="130"/>
      <c r="BJ212" s="130"/>
      <c r="BK212" s="130"/>
      <c r="BL212" s="130"/>
      <c r="BM212" s="130"/>
      <c r="BN212" s="130"/>
      <c r="BO212" s="130"/>
      <c r="BP212" s="130"/>
      <c r="BQ212" s="130"/>
      <c r="BR212" s="131"/>
      <c r="BS212" s="132">
        <f t="shared" si="608"/>
        <v>0</v>
      </c>
      <c r="BT212" s="133"/>
      <c r="BU212" s="130"/>
      <c r="BV212" s="130"/>
      <c r="BW212" s="130"/>
      <c r="BX212" s="130"/>
      <c r="BY212" s="130"/>
      <c r="BZ212" s="130"/>
      <c r="CA212" s="130"/>
      <c r="CB212" s="130"/>
      <c r="CC212" s="130"/>
      <c r="CD212" s="130"/>
      <c r="CE212" s="131"/>
      <c r="CF212" s="132">
        <f t="shared" si="609"/>
        <v>0</v>
      </c>
      <c r="CG212" s="133"/>
      <c r="CH212" s="130"/>
      <c r="CI212" s="130"/>
      <c r="CJ212" s="130"/>
      <c r="CK212" s="130"/>
      <c r="CL212" s="130"/>
      <c r="CM212" s="130"/>
      <c r="CN212" s="130"/>
      <c r="CO212" s="130"/>
      <c r="CP212" s="130"/>
      <c r="CQ212" s="130"/>
      <c r="CR212" s="131"/>
      <c r="CS212" s="132">
        <f t="shared" si="610"/>
        <v>0</v>
      </c>
      <c r="CT212" s="133"/>
      <c r="CU212" s="130"/>
      <c r="CV212" s="130"/>
      <c r="CW212" s="130"/>
      <c r="CX212" s="130"/>
      <c r="CY212" s="130"/>
      <c r="CZ212" s="130"/>
      <c r="DA212" s="130"/>
      <c r="DB212" s="130"/>
      <c r="DC212" s="130"/>
      <c r="DD212" s="130"/>
      <c r="DE212" s="131"/>
      <c r="DF212" s="132">
        <f t="shared" si="611"/>
        <v>0</v>
      </c>
      <c r="DG212" s="278"/>
      <c r="DH212" s="159">
        <f t="shared" si="614"/>
        <v>0</v>
      </c>
      <c r="DI212" s="160">
        <f t="shared" si="612"/>
        <v>0</v>
      </c>
      <c r="DJ212" s="161">
        <f t="shared" si="613"/>
        <v>0</v>
      </c>
    </row>
    <row r="213" spans="1:115" ht="15" customHeight="1">
      <c r="A213" s="602"/>
      <c r="B213" s="547"/>
      <c r="C213" s="552" t="s">
        <v>63</v>
      </c>
      <c r="D213" s="184" t="s">
        <v>107</v>
      </c>
      <c r="E213" s="128">
        <f t="shared" si="656"/>
        <v>35000</v>
      </c>
      <c r="F213" s="128"/>
      <c r="G213" s="129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1"/>
      <c r="S213" s="140">
        <f t="shared" si="605"/>
        <v>0</v>
      </c>
      <c r="T213" s="391"/>
      <c r="U213" s="379"/>
      <c r="V213" s="379"/>
      <c r="W213" s="379"/>
      <c r="X213" s="379"/>
      <c r="Y213" s="379"/>
      <c r="Z213" s="379"/>
      <c r="AA213" s="379"/>
      <c r="AB213" s="379"/>
      <c r="AC213" s="392"/>
      <c r="AD213" s="392"/>
      <c r="AE213" s="392"/>
      <c r="AF213" s="132">
        <v>0</v>
      </c>
      <c r="AG213" s="511"/>
      <c r="AH213" s="510"/>
      <c r="AI213" s="511"/>
      <c r="AJ213" s="510"/>
      <c r="AK213" s="511">
        <v>4021.1840861041705</v>
      </c>
      <c r="AL213" s="511">
        <v>10025.982748706154</v>
      </c>
      <c r="AM213" s="510">
        <v>5991.2434042228197</v>
      </c>
      <c r="AN213" s="510"/>
      <c r="AO213" s="510"/>
      <c r="AP213" s="510"/>
      <c r="AQ213" s="510"/>
      <c r="AR213" s="511"/>
      <c r="AS213" s="407">
        <v>0</v>
      </c>
      <c r="AT213" s="516"/>
      <c r="AU213" s="510"/>
      <c r="AV213" s="510"/>
      <c r="AW213" s="130"/>
      <c r="AX213" s="130"/>
      <c r="AY213" s="130"/>
      <c r="AZ213" s="130"/>
      <c r="BA213" s="130"/>
      <c r="BB213" s="130"/>
      <c r="BC213" s="130"/>
      <c r="BD213" s="130"/>
      <c r="BE213" s="131"/>
      <c r="BF213" s="140">
        <f t="shared" si="607"/>
        <v>0</v>
      </c>
      <c r="BG213" s="133"/>
      <c r="BH213" s="130"/>
      <c r="BI213" s="130"/>
      <c r="BJ213" s="130"/>
      <c r="BK213" s="130"/>
      <c r="BL213" s="130"/>
      <c r="BM213" s="130"/>
      <c r="BN213" s="535">
        <v>35000</v>
      </c>
      <c r="BO213" s="130"/>
      <c r="BP213" s="130"/>
      <c r="BQ213" s="130"/>
      <c r="BR213" s="131"/>
      <c r="BS213" s="140">
        <f t="shared" si="608"/>
        <v>35000</v>
      </c>
      <c r="BT213" s="133"/>
      <c r="BU213" s="130"/>
      <c r="BV213" s="130"/>
      <c r="BW213" s="130"/>
      <c r="BX213" s="130"/>
      <c r="BY213" s="130"/>
      <c r="BZ213" s="130"/>
      <c r="CA213" s="130"/>
      <c r="CB213" s="130"/>
      <c r="CC213" s="130"/>
      <c r="CD213" s="130"/>
      <c r="CE213" s="131"/>
      <c r="CF213" s="140">
        <f t="shared" si="609"/>
        <v>0</v>
      </c>
      <c r="CG213" s="133"/>
      <c r="CH213" s="130"/>
      <c r="CI213" s="130"/>
      <c r="CJ213" s="130"/>
      <c r="CK213" s="130"/>
      <c r="CL213" s="130"/>
      <c r="CM213" s="130"/>
      <c r="CN213" s="130"/>
      <c r="CO213" s="130"/>
      <c r="CP213" s="130"/>
      <c r="CQ213" s="130"/>
      <c r="CR213" s="131"/>
      <c r="CS213" s="140">
        <f t="shared" si="610"/>
        <v>0</v>
      </c>
      <c r="CT213" s="133"/>
      <c r="CU213" s="130"/>
      <c r="CV213" s="130"/>
      <c r="CW213" s="130"/>
      <c r="CX213" s="130"/>
      <c r="CY213" s="130"/>
      <c r="CZ213" s="130"/>
      <c r="DA213" s="130"/>
      <c r="DB213" s="130"/>
      <c r="DC213" s="130"/>
      <c r="DD213" s="130"/>
      <c r="DE213" s="131"/>
      <c r="DF213" s="140">
        <f t="shared" si="611"/>
        <v>0</v>
      </c>
      <c r="DG213" s="278"/>
      <c r="DH213" s="90">
        <f t="shared" si="614"/>
        <v>35000</v>
      </c>
      <c r="DI213" s="91">
        <f t="shared" si="612"/>
        <v>35000</v>
      </c>
      <c r="DJ213" s="92">
        <f t="shared" si="613"/>
        <v>0</v>
      </c>
    </row>
    <row r="214" spans="1:115" ht="15" customHeight="1">
      <c r="A214" s="602"/>
      <c r="B214" s="548"/>
      <c r="C214" s="553"/>
      <c r="D214" s="184" t="s">
        <v>108</v>
      </c>
      <c r="E214" s="136">
        <f t="shared" si="656"/>
        <v>0</v>
      </c>
      <c r="F214" s="136"/>
      <c r="G214" s="137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1"/>
      <c r="S214" s="140">
        <f t="shared" si="605"/>
        <v>0</v>
      </c>
      <c r="T214" s="391"/>
      <c r="U214" s="381"/>
      <c r="V214" s="381"/>
      <c r="W214" s="381">
        <f>16.062+5.468</f>
        <v>21.53</v>
      </c>
      <c r="X214" s="381">
        <f>1.027+3.895</f>
        <v>4.9219999999999997</v>
      </c>
      <c r="Y214" s="381">
        <f>4.109+6.888</f>
        <v>10.997</v>
      </c>
      <c r="Z214" s="392">
        <f>0.638</f>
        <v>0.63800000000000001</v>
      </c>
      <c r="AA214" s="392">
        <v>73.918668060805899</v>
      </c>
      <c r="AB214" s="392">
        <v>8.1238068158739178</v>
      </c>
      <c r="AC214" s="395"/>
      <c r="AD214" s="395"/>
      <c r="AE214" s="392"/>
      <c r="AF214" s="132">
        <v>0</v>
      </c>
      <c r="AG214" s="497">
        <v>77.894345470480445</v>
      </c>
      <c r="AH214" s="499">
        <v>19.692176023506367</v>
      </c>
      <c r="AI214" s="499">
        <v>24.701050326261086</v>
      </c>
      <c r="AJ214" s="499">
        <v>199.96308922461844</v>
      </c>
      <c r="AK214" s="499">
        <v>34.834084566596196</v>
      </c>
      <c r="AL214" s="499">
        <v>91.128457389304202</v>
      </c>
      <c r="AM214" s="499"/>
      <c r="AN214" s="499"/>
      <c r="AO214" s="499"/>
      <c r="AP214" s="499"/>
      <c r="AQ214" s="499"/>
      <c r="AR214" s="511"/>
      <c r="AS214" s="407">
        <v>0</v>
      </c>
      <c r="AT214" s="501"/>
      <c r="AU214" s="499"/>
      <c r="AV214" s="499"/>
      <c r="AW214" s="138"/>
      <c r="AX214" s="138"/>
      <c r="AY214" s="138"/>
      <c r="AZ214" s="138"/>
      <c r="BA214" s="138"/>
      <c r="BB214" s="138"/>
      <c r="BC214" s="138"/>
      <c r="BD214" s="138"/>
      <c r="BE214" s="139"/>
      <c r="BF214" s="140">
        <f t="shared" si="607"/>
        <v>0</v>
      </c>
      <c r="BG214" s="141"/>
      <c r="BH214" s="138"/>
      <c r="BI214" s="138"/>
      <c r="BJ214" s="138"/>
      <c r="BK214" s="138"/>
      <c r="BL214" s="138"/>
      <c r="BM214" s="138"/>
      <c r="BN214" s="138"/>
      <c r="BO214" s="138"/>
      <c r="BP214" s="138"/>
      <c r="BQ214" s="138"/>
      <c r="BR214" s="139"/>
      <c r="BS214" s="140">
        <f t="shared" si="608"/>
        <v>0</v>
      </c>
      <c r="BT214" s="141"/>
      <c r="BU214" s="138"/>
      <c r="BV214" s="138"/>
      <c r="BW214" s="138"/>
      <c r="BX214" s="138"/>
      <c r="BY214" s="138"/>
      <c r="BZ214" s="138"/>
      <c r="CA214" s="138"/>
      <c r="CB214" s="138"/>
      <c r="CC214" s="138"/>
      <c r="CD214" s="138"/>
      <c r="CE214" s="139"/>
      <c r="CF214" s="140">
        <f t="shared" si="609"/>
        <v>0</v>
      </c>
      <c r="CG214" s="141"/>
      <c r="CH214" s="138"/>
      <c r="CI214" s="138"/>
      <c r="CJ214" s="138"/>
      <c r="CK214" s="138"/>
      <c r="CL214" s="138"/>
      <c r="CM214" s="138"/>
      <c r="CN214" s="138"/>
      <c r="CO214" s="138"/>
      <c r="CP214" s="138"/>
      <c r="CQ214" s="138"/>
      <c r="CR214" s="139"/>
      <c r="CS214" s="140">
        <f t="shared" si="610"/>
        <v>0</v>
      </c>
      <c r="CT214" s="141"/>
      <c r="CU214" s="138"/>
      <c r="CV214" s="138"/>
      <c r="CW214" s="138"/>
      <c r="CX214" s="138"/>
      <c r="CY214" s="138"/>
      <c r="CZ214" s="138"/>
      <c r="DA214" s="138"/>
      <c r="DB214" s="138"/>
      <c r="DC214" s="138"/>
      <c r="DD214" s="138"/>
      <c r="DE214" s="139"/>
      <c r="DF214" s="140">
        <f t="shared" si="611"/>
        <v>0</v>
      </c>
      <c r="DG214" s="279"/>
      <c r="DH214" s="90">
        <f t="shared" si="614"/>
        <v>0</v>
      </c>
      <c r="DI214" s="91">
        <f t="shared" si="612"/>
        <v>0</v>
      </c>
      <c r="DJ214" s="92">
        <f t="shared" si="613"/>
        <v>0</v>
      </c>
      <c r="DK214" s="64" t="e">
        <f>+DH214/DH212</f>
        <v>#DIV/0!</v>
      </c>
    </row>
    <row r="215" spans="1:115" ht="15" customHeight="1">
      <c r="A215" s="602"/>
      <c r="B215" s="549"/>
      <c r="C215" s="554" t="s">
        <v>11</v>
      </c>
      <c r="D215" s="555"/>
      <c r="E215" s="143">
        <f t="shared" ref="E215:R215" si="657">+E212-E213-E214</f>
        <v>-35000</v>
      </c>
      <c r="F215" s="144">
        <f t="shared" si="657"/>
        <v>0</v>
      </c>
      <c r="G215" s="145">
        <f t="shared" si="657"/>
        <v>0</v>
      </c>
      <c r="H215" s="145">
        <f t="shared" si="657"/>
        <v>0</v>
      </c>
      <c r="I215" s="145">
        <f t="shared" si="657"/>
        <v>0</v>
      </c>
      <c r="J215" s="145">
        <f t="shared" si="657"/>
        <v>0</v>
      </c>
      <c r="K215" s="145">
        <f t="shared" si="657"/>
        <v>0</v>
      </c>
      <c r="L215" s="145">
        <f t="shared" si="657"/>
        <v>0</v>
      </c>
      <c r="M215" s="145">
        <f t="shared" si="657"/>
        <v>0</v>
      </c>
      <c r="N215" s="145">
        <f t="shared" si="657"/>
        <v>0</v>
      </c>
      <c r="O215" s="145">
        <f t="shared" si="657"/>
        <v>0</v>
      </c>
      <c r="P215" s="145">
        <f t="shared" si="657"/>
        <v>0</v>
      </c>
      <c r="Q215" s="145">
        <f t="shared" si="657"/>
        <v>0</v>
      </c>
      <c r="R215" s="146">
        <f t="shared" si="657"/>
        <v>0</v>
      </c>
      <c r="S215" s="147">
        <f t="shared" si="605"/>
        <v>0</v>
      </c>
      <c r="T215" s="393">
        <f>+T212-T213-T214</f>
        <v>0</v>
      </c>
      <c r="U215" s="145">
        <f t="shared" ref="U215:AE215" si="658">+U212-U213-U214</f>
        <v>0</v>
      </c>
      <c r="V215" s="145">
        <f t="shared" si="658"/>
        <v>0</v>
      </c>
      <c r="W215" s="145">
        <f t="shared" si="658"/>
        <v>-21.53</v>
      </c>
      <c r="X215" s="145">
        <f t="shared" si="658"/>
        <v>-4.9219999999999997</v>
      </c>
      <c r="Y215" s="145">
        <f t="shared" si="658"/>
        <v>-10.997</v>
      </c>
      <c r="Z215" s="145">
        <f t="shared" si="658"/>
        <v>-0.63800000000000001</v>
      </c>
      <c r="AA215" s="145">
        <f t="shared" si="658"/>
        <v>-73.918668060805899</v>
      </c>
      <c r="AB215" s="145">
        <f t="shared" si="658"/>
        <v>-8.1238068158739178</v>
      </c>
      <c r="AC215" s="145">
        <f t="shared" si="658"/>
        <v>0</v>
      </c>
      <c r="AD215" s="145">
        <f t="shared" si="658"/>
        <v>0</v>
      </c>
      <c r="AE215" s="146">
        <f t="shared" si="658"/>
        <v>0</v>
      </c>
      <c r="AF215" s="147">
        <v>0</v>
      </c>
      <c r="AG215" s="145">
        <f>+AG212-AG213-AG214</f>
        <v>-77.894345470480445</v>
      </c>
      <c r="AH215" s="145">
        <f t="shared" ref="AH215:AR215" si="659">+AH212-AH213-AH214</f>
        <v>-19.692176023506367</v>
      </c>
      <c r="AI215" s="145">
        <f t="shared" si="659"/>
        <v>-24.701050326261086</v>
      </c>
      <c r="AJ215" s="145">
        <f t="shared" si="659"/>
        <v>-199.96308922461844</v>
      </c>
      <c r="AK215" s="145">
        <f t="shared" si="659"/>
        <v>-4056.0181706707667</v>
      </c>
      <c r="AL215" s="145">
        <f t="shared" si="659"/>
        <v>-10117.111206095458</v>
      </c>
      <c r="AM215" s="145">
        <f t="shared" si="659"/>
        <v>-5460.3992914741657</v>
      </c>
      <c r="AN215" s="145">
        <f t="shared" si="659"/>
        <v>0</v>
      </c>
      <c r="AO215" s="145">
        <f t="shared" si="659"/>
        <v>7.806296815238384</v>
      </c>
      <c r="AP215" s="145">
        <f t="shared" si="659"/>
        <v>0</v>
      </c>
      <c r="AQ215" s="145">
        <f t="shared" si="659"/>
        <v>0</v>
      </c>
      <c r="AR215" s="146">
        <f t="shared" si="659"/>
        <v>0</v>
      </c>
      <c r="AS215" s="408">
        <v>0</v>
      </c>
      <c r="AT215" s="148">
        <f>+AT212-AT213-AT214</f>
        <v>0</v>
      </c>
      <c r="AU215" s="145">
        <f t="shared" ref="AU215:BE215" si="660">+AU212-AU213-AU214</f>
        <v>0</v>
      </c>
      <c r="AV215" s="145">
        <f t="shared" si="660"/>
        <v>0</v>
      </c>
      <c r="AW215" s="145">
        <f t="shared" si="660"/>
        <v>0</v>
      </c>
      <c r="AX215" s="145">
        <f t="shared" si="660"/>
        <v>0</v>
      </c>
      <c r="AY215" s="145">
        <f t="shared" si="660"/>
        <v>0</v>
      </c>
      <c r="AZ215" s="145">
        <f t="shared" si="660"/>
        <v>0</v>
      </c>
      <c r="BA215" s="145">
        <f t="shared" si="660"/>
        <v>0</v>
      </c>
      <c r="BB215" s="145">
        <f t="shared" si="660"/>
        <v>0</v>
      </c>
      <c r="BC215" s="145">
        <f t="shared" si="660"/>
        <v>0</v>
      </c>
      <c r="BD215" s="145">
        <f t="shared" si="660"/>
        <v>0</v>
      </c>
      <c r="BE215" s="146">
        <f t="shared" si="660"/>
        <v>0</v>
      </c>
      <c r="BF215" s="147">
        <f t="shared" si="607"/>
        <v>0</v>
      </c>
      <c r="BG215" s="145">
        <f>+BG212-BG213-BG214</f>
        <v>0</v>
      </c>
      <c r="BH215" s="145">
        <f t="shared" ref="BH215:BR215" si="661">+BH212-BH213-BH214</f>
        <v>0</v>
      </c>
      <c r="BI215" s="145">
        <f t="shared" si="661"/>
        <v>0</v>
      </c>
      <c r="BJ215" s="145">
        <f t="shared" si="661"/>
        <v>0</v>
      </c>
      <c r="BK215" s="145">
        <f t="shared" si="661"/>
        <v>0</v>
      </c>
      <c r="BL215" s="145">
        <f t="shared" si="661"/>
        <v>0</v>
      </c>
      <c r="BM215" s="145">
        <f t="shared" si="661"/>
        <v>0</v>
      </c>
      <c r="BN215" s="145">
        <f t="shared" si="661"/>
        <v>-35000</v>
      </c>
      <c r="BO215" s="145">
        <f t="shared" si="661"/>
        <v>0</v>
      </c>
      <c r="BP215" s="145">
        <f t="shared" si="661"/>
        <v>0</v>
      </c>
      <c r="BQ215" s="145">
        <f t="shared" si="661"/>
        <v>0</v>
      </c>
      <c r="BR215" s="146">
        <f t="shared" si="661"/>
        <v>0</v>
      </c>
      <c r="BS215" s="147">
        <f t="shared" si="608"/>
        <v>-35000</v>
      </c>
      <c r="BT215" s="145">
        <f>+BT212-BT213-BT214</f>
        <v>0</v>
      </c>
      <c r="BU215" s="145">
        <f t="shared" ref="BU215:CE215" si="662">+BU212-BU213-BU214</f>
        <v>0</v>
      </c>
      <c r="BV215" s="145">
        <f t="shared" si="662"/>
        <v>0</v>
      </c>
      <c r="BW215" s="145">
        <f t="shared" si="662"/>
        <v>0</v>
      </c>
      <c r="BX215" s="145">
        <f t="shared" si="662"/>
        <v>0</v>
      </c>
      <c r="BY215" s="145">
        <f t="shared" si="662"/>
        <v>0</v>
      </c>
      <c r="BZ215" s="145">
        <f t="shared" si="662"/>
        <v>0</v>
      </c>
      <c r="CA215" s="145">
        <f t="shared" si="662"/>
        <v>0</v>
      </c>
      <c r="CB215" s="145">
        <f t="shared" si="662"/>
        <v>0</v>
      </c>
      <c r="CC215" s="145">
        <f t="shared" si="662"/>
        <v>0</v>
      </c>
      <c r="CD215" s="145">
        <f t="shared" si="662"/>
        <v>0</v>
      </c>
      <c r="CE215" s="146">
        <f t="shared" si="662"/>
        <v>0</v>
      </c>
      <c r="CF215" s="147">
        <f t="shared" si="609"/>
        <v>0</v>
      </c>
      <c r="CG215" s="145">
        <f>+CG212-CG213-CG214</f>
        <v>0</v>
      </c>
      <c r="CH215" s="145">
        <f t="shared" ref="CH215:CR215" si="663">+CH212-CH213-CH214</f>
        <v>0</v>
      </c>
      <c r="CI215" s="145">
        <f t="shared" si="663"/>
        <v>0</v>
      </c>
      <c r="CJ215" s="145">
        <f t="shared" si="663"/>
        <v>0</v>
      </c>
      <c r="CK215" s="145">
        <f t="shared" si="663"/>
        <v>0</v>
      </c>
      <c r="CL215" s="145">
        <f t="shared" si="663"/>
        <v>0</v>
      </c>
      <c r="CM215" s="145">
        <f t="shared" si="663"/>
        <v>0</v>
      </c>
      <c r="CN215" s="145">
        <f t="shared" si="663"/>
        <v>0</v>
      </c>
      <c r="CO215" s="145">
        <f t="shared" si="663"/>
        <v>0</v>
      </c>
      <c r="CP215" s="145">
        <f t="shared" si="663"/>
        <v>0</v>
      </c>
      <c r="CQ215" s="145">
        <f t="shared" si="663"/>
        <v>0</v>
      </c>
      <c r="CR215" s="146">
        <f t="shared" si="663"/>
        <v>0</v>
      </c>
      <c r="CS215" s="147">
        <f t="shared" si="610"/>
        <v>0</v>
      </c>
      <c r="CT215" s="145">
        <f>+CT212-CT213-CT214</f>
        <v>0</v>
      </c>
      <c r="CU215" s="145">
        <f t="shared" ref="CU215:DE215" si="664">+CU212-CU213-CU214</f>
        <v>0</v>
      </c>
      <c r="CV215" s="145">
        <f t="shared" si="664"/>
        <v>0</v>
      </c>
      <c r="CW215" s="145">
        <f t="shared" si="664"/>
        <v>0</v>
      </c>
      <c r="CX215" s="145">
        <f t="shared" si="664"/>
        <v>0</v>
      </c>
      <c r="CY215" s="145">
        <f t="shared" si="664"/>
        <v>0</v>
      </c>
      <c r="CZ215" s="145">
        <f t="shared" si="664"/>
        <v>0</v>
      </c>
      <c r="DA215" s="145">
        <f t="shared" si="664"/>
        <v>0</v>
      </c>
      <c r="DB215" s="145">
        <f t="shared" si="664"/>
        <v>0</v>
      </c>
      <c r="DC215" s="145">
        <f t="shared" si="664"/>
        <v>0</v>
      </c>
      <c r="DD215" s="145">
        <f t="shared" si="664"/>
        <v>0</v>
      </c>
      <c r="DE215" s="146">
        <f t="shared" si="664"/>
        <v>0</v>
      </c>
      <c r="DF215" s="147">
        <f t="shared" si="611"/>
        <v>0</v>
      </c>
      <c r="DG215" s="146">
        <f>+DG212-DG214</f>
        <v>0</v>
      </c>
      <c r="DH215" s="98">
        <f t="shared" si="614"/>
        <v>-35000</v>
      </c>
      <c r="DI215" s="99">
        <f t="shared" si="612"/>
        <v>-35000</v>
      </c>
      <c r="DJ215" s="100">
        <f t="shared" si="613"/>
        <v>0</v>
      </c>
    </row>
    <row r="216" spans="1:115" ht="15" customHeight="1">
      <c r="A216" s="602"/>
      <c r="B216" s="584" t="s">
        <v>65</v>
      </c>
      <c r="C216" s="605" t="s">
        <v>62</v>
      </c>
      <c r="D216" s="606"/>
      <c r="E216" s="128">
        <f>E192+E196+E200+E204</f>
        <v>223665.69835476938</v>
      </c>
      <c r="F216" s="128">
        <f t="shared" ref="F216:R216" si="665">+F192+F196+F200+F204</f>
        <v>0</v>
      </c>
      <c r="G216" s="154">
        <f t="shared" si="665"/>
        <v>0</v>
      </c>
      <c r="H216" s="133">
        <f t="shared" si="665"/>
        <v>0</v>
      </c>
      <c r="I216" s="130">
        <f t="shared" si="665"/>
        <v>0</v>
      </c>
      <c r="J216" s="130">
        <f t="shared" si="665"/>
        <v>0</v>
      </c>
      <c r="K216" s="130">
        <f t="shared" si="665"/>
        <v>0</v>
      </c>
      <c r="L216" s="130">
        <f t="shared" si="665"/>
        <v>0</v>
      </c>
      <c r="M216" s="130">
        <f t="shared" si="665"/>
        <v>0</v>
      </c>
      <c r="N216" s="130">
        <f t="shared" si="665"/>
        <v>0</v>
      </c>
      <c r="O216" s="130">
        <f t="shared" si="665"/>
        <v>0</v>
      </c>
      <c r="P216" s="130">
        <f t="shared" si="665"/>
        <v>0</v>
      </c>
      <c r="Q216" s="130">
        <f t="shared" si="665"/>
        <v>0</v>
      </c>
      <c r="R216" s="131">
        <f t="shared" si="665"/>
        <v>0</v>
      </c>
      <c r="S216" s="163">
        <f t="shared" si="605"/>
        <v>0</v>
      </c>
      <c r="T216" s="383">
        <f t="shared" ref="T216:AE216" si="666">+T192+T196+T200+T204</f>
        <v>0</v>
      </c>
      <c r="U216" s="385">
        <f t="shared" si="666"/>
        <v>0</v>
      </c>
      <c r="V216" s="379">
        <f t="shared" si="666"/>
        <v>0</v>
      </c>
      <c r="W216" s="379">
        <f t="shared" si="666"/>
        <v>0</v>
      </c>
      <c r="X216" s="379">
        <f t="shared" si="666"/>
        <v>0</v>
      </c>
      <c r="Y216" s="379">
        <f t="shared" si="666"/>
        <v>0</v>
      </c>
      <c r="Z216" s="379">
        <f t="shared" si="666"/>
        <v>0</v>
      </c>
      <c r="AA216" s="379">
        <f t="shared" si="666"/>
        <v>0</v>
      </c>
      <c r="AB216" s="379">
        <f t="shared" si="666"/>
        <v>0</v>
      </c>
      <c r="AC216" s="379">
        <f t="shared" si="666"/>
        <v>0</v>
      </c>
      <c r="AD216" s="379">
        <f t="shared" si="666"/>
        <v>0</v>
      </c>
      <c r="AE216" s="489">
        <f t="shared" si="666"/>
        <v>0</v>
      </c>
      <c r="AF216" s="163">
        <f t="shared" si="606"/>
        <v>0</v>
      </c>
      <c r="AG216" s="498">
        <f t="shared" ref="AG216:AP216" si="667">+AG192+AG196+AG200+AG204</f>
        <v>0</v>
      </c>
      <c r="AH216" s="516">
        <f t="shared" si="667"/>
        <v>0</v>
      </c>
      <c r="AI216" s="510">
        <f t="shared" si="667"/>
        <v>0</v>
      </c>
      <c r="AJ216" s="510">
        <f t="shared" si="667"/>
        <v>0</v>
      </c>
      <c r="AK216" s="510">
        <f t="shared" si="667"/>
        <v>0</v>
      </c>
      <c r="AL216" s="510">
        <f t="shared" si="667"/>
        <v>0</v>
      </c>
      <c r="AM216" s="510">
        <f t="shared" si="667"/>
        <v>530.84411274865397</v>
      </c>
      <c r="AN216" s="510">
        <f t="shared" si="667"/>
        <v>0</v>
      </c>
      <c r="AO216" s="510">
        <f t="shared" si="667"/>
        <v>7.806296815238384</v>
      </c>
      <c r="AP216" s="510">
        <f t="shared" si="667"/>
        <v>0</v>
      </c>
      <c r="AQ216" s="510">
        <f>+AQ192+AQ196+AQ200+AQ204</f>
        <v>0</v>
      </c>
      <c r="AR216" s="515">
        <f>+AR192+AR196+AR200+AR204</f>
        <v>3473.0479452054801</v>
      </c>
      <c r="AS216" s="414">
        <f t="shared" si="622"/>
        <v>4011.6983547693726</v>
      </c>
      <c r="AT216" s="500">
        <f>+AT192+AT196+AT200+AT204+AT208+AT212</f>
        <v>0</v>
      </c>
      <c r="AU216" s="516">
        <f t="shared" ref="AU216:BE216" si="668">+AU192+AU196+AU200+AU204+AU208+AU212</f>
        <v>0</v>
      </c>
      <c r="AV216" s="510">
        <f t="shared" si="668"/>
        <v>0</v>
      </c>
      <c r="AW216" s="130">
        <f t="shared" si="668"/>
        <v>0</v>
      </c>
      <c r="AX216" s="130">
        <f t="shared" si="668"/>
        <v>0</v>
      </c>
      <c r="AY216" s="130">
        <f t="shared" si="668"/>
        <v>0</v>
      </c>
      <c r="AZ216" s="130">
        <f t="shared" si="668"/>
        <v>0</v>
      </c>
      <c r="BA216" s="130">
        <f t="shared" si="668"/>
        <v>0</v>
      </c>
      <c r="BB216" s="130">
        <f t="shared" si="668"/>
        <v>0</v>
      </c>
      <c r="BC216" s="130">
        <f t="shared" si="668"/>
        <v>0</v>
      </c>
      <c r="BD216" s="130">
        <f t="shared" si="668"/>
        <v>0</v>
      </c>
      <c r="BE216" s="131">
        <f t="shared" si="668"/>
        <v>0</v>
      </c>
      <c r="BF216" s="163">
        <f t="shared" si="607"/>
        <v>0</v>
      </c>
      <c r="BG216" s="154">
        <f t="shared" ref="BG216:BR216" si="669">+BG192+BG196+BG200+BG204+BG208+BG212</f>
        <v>0</v>
      </c>
      <c r="BH216" s="133">
        <f t="shared" si="669"/>
        <v>0</v>
      </c>
      <c r="BI216" s="130">
        <f t="shared" si="669"/>
        <v>0</v>
      </c>
      <c r="BJ216" s="130">
        <f t="shared" si="669"/>
        <v>0</v>
      </c>
      <c r="BK216" s="130">
        <f t="shared" si="669"/>
        <v>0</v>
      </c>
      <c r="BL216" s="130">
        <f t="shared" si="669"/>
        <v>0</v>
      </c>
      <c r="BM216" s="130">
        <f t="shared" si="669"/>
        <v>0</v>
      </c>
      <c r="BN216" s="130">
        <f t="shared" si="669"/>
        <v>0</v>
      </c>
      <c r="BO216" s="130">
        <f t="shared" si="669"/>
        <v>0</v>
      </c>
      <c r="BP216" s="130">
        <f t="shared" si="669"/>
        <v>0</v>
      </c>
      <c r="BQ216" s="130">
        <f t="shared" si="669"/>
        <v>0</v>
      </c>
      <c r="BR216" s="131">
        <f t="shared" si="669"/>
        <v>0</v>
      </c>
      <c r="BS216" s="163">
        <f t="shared" si="608"/>
        <v>0</v>
      </c>
      <c r="BT216" s="154">
        <f t="shared" ref="BT216:CE216" si="670">+BT192+BT196+BT200+BT204+BT208+BT212</f>
        <v>0</v>
      </c>
      <c r="BU216" s="133">
        <f t="shared" si="670"/>
        <v>0</v>
      </c>
      <c r="BV216" s="130">
        <f t="shared" si="670"/>
        <v>0</v>
      </c>
      <c r="BW216" s="130">
        <f t="shared" si="670"/>
        <v>0</v>
      </c>
      <c r="BX216" s="130">
        <f t="shared" si="670"/>
        <v>0</v>
      </c>
      <c r="BY216" s="130">
        <f t="shared" si="670"/>
        <v>0</v>
      </c>
      <c r="BZ216" s="130">
        <f t="shared" si="670"/>
        <v>27958</v>
      </c>
      <c r="CA216" s="130">
        <f t="shared" si="670"/>
        <v>0</v>
      </c>
      <c r="CB216" s="130">
        <f t="shared" si="670"/>
        <v>0</v>
      </c>
      <c r="CC216" s="130">
        <f t="shared" si="670"/>
        <v>0</v>
      </c>
      <c r="CD216" s="130">
        <f t="shared" si="670"/>
        <v>0</v>
      </c>
      <c r="CE216" s="131">
        <f t="shared" si="670"/>
        <v>0</v>
      </c>
      <c r="CF216" s="163">
        <f t="shared" si="609"/>
        <v>27958</v>
      </c>
      <c r="CG216" s="154">
        <f t="shared" ref="CG216:CR216" si="671">+CG192+CG196+CG200+CG204+CG208+CG212</f>
        <v>0</v>
      </c>
      <c r="CH216" s="133">
        <f t="shared" si="671"/>
        <v>0</v>
      </c>
      <c r="CI216" s="130">
        <f t="shared" si="671"/>
        <v>0</v>
      </c>
      <c r="CJ216" s="130">
        <f t="shared" si="671"/>
        <v>0</v>
      </c>
      <c r="CK216" s="130">
        <f t="shared" si="671"/>
        <v>0</v>
      </c>
      <c r="CL216" s="130">
        <f t="shared" si="671"/>
        <v>0</v>
      </c>
      <c r="CM216" s="130">
        <f t="shared" si="671"/>
        <v>0</v>
      </c>
      <c r="CN216" s="130">
        <f t="shared" si="671"/>
        <v>0</v>
      </c>
      <c r="CO216" s="130">
        <f t="shared" si="671"/>
        <v>0</v>
      </c>
      <c r="CP216" s="130">
        <f t="shared" si="671"/>
        <v>0</v>
      </c>
      <c r="CQ216" s="130">
        <f t="shared" si="671"/>
        <v>0</v>
      </c>
      <c r="CR216" s="131">
        <f t="shared" si="671"/>
        <v>0</v>
      </c>
      <c r="CS216" s="163">
        <f t="shared" si="610"/>
        <v>0</v>
      </c>
      <c r="CT216" s="154">
        <f t="shared" ref="CT216:DE216" si="672">+CT192+CT196+CT200+CT204+CT208+CT212</f>
        <v>0</v>
      </c>
      <c r="CU216" s="133">
        <f t="shared" si="672"/>
        <v>0</v>
      </c>
      <c r="CV216" s="130">
        <f t="shared" si="672"/>
        <v>0</v>
      </c>
      <c r="CW216" s="130">
        <f t="shared" si="672"/>
        <v>64200</v>
      </c>
      <c r="CX216" s="130">
        <f t="shared" si="672"/>
        <v>0</v>
      </c>
      <c r="CY216" s="130">
        <f t="shared" si="672"/>
        <v>0</v>
      </c>
      <c r="CZ216" s="130">
        <f t="shared" si="672"/>
        <v>0</v>
      </c>
      <c r="DA216" s="130">
        <f t="shared" si="672"/>
        <v>0</v>
      </c>
      <c r="DB216" s="130">
        <f t="shared" si="672"/>
        <v>0</v>
      </c>
      <c r="DC216" s="130">
        <f t="shared" si="672"/>
        <v>0</v>
      </c>
      <c r="DD216" s="130">
        <f t="shared" si="672"/>
        <v>0</v>
      </c>
      <c r="DE216" s="131">
        <f t="shared" si="672"/>
        <v>0</v>
      </c>
      <c r="DF216" s="163">
        <f t="shared" si="611"/>
        <v>64200</v>
      </c>
      <c r="DG216" s="278">
        <f>+DG192+DG196+DG200+DG204</f>
        <v>127496</v>
      </c>
      <c r="DH216" s="164">
        <f t="shared" si="614"/>
        <v>131507.69835476938</v>
      </c>
      <c r="DI216" s="165">
        <f t="shared" si="612"/>
        <v>223665.69835476938</v>
      </c>
      <c r="DJ216" s="166">
        <f t="shared" si="613"/>
        <v>92158</v>
      </c>
    </row>
    <row r="217" spans="1:115" ht="15" customHeight="1">
      <c r="A217" s="602"/>
      <c r="B217" s="584"/>
      <c r="C217" s="594" t="s">
        <v>63</v>
      </c>
      <c r="D217" s="268" t="s">
        <v>109</v>
      </c>
      <c r="E217" s="128">
        <f>E193+E197+E205+E201</f>
        <v>151373.91590487064</v>
      </c>
      <c r="F217" s="128">
        <f t="shared" ref="F217:R217" si="673">F193+F197+F205</f>
        <v>0</v>
      </c>
      <c r="G217" s="129">
        <f t="shared" si="673"/>
        <v>0</v>
      </c>
      <c r="H217" s="133">
        <f t="shared" si="673"/>
        <v>0</v>
      </c>
      <c r="I217" s="130">
        <f t="shared" si="673"/>
        <v>0</v>
      </c>
      <c r="J217" s="130">
        <f t="shared" si="673"/>
        <v>0</v>
      </c>
      <c r="K217" s="130">
        <f t="shared" si="673"/>
        <v>0</v>
      </c>
      <c r="L217" s="130">
        <f t="shared" si="673"/>
        <v>0</v>
      </c>
      <c r="M217" s="130">
        <f t="shared" si="673"/>
        <v>0</v>
      </c>
      <c r="N217" s="130">
        <f t="shared" si="673"/>
        <v>0</v>
      </c>
      <c r="O217" s="130">
        <f t="shared" si="673"/>
        <v>0</v>
      </c>
      <c r="P217" s="130">
        <f t="shared" si="673"/>
        <v>0</v>
      </c>
      <c r="Q217" s="130">
        <f t="shared" si="673"/>
        <v>498.54590776900704</v>
      </c>
      <c r="R217" s="131">
        <f t="shared" si="673"/>
        <v>0</v>
      </c>
      <c r="S217" s="162">
        <f t="shared" si="605"/>
        <v>498.54590776900704</v>
      </c>
      <c r="T217" s="391">
        <f t="shared" ref="T217:AE217" si="674">T193+T197+T205+T201</f>
        <v>0</v>
      </c>
      <c r="U217" s="385">
        <f t="shared" si="674"/>
        <v>0</v>
      </c>
      <c r="V217" s="379">
        <f t="shared" si="674"/>
        <v>0</v>
      </c>
      <c r="W217" s="379">
        <f t="shared" si="674"/>
        <v>0</v>
      </c>
      <c r="X217" s="379">
        <f t="shared" si="674"/>
        <v>0</v>
      </c>
      <c r="Y217" s="379">
        <f t="shared" si="674"/>
        <v>3617.1561051004637</v>
      </c>
      <c r="Z217" s="379">
        <f t="shared" si="674"/>
        <v>0</v>
      </c>
      <c r="AA217" s="379">
        <f t="shared" si="674"/>
        <v>0</v>
      </c>
      <c r="AB217" s="379">
        <f t="shared" si="674"/>
        <v>0</v>
      </c>
      <c r="AC217" s="379">
        <f t="shared" si="674"/>
        <v>0</v>
      </c>
      <c r="AD217" s="379">
        <f t="shared" si="674"/>
        <v>0</v>
      </c>
      <c r="AE217" s="480">
        <f t="shared" si="674"/>
        <v>0</v>
      </c>
      <c r="AF217" s="162">
        <f t="shared" si="606"/>
        <v>3617.1561051004637</v>
      </c>
      <c r="AG217" s="496">
        <f t="shared" ref="AG217:AR217" si="675">AG193+AG197+AG205+AG201</f>
        <v>0</v>
      </c>
      <c r="AH217" s="516">
        <f t="shared" si="675"/>
        <v>0</v>
      </c>
      <c r="AI217" s="510">
        <f t="shared" si="675"/>
        <v>0</v>
      </c>
      <c r="AJ217" s="510">
        <f t="shared" si="675"/>
        <v>0</v>
      </c>
      <c r="AK217" s="510">
        <f t="shared" si="675"/>
        <v>4021.1840861041705</v>
      </c>
      <c r="AL217" s="510">
        <f t="shared" si="675"/>
        <v>10025.982748706154</v>
      </c>
      <c r="AM217" s="510">
        <f t="shared" si="675"/>
        <v>5991.2434042228197</v>
      </c>
      <c r="AN217" s="510">
        <f t="shared" si="675"/>
        <v>0</v>
      </c>
      <c r="AO217" s="510">
        <f t="shared" si="675"/>
        <v>0</v>
      </c>
      <c r="AP217" s="510">
        <f t="shared" si="675"/>
        <v>0</v>
      </c>
      <c r="AQ217" s="510">
        <f t="shared" si="675"/>
        <v>0</v>
      </c>
      <c r="AR217" s="515">
        <f t="shared" si="675"/>
        <v>57261.803652968032</v>
      </c>
      <c r="AS217" s="410">
        <f t="shared" si="622"/>
        <v>77300.213892001178</v>
      </c>
      <c r="AT217" s="516">
        <f>AT193+AT197+AT205+AT201+AT209+AT213</f>
        <v>0</v>
      </c>
      <c r="AU217" s="516">
        <f t="shared" ref="AU217:BE217" si="676">AU193+AU197+AU205+AU201+AU209+AU213</f>
        <v>0</v>
      </c>
      <c r="AV217" s="510">
        <f t="shared" si="676"/>
        <v>0</v>
      </c>
      <c r="AW217" s="130">
        <f t="shared" si="676"/>
        <v>0</v>
      </c>
      <c r="AX217" s="130">
        <f t="shared" si="676"/>
        <v>19083</v>
      </c>
      <c r="AY217" s="130">
        <f t="shared" si="676"/>
        <v>8875</v>
      </c>
      <c r="AZ217" s="130">
        <f t="shared" si="676"/>
        <v>0</v>
      </c>
      <c r="BA217" s="130">
        <f t="shared" si="676"/>
        <v>0</v>
      </c>
      <c r="BB217" s="130">
        <f t="shared" si="676"/>
        <v>0</v>
      </c>
      <c r="BC217" s="130">
        <f t="shared" si="676"/>
        <v>6000</v>
      </c>
      <c r="BD217" s="130">
        <f t="shared" si="676"/>
        <v>0</v>
      </c>
      <c r="BE217" s="131">
        <f t="shared" si="676"/>
        <v>0</v>
      </c>
      <c r="BF217" s="162">
        <f t="shared" si="607"/>
        <v>33958</v>
      </c>
      <c r="BG217" s="129">
        <f t="shared" ref="BG217:BR217" si="677">BG193+BG197+BG205+BG201+BG209+BG213</f>
        <v>0</v>
      </c>
      <c r="BH217" s="133">
        <f t="shared" si="677"/>
        <v>0</v>
      </c>
      <c r="BI217" s="130">
        <f t="shared" si="677"/>
        <v>0</v>
      </c>
      <c r="BJ217" s="130">
        <f t="shared" si="677"/>
        <v>0</v>
      </c>
      <c r="BK217" s="130">
        <f t="shared" si="677"/>
        <v>0</v>
      </c>
      <c r="BL217" s="130">
        <f t="shared" si="677"/>
        <v>0</v>
      </c>
      <c r="BM217" s="130">
        <f t="shared" si="677"/>
        <v>0</v>
      </c>
      <c r="BN217" s="130">
        <f t="shared" si="677"/>
        <v>77000</v>
      </c>
      <c r="BO217" s="130">
        <f>BO193+BO197+BO205+BO201+BO209+BO213</f>
        <v>6000</v>
      </c>
      <c r="BP217" s="130">
        <f t="shared" si="677"/>
        <v>0</v>
      </c>
      <c r="BQ217" s="130">
        <f t="shared" si="677"/>
        <v>0</v>
      </c>
      <c r="BR217" s="131">
        <f t="shared" si="677"/>
        <v>0</v>
      </c>
      <c r="BS217" s="162">
        <f>SUM(BG217:BR217)</f>
        <v>83000</v>
      </c>
      <c r="BT217" s="129">
        <f t="shared" ref="BT217:CE217" si="678">BT193+BT197+BT205+BT201+BT209+BT213</f>
        <v>0</v>
      </c>
      <c r="BU217" s="133">
        <f>BU193+BU197+BU205+BU201+BU209+BU213</f>
        <v>0</v>
      </c>
      <c r="BV217" s="130">
        <f t="shared" si="678"/>
        <v>0</v>
      </c>
      <c r="BW217" s="130">
        <f t="shared" si="678"/>
        <v>0</v>
      </c>
      <c r="BX217" s="130">
        <f t="shared" si="678"/>
        <v>0</v>
      </c>
      <c r="BY217" s="130">
        <f t="shared" si="678"/>
        <v>0</v>
      </c>
      <c r="BZ217" s="130">
        <f t="shared" si="678"/>
        <v>0</v>
      </c>
      <c r="CA217" s="130">
        <f t="shared" si="678"/>
        <v>0</v>
      </c>
      <c r="CB217" s="130">
        <f t="shared" si="678"/>
        <v>0</v>
      </c>
      <c r="CC217" s="130">
        <f t="shared" si="678"/>
        <v>0</v>
      </c>
      <c r="CD217" s="130">
        <f t="shared" si="678"/>
        <v>0</v>
      </c>
      <c r="CE217" s="131">
        <f t="shared" si="678"/>
        <v>0</v>
      </c>
      <c r="CF217" s="162">
        <f>SUM(BT217:CE217)</f>
        <v>0</v>
      </c>
      <c r="CG217" s="129">
        <f t="shared" ref="CG217:CR217" si="679">CG193+CG197+CG205+CG201+CG209+CG213</f>
        <v>0</v>
      </c>
      <c r="CH217" s="133">
        <f t="shared" si="679"/>
        <v>0</v>
      </c>
      <c r="CI217" s="130">
        <f t="shared" si="679"/>
        <v>0</v>
      </c>
      <c r="CJ217" s="130">
        <f t="shared" si="679"/>
        <v>0</v>
      </c>
      <c r="CK217" s="130">
        <f t="shared" si="679"/>
        <v>0</v>
      </c>
      <c r="CL217" s="130">
        <f t="shared" si="679"/>
        <v>0</v>
      </c>
      <c r="CM217" s="130">
        <f t="shared" si="679"/>
        <v>0</v>
      </c>
      <c r="CN217" s="130">
        <f t="shared" si="679"/>
        <v>0</v>
      </c>
      <c r="CO217" s="130">
        <f t="shared" si="679"/>
        <v>0</v>
      </c>
      <c r="CP217" s="130">
        <f t="shared" si="679"/>
        <v>0</v>
      </c>
      <c r="CQ217" s="130">
        <f t="shared" si="679"/>
        <v>0</v>
      </c>
      <c r="CR217" s="131">
        <f t="shared" si="679"/>
        <v>0</v>
      </c>
      <c r="CS217" s="162">
        <f>SUM(CG217:CR217)</f>
        <v>0</v>
      </c>
      <c r="CT217" s="129">
        <f t="shared" ref="CT217:DE217" si="680">CT193+CT197+CT205+CT201+CT209+CT213</f>
        <v>0</v>
      </c>
      <c r="CU217" s="133">
        <f t="shared" si="680"/>
        <v>0</v>
      </c>
      <c r="CV217" s="130">
        <f t="shared" si="680"/>
        <v>0</v>
      </c>
      <c r="CW217" s="130">
        <f t="shared" si="680"/>
        <v>0</v>
      </c>
      <c r="CX217" s="130">
        <f t="shared" si="680"/>
        <v>0</v>
      </c>
      <c r="CY217" s="130">
        <f t="shared" si="680"/>
        <v>0</v>
      </c>
      <c r="CZ217" s="130">
        <f t="shared" si="680"/>
        <v>0</v>
      </c>
      <c r="DA217" s="130">
        <f t="shared" si="680"/>
        <v>0</v>
      </c>
      <c r="DB217" s="130">
        <f t="shared" si="680"/>
        <v>0</v>
      </c>
      <c r="DC217" s="130">
        <f t="shared" si="680"/>
        <v>0</v>
      </c>
      <c r="DD217" s="130">
        <f t="shared" si="680"/>
        <v>0</v>
      </c>
      <c r="DE217" s="131">
        <f t="shared" si="680"/>
        <v>0</v>
      </c>
      <c r="DF217" s="162">
        <f>SUM(CT217:DE217)</f>
        <v>0</v>
      </c>
      <c r="DG217" s="278">
        <f>DG193+DG197+DG205</f>
        <v>0</v>
      </c>
      <c r="DH217" s="164">
        <f t="shared" si="614"/>
        <v>198373.91590487066</v>
      </c>
      <c r="DI217" s="165">
        <f t="shared" si="612"/>
        <v>151373.91590487064</v>
      </c>
      <c r="DJ217" s="166">
        <f t="shared" si="613"/>
        <v>-47000.000000000029</v>
      </c>
    </row>
    <row r="218" spans="1:115" ht="15" customHeight="1">
      <c r="A218" s="602"/>
      <c r="B218" s="585"/>
      <c r="C218" s="595"/>
      <c r="D218" s="268" t="s">
        <v>110</v>
      </c>
      <c r="E218" s="136">
        <f>E194+E198+E202+E206</f>
        <v>898.80219872869839</v>
      </c>
      <c r="F218" s="136">
        <f t="shared" ref="F218:R218" si="681">+F194+F198+F202+F206</f>
        <v>0</v>
      </c>
      <c r="G218" s="137">
        <f t="shared" si="681"/>
        <v>0</v>
      </c>
      <c r="H218" s="141">
        <f t="shared" si="681"/>
        <v>0</v>
      </c>
      <c r="I218" s="138">
        <f t="shared" si="681"/>
        <v>0</v>
      </c>
      <c r="J218" s="138">
        <f t="shared" si="681"/>
        <v>0</v>
      </c>
      <c r="K218" s="138">
        <f t="shared" si="681"/>
        <v>0</v>
      </c>
      <c r="L218" s="138">
        <f t="shared" si="681"/>
        <v>0</v>
      </c>
      <c r="M218" s="138">
        <f t="shared" si="681"/>
        <v>0</v>
      </c>
      <c r="N218" s="138">
        <f t="shared" si="681"/>
        <v>0</v>
      </c>
      <c r="O218" s="138">
        <f t="shared" si="681"/>
        <v>0</v>
      </c>
      <c r="P218" s="138">
        <f t="shared" si="681"/>
        <v>0</v>
      </c>
      <c r="Q218" s="138">
        <f t="shared" si="681"/>
        <v>0</v>
      </c>
      <c r="R218" s="139">
        <f t="shared" si="681"/>
        <v>0</v>
      </c>
      <c r="S218" s="162">
        <f t="shared" si="605"/>
        <v>0</v>
      </c>
      <c r="T218" s="384">
        <f t="shared" ref="T218:AE218" si="682">+T194+T198+T202+T206</f>
        <v>0</v>
      </c>
      <c r="U218" s="380">
        <f t="shared" si="682"/>
        <v>3.1480000000000001</v>
      </c>
      <c r="V218" s="381">
        <f t="shared" si="682"/>
        <v>0</v>
      </c>
      <c r="W218" s="381">
        <f t="shared" si="682"/>
        <v>21.53</v>
      </c>
      <c r="X218" s="381">
        <f t="shared" si="682"/>
        <v>9.2880000000000003</v>
      </c>
      <c r="Y218" s="381">
        <f t="shared" si="682"/>
        <v>17.969000000000001</v>
      </c>
      <c r="Z218" s="381">
        <f t="shared" si="682"/>
        <v>8.0410000000000004</v>
      </c>
      <c r="AA218" s="381">
        <f t="shared" si="682"/>
        <v>112.858672484517</v>
      </c>
      <c r="AB218" s="381">
        <f t="shared" si="682"/>
        <v>8.1238068158739178</v>
      </c>
      <c r="AC218" s="381">
        <f t="shared" si="682"/>
        <v>0</v>
      </c>
      <c r="AD218" s="381">
        <f t="shared" si="682"/>
        <v>0</v>
      </c>
      <c r="AE218" s="486">
        <f t="shared" si="682"/>
        <v>0</v>
      </c>
      <c r="AF218" s="162">
        <f t="shared" si="606"/>
        <v>180.95847930039091</v>
      </c>
      <c r="AG218" s="496">
        <f t="shared" ref="AG218:AR218" si="683">+AG194+AG198+AG202+AG206</f>
        <v>136.15241634132738</v>
      </c>
      <c r="AH218" s="501">
        <f t="shared" si="683"/>
        <v>35.078161253672867</v>
      </c>
      <c r="AI218" s="499">
        <f t="shared" si="683"/>
        <v>24.701050326261086</v>
      </c>
      <c r="AJ218" s="499">
        <f t="shared" si="683"/>
        <v>280.47359070464768</v>
      </c>
      <c r="AK218" s="499">
        <f t="shared" si="683"/>
        <v>34.834084566596196</v>
      </c>
      <c r="AL218" s="499">
        <f t="shared" si="683"/>
        <v>91.128457389304202</v>
      </c>
      <c r="AM218" s="499">
        <f t="shared" si="683"/>
        <v>0</v>
      </c>
      <c r="AN218" s="499">
        <f t="shared" si="683"/>
        <v>0</v>
      </c>
      <c r="AO218" s="499">
        <f t="shared" si="683"/>
        <v>104.18113625175144</v>
      </c>
      <c r="AP218" s="499">
        <f t="shared" si="683"/>
        <v>11.294822594746645</v>
      </c>
      <c r="AQ218" s="499">
        <f t="shared" si="683"/>
        <v>0</v>
      </c>
      <c r="AR218" s="511">
        <f t="shared" si="683"/>
        <v>0</v>
      </c>
      <c r="AS218" s="410">
        <f t="shared" si="622"/>
        <v>717.84371942830751</v>
      </c>
      <c r="AT218" s="501">
        <f>+AT194+AT198+AT202+AT206+AT210+AT214</f>
        <v>0</v>
      </c>
      <c r="AU218" s="501">
        <f t="shared" ref="AU218:BE218" si="684">+AU194+AU198+AU202+AU206+AU210+AU214</f>
        <v>0</v>
      </c>
      <c r="AV218" s="499">
        <f t="shared" si="684"/>
        <v>0</v>
      </c>
      <c r="AW218" s="138">
        <f t="shared" si="684"/>
        <v>0</v>
      </c>
      <c r="AX218" s="138">
        <f t="shared" si="684"/>
        <v>0</v>
      </c>
      <c r="AY218" s="138">
        <f t="shared" si="684"/>
        <v>0</v>
      </c>
      <c r="AZ218" s="138">
        <f t="shared" si="684"/>
        <v>0</v>
      </c>
      <c r="BA218" s="138">
        <f t="shared" si="684"/>
        <v>0</v>
      </c>
      <c r="BB218" s="138">
        <f t="shared" si="684"/>
        <v>0</v>
      </c>
      <c r="BC218" s="138">
        <f t="shared" si="684"/>
        <v>0</v>
      </c>
      <c r="BD218" s="138">
        <f t="shared" si="684"/>
        <v>0</v>
      </c>
      <c r="BE218" s="139">
        <f t="shared" si="684"/>
        <v>0</v>
      </c>
      <c r="BF218" s="162">
        <f t="shared" si="607"/>
        <v>0</v>
      </c>
      <c r="BG218" s="137">
        <f t="shared" ref="BG218:BR218" si="685">+BG194+BG198+BG202+BG206+BG210+BG214</f>
        <v>0</v>
      </c>
      <c r="BH218" s="141">
        <f t="shared" si="685"/>
        <v>0</v>
      </c>
      <c r="BI218" s="138">
        <f t="shared" si="685"/>
        <v>0</v>
      </c>
      <c r="BJ218" s="138">
        <f t="shared" si="685"/>
        <v>0</v>
      </c>
      <c r="BK218" s="138">
        <f t="shared" si="685"/>
        <v>0</v>
      </c>
      <c r="BL218" s="138">
        <f t="shared" si="685"/>
        <v>0</v>
      </c>
      <c r="BM218" s="138">
        <f t="shared" si="685"/>
        <v>0</v>
      </c>
      <c r="BN218" s="138">
        <f t="shared" si="685"/>
        <v>0</v>
      </c>
      <c r="BO218" s="138">
        <f>+BO194+BO198+BO202+BO206+BO210+BO214</f>
        <v>0</v>
      </c>
      <c r="BP218" s="138">
        <f t="shared" si="685"/>
        <v>0</v>
      </c>
      <c r="BQ218" s="138">
        <f t="shared" si="685"/>
        <v>0</v>
      </c>
      <c r="BR218" s="139">
        <f t="shared" si="685"/>
        <v>0</v>
      </c>
      <c r="BS218" s="162">
        <f>SUM(BG218:BR218)</f>
        <v>0</v>
      </c>
      <c r="BT218" s="137">
        <f t="shared" ref="BT218:CE218" si="686">+BT194+BT198+BT202+BT206+BT210+BT214</f>
        <v>0</v>
      </c>
      <c r="BU218" s="141">
        <f>+BU194+BU197+BU202+BU206+BU210+BU214</f>
        <v>0</v>
      </c>
      <c r="BV218" s="138">
        <f t="shared" si="686"/>
        <v>0</v>
      </c>
      <c r="BW218" s="138">
        <f t="shared" si="686"/>
        <v>0</v>
      </c>
      <c r="BX218" s="138">
        <f t="shared" si="686"/>
        <v>0</v>
      </c>
      <c r="BY218" s="138">
        <f t="shared" si="686"/>
        <v>0</v>
      </c>
      <c r="BZ218" s="138">
        <f t="shared" si="686"/>
        <v>0</v>
      </c>
      <c r="CA218" s="138">
        <f t="shared" si="686"/>
        <v>0</v>
      </c>
      <c r="CB218" s="138">
        <f t="shared" si="686"/>
        <v>0</v>
      </c>
      <c r="CC218" s="138">
        <f t="shared" si="686"/>
        <v>0</v>
      </c>
      <c r="CD218" s="138">
        <f t="shared" si="686"/>
        <v>0</v>
      </c>
      <c r="CE218" s="139">
        <f t="shared" si="686"/>
        <v>0</v>
      </c>
      <c r="CF218" s="162">
        <f>SUM(BT218:CE218)</f>
        <v>0</v>
      </c>
      <c r="CG218" s="137">
        <f t="shared" ref="CG218:CR218" si="687">+CG194+CG198+CG202+CG206+CG210+CG214</f>
        <v>0</v>
      </c>
      <c r="CH218" s="141">
        <f t="shared" si="687"/>
        <v>0</v>
      </c>
      <c r="CI218" s="138">
        <f t="shared" si="687"/>
        <v>0</v>
      </c>
      <c r="CJ218" s="138">
        <f t="shared" si="687"/>
        <v>0</v>
      </c>
      <c r="CK218" s="138">
        <f t="shared" si="687"/>
        <v>0</v>
      </c>
      <c r="CL218" s="138">
        <f t="shared" si="687"/>
        <v>0</v>
      </c>
      <c r="CM218" s="138">
        <f t="shared" si="687"/>
        <v>0</v>
      </c>
      <c r="CN218" s="138">
        <f t="shared" si="687"/>
        <v>0</v>
      </c>
      <c r="CO218" s="138">
        <f t="shared" si="687"/>
        <v>0</v>
      </c>
      <c r="CP218" s="138">
        <f t="shared" si="687"/>
        <v>0</v>
      </c>
      <c r="CQ218" s="138">
        <f t="shared" si="687"/>
        <v>0</v>
      </c>
      <c r="CR218" s="139">
        <f t="shared" si="687"/>
        <v>0</v>
      </c>
      <c r="CS218" s="162">
        <f>SUM(CG218:CR218)</f>
        <v>0</v>
      </c>
      <c r="CT218" s="137">
        <f t="shared" ref="CT218:DE218" si="688">+CT194+CT198+CT202+CT206+CT210+CT214</f>
        <v>0</v>
      </c>
      <c r="CU218" s="141">
        <f t="shared" si="688"/>
        <v>0</v>
      </c>
      <c r="CV218" s="138">
        <f t="shared" si="688"/>
        <v>0</v>
      </c>
      <c r="CW218" s="138">
        <f t="shared" si="688"/>
        <v>0</v>
      </c>
      <c r="CX218" s="138">
        <f t="shared" si="688"/>
        <v>0</v>
      </c>
      <c r="CY218" s="138">
        <f t="shared" si="688"/>
        <v>0</v>
      </c>
      <c r="CZ218" s="138">
        <f t="shared" si="688"/>
        <v>0</v>
      </c>
      <c r="DA218" s="138">
        <f t="shared" si="688"/>
        <v>0</v>
      </c>
      <c r="DB218" s="138">
        <f t="shared" si="688"/>
        <v>0</v>
      </c>
      <c r="DC218" s="138">
        <f t="shared" si="688"/>
        <v>0</v>
      </c>
      <c r="DD218" s="138">
        <f t="shared" si="688"/>
        <v>0</v>
      </c>
      <c r="DE218" s="139">
        <f t="shared" si="688"/>
        <v>0</v>
      </c>
      <c r="DF218" s="162">
        <f>SUM(CT218:DE218)</f>
        <v>0</v>
      </c>
      <c r="DG218" s="279">
        <f>+DG194+DG198+DG202+DG206</f>
        <v>0</v>
      </c>
      <c r="DH218" s="90">
        <f t="shared" si="614"/>
        <v>898.80219872869839</v>
      </c>
      <c r="DI218" s="91">
        <f t="shared" si="612"/>
        <v>898.80219872869839</v>
      </c>
      <c r="DJ218" s="92">
        <f t="shared" si="613"/>
        <v>0</v>
      </c>
      <c r="DK218" s="64">
        <f>+DH218/DH216</f>
        <v>6.834597593701263E-3</v>
      </c>
    </row>
    <row r="219" spans="1:115" ht="15" customHeight="1">
      <c r="A219" s="603"/>
      <c r="B219" s="586"/>
      <c r="C219" s="617" t="s">
        <v>11</v>
      </c>
      <c r="D219" s="618"/>
      <c r="E219" s="169">
        <f>+E216-E217-E218</f>
        <v>71392.980251170055</v>
      </c>
      <c r="F219" s="170">
        <f t="shared" ref="F219:R219" si="689">+F216-F217-F218</f>
        <v>0</v>
      </c>
      <c r="G219" s="171">
        <f t="shared" si="689"/>
        <v>0</v>
      </c>
      <c r="H219" s="171">
        <f t="shared" si="689"/>
        <v>0</v>
      </c>
      <c r="I219" s="171">
        <f t="shared" si="689"/>
        <v>0</v>
      </c>
      <c r="J219" s="171">
        <f t="shared" si="689"/>
        <v>0</v>
      </c>
      <c r="K219" s="171">
        <f t="shared" si="689"/>
        <v>0</v>
      </c>
      <c r="L219" s="171">
        <f t="shared" si="689"/>
        <v>0</v>
      </c>
      <c r="M219" s="171">
        <f t="shared" si="689"/>
        <v>0</v>
      </c>
      <c r="N219" s="171">
        <f t="shared" si="689"/>
        <v>0</v>
      </c>
      <c r="O219" s="171">
        <f t="shared" si="689"/>
        <v>0</v>
      </c>
      <c r="P219" s="171">
        <f t="shared" si="689"/>
        <v>0</v>
      </c>
      <c r="Q219" s="171">
        <f t="shared" si="689"/>
        <v>-498.54590776900704</v>
      </c>
      <c r="R219" s="172">
        <f t="shared" si="689"/>
        <v>0</v>
      </c>
      <c r="S219" s="173">
        <f t="shared" si="605"/>
        <v>-498.54590776900704</v>
      </c>
      <c r="T219" s="174">
        <f t="shared" ref="T219:AE219" si="690">+T216-T217-T218</f>
        <v>0</v>
      </c>
      <c r="U219" s="171">
        <f t="shared" si="690"/>
        <v>-3.1480000000000001</v>
      </c>
      <c r="V219" s="171">
        <f t="shared" si="690"/>
        <v>0</v>
      </c>
      <c r="W219" s="171">
        <f t="shared" si="690"/>
        <v>-21.53</v>
      </c>
      <c r="X219" s="171">
        <f t="shared" si="690"/>
        <v>-9.2880000000000003</v>
      </c>
      <c r="Y219" s="171">
        <f t="shared" si="690"/>
        <v>-3635.1251051004638</v>
      </c>
      <c r="Z219" s="171">
        <f t="shared" si="690"/>
        <v>-8.0410000000000004</v>
      </c>
      <c r="AA219" s="171">
        <f t="shared" si="690"/>
        <v>-112.858672484517</v>
      </c>
      <c r="AB219" s="171">
        <f t="shared" si="690"/>
        <v>-8.1238068158739178</v>
      </c>
      <c r="AC219" s="171">
        <f t="shared" si="690"/>
        <v>0</v>
      </c>
      <c r="AD219" s="171">
        <f t="shared" si="690"/>
        <v>0</v>
      </c>
      <c r="AE219" s="172">
        <f t="shared" si="690"/>
        <v>0</v>
      </c>
      <c r="AF219" s="173">
        <f t="shared" si="606"/>
        <v>-3798.1145844008547</v>
      </c>
      <c r="AG219" s="490">
        <f>AG195+AG199+AG207+AG203</f>
        <v>-136.15241634132738</v>
      </c>
      <c r="AH219" s="171">
        <f t="shared" ref="AH219:AR219" si="691">+AH216-AH217-AH218</f>
        <v>-35.078161253672867</v>
      </c>
      <c r="AI219" s="171">
        <f t="shared" si="691"/>
        <v>-24.701050326261086</v>
      </c>
      <c r="AJ219" s="171">
        <f t="shared" si="691"/>
        <v>-280.47359070464768</v>
      </c>
      <c r="AK219" s="171">
        <f t="shared" si="691"/>
        <v>-4056.0181706707667</v>
      </c>
      <c r="AL219" s="171">
        <f t="shared" si="691"/>
        <v>-10117.111206095458</v>
      </c>
      <c r="AM219" s="171">
        <f t="shared" si="691"/>
        <v>-5460.3992914741657</v>
      </c>
      <c r="AN219" s="171">
        <f t="shared" si="691"/>
        <v>0</v>
      </c>
      <c r="AO219" s="171">
        <f t="shared" si="691"/>
        <v>-96.374839436513057</v>
      </c>
      <c r="AP219" s="171">
        <f t="shared" si="691"/>
        <v>-11.294822594746645</v>
      </c>
      <c r="AQ219" s="171">
        <f t="shared" si="691"/>
        <v>0</v>
      </c>
      <c r="AR219" s="172">
        <f t="shared" si="691"/>
        <v>-53788.755707762553</v>
      </c>
      <c r="AS219" s="411">
        <f t="shared" si="622"/>
        <v>-74006.359256660115</v>
      </c>
      <c r="AT219" s="174">
        <f t="shared" ref="AT219:BE219" si="692">+AT216-AT217-AT218</f>
        <v>0</v>
      </c>
      <c r="AU219" s="171">
        <f t="shared" si="692"/>
        <v>0</v>
      </c>
      <c r="AV219" s="171">
        <f t="shared" si="692"/>
        <v>0</v>
      </c>
      <c r="AW219" s="171">
        <f t="shared" si="692"/>
        <v>0</v>
      </c>
      <c r="AX219" s="171">
        <f t="shared" si="692"/>
        <v>-19083</v>
      </c>
      <c r="AY219" s="171">
        <f t="shared" si="692"/>
        <v>-8875</v>
      </c>
      <c r="AZ219" s="171">
        <f t="shared" si="692"/>
        <v>0</v>
      </c>
      <c r="BA219" s="171">
        <f t="shared" si="692"/>
        <v>0</v>
      </c>
      <c r="BB219" s="171">
        <f t="shared" si="692"/>
        <v>0</v>
      </c>
      <c r="BC219" s="171">
        <f t="shared" si="692"/>
        <v>-6000</v>
      </c>
      <c r="BD219" s="171">
        <f t="shared" si="692"/>
        <v>0</v>
      </c>
      <c r="BE219" s="172">
        <f t="shared" si="692"/>
        <v>0</v>
      </c>
      <c r="BF219" s="173">
        <f t="shared" si="607"/>
        <v>-33958</v>
      </c>
      <c r="BG219" s="174">
        <f t="shared" ref="BG219:BR219" si="693">+BG216-BG217-BG218</f>
        <v>0</v>
      </c>
      <c r="BH219" s="171">
        <f t="shared" si="693"/>
        <v>0</v>
      </c>
      <c r="BI219" s="171">
        <f t="shared" si="693"/>
        <v>0</v>
      </c>
      <c r="BJ219" s="171">
        <f t="shared" si="693"/>
        <v>0</v>
      </c>
      <c r="BK219" s="171">
        <f t="shared" si="693"/>
        <v>0</v>
      </c>
      <c r="BL219" s="171">
        <f t="shared" si="693"/>
        <v>0</v>
      </c>
      <c r="BM219" s="171">
        <f t="shared" si="693"/>
        <v>0</v>
      </c>
      <c r="BN219" s="171">
        <f t="shared" si="693"/>
        <v>-77000</v>
      </c>
      <c r="BO219" s="171">
        <f t="shared" si="693"/>
        <v>-6000</v>
      </c>
      <c r="BP219" s="171">
        <f t="shared" si="693"/>
        <v>0</v>
      </c>
      <c r="BQ219" s="171">
        <f t="shared" si="693"/>
        <v>0</v>
      </c>
      <c r="BR219" s="172">
        <f t="shared" si="693"/>
        <v>0</v>
      </c>
      <c r="BS219" s="173">
        <f>SUM(BG219:BR219)</f>
        <v>-83000</v>
      </c>
      <c r="BT219" s="174">
        <f t="shared" ref="BT219:CE219" si="694">+BT216-BT217-BT218</f>
        <v>0</v>
      </c>
      <c r="BU219" s="171">
        <f t="shared" si="694"/>
        <v>0</v>
      </c>
      <c r="BV219" s="171">
        <f t="shared" si="694"/>
        <v>0</v>
      </c>
      <c r="BW219" s="171">
        <f t="shared" si="694"/>
        <v>0</v>
      </c>
      <c r="BX219" s="171">
        <f t="shared" si="694"/>
        <v>0</v>
      </c>
      <c r="BY219" s="171">
        <f t="shared" si="694"/>
        <v>0</v>
      </c>
      <c r="BZ219" s="171">
        <f t="shared" si="694"/>
        <v>27958</v>
      </c>
      <c r="CA219" s="171">
        <f t="shared" si="694"/>
        <v>0</v>
      </c>
      <c r="CB219" s="171">
        <f t="shared" si="694"/>
        <v>0</v>
      </c>
      <c r="CC219" s="171">
        <f t="shared" si="694"/>
        <v>0</v>
      </c>
      <c r="CD219" s="171">
        <f t="shared" si="694"/>
        <v>0</v>
      </c>
      <c r="CE219" s="172">
        <f t="shared" si="694"/>
        <v>0</v>
      </c>
      <c r="CF219" s="173">
        <f>SUM(BT219:CE219)</f>
        <v>27958</v>
      </c>
      <c r="CG219" s="174">
        <f t="shared" ref="CG219:CR219" si="695">+CG216-CG217-CG218</f>
        <v>0</v>
      </c>
      <c r="CH219" s="171">
        <f t="shared" si="695"/>
        <v>0</v>
      </c>
      <c r="CI219" s="171">
        <f t="shared" si="695"/>
        <v>0</v>
      </c>
      <c r="CJ219" s="171">
        <f t="shared" si="695"/>
        <v>0</v>
      </c>
      <c r="CK219" s="171">
        <f t="shared" si="695"/>
        <v>0</v>
      </c>
      <c r="CL219" s="171">
        <f t="shared" si="695"/>
        <v>0</v>
      </c>
      <c r="CM219" s="171">
        <f t="shared" si="695"/>
        <v>0</v>
      </c>
      <c r="CN219" s="171">
        <f t="shared" si="695"/>
        <v>0</v>
      </c>
      <c r="CO219" s="171">
        <f t="shared" si="695"/>
        <v>0</v>
      </c>
      <c r="CP219" s="171">
        <f t="shared" si="695"/>
        <v>0</v>
      </c>
      <c r="CQ219" s="171">
        <f t="shared" si="695"/>
        <v>0</v>
      </c>
      <c r="CR219" s="172">
        <f t="shared" si="695"/>
        <v>0</v>
      </c>
      <c r="CS219" s="173">
        <f>SUM(CG219:CR219)</f>
        <v>0</v>
      </c>
      <c r="CT219" s="174">
        <f t="shared" ref="CT219:DE219" si="696">+CT216-CT217-CT218</f>
        <v>0</v>
      </c>
      <c r="CU219" s="171">
        <f t="shared" si="696"/>
        <v>0</v>
      </c>
      <c r="CV219" s="171">
        <f t="shared" si="696"/>
        <v>0</v>
      </c>
      <c r="CW219" s="171">
        <f t="shared" si="696"/>
        <v>64200</v>
      </c>
      <c r="CX219" s="171">
        <f t="shared" si="696"/>
        <v>0</v>
      </c>
      <c r="CY219" s="171">
        <f t="shared" si="696"/>
        <v>0</v>
      </c>
      <c r="CZ219" s="171">
        <f t="shared" si="696"/>
        <v>0</v>
      </c>
      <c r="DA219" s="171">
        <f t="shared" si="696"/>
        <v>0</v>
      </c>
      <c r="DB219" s="171">
        <f t="shared" si="696"/>
        <v>0</v>
      </c>
      <c r="DC219" s="171">
        <f t="shared" si="696"/>
        <v>0</v>
      </c>
      <c r="DD219" s="171">
        <f t="shared" si="696"/>
        <v>0</v>
      </c>
      <c r="DE219" s="172">
        <f t="shared" si="696"/>
        <v>0</v>
      </c>
      <c r="DF219" s="173">
        <f>SUM(CT219:DE219)</f>
        <v>64200</v>
      </c>
      <c r="DG219" s="172">
        <f>+DG216-DG217-DG218</f>
        <v>127496</v>
      </c>
      <c r="DH219" s="149">
        <f t="shared" si="614"/>
        <v>-67765.019748829975</v>
      </c>
      <c r="DI219" s="150">
        <f t="shared" si="612"/>
        <v>71392.980251170055</v>
      </c>
      <c r="DJ219" s="151">
        <f t="shared" si="613"/>
        <v>139158.00000000003</v>
      </c>
    </row>
    <row r="220" spans="1:115" ht="6" customHeight="1">
      <c r="A220" s="185"/>
      <c r="B220" s="186"/>
      <c r="C220" s="54"/>
      <c r="D220" s="54"/>
      <c r="E220" s="187"/>
      <c r="F220" s="187"/>
      <c r="G220" s="188"/>
      <c r="H220" s="188"/>
      <c r="I220" s="188"/>
      <c r="J220" s="188"/>
      <c r="K220" s="188"/>
      <c r="L220" s="188"/>
      <c r="M220" s="188"/>
      <c r="N220" s="188"/>
      <c r="O220" s="188"/>
      <c r="P220" s="188"/>
      <c r="Q220" s="188"/>
      <c r="R220" s="188"/>
      <c r="S220" s="187"/>
      <c r="T220" s="188"/>
      <c r="U220" s="188"/>
      <c r="V220" s="188"/>
      <c r="W220" s="188"/>
      <c r="X220" s="188"/>
      <c r="Y220" s="188"/>
      <c r="Z220" s="188"/>
      <c r="AA220" s="188"/>
      <c r="AB220" s="188"/>
      <c r="AC220" s="188"/>
      <c r="AD220" s="188"/>
      <c r="AE220" s="188"/>
      <c r="AF220" s="187"/>
      <c r="AG220" s="188"/>
      <c r="AH220" s="188"/>
      <c r="AI220" s="188"/>
      <c r="AJ220" s="188"/>
      <c r="AK220" s="188"/>
      <c r="AL220" s="188"/>
      <c r="AM220" s="188"/>
      <c r="AN220" s="188"/>
      <c r="AO220" s="188"/>
      <c r="AP220" s="188"/>
      <c r="AQ220" s="188"/>
      <c r="AR220" s="188"/>
      <c r="AS220" s="415"/>
      <c r="AT220" s="188"/>
      <c r="AU220" s="188"/>
      <c r="AV220" s="188"/>
      <c r="AW220" s="188"/>
      <c r="AX220" s="188"/>
      <c r="AY220" s="188"/>
      <c r="AZ220" s="188"/>
      <c r="BA220" s="188"/>
      <c r="BB220" s="188"/>
      <c r="BC220" s="188"/>
      <c r="BD220" s="188"/>
      <c r="BE220" s="188"/>
      <c r="BF220" s="187"/>
      <c r="BG220" s="188"/>
      <c r="BH220" s="188"/>
      <c r="BI220" s="188"/>
      <c r="BJ220" s="188"/>
      <c r="BK220" s="188"/>
      <c r="BL220" s="188"/>
      <c r="BM220" s="188"/>
      <c r="BN220" s="188"/>
      <c r="BO220" s="188"/>
      <c r="BP220" s="188"/>
      <c r="BQ220" s="188"/>
      <c r="BR220" s="188"/>
      <c r="BS220" s="187"/>
      <c r="BT220" s="188"/>
      <c r="BU220" s="188"/>
      <c r="BV220" s="188"/>
      <c r="BW220" s="188"/>
      <c r="BX220" s="188"/>
      <c r="BY220" s="188"/>
      <c r="BZ220" s="188"/>
      <c r="CA220" s="188"/>
      <c r="CB220" s="188"/>
      <c r="CC220" s="188"/>
      <c r="CD220" s="188"/>
      <c r="CE220" s="188"/>
      <c r="CF220" s="187"/>
      <c r="CG220" s="188"/>
      <c r="CH220" s="188"/>
      <c r="CI220" s="188"/>
      <c r="CJ220" s="188"/>
      <c r="CK220" s="188"/>
      <c r="CL220" s="188"/>
      <c r="CM220" s="188"/>
      <c r="CN220" s="188"/>
      <c r="CO220" s="188"/>
      <c r="CP220" s="188"/>
      <c r="CQ220" s="188"/>
      <c r="CR220" s="188"/>
      <c r="CS220" s="187"/>
      <c r="CT220" s="188"/>
      <c r="CU220" s="188"/>
      <c r="CV220" s="188"/>
      <c r="CW220" s="188"/>
      <c r="CX220" s="188"/>
      <c r="CY220" s="188"/>
      <c r="CZ220" s="188"/>
      <c r="DA220" s="188"/>
      <c r="DB220" s="188"/>
      <c r="DC220" s="188"/>
      <c r="DD220" s="188"/>
      <c r="DE220" s="188"/>
      <c r="DF220" s="187"/>
      <c r="DG220" s="188"/>
      <c r="DH220" s="189"/>
      <c r="DI220" s="189"/>
      <c r="DJ220" s="189"/>
    </row>
    <row r="221" spans="1:115" ht="15" customHeight="1">
      <c r="A221" s="596" t="s">
        <v>81</v>
      </c>
      <c r="B221" s="597"/>
      <c r="C221" s="620" t="s">
        <v>63</v>
      </c>
      <c r="D221" s="621"/>
      <c r="E221" s="190">
        <f>+DH221</f>
        <v>21206.628600028922</v>
      </c>
      <c r="F221" s="190"/>
      <c r="G221" s="191">
        <v>727.2447773860705</v>
      </c>
      <c r="H221" s="192">
        <v>221.939154028838</v>
      </c>
      <c r="I221" s="193">
        <v>503.01350700171798</v>
      </c>
      <c r="J221" s="193">
        <v>145.3320091963902</v>
      </c>
      <c r="K221" s="193">
        <v>133.59888738197427</v>
      </c>
      <c r="L221" s="193">
        <v>121.05316383842703</v>
      </c>
      <c r="M221" s="193">
        <v>220</v>
      </c>
      <c r="N221" s="193">
        <v>107.12352298994975</v>
      </c>
      <c r="O221" s="193">
        <v>184.44930804979253</v>
      </c>
      <c r="P221" s="193">
        <v>481.00799388592532</v>
      </c>
      <c r="Q221" s="193">
        <v>189.67637503115901</v>
      </c>
      <c r="R221" s="193">
        <v>339.14051779625783</v>
      </c>
      <c r="S221" s="190">
        <f>SUM(G221:R221)</f>
        <v>3373.5792165865028</v>
      </c>
      <c r="T221" s="191">
        <f>235.492675881989-T194-T206</f>
        <v>235.49267588198899</v>
      </c>
      <c r="U221" s="192">
        <f>245.108346156991-U194</f>
        <v>241.96034615699099</v>
      </c>
      <c r="V221" s="193">
        <v>351.90824622258327</v>
      </c>
      <c r="W221" s="193">
        <f>170.294275062632-W206</f>
        <v>148.76427506263201</v>
      </c>
      <c r="X221" s="193">
        <f>203.236948957755-X194-X206</f>
        <v>193.94894895775499</v>
      </c>
      <c r="Y221" s="193">
        <f>169.089991836088-Y194-Y206</f>
        <v>151.12099183608797</v>
      </c>
      <c r="Z221" s="193">
        <f>124-Z194-Z206</f>
        <v>115.95899999999999</v>
      </c>
      <c r="AA221" s="193">
        <v>84</v>
      </c>
      <c r="AB221" s="193">
        <f>68.4995293472521-1</f>
        <v>67.499529347252107</v>
      </c>
      <c r="AC221" s="193">
        <v>332.25007497330853</v>
      </c>
      <c r="AD221" s="193">
        <v>1267.1469321713068</v>
      </c>
      <c r="AE221" s="194">
        <v>377.032571064097</v>
      </c>
      <c r="AF221" s="190">
        <f>SUM(T221:AE221)</f>
        <v>3567.0835916740029</v>
      </c>
      <c r="AG221" s="191">
        <v>426.39878969803203</v>
      </c>
      <c r="AH221" s="192">
        <v>418.26323345739468</v>
      </c>
      <c r="AI221" s="193">
        <v>181.27703246981596</v>
      </c>
      <c r="AJ221" s="193">
        <v>174.95490327913001</v>
      </c>
      <c r="AK221" s="193">
        <v>163.11294533922728</v>
      </c>
      <c r="AL221" s="193">
        <v>287.04373049645392</v>
      </c>
      <c r="AM221" s="193">
        <v>215.189565308694</v>
      </c>
      <c r="AN221" s="193">
        <v>284.9183563392553</v>
      </c>
      <c r="AO221" s="193">
        <v>358.30033017760439</v>
      </c>
      <c r="AP221" s="193">
        <v>311.287808073897</v>
      </c>
      <c r="AQ221" s="193">
        <v>476.21013189103166</v>
      </c>
      <c r="AR221" s="194">
        <v>345.97811864535765</v>
      </c>
      <c r="AS221" s="416">
        <f>SUM(AG221:AR221)</f>
        <v>3642.9349451758935</v>
      </c>
      <c r="AT221" s="192">
        <v>502</v>
      </c>
      <c r="AU221" s="192">
        <v>971.82965730164801</v>
      </c>
      <c r="AV221" s="193">
        <v>574.25801179549399</v>
      </c>
      <c r="AW221" s="193">
        <v>180.50020611952851</v>
      </c>
      <c r="AX221" s="193">
        <v>168.28291006809394</v>
      </c>
      <c r="AY221" s="193">
        <v>296.14175738342283</v>
      </c>
      <c r="AZ221" s="193">
        <v>222.01013041069973</v>
      </c>
      <c r="BA221" s="193">
        <v>293.94901819026393</v>
      </c>
      <c r="BB221" s="193">
        <v>369.65687864472363</v>
      </c>
      <c r="BC221" s="193">
        <v>321.15426585210281</v>
      </c>
      <c r="BD221" s="193">
        <v>491.30390375742383</v>
      </c>
      <c r="BE221" s="194">
        <v>356.94410706912248</v>
      </c>
      <c r="BF221" s="190">
        <f>SUM(AT221:BE221)</f>
        <v>4748.0308465925236</v>
      </c>
      <c r="BG221" s="191">
        <f>5875/12</f>
        <v>489.58333333333331</v>
      </c>
      <c r="BH221" s="192">
        <f t="shared" ref="BH221:BR221" si="697">5875/12</f>
        <v>489.58333333333331</v>
      </c>
      <c r="BI221" s="193">
        <f t="shared" si="697"/>
        <v>489.58333333333331</v>
      </c>
      <c r="BJ221" s="193">
        <f t="shared" si="697"/>
        <v>489.58333333333331</v>
      </c>
      <c r="BK221" s="193">
        <f t="shared" si="697"/>
        <v>489.58333333333331</v>
      </c>
      <c r="BL221" s="193">
        <f t="shared" si="697"/>
        <v>489.58333333333331</v>
      </c>
      <c r="BM221" s="193">
        <f t="shared" si="697"/>
        <v>489.58333333333331</v>
      </c>
      <c r="BN221" s="193">
        <f t="shared" si="697"/>
        <v>489.58333333333331</v>
      </c>
      <c r="BO221" s="193">
        <f t="shared" si="697"/>
        <v>489.58333333333331</v>
      </c>
      <c r="BP221" s="193">
        <f t="shared" si="697"/>
        <v>489.58333333333331</v>
      </c>
      <c r="BQ221" s="193">
        <f t="shared" si="697"/>
        <v>489.58333333333331</v>
      </c>
      <c r="BR221" s="194">
        <f t="shared" si="697"/>
        <v>489.58333333333331</v>
      </c>
      <c r="BS221" s="190">
        <f>SUM(BG221:BR221)</f>
        <v>5874.9999999999991</v>
      </c>
      <c r="BT221" s="191">
        <f>6853/12</f>
        <v>571.08333333333337</v>
      </c>
      <c r="BU221" s="192">
        <f t="shared" ref="BU221:CE221" si="698">6853/12</f>
        <v>571.08333333333337</v>
      </c>
      <c r="BV221" s="193">
        <f t="shared" si="698"/>
        <v>571.08333333333337</v>
      </c>
      <c r="BW221" s="193">
        <f t="shared" si="698"/>
        <v>571.08333333333337</v>
      </c>
      <c r="BX221" s="193">
        <f t="shared" si="698"/>
        <v>571.08333333333337</v>
      </c>
      <c r="BY221" s="193">
        <f t="shared" si="698"/>
        <v>571.08333333333337</v>
      </c>
      <c r="BZ221" s="193">
        <f t="shared" si="698"/>
        <v>571.08333333333337</v>
      </c>
      <c r="CA221" s="193">
        <f t="shared" si="698"/>
        <v>571.08333333333337</v>
      </c>
      <c r="CB221" s="193">
        <f t="shared" si="698"/>
        <v>571.08333333333337</v>
      </c>
      <c r="CC221" s="193">
        <f t="shared" si="698"/>
        <v>571.08333333333337</v>
      </c>
      <c r="CD221" s="193">
        <f t="shared" si="698"/>
        <v>571.08333333333337</v>
      </c>
      <c r="CE221" s="194">
        <f t="shared" si="698"/>
        <v>571.08333333333337</v>
      </c>
      <c r="CF221" s="190">
        <f>SUM(BT221:CE221)</f>
        <v>6852.9999999999991</v>
      </c>
      <c r="CG221" s="191">
        <f>6853/12</f>
        <v>571.08333333333337</v>
      </c>
      <c r="CH221" s="192">
        <f t="shared" ref="CH221:CR221" si="699">6853/12</f>
        <v>571.08333333333337</v>
      </c>
      <c r="CI221" s="193">
        <f t="shared" si="699"/>
        <v>571.08333333333337</v>
      </c>
      <c r="CJ221" s="193">
        <f t="shared" si="699"/>
        <v>571.08333333333337</v>
      </c>
      <c r="CK221" s="193">
        <f t="shared" si="699"/>
        <v>571.08333333333337</v>
      </c>
      <c r="CL221" s="193">
        <f t="shared" si="699"/>
        <v>571.08333333333337</v>
      </c>
      <c r="CM221" s="193">
        <f t="shared" si="699"/>
        <v>571.08333333333337</v>
      </c>
      <c r="CN221" s="193">
        <f t="shared" si="699"/>
        <v>571.08333333333337</v>
      </c>
      <c r="CO221" s="193">
        <f t="shared" si="699"/>
        <v>571.08333333333337</v>
      </c>
      <c r="CP221" s="193">
        <f t="shared" si="699"/>
        <v>571.08333333333337</v>
      </c>
      <c r="CQ221" s="193">
        <f t="shared" si="699"/>
        <v>571.08333333333337</v>
      </c>
      <c r="CR221" s="194">
        <f t="shared" si="699"/>
        <v>571.08333333333337</v>
      </c>
      <c r="CS221" s="190">
        <f>SUM(CG221:CR221)</f>
        <v>6852.9999999999991</v>
      </c>
      <c r="CT221" s="191">
        <f>7196/12</f>
        <v>599.66666666666663</v>
      </c>
      <c r="CU221" s="192">
        <f t="shared" ref="CU221:DE221" si="700">7196/12</f>
        <v>599.66666666666663</v>
      </c>
      <c r="CV221" s="193">
        <f t="shared" si="700"/>
        <v>599.66666666666663</v>
      </c>
      <c r="CW221" s="193">
        <f t="shared" si="700"/>
        <v>599.66666666666663</v>
      </c>
      <c r="CX221" s="193">
        <f t="shared" si="700"/>
        <v>599.66666666666663</v>
      </c>
      <c r="CY221" s="193">
        <f t="shared" si="700"/>
        <v>599.66666666666663</v>
      </c>
      <c r="CZ221" s="193">
        <f t="shared" si="700"/>
        <v>599.66666666666663</v>
      </c>
      <c r="DA221" s="193">
        <f t="shared" si="700"/>
        <v>599.66666666666663</v>
      </c>
      <c r="DB221" s="193">
        <f t="shared" si="700"/>
        <v>599.66666666666663</v>
      </c>
      <c r="DC221" s="193">
        <f t="shared" si="700"/>
        <v>599.66666666666663</v>
      </c>
      <c r="DD221" s="193">
        <f t="shared" si="700"/>
        <v>599.66666666666663</v>
      </c>
      <c r="DE221" s="194">
        <f t="shared" si="700"/>
        <v>599.66666666666663</v>
      </c>
      <c r="DF221" s="190">
        <f>SUM(CT221:DE221)</f>
        <v>7196.0000000000009</v>
      </c>
      <c r="DG221" s="195"/>
      <c r="DH221" s="196">
        <f t="shared" si="614"/>
        <v>21206.628600028922</v>
      </c>
      <c r="DI221" s="197">
        <f>+E221</f>
        <v>21206.628600028922</v>
      </c>
      <c r="DJ221" s="198">
        <f>+DI221-DH221</f>
        <v>0</v>
      </c>
    </row>
    <row r="222" spans="1:115" ht="6" customHeight="1">
      <c r="A222" s="185"/>
      <c r="B222" s="186"/>
      <c r="C222" s="54"/>
      <c r="D222" s="54"/>
      <c r="E222" s="187"/>
      <c r="F222" s="187"/>
      <c r="G222" s="188"/>
      <c r="H222" s="188"/>
      <c r="I222" s="188"/>
      <c r="J222" s="188"/>
      <c r="K222" s="188"/>
      <c r="L222" s="188"/>
      <c r="M222" s="188"/>
      <c r="N222" s="188"/>
      <c r="O222" s="188"/>
      <c r="P222" s="188"/>
      <c r="Q222" s="188"/>
      <c r="R222" s="188"/>
      <c r="S222" s="187"/>
      <c r="T222" s="188"/>
      <c r="U222" s="188"/>
      <c r="V222" s="188"/>
      <c r="W222" s="188"/>
      <c r="X222" s="188"/>
      <c r="Y222" s="188"/>
      <c r="Z222" s="188"/>
      <c r="AA222" s="188"/>
      <c r="AB222" s="188"/>
      <c r="AC222" s="188"/>
      <c r="AD222" s="188"/>
      <c r="AE222" s="188"/>
      <c r="AF222" s="187"/>
      <c r="AG222" s="188"/>
      <c r="AH222" s="188"/>
      <c r="AI222" s="188"/>
      <c r="AJ222" s="188"/>
      <c r="AK222" s="188"/>
      <c r="AL222" s="188"/>
      <c r="AM222" s="188"/>
      <c r="AN222" s="188"/>
      <c r="AO222" s="188"/>
      <c r="AP222" s="188"/>
      <c r="AQ222" s="188"/>
      <c r="AR222" s="188"/>
      <c r="AS222" s="415"/>
      <c r="AT222" s="188"/>
      <c r="AU222" s="188"/>
      <c r="AV222" s="188"/>
      <c r="AW222" s="188"/>
      <c r="AX222" s="188"/>
      <c r="AY222" s="188"/>
      <c r="AZ222" s="188"/>
      <c r="BA222" s="188"/>
      <c r="BB222" s="188"/>
      <c r="BC222" s="188"/>
      <c r="BD222" s="188"/>
      <c r="BE222" s="188"/>
      <c r="BF222" s="187"/>
      <c r="BG222" s="188"/>
      <c r="BH222" s="188"/>
      <c r="BI222" s="188"/>
      <c r="BJ222" s="188"/>
      <c r="BK222" s="188"/>
      <c r="BL222" s="188"/>
      <c r="BM222" s="188"/>
      <c r="BN222" s="188"/>
      <c r="BO222" s="188"/>
      <c r="BP222" s="188"/>
      <c r="BQ222" s="188"/>
      <c r="BR222" s="188"/>
      <c r="BS222" s="187"/>
      <c r="BT222" s="188"/>
      <c r="BU222" s="188"/>
      <c r="BV222" s="188"/>
      <c r="BW222" s="188"/>
      <c r="BX222" s="188"/>
      <c r="BY222" s="188"/>
      <c r="BZ222" s="188"/>
      <c r="CA222" s="188"/>
      <c r="CB222" s="188"/>
      <c r="CC222" s="188"/>
      <c r="CD222" s="188"/>
      <c r="CE222" s="188"/>
      <c r="CF222" s="187"/>
      <c r="CG222" s="188"/>
      <c r="CH222" s="188"/>
      <c r="CI222" s="188"/>
      <c r="CJ222" s="188"/>
      <c r="CK222" s="188"/>
      <c r="CL222" s="188"/>
      <c r="CM222" s="188"/>
      <c r="CN222" s="188"/>
      <c r="CO222" s="188"/>
      <c r="CP222" s="188"/>
      <c r="CQ222" s="188"/>
      <c r="CR222" s="188"/>
      <c r="CS222" s="187"/>
      <c r="CT222" s="188"/>
      <c r="CU222" s="188"/>
      <c r="CV222" s="188"/>
      <c r="CW222" s="188"/>
      <c r="CX222" s="188"/>
      <c r="CY222" s="188"/>
      <c r="CZ222" s="188"/>
      <c r="DA222" s="188"/>
      <c r="DB222" s="188"/>
      <c r="DC222" s="188"/>
      <c r="DD222" s="188"/>
      <c r="DE222" s="188"/>
      <c r="DF222" s="187"/>
      <c r="DG222" s="188"/>
      <c r="DH222" s="189"/>
      <c r="DI222" s="189"/>
      <c r="DJ222" s="189"/>
    </row>
    <row r="223" spans="1:115" ht="15" customHeight="1">
      <c r="A223" s="587" t="s">
        <v>115</v>
      </c>
      <c r="B223" s="588"/>
      <c r="C223" s="199" t="s">
        <v>62</v>
      </c>
      <c r="D223" s="237"/>
      <c r="E223" s="153">
        <f>AF223+AS223+BF223+BS223+CF223+CS223+DF223+S223+DG223</f>
        <v>1797294.8346482695</v>
      </c>
      <c r="F223" s="153">
        <f t="shared" ref="F223:R223" si="701">+F112+F188+F216</f>
        <v>4518.8</v>
      </c>
      <c r="G223" s="154">
        <f t="shared" si="701"/>
        <v>2410.7997037403265</v>
      </c>
      <c r="H223" s="155">
        <f t="shared" si="701"/>
        <v>2585.0402174300257</v>
      </c>
      <c r="I223" s="155">
        <f t="shared" si="701"/>
        <v>1643.8650660652925</v>
      </c>
      <c r="J223" s="155">
        <f t="shared" si="701"/>
        <v>1095.5899310270734</v>
      </c>
      <c r="K223" s="155">
        <f t="shared" si="701"/>
        <v>938.78216480686694</v>
      </c>
      <c r="L223" s="155">
        <f t="shared" si="701"/>
        <v>2572.7344891643515</v>
      </c>
      <c r="M223" s="155">
        <f t="shared" si="701"/>
        <v>1109.6345537773993</v>
      </c>
      <c r="N223" s="155">
        <f t="shared" si="701"/>
        <v>640.46318077889441</v>
      </c>
      <c r="O223" s="155">
        <f t="shared" si="701"/>
        <v>824.97447008298764</v>
      </c>
      <c r="P223" s="155">
        <f t="shared" si="701"/>
        <v>856.31660008206813</v>
      </c>
      <c r="Q223" s="155">
        <f t="shared" si="701"/>
        <v>25858.929654424592</v>
      </c>
      <c r="R223" s="156">
        <f t="shared" si="701"/>
        <v>2951.7028231185031</v>
      </c>
      <c r="S223" s="157">
        <f>SUM(G223:R223)</f>
        <v>43488.832854498381</v>
      </c>
      <c r="T223" s="383">
        <f t="shared" ref="T223:AE223" si="702">+T112+T188+T216</f>
        <v>2477.2539852692398</v>
      </c>
      <c r="U223" s="382">
        <f t="shared" si="702"/>
        <v>1158.4478215862637</v>
      </c>
      <c r="V223" s="382">
        <f t="shared" si="702"/>
        <v>607.71864951259136</v>
      </c>
      <c r="W223" s="382">
        <f t="shared" si="702"/>
        <v>727.13063275937486</v>
      </c>
      <c r="X223" s="382">
        <f t="shared" si="702"/>
        <v>647.41927986050564</v>
      </c>
      <c r="Y223" s="382">
        <f t="shared" si="702"/>
        <v>849.28849815717513</v>
      </c>
      <c r="Z223" s="382">
        <f t="shared" si="702"/>
        <v>1210.0057627814306</v>
      </c>
      <c r="AA223" s="382">
        <f t="shared" si="702"/>
        <v>1798.5851877664281</v>
      </c>
      <c r="AB223" s="382">
        <f t="shared" si="702"/>
        <v>765.5901729152281</v>
      </c>
      <c r="AC223" s="382">
        <f t="shared" si="702"/>
        <v>793.43747415872508</v>
      </c>
      <c r="AD223" s="382">
        <f t="shared" si="702"/>
        <v>4877.8477255698399</v>
      </c>
      <c r="AE223" s="485">
        <f t="shared" si="702"/>
        <v>32193.420957294813</v>
      </c>
      <c r="AF223" s="157">
        <f>SUM(T223:AE223)</f>
        <v>48106.146147631618</v>
      </c>
      <c r="AG223" s="498">
        <f t="shared" ref="AG223:AR223" si="703">+AG112+AG188+AG216</f>
        <v>5306.9557683451512</v>
      </c>
      <c r="AH223" s="513">
        <f t="shared" si="703"/>
        <v>1009.4704036434869</v>
      </c>
      <c r="AI223" s="513">
        <f t="shared" si="703"/>
        <v>1334.4751844645016</v>
      </c>
      <c r="AJ223" s="513">
        <f t="shared" si="703"/>
        <v>2825.3249903125361</v>
      </c>
      <c r="AK223" s="513">
        <f t="shared" si="703"/>
        <v>4332.9033734384011</v>
      </c>
      <c r="AL223" s="513">
        <f t="shared" si="703"/>
        <v>3324.7458981023528</v>
      </c>
      <c r="AM223" s="513">
        <f t="shared" si="703"/>
        <v>3758.7613432858616</v>
      </c>
      <c r="AN223" s="513">
        <f t="shared" si="703"/>
        <v>4322.3224102428121</v>
      </c>
      <c r="AO223" s="513">
        <f t="shared" si="703"/>
        <v>2198.6489151361384</v>
      </c>
      <c r="AP223" s="513">
        <f t="shared" si="703"/>
        <v>1668.3271846656787</v>
      </c>
      <c r="AQ223" s="513">
        <f t="shared" si="703"/>
        <v>3289.4399878376844</v>
      </c>
      <c r="AR223" s="512">
        <f t="shared" si="703"/>
        <v>16522.030641894977</v>
      </c>
      <c r="AS223" s="409">
        <f>SUM(AG223:AR223)</f>
        <v>49893.406101369583</v>
      </c>
      <c r="AT223" s="158">
        <f t="shared" ref="AT223:BE223" si="704">+AT112+AT188+AT216</f>
        <v>13475.459768014465</v>
      </c>
      <c r="AU223" s="155">
        <f t="shared" si="704"/>
        <v>8369.8133273668082</v>
      </c>
      <c r="AV223" s="155">
        <f t="shared" si="704"/>
        <v>4229.9637588181758</v>
      </c>
      <c r="AW223" s="155">
        <f t="shared" si="704"/>
        <v>2679.6836426153195</v>
      </c>
      <c r="AX223" s="155">
        <f t="shared" si="704"/>
        <v>99.000000000000014</v>
      </c>
      <c r="AY223" s="155">
        <f t="shared" si="704"/>
        <v>836.94117647058829</v>
      </c>
      <c r="AZ223" s="155">
        <f t="shared" si="704"/>
        <v>0</v>
      </c>
      <c r="BA223" s="155">
        <f t="shared" si="704"/>
        <v>0</v>
      </c>
      <c r="BB223" s="155">
        <f t="shared" si="704"/>
        <v>2665.751115562929</v>
      </c>
      <c r="BC223" s="155">
        <f t="shared" si="704"/>
        <v>8290.3354088466767</v>
      </c>
      <c r="BD223" s="155">
        <f t="shared" si="704"/>
        <v>11620.68617163222</v>
      </c>
      <c r="BE223" s="156">
        <f t="shared" si="704"/>
        <v>14257.545940587494</v>
      </c>
      <c r="BF223" s="157">
        <f>SUM(AT223:BE223)</f>
        <v>66525.180309914664</v>
      </c>
      <c r="BG223" s="154">
        <f t="shared" ref="BG223:BR223" si="705">+BG112+BG188+BG216</f>
        <v>20478.434448497235</v>
      </c>
      <c r="BH223" s="155">
        <f t="shared" si="705"/>
        <v>17658.779579084567</v>
      </c>
      <c r="BI223" s="155">
        <f t="shared" si="705"/>
        <v>20701.208086375984</v>
      </c>
      <c r="BJ223" s="155">
        <f t="shared" si="705"/>
        <v>24399.170057249295</v>
      </c>
      <c r="BK223" s="155">
        <f t="shared" si="705"/>
        <v>25797.072884271383</v>
      </c>
      <c r="BL223" s="155">
        <f t="shared" si="705"/>
        <v>26881.921563766529</v>
      </c>
      <c r="BM223" s="155">
        <f t="shared" si="705"/>
        <v>123963.88362426954</v>
      </c>
      <c r="BN223" s="155">
        <f t="shared" si="705"/>
        <v>27769.311171196863</v>
      </c>
      <c r="BO223" s="155">
        <f t="shared" si="705"/>
        <v>28015.070536418643</v>
      </c>
      <c r="BP223" s="155">
        <f t="shared" si="705"/>
        <v>26126.703438766461</v>
      </c>
      <c r="BQ223" s="155">
        <f t="shared" si="705"/>
        <v>30356.665755009177</v>
      </c>
      <c r="BR223" s="156">
        <f t="shared" si="705"/>
        <v>33892.832891512771</v>
      </c>
      <c r="BS223" s="157">
        <f>SUM(BG223:BR223)</f>
        <v>406041.05403641844</v>
      </c>
      <c r="BT223" s="154">
        <f t="shared" ref="BT223:CE223" si="706">+BT112+BT188+BT216</f>
        <v>35909.920094243265</v>
      </c>
      <c r="BU223" s="155">
        <f t="shared" si="706"/>
        <v>35344.952921680575</v>
      </c>
      <c r="BV223" s="155">
        <f t="shared" si="706"/>
        <v>32084.862304208975</v>
      </c>
      <c r="BW223" s="155">
        <f t="shared" si="706"/>
        <v>33113.241249329876</v>
      </c>
      <c r="BX223" s="155">
        <f t="shared" si="706"/>
        <v>32718.641783423307</v>
      </c>
      <c r="BY223" s="155">
        <f t="shared" si="706"/>
        <v>33600.976013920888</v>
      </c>
      <c r="BZ223" s="155">
        <f t="shared" si="706"/>
        <v>63172.335923110564</v>
      </c>
      <c r="CA223" s="155">
        <f t="shared" si="706"/>
        <v>37106.992172835467</v>
      </c>
      <c r="CB223" s="155">
        <f t="shared" si="706"/>
        <v>34388.988521437321</v>
      </c>
      <c r="CC223" s="155">
        <f t="shared" si="706"/>
        <v>35266.140093910959</v>
      </c>
      <c r="CD223" s="155">
        <f t="shared" si="706"/>
        <v>35805.868591200058</v>
      </c>
      <c r="CE223" s="156">
        <f t="shared" si="706"/>
        <v>35995.319982108733</v>
      </c>
      <c r="CF223" s="157">
        <f>SUM(BT223:CE223)</f>
        <v>444508.23965140997</v>
      </c>
      <c r="CG223" s="154">
        <f t="shared" ref="CG223:CR223" si="707">+CG112+CG188+CG216</f>
        <v>34181.189974393637</v>
      </c>
      <c r="CH223" s="155">
        <f t="shared" si="707"/>
        <v>34693.557681554536</v>
      </c>
      <c r="CI223" s="155">
        <f t="shared" si="707"/>
        <v>35224.997333278152</v>
      </c>
      <c r="CJ223" s="155">
        <f t="shared" si="707"/>
        <v>33013.630851999558</v>
      </c>
      <c r="CK223" s="155">
        <f t="shared" si="707"/>
        <v>32899.272787808746</v>
      </c>
      <c r="CL223" s="155">
        <f t="shared" si="707"/>
        <v>32459.90678768721</v>
      </c>
      <c r="CM223" s="155">
        <f t="shared" si="707"/>
        <v>29196.18328785769</v>
      </c>
      <c r="CN223" s="155">
        <f t="shared" si="707"/>
        <v>27908.371370133638</v>
      </c>
      <c r="CO223" s="155">
        <f t="shared" si="707"/>
        <v>26537.045405370558</v>
      </c>
      <c r="CP223" s="155">
        <f t="shared" si="707"/>
        <v>23563.79560237236</v>
      </c>
      <c r="CQ223" s="155">
        <f t="shared" si="707"/>
        <v>14376.687762513902</v>
      </c>
      <c r="CR223" s="156">
        <f t="shared" si="707"/>
        <v>13443.112677745361</v>
      </c>
      <c r="CS223" s="157">
        <f>SUM(CG223:CR223)</f>
        <v>337497.75152271538</v>
      </c>
      <c r="CT223" s="154">
        <f t="shared" ref="CT223:DE223" si="708">+CT112+CT188+CT216</f>
        <v>12131.076395350083</v>
      </c>
      <c r="CU223" s="155">
        <f t="shared" si="708"/>
        <v>11120.574647499436</v>
      </c>
      <c r="CV223" s="155">
        <f t="shared" si="708"/>
        <v>9988.7294377680719</v>
      </c>
      <c r="CW223" s="155">
        <f t="shared" si="708"/>
        <v>73246.485272645208</v>
      </c>
      <c r="CX223" s="155">
        <f t="shared" si="708"/>
        <v>8374.7635937188315</v>
      </c>
      <c r="CY223" s="155">
        <f t="shared" si="708"/>
        <v>7678.9695695081919</v>
      </c>
      <c r="CZ223" s="155">
        <f t="shared" si="708"/>
        <v>6892.8569956916172</v>
      </c>
      <c r="DA223" s="155">
        <f t="shared" si="708"/>
        <v>6023.5648036737075</v>
      </c>
      <c r="DB223" s="155">
        <f t="shared" si="708"/>
        <v>5366.81550185162</v>
      </c>
      <c r="DC223" s="155">
        <f t="shared" si="708"/>
        <v>4929.6161372494525</v>
      </c>
      <c r="DD223" s="155">
        <f t="shared" si="708"/>
        <v>4430.1731299810317</v>
      </c>
      <c r="DE223" s="156">
        <f t="shared" si="708"/>
        <v>3875.0220955471141</v>
      </c>
      <c r="DF223" s="157">
        <f>SUM(CT223:DE223)</f>
        <v>154058.64758048436</v>
      </c>
      <c r="DG223" s="280">
        <f>+DG112+DG188+DG216</f>
        <v>247175.57644382701</v>
      </c>
      <c r="DH223" s="159">
        <f t="shared" si="614"/>
        <v>865748.99589365977</v>
      </c>
      <c r="DI223" s="160">
        <f>+E223</f>
        <v>1797294.8346482695</v>
      </c>
      <c r="DJ223" s="161">
        <f>+DI223-DH223</f>
        <v>931545.83875460969</v>
      </c>
    </row>
    <row r="224" spans="1:115" ht="15" customHeight="1">
      <c r="A224" s="589"/>
      <c r="B224" s="590"/>
      <c r="C224" s="200" t="s">
        <v>63</v>
      </c>
      <c r="D224" s="238"/>
      <c r="E224" s="136">
        <f>AF224+AS224+BF224+BS224+CF224+CS224+DF224+S224+DG224</f>
        <v>1577830.0795801366</v>
      </c>
      <c r="F224" s="136">
        <f t="shared" ref="F224:R224" si="709">+F113+F189+F217+F218+F221</f>
        <v>764.56299999999999</v>
      </c>
      <c r="G224" s="137">
        <f t="shared" si="709"/>
        <v>1884.9120027515046</v>
      </c>
      <c r="H224" s="138">
        <f t="shared" si="709"/>
        <v>1585.3505390024525</v>
      </c>
      <c r="I224" s="138">
        <f t="shared" si="709"/>
        <v>2036.3751054553261</v>
      </c>
      <c r="J224" s="138">
        <f t="shared" si="709"/>
        <v>1154.8133418564673</v>
      </c>
      <c r="K224" s="138">
        <f t="shared" si="709"/>
        <v>2062.1812125751076</v>
      </c>
      <c r="L224" s="138">
        <f t="shared" si="709"/>
        <v>1125.7988690745888</v>
      </c>
      <c r="M224" s="138">
        <f t="shared" si="709"/>
        <v>1483.1628414130669</v>
      </c>
      <c r="N224" s="138">
        <f t="shared" si="709"/>
        <v>884.48631561976549</v>
      </c>
      <c r="O224" s="138">
        <f t="shared" si="709"/>
        <v>977.93668809128633</v>
      </c>
      <c r="P224" s="138">
        <f t="shared" si="709"/>
        <v>1360.7161608945426</v>
      </c>
      <c r="Q224" s="138">
        <f t="shared" si="709"/>
        <v>1746.3797083090983</v>
      </c>
      <c r="R224" s="139">
        <f t="shared" si="709"/>
        <v>1552.2888624116426</v>
      </c>
      <c r="S224" s="162">
        <f>SUM(G224:R224)</f>
        <v>17854.401647454848</v>
      </c>
      <c r="T224" s="384">
        <f t="shared" ref="T224:AE224" si="710">+T113+T189+T217+T218+T221</f>
        <v>2322.1344967608825</v>
      </c>
      <c r="U224" s="381">
        <f t="shared" si="710"/>
        <v>1117.9376727718725</v>
      </c>
      <c r="V224" s="381">
        <f t="shared" si="710"/>
        <v>955.41010446791233</v>
      </c>
      <c r="W224" s="381">
        <f t="shared" si="710"/>
        <v>975.01553111703208</v>
      </c>
      <c r="X224" s="381">
        <f t="shared" si="710"/>
        <v>1021.295521677102</v>
      </c>
      <c r="Y224" s="381">
        <f t="shared" si="710"/>
        <v>4672.8562690920626</v>
      </c>
      <c r="Z224" s="381">
        <f t="shared" si="710"/>
        <v>1216.6466247459653</v>
      </c>
      <c r="AA224" s="381">
        <f t="shared" si="710"/>
        <v>1250.182130338615</v>
      </c>
      <c r="AB224" s="381">
        <f t="shared" si="710"/>
        <v>1107.0595875543279</v>
      </c>
      <c r="AC224" s="381">
        <f t="shared" si="710"/>
        <v>1428.7886644786272</v>
      </c>
      <c r="AD224" s="381">
        <f t="shared" si="710"/>
        <v>3613.989787128322</v>
      </c>
      <c r="AE224" s="486">
        <f t="shared" si="710"/>
        <v>6072.4212318954351</v>
      </c>
      <c r="AF224" s="162">
        <f>SUM(T224:AE224)</f>
        <v>25753.737622028155</v>
      </c>
      <c r="AG224" s="497">
        <f t="shared" ref="AG224:AR224" si="711">+AG113+AG189+AG217+AG218+AG221</f>
        <v>5420.811544179749</v>
      </c>
      <c r="AH224" s="499">
        <f t="shared" si="711"/>
        <v>1242.4144172771794</v>
      </c>
      <c r="AI224" s="499">
        <f t="shared" si="711"/>
        <v>1290.7705302231079</v>
      </c>
      <c r="AJ224" s="499">
        <f t="shared" si="711"/>
        <v>2987.208075231616</v>
      </c>
      <c r="AK224" s="499">
        <f t="shared" si="711"/>
        <v>7976.0753049010182</v>
      </c>
      <c r="AL224" s="499">
        <f t="shared" si="711"/>
        <v>13482.3744635231</v>
      </c>
      <c r="AM224" s="499">
        <f t="shared" si="711"/>
        <v>8569.6324252987615</v>
      </c>
      <c r="AN224" s="499">
        <f t="shared" si="711"/>
        <v>2865.3009390507214</v>
      </c>
      <c r="AO224" s="499">
        <f t="shared" si="711"/>
        <v>2924.0599934487068</v>
      </c>
      <c r="AP224" s="499">
        <f t="shared" si="711"/>
        <v>2122.8536548447187</v>
      </c>
      <c r="AQ224" s="499">
        <f t="shared" si="711"/>
        <v>4094.0278408290073</v>
      </c>
      <c r="AR224" s="511">
        <f t="shared" si="711"/>
        <v>67227.866315410953</v>
      </c>
      <c r="AS224" s="410">
        <f>SUM(AG224:AR224)</f>
        <v>120203.39550421864</v>
      </c>
      <c r="AT224" s="141">
        <f t="shared" ref="AT224:BE224" si="712">+AT113+AT189+AT217+AT218+AT221</f>
        <v>9911.436309929597</v>
      </c>
      <c r="AU224" s="138">
        <f t="shared" si="712"/>
        <v>5681.4822762361064</v>
      </c>
      <c r="AV224" s="138">
        <f t="shared" si="712"/>
        <v>3514.9385276113176</v>
      </c>
      <c r="AW224" s="138">
        <f t="shared" si="712"/>
        <v>6734.3936494079408</v>
      </c>
      <c r="AX224" s="138">
        <f t="shared" si="712"/>
        <v>27217.630080959647</v>
      </c>
      <c r="AY224" s="138">
        <f t="shared" si="712"/>
        <v>20541.976511226992</v>
      </c>
      <c r="AZ224" s="138">
        <f t="shared" si="712"/>
        <v>9416.8673532625035</v>
      </c>
      <c r="BA224" s="138">
        <f t="shared" si="712"/>
        <v>10785.17032080737</v>
      </c>
      <c r="BB224" s="138">
        <f t="shared" si="712"/>
        <v>8439.9663942223233</v>
      </c>
      <c r="BC224" s="138">
        <f t="shared" si="712"/>
        <v>15170.19183026586</v>
      </c>
      <c r="BD224" s="138">
        <f t="shared" si="712"/>
        <v>11760.803832705948</v>
      </c>
      <c r="BE224" s="139">
        <f t="shared" si="712"/>
        <v>12056.81435187257</v>
      </c>
      <c r="BF224" s="162">
        <f>SUM(AT224:BE224)</f>
        <v>141231.6714385082</v>
      </c>
      <c r="BG224" s="137">
        <f t="shared" ref="BG224:BR224" si="713">+BG113+BG189+BG217+BG218+BG221</f>
        <v>12725.388757474519</v>
      </c>
      <c r="BH224" s="138">
        <f t="shared" si="713"/>
        <v>18656.700196508449</v>
      </c>
      <c r="BI224" s="138">
        <f t="shared" si="713"/>
        <v>22886.224573094052</v>
      </c>
      <c r="BJ224" s="138">
        <f t="shared" si="713"/>
        <v>25648.221716753844</v>
      </c>
      <c r="BK224" s="138">
        <f t="shared" si="713"/>
        <v>29092.987122863055</v>
      </c>
      <c r="BL224" s="138">
        <f t="shared" si="713"/>
        <v>29309.102089084154</v>
      </c>
      <c r="BM224" s="138">
        <f t="shared" si="713"/>
        <v>39477.285825329483</v>
      </c>
      <c r="BN224" s="138">
        <f t="shared" si="713"/>
        <v>102783.3296016703</v>
      </c>
      <c r="BO224" s="138">
        <f t="shared" si="713"/>
        <v>31424.795428911817</v>
      </c>
      <c r="BP224" s="138">
        <f t="shared" si="713"/>
        <v>24200.54630735351</v>
      </c>
      <c r="BQ224" s="138">
        <f t="shared" si="713"/>
        <v>25604.53151284494</v>
      </c>
      <c r="BR224" s="139">
        <f t="shared" si="713"/>
        <v>26989.875089227924</v>
      </c>
      <c r="BS224" s="162">
        <f>SUM(BG224:BR224)</f>
        <v>388798.98822111607</v>
      </c>
      <c r="BT224" s="137">
        <f t="shared" ref="BT224:CE224" si="714">+BT113+BT189+BT217+BT218+BT221</f>
        <v>27357.720928406859</v>
      </c>
      <c r="BU224" s="138">
        <f t="shared" si="714"/>
        <v>30238.91792509428</v>
      </c>
      <c r="BV224" s="138">
        <f t="shared" si="714"/>
        <v>30388.727200013342</v>
      </c>
      <c r="BW224" s="138">
        <f t="shared" si="714"/>
        <v>30740.277389175426</v>
      </c>
      <c r="BX224" s="138">
        <f t="shared" si="714"/>
        <v>29516.858730461565</v>
      </c>
      <c r="BY224" s="138">
        <f t="shared" si="714"/>
        <v>30858.055235545402</v>
      </c>
      <c r="BZ224" s="138">
        <f t="shared" si="714"/>
        <v>31595.953091203017</v>
      </c>
      <c r="CA224" s="138">
        <f t="shared" si="714"/>
        <v>43133.376739615778</v>
      </c>
      <c r="CB224" s="138">
        <f t="shared" si="714"/>
        <v>30951.586948296499</v>
      </c>
      <c r="CC224" s="138">
        <f t="shared" si="714"/>
        <v>31756.390119667158</v>
      </c>
      <c r="CD224" s="138">
        <f t="shared" si="714"/>
        <v>32261.491296454566</v>
      </c>
      <c r="CE224" s="139">
        <f t="shared" si="714"/>
        <v>32455.159728616043</v>
      </c>
      <c r="CF224" s="162">
        <f>SUM(BT224:CE224)</f>
        <v>381254.51533254999</v>
      </c>
      <c r="CG224" s="137">
        <f t="shared" ref="CG224:CR224" si="715">+CG113+CG189+CG217+CG218+CG221</f>
        <v>30931.494055747804</v>
      </c>
      <c r="CH224" s="138">
        <f t="shared" si="715"/>
        <v>31387.226690202624</v>
      </c>
      <c r="CI224" s="138">
        <f t="shared" si="715"/>
        <v>31860.658497737913</v>
      </c>
      <c r="CJ224" s="138">
        <f t="shared" si="715"/>
        <v>29987.256233196018</v>
      </c>
      <c r="CK224" s="138">
        <f t="shared" si="715"/>
        <v>29880.691479090703</v>
      </c>
      <c r="CL224" s="138">
        <f t="shared" si="715"/>
        <v>29482.305287561634</v>
      </c>
      <c r="CM224" s="138">
        <f t="shared" si="715"/>
        <v>26484.322717009476</v>
      </c>
      <c r="CN224" s="138">
        <f t="shared" si="715"/>
        <v>25512.248844565285</v>
      </c>
      <c r="CO224" s="138">
        <f t="shared" si="715"/>
        <v>24277.435130147991</v>
      </c>
      <c r="CP224" s="138">
        <f t="shared" si="715"/>
        <v>21672.289869388889</v>
      </c>
      <c r="CQ224" s="138">
        <f t="shared" si="715"/>
        <v>13405.031815191212</v>
      </c>
      <c r="CR224" s="139">
        <f t="shared" si="715"/>
        <v>12178.080316284935</v>
      </c>
      <c r="CS224" s="162">
        <f>SUM(CG224:CR224)</f>
        <v>307059.04093612451</v>
      </c>
      <c r="CT224" s="137">
        <f t="shared" ref="CT224:DE224" si="716">+CT113+CT189+CT217+CT218+CT221</f>
        <v>11417.648227741169</v>
      </c>
      <c r="CU224" s="138">
        <f t="shared" si="716"/>
        <v>10512.182601170383</v>
      </c>
      <c r="CV224" s="138">
        <f t="shared" si="716"/>
        <v>9498.4869475435225</v>
      </c>
      <c r="CW224" s="138">
        <f t="shared" si="716"/>
        <v>8665.4233140428005</v>
      </c>
      <c r="CX224" s="138">
        <f t="shared" si="716"/>
        <v>8085.7164876038432</v>
      </c>
      <c r="CY224" s="138">
        <f t="shared" si="716"/>
        <v>7485.0106904226868</v>
      </c>
      <c r="CZ224" s="138">
        <f t="shared" si="716"/>
        <v>6803.4672730049297</v>
      </c>
      <c r="DA224" s="138">
        <f t="shared" si="716"/>
        <v>6047.289929232772</v>
      </c>
      <c r="DB224" s="138">
        <f t="shared" si="716"/>
        <v>5468.0327110336175</v>
      </c>
      <c r="DC224" s="138">
        <f t="shared" si="716"/>
        <v>5071.8932463766487</v>
      </c>
      <c r="DD224" s="138">
        <f t="shared" si="716"/>
        <v>4619.6370027866287</v>
      </c>
      <c r="DE224" s="139">
        <f t="shared" si="716"/>
        <v>4117.1535924316177</v>
      </c>
      <c r="DF224" s="162">
        <f>SUM(CT224:DE224)</f>
        <v>87791.942023390628</v>
      </c>
      <c r="DG224" s="279">
        <f>+DG113+DG189+DG217+DG218+DG221</f>
        <v>107882.38685474546</v>
      </c>
      <c r="DH224" s="90">
        <f t="shared" si="614"/>
        <v>802489.14428807143</v>
      </c>
      <c r="DI224" s="91">
        <f>+E224</f>
        <v>1577830.0795801366</v>
      </c>
      <c r="DJ224" s="92">
        <f>+DI224-DH224</f>
        <v>775340.93529206514</v>
      </c>
      <c r="DK224" s="64">
        <f>+DH224/DH223</f>
        <v>0.92693049382022208</v>
      </c>
    </row>
    <row r="225" spans="1:115" ht="15" customHeight="1">
      <c r="A225" s="591"/>
      <c r="B225" s="592"/>
      <c r="C225" s="201" t="s">
        <v>11</v>
      </c>
      <c r="D225" s="239"/>
      <c r="E225" s="202">
        <f t="shared" ref="E225:R225" si="717">+E223-E224</f>
        <v>219464.75506813289</v>
      </c>
      <c r="F225" s="203">
        <f t="shared" si="717"/>
        <v>3754.2370000000001</v>
      </c>
      <c r="G225" s="204">
        <f t="shared" si="717"/>
        <v>525.88770098882196</v>
      </c>
      <c r="H225" s="204">
        <f t="shared" si="717"/>
        <v>999.6896784275732</v>
      </c>
      <c r="I225" s="204">
        <f t="shared" si="717"/>
        <v>-392.51003939003363</v>
      </c>
      <c r="J225" s="204">
        <f t="shared" si="717"/>
        <v>-59.22341082939397</v>
      </c>
      <c r="K225" s="204">
        <f t="shared" si="717"/>
        <v>-1123.3990477682405</v>
      </c>
      <c r="L225" s="204">
        <f t="shared" si="717"/>
        <v>1446.9356200897628</v>
      </c>
      <c r="M225" s="204">
        <f t="shared" si="717"/>
        <v>-373.52828763566754</v>
      </c>
      <c r="N225" s="204">
        <f t="shared" si="717"/>
        <v>-244.02313484087108</v>
      </c>
      <c r="O225" s="204">
        <f t="shared" si="717"/>
        <v>-152.96221800829869</v>
      </c>
      <c r="P225" s="204">
        <f t="shared" si="717"/>
        <v>-504.39956081247442</v>
      </c>
      <c r="Q225" s="204">
        <f t="shared" si="717"/>
        <v>24112.549946115494</v>
      </c>
      <c r="R225" s="205">
        <f t="shared" si="717"/>
        <v>1399.4139607068605</v>
      </c>
      <c r="S225" s="112">
        <f>SUM(G225:R225)</f>
        <v>25634.431207043534</v>
      </c>
      <c r="T225" s="206">
        <f t="shared" ref="T225:AE225" si="718">+T223-T224</f>
        <v>155.11948850835734</v>
      </c>
      <c r="U225" s="204">
        <f t="shared" si="718"/>
        <v>40.510148814391187</v>
      </c>
      <c r="V225" s="204">
        <f t="shared" si="718"/>
        <v>-347.69145495532098</v>
      </c>
      <c r="W225" s="204">
        <f t="shared" si="718"/>
        <v>-247.88489835765722</v>
      </c>
      <c r="X225" s="204">
        <f t="shared" si="718"/>
        <v>-373.87624181659635</v>
      </c>
      <c r="Y225" s="204">
        <f t="shared" si="718"/>
        <v>-3823.5677709348874</v>
      </c>
      <c r="Z225" s="204">
        <f t="shared" si="718"/>
        <v>-6.6408619645346789</v>
      </c>
      <c r="AA225" s="204">
        <f t="shared" si="718"/>
        <v>548.40305742781311</v>
      </c>
      <c r="AB225" s="204">
        <f t="shared" si="718"/>
        <v>-341.4694146390998</v>
      </c>
      <c r="AC225" s="204">
        <f t="shared" si="718"/>
        <v>-635.35119031990212</v>
      </c>
      <c r="AD225" s="204">
        <f t="shared" si="718"/>
        <v>1263.8579384415179</v>
      </c>
      <c r="AE225" s="205">
        <f t="shared" si="718"/>
        <v>26120.999725399379</v>
      </c>
      <c r="AF225" s="112">
        <f>SUM(T225:AE225)</f>
        <v>22352.40852560346</v>
      </c>
      <c r="AG225" s="206">
        <f t="shared" ref="AG225:AR225" si="719">+AG223-AG224</f>
        <v>-113.85577583459781</v>
      </c>
      <c r="AH225" s="204">
        <f t="shared" si="719"/>
        <v>-232.94401363369252</v>
      </c>
      <c r="AI225" s="204">
        <f t="shared" si="719"/>
        <v>43.704654241393655</v>
      </c>
      <c r="AJ225" s="204">
        <f t="shared" si="719"/>
        <v>-161.88308491907992</v>
      </c>
      <c r="AK225" s="204">
        <f t="shared" si="719"/>
        <v>-3643.1719314626171</v>
      </c>
      <c r="AL225" s="204">
        <f t="shared" si="719"/>
        <v>-10157.628565420746</v>
      </c>
      <c r="AM225" s="204">
        <f t="shared" si="719"/>
        <v>-4810.8710820128999</v>
      </c>
      <c r="AN225" s="204">
        <f t="shared" si="719"/>
        <v>1457.0214711920908</v>
      </c>
      <c r="AO225" s="204">
        <f t="shared" si="719"/>
        <v>-725.41107831256841</v>
      </c>
      <c r="AP225" s="204">
        <f t="shared" si="719"/>
        <v>-454.52647017903996</v>
      </c>
      <c r="AQ225" s="204">
        <f t="shared" si="719"/>
        <v>-804.58785299132296</v>
      </c>
      <c r="AR225" s="205">
        <f t="shared" si="719"/>
        <v>-50705.835673515976</v>
      </c>
      <c r="AS225" s="401">
        <f>SUM(AG225:AR225)</f>
        <v>-70309.989402849053</v>
      </c>
      <c r="AT225" s="206">
        <f t="shared" ref="AT225:BE225" si="720">+AT223-AT224</f>
        <v>3564.0234580848683</v>
      </c>
      <c r="AU225" s="204">
        <f t="shared" si="720"/>
        <v>2688.3310511307018</v>
      </c>
      <c r="AV225" s="204">
        <f t="shared" si="720"/>
        <v>715.02523120685828</v>
      </c>
      <c r="AW225" s="204">
        <f t="shared" si="720"/>
        <v>-4054.7100067926212</v>
      </c>
      <c r="AX225" s="204">
        <f t="shared" si="720"/>
        <v>-27118.630080959647</v>
      </c>
      <c r="AY225" s="204">
        <f t="shared" si="720"/>
        <v>-19705.035334756405</v>
      </c>
      <c r="AZ225" s="204">
        <f t="shared" si="720"/>
        <v>-9416.8673532625035</v>
      </c>
      <c r="BA225" s="204">
        <f t="shared" si="720"/>
        <v>-10785.17032080737</v>
      </c>
      <c r="BB225" s="204">
        <f t="shared" si="720"/>
        <v>-5774.2152786593942</v>
      </c>
      <c r="BC225" s="204">
        <f t="shared" si="720"/>
        <v>-6879.8564214191829</v>
      </c>
      <c r="BD225" s="204">
        <f t="shared" si="720"/>
        <v>-140.1176610737275</v>
      </c>
      <c r="BE225" s="205">
        <f t="shared" si="720"/>
        <v>2200.7315887149234</v>
      </c>
      <c r="BF225" s="112">
        <f>SUM(AT225:BE225)</f>
        <v>-74706.491128593509</v>
      </c>
      <c r="BG225" s="206">
        <f t="shared" ref="BG225:BR225" si="721">+BG223-BG224</f>
        <v>7753.0456910227167</v>
      </c>
      <c r="BH225" s="204">
        <f t="shared" si="721"/>
        <v>-997.9206174238825</v>
      </c>
      <c r="BI225" s="204">
        <f t="shared" si="721"/>
        <v>-2185.0164867180683</v>
      </c>
      <c r="BJ225" s="204">
        <f t="shared" si="721"/>
        <v>-1249.0516595045483</v>
      </c>
      <c r="BK225" s="204">
        <f t="shared" si="721"/>
        <v>-3295.9142385916712</v>
      </c>
      <c r="BL225" s="204">
        <f t="shared" si="721"/>
        <v>-2427.1805253176244</v>
      </c>
      <c r="BM225" s="204">
        <f t="shared" si="721"/>
        <v>84486.597798940056</v>
      </c>
      <c r="BN225" s="204">
        <f t="shared" si="721"/>
        <v>-75014.018430473428</v>
      </c>
      <c r="BO225" s="204">
        <f t="shared" si="721"/>
        <v>-3409.7248924931737</v>
      </c>
      <c r="BP225" s="204">
        <f t="shared" si="721"/>
        <v>1926.1571314129505</v>
      </c>
      <c r="BQ225" s="204">
        <f t="shared" si="721"/>
        <v>4752.1342421642366</v>
      </c>
      <c r="BR225" s="205">
        <f t="shared" si="721"/>
        <v>6902.9578022848473</v>
      </c>
      <c r="BS225" s="112">
        <f>SUM(BG225:BR225)</f>
        <v>17242.065815302405</v>
      </c>
      <c r="BT225" s="206">
        <f t="shared" ref="BT225:CE225" si="722">+BT223-BT224</f>
        <v>8552.1991658364059</v>
      </c>
      <c r="BU225" s="204">
        <f t="shared" si="722"/>
        <v>5106.0349965862952</v>
      </c>
      <c r="BV225" s="204">
        <f t="shared" si="722"/>
        <v>1696.1351041956332</v>
      </c>
      <c r="BW225" s="204">
        <f t="shared" si="722"/>
        <v>2372.9638601544502</v>
      </c>
      <c r="BX225" s="204">
        <f t="shared" si="722"/>
        <v>3201.7830529617422</v>
      </c>
      <c r="BY225" s="204">
        <f t="shared" si="722"/>
        <v>2742.9207783754864</v>
      </c>
      <c r="BZ225" s="204">
        <f t="shared" si="722"/>
        <v>31576.382831907547</v>
      </c>
      <c r="CA225" s="204">
        <f t="shared" si="722"/>
        <v>-6026.3845667803107</v>
      </c>
      <c r="CB225" s="204">
        <f t="shared" si="722"/>
        <v>3437.4015731408217</v>
      </c>
      <c r="CC225" s="204">
        <f t="shared" si="722"/>
        <v>3509.7499742438013</v>
      </c>
      <c r="CD225" s="204">
        <f t="shared" si="722"/>
        <v>3544.3772947454927</v>
      </c>
      <c r="CE225" s="205">
        <f t="shared" si="722"/>
        <v>3540.1602534926897</v>
      </c>
      <c r="CF225" s="112">
        <f>SUM(BT225:CE225)</f>
        <v>63253.724318860055</v>
      </c>
      <c r="CG225" s="206">
        <f t="shared" ref="CG225:CR225" si="723">+CG223-CG224</f>
        <v>3249.6959186458334</v>
      </c>
      <c r="CH225" s="204">
        <f t="shared" si="723"/>
        <v>3306.3309913519115</v>
      </c>
      <c r="CI225" s="204">
        <f t="shared" si="723"/>
        <v>3364.3388355402385</v>
      </c>
      <c r="CJ225" s="204">
        <f t="shared" si="723"/>
        <v>3026.3746188035402</v>
      </c>
      <c r="CK225" s="204">
        <f t="shared" si="723"/>
        <v>3018.5813087180431</v>
      </c>
      <c r="CL225" s="204">
        <f t="shared" si="723"/>
        <v>2977.6015001255764</v>
      </c>
      <c r="CM225" s="204">
        <f t="shared" si="723"/>
        <v>2711.8605708482137</v>
      </c>
      <c r="CN225" s="204">
        <f t="shared" si="723"/>
        <v>2396.122525568353</v>
      </c>
      <c r="CO225" s="204">
        <f t="shared" si="723"/>
        <v>2259.610275222567</v>
      </c>
      <c r="CP225" s="204">
        <f t="shared" si="723"/>
        <v>1891.5057329834708</v>
      </c>
      <c r="CQ225" s="204">
        <f t="shared" si="723"/>
        <v>971.65594732268983</v>
      </c>
      <c r="CR225" s="205">
        <f t="shared" si="723"/>
        <v>1265.0323614604258</v>
      </c>
      <c r="CS225" s="112">
        <f>SUM(CG225:CR225)</f>
        <v>30438.710586590867</v>
      </c>
      <c r="CT225" s="206">
        <f t="shared" ref="CT225:DE225" si="724">+CT223-CT224</f>
        <v>713.42816760891401</v>
      </c>
      <c r="CU225" s="204">
        <f t="shared" si="724"/>
        <v>608.39204632905239</v>
      </c>
      <c r="CV225" s="204">
        <f t="shared" si="724"/>
        <v>490.24249022454933</v>
      </c>
      <c r="CW225" s="204">
        <f t="shared" si="724"/>
        <v>64581.061958602411</v>
      </c>
      <c r="CX225" s="204">
        <f t="shared" si="724"/>
        <v>289.04710611498831</v>
      </c>
      <c r="CY225" s="204">
        <f t="shared" si="724"/>
        <v>193.95887908550503</v>
      </c>
      <c r="CZ225" s="204">
        <f t="shared" si="724"/>
        <v>89.389722686687492</v>
      </c>
      <c r="DA225" s="204">
        <f t="shared" si="724"/>
        <v>-23.725125559064509</v>
      </c>
      <c r="DB225" s="204">
        <f t="shared" si="724"/>
        <v>-101.21720918199753</v>
      </c>
      <c r="DC225" s="204">
        <f t="shared" si="724"/>
        <v>-142.27710912719613</v>
      </c>
      <c r="DD225" s="204">
        <f t="shared" si="724"/>
        <v>-189.46387280559702</v>
      </c>
      <c r="DE225" s="205">
        <f t="shared" si="724"/>
        <v>-242.13149688450358</v>
      </c>
      <c r="DF225" s="112">
        <f>SUM(CT225:DE225)</f>
        <v>66266.705557093723</v>
      </c>
      <c r="DG225" s="205">
        <f>+DG223-DG224</f>
        <v>139293.18958908156</v>
      </c>
      <c r="DH225" s="98">
        <f t="shared" si="614"/>
        <v>63259.851605588396</v>
      </c>
      <c r="DI225" s="99">
        <f>+E225</f>
        <v>219464.75506813289</v>
      </c>
      <c r="DJ225" s="100">
        <f>+DI225-DH225</f>
        <v>156204.90346254449</v>
      </c>
    </row>
    <row r="226" spans="1:115" ht="6" customHeight="1">
      <c r="AS226" s="404"/>
    </row>
    <row r="227" spans="1:115" ht="15" customHeight="1">
      <c r="A227" s="587" t="s">
        <v>114</v>
      </c>
      <c r="B227" s="588"/>
      <c r="C227" s="199" t="s">
        <v>62</v>
      </c>
      <c r="D227" s="237"/>
      <c r="E227" s="153">
        <f>AF227+AS227+BF227+BS227+CF227+CS227+DF227+S227+DG227</f>
        <v>1573629.1362935002</v>
      </c>
      <c r="F227" s="153">
        <f t="shared" ref="F227:R228" si="725">+F223-F216</f>
        <v>4518.8</v>
      </c>
      <c r="G227" s="154">
        <f t="shared" si="725"/>
        <v>2410.7997037403265</v>
      </c>
      <c r="H227" s="155">
        <f t="shared" si="725"/>
        <v>2585.0402174300257</v>
      </c>
      <c r="I227" s="155">
        <f t="shared" si="725"/>
        <v>1643.8650660652925</v>
      </c>
      <c r="J227" s="155">
        <f t="shared" si="725"/>
        <v>1095.5899310270734</v>
      </c>
      <c r="K227" s="155">
        <f t="shared" si="725"/>
        <v>938.78216480686694</v>
      </c>
      <c r="L227" s="155">
        <f t="shared" si="725"/>
        <v>2572.7344891643515</v>
      </c>
      <c r="M227" s="155">
        <f t="shared" si="725"/>
        <v>1109.6345537773993</v>
      </c>
      <c r="N227" s="155">
        <f t="shared" si="725"/>
        <v>640.46318077889441</v>
      </c>
      <c r="O227" s="155">
        <f t="shared" si="725"/>
        <v>824.97447008298764</v>
      </c>
      <c r="P227" s="155">
        <f t="shared" si="725"/>
        <v>856.31660008206813</v>
      </c>
      <c r="Q227" s="155">
        <f t="shared" si="725"/>
        <v>25858.929654424592</v>
      </c>
      <c r="R227" s="156">
        <f t="shared" si="725"/>
        <v>2951.7028231185031</v>
      </c>
      <c r="S227" s="157">
        <f>SUM(G227:R227)</f>
        <v>43488.832854498381</v>
      </c>
      <c r="T227" s="383">
        <f t="shared" ref="T227:AE228" si="726">+T223-T216</f>
        <v>2477.2539852692398</v>
      </c>
      <c r="U227" s="382">
        <f t="shared" si="726"/>
        <v>1158.4478215862637</v>
      </c>
      <c r="V227" s="382">
        <f t="shared" si="726"/>
        <v>607.71864951259136</v>
      </c>
      <c r="W227" s="382">
        <f t="shared" si="726"/>
        <v>727.13063275937486</v>
      </c>
      <c r="X227" s="382">
        <f t="shared" si="726"/>
        <v>647.41927986050564</v>
      </c>
      <c r="Y227" s="382">
        <f t="shared" si="726"/>
        <v>849.28849815717513</v>
      </c>
      <c r="Z227" s="382">
        <f t="shared" si="726"/>
        <v>1210.0057627814306</v>
      </c>
      <c r="AA227" s="382">
        <f t="shared" si="726"/>
        <v>1798.5851877664281</v>
      </c>
      <c r="AB227" s="382">
        <f t="shared" si="726"/>
        <v>765.5901729152281</v>
      </c>
      <c r="AC227" s="382">
        <f t="shared" si="726"/>
        <v>793.43747415872508</v>
      </c>
      <c r="AD227" s="382">
        <f t="shared" si="726"/>
        <v>4877.8477255698399</v>
      </c>
      <c r="AE227" s="485">
        <f t="shared" si="726"/>
        <v>32193.420957294813</v>
      </c>
      <c r="AF227" s="157">
        <f>SUM(T227:AE227)</f>
        <v>48106.146147631618</v>
      </c>
      <c r="AG227" s="498">
        <f t="shared" ref="AG227:AR228" si="727">+AG223-AG216</f>
        <v>5306.9557683451512</v>
      </c>
      <c r="AH227" s="513">
        <f t="shared" si="727"/>
        <v>1009.4704036434869</v>
      </c>
      <c r="AI227" s="513">
        <f t="shared" si="727"/>
        <v>1334.4751844645016</v>
      </c>
      <c r="AJ227" s="513">
        <f t="shared" si="727"/>
        <v>2825.3249903125361</v>
      </c>
      <c r="AK227" s="513">
        <f t="shared" si="727"/>
        <v>4332.9033734384011</v>
      </c>
      <c r="AL227" s="513">
        <f t="shared" si="727"/>
        <v>3324.7458981023528</v>
      </c>
      <c r="AM227" s="513">
        <f t="shared" si="727"/>
        <v>3227.9172305372076</v>
      </c>
      <c r="AN227" s="513">
        <f t="shared" si="727"/>
        <v>4322.3224102428121</v>
      </c>
      <c r="AO227" s="513">
        <f t="shared" si="727"/>
        <v>2190.8426183208999</v>
      </c>
      <c r="AP227" s="513">
        <f t="shared" si="727"/>
        <v>1668.3271846656787</v>
      </c>
      <c r="AQ227" s="513">
        <f t="shared" si="727"/>
        <v>3289.4399878376844</v>
      </c>
      <c r="AR227" s="512">
        <f t="shared" si="727"/>
        <v>13048.982696689496</v>
      </c>
      <c r="AS227" s="409">
        <f>SUM(AG227:AR227)</f>
        <v>45881.707746600216</v>
      </c>
      <c r="AT227" s="158">
        <f t="shared" ref="AT227:BE228" si="728">+AT223-AT216</f>
        <v>13475.459768014465</v>
      </c>
      <c r="AU227" s="155">
        <f t="shared" si="728"/>
        <v>8369.8133273668082</v>
      </c>
      <c r="AV227" s="155">
        <f t="shared" si="728"/>
        <v>4229.9637588181758</v>
      </c>
      <c r="AW227" s="155">
        <f t="shared" si="728"/>
        <v>2679.6836426153195</v>
      </c>
      <c r="AX227" s="155">
        <f t="shared" si="728"/>
        <v>99.000000000000014</v>
      </c>
      <c r="AY227" s="155">
        <f t="shared" si="728"/>
        <v>836.94117647058829</v>
      </c>
      <c r="AZ227" s="155">
        <f t="shared" si="728"/>
        <v>0</v>
      </c>
      <c r="BA227" s="155">
        <f t="shared" si="728"/>
        <v>0</v>
      </c>
      <c r="BB227" s="155">
        <f t="shared" si="728"/>
        <v>2665.751115562929</v>
      </c>
      <c r="BC227" s="155">
        <f t="shared" si="728"/>
        <v>8290.3354088466767</v>
      </c>
      <c r="BD227" s="155">
        <f t="shared" si="728"/>
        <v>11620.68617163222</v>
      </c>
      <c r="BE227" s="156">
        <f t="shared" si="728"/>
        <v>14257.545940587494</v>
      </c>
      <c r="BF227" s="157">
        <f>SUM(AT227:BE227)</f>
        <v>66525.180309914664</v>
      </c>
      <c r="BG227" s="154">
        <f t="shared" ref="BG227:BR228" si="729">+BG223-BG216</f>
        <v>20478.434448497235</v>
      </c>
      <c r="BH227" s="155">
        <f t="shared" si="729"/>
        <v>17658.779579084567</v>
      </c>
      <c r="BI227" s="155">
        <f t="shared" si="729"/>
        <v>20701.208086375984</v>
      </c>
      <c r="BJ227" s="155">
        <f t="shared" si="729"/>
        <v>24399.170057249295</v>
      </c>
      <c r="BK227" s="155">
        <f t="shared" si="729"/>
        <v>25797.072884271383</v>
      </c>
      <c r="BL227" s="155">
        <f t="shared" si="729"/>
        <v>26881.921563766529</v>
      </c>
      <c r="BM227" s="155">
        <f t="shared" si="729"/>
        <v>123963.88362426954</v>
      </c>
      <c r="BN227" s="155">
        <f t="shared" si="729"/>
        <v>27769.311171196863</v>
      </c>
      <c r="BO227" s="155">
        <f t="shared" si="729"/>
        <v>28015.070536418643</v>
      </c>
      <c r="BP227" s="155">
        <f t="shared" si="729"/>
        <v>26126.703438766461</v>
      </c>
      <c r="BQ227" s="155">
        <f t="shared" si="729"/>
        <v>30356.665755009177</v>
      </c>
      <c r="BR227" s="156">
        <f t="shared" si="729"/>
        <v>33892.832891512771</v>
      </c>
      <c r="BS227" s="157">
        <f>SUM(BG227:BR227)</f>
        <v>406041.05403641844</v>
      </c>
      <c r="BT227" s="154">
        <f t="shared" ref="BT227:CE228" si="730">+BT223-BT216</f>
        <v>35909.920094243265</v>
      </c>
      <c r="BU227" s="155">
        <f t="shared" si="730"/>
        <v>35344.952921680575</v>
      </c>
      <c r="BV227" s="155">
        <f t="shared" si="730"/>
        <v>32084.862304208975</v>
      </c>
      <c r="BW227" s="155">
        <f t="shared" si="730"/>
        <v>33113.241249329876</v>
      </c>
      <c r="BX227" s="155">
        <f t="shared" si="730"/>
        <v>32718.641783423307</v>
      </c>
      <c r="BY227" s="155">
        <f t="shared" si="730"/>
        <v>33600.976013920888</v>
      </c>
      <c r="BZ227" s="155">
        <f t="shared" si="730"/>
        <v>35214.335923110564</v>
      </c>
      <c r="CA227" s="155">
        <f t="shared" si="730"/>
        <v>37106.992172835467</v>
      </c>
      <c r="CB227" s="155">
        <f t="shared" si="730"/>
        <v>34388.988521437321</v>
      </c>
      <c r="CC227" s="155">
        <f t="shared" si="730"/>
        <v>35266.140093910959</v>
      </c>
      <c r="CD227" s="155">
        <f t="shared" si="730"/>
        <v>35805.868591200058</v>
      </c>
      <c r="CE227" s="156">
        <f t="shared" si="730"/>
        <v>35995.319982108733</v>
      </c>
      <c r="CF227" s="157">
        <f>SUM(BT227:CE227)</f>
        <v>416550.23965140997</v>
      </c>
      <c r="CG227" s="154">
        <f t="shared" ref="CG227:CR228" si="731">+CG223-CG216</f>
        <v>34181.189974393637</v>
      </c>
      <c r="CH227" s="155">
        <f t="shared" si="731"/>
        <v>34693.557681554536</v>
      </c>
      <c r="CI227" s="155">
        <f t="shared" si="731"/>
        <v>35224.997333278152</v>
      </c>
      <c r="CJ227" s="155">
        <f t="shared" si="731"/>
        <v>33013.630851999558</v>
      </c>
      <c r="CK227" s="155">
        <f t="shared" si="731"/>
        <v>32899.272787808746</v>
      </c>
      <c r="CL227" s="155">
        <f t="shared" si="731"/>
        <v>32459.90678768721</v>
      </c>
      <c r="CM227" s="155">
        <f t="shared" si="731"/>
        <v>29196.18328785769</v>
      </c>
      <c r="CN227" s="155">
        <f t="shared" si="731"/>
        <v>27908.371370133638</v>
      </c>
      <c r="CO227" s="155">
        <f t="shared" si="731"/>
        <v>26537.045405370558</v>
      </c>
      <c r="CP227" s="155">
        <f t="shared" si="731"/>
        <v>23563.79560237236</v>
      </c>
      <c r="CQ227" s="155">
        <f t="shared" si="731"/>
        <v>14376.687762513902</v>
      </c>
      <c r="CR227" s="156">
        <f t="shared" si="731"/>
        <v>13443.112677745361</v>
      </c>
      <c r="CS227" s="157">
        <f>SUM(CG227:CR227)</f>
        <v>337497.75152271538</v>
      </c>
      <c r="CT227" s="154">
        <f t="shared" ref="CT227:DE228" si="732">+CT223-CT216</f>
        <v>12131.076395350083</v>
      </c>
      <c r="CU227" s="155">
        <f t="shared" si="732"/>
        <v>11120.574647499436</v>
      </c>
      <c r="CV227" s="155">
        <f t="shared" si="732"/>
        <v>9988.7294377680719</v>
      </c>
      <c r="CW227" s="155">
        <f t="shared" si="732"/>
        <v>9046.4852726452082</v>
      </c>
      <c r="CX227" s="155">
        <f t="shared" si="732"/>
        <v>8374.7635937188315</v>
      </c>
      <c r="CY227" s="155">
        <f t="shared" si="732"/>
        <v>7678.9695695081919</v>
      </c>
      <c r="CZ227" s="155">
        <f t="shared" si="732"/>
        <v>6892.8569956916172</v>
      </c>
      <c r="DA227" s="155">
        <f t="shared" si="732"/>
        <v>6023.5648036737075</v>
      </c>
      <c r="DB227" s="155">
        <f t="shared" si="732"/>
        <v>5366.81550185162</v>
      </c>
      <c r="DC227" s="155">
        <f t="shared" si="732"/>
        <v>4929.6161372494525</v>
      </c>
      <c r="DD227" s="155">
        <f t="shared" si="732"/>
        <v>4430.1731299810317</v>
      </c>
      <c r="DE227" s="156">
        <f t="shared" si="732"/>
        <v>3875.0220955471141</v>
      </c>
      <c r="DF227" s="157">
        <f>SUM(CT227:DE227)</f>
        <v>89858.647580484379</v>
      </c>
      <c r="DG227" s="280">
        <f>+DG223-DG216</f>
        <v>119679.57644382701</v>
      </c>
      <c r="DH227" s="159">
        <f t="shared" si="614"/>
        <v>734241.29753889027</v>
      </c>
      <c r="DI227" s="160">
        <f>+E227</f>
        <v>1573629.1362935002</v>
      </c>
      <c r="DJ227" s="161">
        <f>+DI227-DH227</f>
        <v>839387.83875460993</v>
      </c>
    </row>
    <row r="228" spans="1:115" ht="15" customHeight="1">
      <c r="A228" s="589"/>
      <c r="B228" s="590"/>
      <c r="C228" s="200" t="s">
        <v>63</v>
      </c>
      <c r="D228" s="238"/>
      <c r="E228" s="136">
        <f>AF228+AS228+BF228+BS228+CF228+CS228+DF228+S228+DG228</f>
        <v>1379456.1636752659</v>
      </c>
      <c r="F228" s="136">
        <f t="shared" si="725"/>
        <v>764.56299999999999</v>
      </c>
      <c r="G228" s="137">
        <f t="shared" si="725"/>
        <v>1884.9120027515046</v>
      </c>
      <c r="H228" s="138">
        <f t="shared" si="725"/>
        <v>1585.3505390024525</v>
      </c>
      <c r="I228" s="138">
        <f t="shared" si="725"/>
        <v>2036.3751054553261</v>
      </c>
      <c r="J228" s="138">
        <f t="shared" si="725"/>
        <v>1154.8133418564673</v>
      </c>
      <c r="K228" s="138">
        <f t="shared" si="725"/>
        <v>2062.1812125751076</v>
      </c>
      <c r="L228" s="138">
        <f t="shared" si="725"/>
        <v>1125.7988690745888</v>
      </c>
      <c r="M228" s="138">
        <f t="shared" si="725"/>
        <v>1483.1628414130669</v>
      </c>
      <c r="N228" s="138">
        <f t="shared" si="725"/>
        <v>884.48631561976549</v>
      </c>
      <c r="O228" s="138">
        <f t="shared" si="725"/>
        <v>977.93668809128633</v>
      </c>
      <c r="P228" s="138">
        <f t="shared" si="725"/>
        <v>1360.7161608945426</v>
      </c>
      <c r="Q228" s="138">
        <f t="shared" si="725"/>
        <v>1247.8338005400913</v>
      </c>
      <c r="R228" s="139">
        <f t="shared" si="725"/>
        <v>1552.2888624116426</v>
      </c>
      <c r="S228" s="162">
        <f>SUM(G228:R228)</f>
        <v>17355.855739685841</v>
      </c>
      <c r="T228" s="384">
        <f t="shared" si="726"/>
        <v>2322.1344967608825</v>
      </c>
      <c r="U228" s="381">
        <f t="shared" si="726"/>
        <v>1117.9376727718725</v>
      </c>
      <c r="V228" s="381">
        <f t="shared" si="726"/>
        <v>955.41010446791233</v>
      </c>
      <c r="W228" s="381">
        <f t="shared" si="726"/>
        <v>975.01553111703208</v>
      </c>
      <c r="X228" s="381">
        <f t="shared" si="726"/>
        <v>1021.295521677102</v>
      </c>
      <c r="Y228" s="381">
        <f t="shared" si="726"/>
        <v>1055.7001639915989</v>
      </c>
      <c r="Z228" s="381">
        <f t="shared" si="726"/>
        <v>1216.6466247459653</v>
      </c>
      <c r="AA228" s="381">
        <f t="shared" si="726"/>
        <v>1250.182130338615</v>
      </c>
      <c r="AB228" s="381">
        <f t="shared" si="726"/>
        <v>1107.0595875543279</v>
      </c>
      <c r="AC228" s="381">
        <f t="shared" si="726"/>
        <v>1428.7886644786272</v>
      </c>
      <c r="AD228" s="381">
        <f t="shared" si="726"/>
        <v>3613.989787128322</v>
      </c>
      <c r="AE228" s="486">
        <f t="shared" si="726"/>
        <v>6072.4212318954351</v>
      </c>
      <c r="AF228" s="162">
        <f>SUM(T228:AE228)</f>
        <v>22136.58151692769</v>
      </c>
      <c r="AG228" s="497">
        <f t="shared" si="727"/>
        <v>5420.811544179749</v>
      </c>
      <c r="AH228" s="499">
        <f t="shared" si="727"/>
        <v>1242.4144172771794</v>
      </c>
      <c r="AI228" s="499">
        <f t="shared" si="727"/>
        <v>1290.7705302231079</v>
      </c>
      <c r="AJ228" s="499">
        <f t="shared" si="727"/>
        <v>2987.208075231616</v>
      </c>
      <c r="AK228" s="499">
        <f t="shared" si="727"/>
        <v>3954.8912187968476</v>
      </c>
      <c r="AL228" s="499">
        <f t="shared" si="727"/>
        <v>3456.3917148169458</v>
      </c>
      <c r="AM228" s="499">
        <f t="shared" si="727"/>
        <v>2578.3890210759419</v>
      </c>
      <c r="AN228" s="499">
        <f t="shared" si="727"/>
        <v>2865.3009390507214</v>
      </c>
      <c r="AO228" s="499">
        <f t="shared" si="727"/>
        <v>2924.0599934487068</v>
      </c>
      <c r="AP228" s="499">
        <f t="shared" si="727"/>
        <v>2122.8536548447187</v>
      </c>
      <c r="AQ228" s="499">
        <f t="shared" si="727"/>
        <v>4094.0278408290073</v>
      </c>
      <c r="AR228" s="511">
        <f t="shared" si="727"/>
        <v>9966.0626624429206</v>
      </c>
      <c r="AS228" s="410">
        <f>SUM(AG228:AR228)</f>
        <v>42903.181612217464</v>
      </c>
      <c r="AT228" s="141">
        <f t="shared" si="728"/>
        <v>9911.436309929597</v>
      </c>
      <c r="AU228" s="138">
        <f t="shared" si="728"/>
        <v>5681.4822762361064</v>
      </c>
      <c r="AV228" s="138">
        <f t="shared" si="728"/>
        <v>3514.9385276113176</v>
      </c>
      <c r="AW228" s="138">
        <f t="shared" si="728"/>
        <v>6734.3936494079408</v>
      </c>
      <c r="AX228" s="138">
        <f t="shared" si="728"/>
        <v>8134.6300809596469</v>
      </c>
      <c r="AY228" s="138">
        <f t="shared" si="728"/>
        <v>11666.976511226992</v>
      </c>
      <c r="AZ228" s="138">
        <f t="shared" si="728"/>
        <v>9416.8673532625035</v>
      </c>
      <c r="BA228" s="138">
        <f t="shared" si="728"/>
        <v>10785.17032080737</v>
      </c>
      <c r="BB228" s="138">
        <f t="shared" si="728"/>
        <v>8439.9663942223233</v>
      </c>
      <c r="BC228" s="138">
        <f t="shared" si="728"/>
        <v>9170.1918302658596</v>
      </c>
      <c r="BD228" s="138">
        <f t="shared" si="728"/>
        <v>11760.803832705948</v>
      </c>
      <c r="BE228" s="139">
        <f t="shared" si="728"/>
        <v>12056.81435187257</v>
      </c>
      <c r="BF228" s="162">
        <f>SUM(AT228:BE228)</f>
        <v>107273.67143850817</v>
      </c>
      <c r="BG228" s="137">
        <f t="shared" si="729"/>
        <v>12725.388757474519</v>
      </c>
      <c r="BH228" s="138">
        <f t="shared" si="729"/>
        <v>18656.700196508449</v>
      </c>
      <c r="BI228" s="138">
        <f t="shared" si="729"/>
        <v>22886.224573094052</v>
      </c>
      <c r="BJ228" s="138">
        <f t="shared" si="729"/>
        <v>25648.221716753844</v>
      </c>
      <c r="BK228" s="138">
        <f t="shared" si="729"/>
        <v>29092.987122863055</v>
      </c>
      <c r="BL228" s="138">
        <f t="shared" si="729"/>
        <v>29309.102089084154</v>
      </c>
      <c r="BM228" s="138">
        <f t="shared" si="729"/>
        <v>39477.285825329483</v>
      </c>
      <c r="BN228" s="138">
        <f t="shared" si="729"/>
        <v>25783.329601670295</v>
      </c>
      <c r="BO228" s="138">
        <f t="shared" si="729"/>
        <v>25424.795428911817</v>
      </c>
      <c r="BP228" s="138">
        <f t="shared" si="729"/>
        <v>24200.54630735351</v>
      </c>
      <c r="BQ228" s="138">
        <f t="shared" si="729"/>
        <v>25604.53151284494</v>
      </c>
      <c r="BR228" s="139">
        <f t="shared" si="729"/>
        <v>26989.875089227924</v>
      </c>
      <c r="BS228" s="162">
        <f>SUM(BG228:BR228)</f>
        <v>305798.98822111601</v>
      </c>
      <c r="BT228" s="137">
        <f t="shared" si="730"/>
        <v>27357.720928406859</v>
      </c>
      <c r="BU228" s="138">
        <f t="shared" si="730"/>
        <v>30238.91792509428</v>
      </c>
      <c r="BV228" s="138">
        <f t="shared" si="730"/>
        <v>30388.727200013342</v>
      </c>
      <c r="BW228" s="138">
        <f t="shared" si="730"/>
        <v>30740.277389175426</v>
      </c>
      <c r="BX228" s="138">
        <f t="shared" si="730"/>
        <v>29516.858730461565</v>
      </c>
      <c r="BY228" s="138">
        <f t="shared" si="730"/>
        <v>30858.055235545402</v>
      </c>
      <c r="BZ228" s="138">
        <f t="shared" si="730"/>
        <v>31595.953091203017</v>
      </c>
      <c r="CA228" s="138">
        <f t="shared" si="730"/>
        <v>43133.376739615778</v>
      </c>
      <c r="CB228" s="138">
        <f t="shared" si="730"/>
        <v>30951.586948296499</v>
      </c>
      <c r="CC228" s="138">
        <f t="shared" si="730"/>
        <v>31756.390119667158</v>
      </c>
      <c r="CD228" s="138">
        <f t="shared" si="730"/>
        <v>32261.491296454566</v>
      </c>
      <c r="CE228" s="139">
        <f t="shared" si="730"/>
        <v>32455.159728616043</v>
      </c>
      <c r="CF228" s="162">
        <f>SUM(BT228:CE228)</f>
        <v>381254.51533254999</v>
      </c>
      <c r="CG228" s="137">
        <f t="shared" si="731"/>
        <v>30931.494055747804</v>
      </c>
      <c r="CH228" s="138">
        <f t="shared" si="731"/>
        <v>31387.226690202624</v>
      </c>
      <c r="CI228" s="138">
        <f t="shared" si="731"/>
        <v>31860.658497737913</v>
      </c>
      <c r="CJ228" s="138">
        <f t="shared" si="731"/>
        <v>29987.256233196018</v>
      </c>
      <c r="CK228" s="138">
        <f t="shared" si="731"/>
        <v>29880.691479090703</v>
      </c>
      <c r="CL228" s="138">
        <f t="shared" si="731"/>
        <v>29482.305287561634</v>
      </c>
      <c r="CM228" s="138">
        <f t="shared" si="731"/>
        <v>26484.322717009476</v>
      </c>
      <c r="CN228" s="138">
        <f t="shared" si="731"/>
        <v>25512.248844565285</v>
      </c>
      <c r="CO228" s="138">
        <f t="shared" si="731"/>
        <v>24277.435130147991</v>
      </c>
      <c r="CP228" s="138">
        <f t="shared" si="731"/>
        <v>21672.289869388889</v>
      </c>
      <c r="CQ228" s="138">
        <f t="shared" si="731"/>
        <v>13405.031815191212</v>
      </c>
      <c r="CR228" s="139">
        <f t="shared" si="731"/>
        <v>12178.080316284935</v>
      </c>
      <c r="CS228" s="162">
        <f>SUM(CG228:CR228)</f>
        <v>307059.04093612451</v>
      </c>
      <c r="CT228" s="137">
        <f t="shared" si="732"/>
        <v>11417.648227741169</v>
      </c>
      <c r="CU228" s="138">
        <f t="shared" si="732"/>
        <v>10512.182601170383</v>
      </c>
      <c r="CV228" s="138">
        <f t="shared" si="732"/>
        <v>9498.4869475435225</v>
      </c>
      <c r="CW228" s="138">
        <f t="shared" si="732"/>
        <v>8665.4233140428005</v>
      </c>
      <c r="CX228" s="138">
        <f t="shared" si="732"/>
        <v>8085.7164876038432</v>
      </c>
      <c r="CY228" s="138">
        <f t="shared" si="732"/>
        <v>7485.0106904226868</v>
      </c>
      <c r="CZ228" s="138">
        <f t="shared" si="732"/>
        <v>6803.4672730049297</v>
      </c>
      <c r="DA228" s="138">
        <f t="shared" si="732"/>
        <v>6047.289929232772</v>
      </c>
      <c r="DB228" s="138">
        <f t="shared" si="732"/>
        <v>5468.0327110336175</v>
      </c>
      <c r="DC228" s="138">
        <f t="shared" si="732"/>
        <v>5071.8932463766487</v>
      </c>
      <c r="DD228" s="138">
        <f t="shared" si="732"/>
        <v>4619.6370027866287</v>
      </c>
      <c r="DE228" s="139">
        <f t="shared" si="732"/>
        <v>4117.1535924316177</v>
      </c>
      <c r="DF228" s="162">
        <f>SUM(CT228:DE228)</f>
        <v>87791.942023390628</v>
      </c>
      <c r="DG228" s="279">
        <f>+DG224-DG217</f>
        <v>107882.38685474546</v>
      </c>
      <c r="DH228" s="90">
        <f t="shared" si="614"/>
        <v>604115.22838320059</v>
      </c>
      <c r="DI228" s="91">
        <f>+E228</f>
        <v>1379456.1636752659</v>
      </c>
      <c r="DJ228" s="92">
        <f>+DI228-DH228</f>
        <v>775340.93529206526</v>
      </c>
      <c r="DK228" s="64">
        <f>+DH228/DH227</f>
        <v>0.82277478862621811</v>
      </c>
    </row>
    <row r="229" spans="1:115" ht="15" customHeight="1">
      <c r="A229" s="591"/>
      <c r="B229" s="592"/>
      <c r="C229" s="201" t="s">
        <v>11</v>
      </c>
      <c r="D229" s="239"/>
      <c r="E229" s="202">
        <f t="shared" ref="E229:R229" si="733">+E227-E228</f>
        <v>194172.97261823434</v>
      </c>
      <c r="F229" s="203">
        <f t="shared" si="733"/>
        <v>3754.2370000000001</v>
      </c>
      <c r="G229" s="204">
        <f t="shared" si="733"/>
        <v>525.88770098882196</v>
      </c>
      <c r="H229" s="204">
        <f t="shared" si="733"/>
        <v>999.6896784275732</v>
      </c>
      <c r="I229" s="204">
        <f t="shared" si="733"/>
        <v>-392.51003939003363</v>
      </c>
      <c r="J229" s="204">
        <f t="shared" si="733"/>
        <v>-59.22341082939397</v>
      </c>
      <c r="K229" s="204">
        <f t="shared" si="733"/>
        <v>-1123.3990477682405</v>
      </c>
      <c r="L229" s="204">
        <f t="shared" si="733"/>
        <v>1446.9356200897628</v>
      </c>
      <c r="M229" s="204">
        <f t="shared" si="733"/>
        <v>-373.52828763566754</v>
      </c>
      <c r="N229" s="204">
        <f t="shared" si="733"/>
        <v>-244.02313484087108</v>
      </c>
      <c r="O229" s="204">
        <f t="shared" si="733"/>
        <v>-152.96221800829869</v>
      </c>
      <c r="P229" s="204">
        <f t="shared" si="733"/>
        <v>-504.39956081247442</v>
      </c>
      <c r="Q229" s="204">
        <f t="shared" si="733"/>
        <v>24611.095853884501</v>
      </c>
      <c r="R229" s="205">
        <f t="shared" si="733"/>
        <v>1399.4139607068605</v>
      </c>
      <c r="S229" s="112">
        <f>SUM(G229:R229)</f>
        <v>26132.97711481254</v>
      </c>
      <c r="T229" s="206">
        <f t="shared" ref="T229:AE229" si="734">+T227-T228</f>
        <v>155.11948850835734</v>
      </c>
      <c r="U229" s="204">
        <f t="shared" si="734"/>
        <v>40.510148814391187</v>
      </c>
      <c r="V229" s="204">
        <f t="shared" si="734"/>
        <v>-347.69145495532098</v>
      </c>
      <c r="W229" s="204">
        <f t="shared" si="734"/>
        <v>-247.88489835765722</v>
      </c>
      <c r="X229" s="204">
        <f t="shared" si="734"/>
        <v>-373.87624181659635</v>
      </c>
      <c r="Y229" s="204">
        <f t="shared" si="734"/>
        <v>-206.41166583442373</v>
      </c>
      <c r="Z229" s="204">
        <f t="shared" si="734"/>
        <v>-6.6408619645346789</v>
      </c>
      <c r="AA229" s="204">
        <f t="shared" si="734"/>
        <v>548.40305742781311</v>
      </c>
      <c r="AB229" s="204">
        <f t="shared" si="734"/>
        <v>-341.4694146390998</v>
      </c>
      <c r="AC229" s="204">
        <f t="shared" si="734"/>
        <v>-635.35119031990212</v>
      </c>
      <c r="AD229" s="204">
        <f t="shared" si="734"/>
        <v>1263.8579384415179</v>
      </c>
      <c r="AE229" s="205">
        <f t="shared" si="734"/>
        <v>26120.999725399379</v>
      </c>
      <c r="AF229" s="112">
        <f>SUM(T229:AE229)</f>
        <v>25969.564630703924</v>
      </c>
      <c r="AG229" s="206">
        <f t="shared" ref="AG229:AR229" si="735">+AG227-AG228</f>
        <v>-113.85577583459781</v>
      </c>
      <c r="AH229" s="204">
        <f t="shared" si="735"/>
        <v>-232.94401363369252</v>
      </c>
      <c r="AI229" s="204">
        <f t="shared" si="735"/>
        <v>43.704654241393655</v>
      </c>
      <c r="AJ229" s="204">
        <f t="shared" si="735"/>
        <v>-161.88308491907992</v>
      </c>
      <c r="AK229" s="204">
        <f t="shared" si="735"/>
        <v>378.01215464155348</v>
      </c>
      <c r="AL229" s="204">
        <f t="shared" si="735"/>
        <v>-131.64581671459291</v>
      </c>
      <c r="AM229" s="204">
        <f t="shared" si="735"/>
        <v>649.52820946126576</v>
      </c>
      <c r="AN229" s="204">
        <f t="shared" si="735"/>
        <v>1457.0214711920908</v>
      </c>
      <c r="AO229" s="204">
        <f t="shared" si="735"/>
        <v>-733.21737512780692</v>
      </c>
      <c r="AP229" s="204">
        <f t="shared" si="735"/>
        <v>-454.52647017903996</v>
      </c>
      <c r="AQ229" s="204">
        <f t="shared" si="735"/>
        <v>-804.58785299132296</v>
      </c>
      <c r="AR229" s="205">
        <f t="shared" si="735"/>
        <v>3082.9200342465756</v>
      </c>
      <c r="AS229" s="401">
        <f>SUM(AG229:AR229)</f>
        <v>2978.526134382746</v>
      </c>
      <c r="AT229" s="206">
        <f t="shared" ref="AT229:BE229" si="736">+AT227-AT228</f>
        <v>3564.0234580848683</v>
      </c>
      <c r="AU229" s="204">
        <f t="shared" si="736"/>
        <v>2688.3310511307018</v>
      </c>
      <c r="AV229" s="204">
        <f t="shared" si="736"/>
        <v>715.02523120685828</v>
      </c>
      <c r="AW229" s="204">
        <f t="shared" si="736"/>
        <v>-4054.7100067926212</v>
      </c>
      <c r="AX229" s="204">
        <f t="shared" si="736"/>
        <v>-8035.6300809596469</v>
      </c>
      <c r="AY229" s="204">
        <f t="shared" si="736"/>
        <v>-10830.035334756405</v>
      </c>
      <c r="AZ229" s="204">
        <f t="shared" si="736"/>
        <v>-9416.8673532625035</v>
      </c>
      <c r="BA229" s="204">
        <f t="shared" si="736"/>
        <v>-10785.17032080737</v>
      </c>
      <c r="BB229" s="204">
        <f t="shared" si="736"/>
        <v>-5774.2152786593942</v>
      </c>
      <c r="BC229" s="204">
        <f t="shared" si="736"/>
        <v>-879.85642141918288</v>
      </c>
      <c r="BD229" s="204">
        <f t="shared" si="736"/>
        <v>-140.1176610737275</v>
      </c>
      <c r="BE229" s="205">
        <f t="shared" si="736"/>
        <v>2200.7315887149234</v>
      </c>
      <c r="BF229" s="112">
        <f>SUM(AT229:BE229)</f>
        <v>-40748.491128593501</v>
      </c>
      <c r="BG229" s="206">
        <f t="shared" ref="BG229:BR229" si="737">+BG227-BG228</f>
        <v>7753.0456910227167</v>
      </c>
      <c r="BH229" s="204">
        <f t="shared" si="737"/>
        <v>-997.9206174238825</v>
      </c>
      <c r="BI229" s="204">
        <f t="shared" si="737"/>
        <v>-2185.0164867180683</v>
      </c>
      <c r="BJ229" s="204">
        <f t="shared" si="737"/>
        <v>-1249.0516595045483</v>
      </c>
      <c r="BK229" s="204">
        <f t="shared" si="737"/>
        <v>-3295.9142385916712</v>
      </c>
      <c r="BL229" s="204">
        <f t="shared" si="737"/>
        <v>-2427.1805253176244</v>
      </c>
      <c r="BM229" s="204">
        <f t="shared" si="737"/>
        <v>84486.597798940056</v>
      </c>
      <c r="BN229" s="204">
        <f t="shared" si="737"/>
        <v>1985.9815695265679</v>
      </c>
      <c r="BO229" s="204">
        <f t="shared" si="737"/>
        <v>2590.2751075068263</v>
      </c>
      <c r="BP229" s="204">
        <f t="shared" si="737"/>
        <v>1926.1571314129505</v>
      </c>
      <c r="BQ229" s="204">
        <f t="shared" si="737"/>
        <v>4752.1342421642366</v>
      </c>
      <c r="BR229" s="205">
        <f t="shared" si="737"/>
        <v>6902.9578022848473</v>
      </c>
      <c r="BS229" s="112">
        <f>SUM(BG229:BR229)</f>
        <v>100242.0658153024</v>
      </c>
      <c r="BT229" s="206">
        <f t="shared" ref="BT229:CE229" si="738">+BT227-BT228</f>
        <v>8552.1991658364059</v>
      </c>
      <c r="BU229" s="204">
        <f t="shared" si="738"/>
        <v>5106.0349965862952</v>
      </c>
      <c r="BV229" s="204">
        <f t="shared" si="738"/>
        <v>1696.1351041956332</v>
      </c>
      <c r="BW229" s="204">
        <f t="shared" si="738"/>
        <v>2372.9638601544502</v>
      </c>
      <c r="BX229" s="204">
        <f t="shared" si="738"/>
        <v>3201.7830529617422</v>
      </c>
      <c r="BY229" s="204">
        <f t="shared" si="738"/>
        <v>2742.9207783754864</v>
      </c>
      <c r="BZ229" s="204">
        <f t="shared" si="738"/>
        <v>3618.3828319075474</v>
      </c>
      <c r="CA229" s="204">
        <f t="shared" si="738"/>
        <v>-6026.3845667803107</v>
      </c>
      <c r="CB229" s="204">
        <f t="shared" si="738"/>
        <v>3437.4015731408217</v>
      </c>
      <c r="CC229" s="204">
        <f t="shared" si="738"/>
        <v>3509.7499742438013</v>
      </c>
      <c r="CD229" s="204">
        <f t="shared" si="738"/>
        <v>3544.3772947454927</v>
      </c>
      <c r="CE229" s="205">
        <f t="shared" si="738"/>
        <v>3540.1602534926897</v>
      </c>
      <c r="CF229" s="112">
        <f>SUM(BT229:CE229)</f>
        <v>35295.724318860055</v>
      </c>
      <c r="CG229" s="206">
        <f t="shared" ref="CG229:CR229" si="739">+CG227-CG228</f>
        <v>3249.6959186458334</v>
      </c>
      <c r="CH229" s="204">
        <f t="shared" si="739"/>
        <v>3306.3309913519115</v>
      </c>
      <c r="CI229" s="204">
        <f t="shared" si="739"/>
        <v>3364.3388355402385</v>
      </c>
      <c r="CJ229" s="204">
        <f t="shared" si="739"/>
        <v>3026.3746188035402</v>
      </c>
      <c r="CK229" s="204">
        <f t="shared" si="739"/>
        <v>3018.5813087180431</v>
      </c>
      <c r="CL229" s="204">
        <f t="shared" si="739"/>
        <v>2977.6015001255764</v>
      </c>
      <c r="CM229" s="204">
        <f t="shared" si="739"/>
        <v>2711.8605708482137</v>
      </c>
      <c r="CN229" s="204">
        <f t="shared" si="739"/>
        <v>2396.122525568353</v>
      </c>
      <c r="CO229" s="204">
        <f t="shared" si="739"/>
        <v>2259.610275222567</v>
      </c>
      <c r="CP229" s="204">
        <f t="shared" si="739"/>
        <v>1891.5057329834708</v>
      </c>
      <c r="CQ229" s="204">
        <f t="shared" si="739"/>
        <v>971.65594732268983</v>
      </c>
      <c r="CR229" s="205">
        <f t="shared" si="739"/>
        <v>1265.0323614604258</v>
      </c>
      <c r="CS229" s="112">
        <f>SUM(CG229:CR229)</f>
        <v>30438.710586590867</v>
      </c>
      <c r="CT229" s="206">
        <f t="shared" ref="CT229:DE229" si="740">+CT227-CT228</f>
        <v>713.42816760891401</v>
      </c>
      <c r="CU229" s="204">
        <f t="shared" si="740"/>
        <v>608.39204632905239</v>
      </c>
      <c r="CV229" s="204">
        <f t="shared" si="740"/>
        <v>490.24249022454933</v>
      </c>
      <c r="CW229" s="204">
        <f t="shared" si="740"/>
        <v>381.06195860240769</v>
      </c>
      <c r="CX229" s="204">
        <f t="shared" si="740"/>
        <v>289.04710611498831</v>
      </c>
      <c r="CY229" s="204">
        <f t="shared" si="740"/>
        <v>193.95887908550503</v>
      </c>
      <c r="CZ229" s="204">
        <f t="shared" si="740"/>
        <v>89.389722686687492</v>
      </c>
      <c r="DA229" s="204">
        <f t="shared" si="740"/>
        <v>-23.725125559064509</v>
      </c>
      <c r="DB229" s="204">
        <f t="shared" si="740"/>
        <v>-101.21720918199753</v>
      </c>
      <c r="DC229" s="204">
        <f t="shared" si="740"/>
        <v>-142.27710912719613</v>
      </c>
      <c r="DD229" s="204">
        <f t="shared" si="740"/>
        <v>-189.46387280559702</v>
      </c>
      <c r="DE229" s="205">
        <f t="shared" si="740"/>
        <v>-242.13149688450358</v>
      </c>
      <c r="DF229" s="112">
        <f>SUM(CT229:DE229)</f>
        <v>2066.7055570937455</v>
      </c>
      <c r="DG229" s="205">
        <f>+DG227-DG228</f>
        <v>11797.18958908155</v>
      </c>
      <c r="DH229" s="98">
        <f t="shared" si="614"/>
        <v>130126.06915568966</v>
      </c>
      <c r="DI229" s="99">
        <f>+E229</f>
        <v>194172.97261823434</v>
      </c>
      <c r="DJ229" s="100">
        <f>+DI229-DH229</f>
        <v>64046.90346254468</v>
      </c>
    </row>
    <row r="230" spans="1:115" ht="15" customHeight="1">
      <c r="A230" s="257"/>
      <c r="B230" s="257"/>
      <c r="C230" s="54"/>
      <c r="D230" s="54"/>
      <c r="E230" s="258"/>
      <c r="F230" s="256"/>
      <c r="G230" s="259"/>
      <c r="H230" s="259"/>
      <c r="I230" s="259"/>
      <c r="J230" s="259"/>
      <c r="K230" s="259"/>
      <c r="L230" s="259"/>
      <c r="M230" s="259"/>
      <c r="N230" s="259"/>
      <c r="O230" s="259"/>
      <c r="P230" s="259"/>
      <c r="Q230" s="259"/>
      <c r="R230" s="259"/>
      <c r="S230" s="256"/>
      <c r="T230" s="259"/>
      <c r="U230" s="259"/>
      <c r="V230" s="259"/>
      <c r="W230" s="259"/>
      <c r="X230" s="259"/>
      <c r="Y230" s="259"/>
      <c r="Z230" s="259"/>
      <c r="AA230" s="259"/>
      <c r="AB230" s="259"/>
      <c r="AC230" s="259"/>
      <c r="AD230" s="259"/>
      <c r="AE230" s="259"/>
      <c r="AF230" s="256"/>
      <c r="AG230" s="259"/>
      <c r="AH230" s="259"/>
      <c r="AI230" s="259"/>
      <c r="AJ230" s="259"/>
      <c r="AK230" s="259"/>
      <c r="AL230" s="259"/>
      <c r="AM230" s="259"/>
      <c r="AN230" s="259"/>
      <c r="AO230" s="259"/>
      <c r="AP230" s="259"/>
      <c r="AQ230" s="259"/>
      <c r="AR230" s="259"/>
      <c r="AS230" s="417"/>
      <c r="AT230" s="259"/>
      <c r="AU230" s="259"/>
      <c r="AV230" s="259"/>
      <c r="AW230" s="259"/>
      <c r="AX230" s="259"/>
      <c r="AY230" s="259"/>
      <c r="AZ230" s="259"/>
      <c r="BA230" s="259"/>
      <c r="BB230" s="259"/>
      <c r="BC230" s="259"/>
      <c r="BD230" s="259"/>
      <c r="BE230" s="259"/>
      <c r="BF230" s="256"/>
      <c r="BG230" s="259"/>
      <c r="BH230" s="259"/>
      <c r="BI230" s="259"/>
      <c r="BJ230" s="259"/>
      <c r="BK230" s="259"/>
      <c r="BL230" s="259"/>
      <c r="BM230" s="259"/>
      <c r="BN230" s="259"/>
      <c r="BO230" s="259"/>
      <c r="BP230" s="259"/>
      <c r="BQ230" s="259"/>
      <c r="BR230" s="259"/>
      <c r="BS230" s="256"/>
      <c r="BT230" s="259"/>
      <c r="BU230" s="259"/>
      <c r="BV230" s="259"/>
      <c r="BW230" s="259"/>
      <c r="BX230" s="259"/>
      <c r="BY230" s="259"/>
      <c r="BZ230" s="259"/>
      <c r="CA230" s="259"/>
      <c r="CB230" s="259"/>
      <c r="CC230" s="259"/>
      <c r="CD230" s="259"/>
      <c r="CE230" s="259"/>
      <c r="CF230" s="256"/>
      <c r="CG230" s="259"/>
      <c r="CH230" s="259"/>
      <c r="CI230" s="259"/>
      <c r="CJ230" s="259"/>
      <c r="CK230" s="259"/>
      <c r="CL230" s="259"/>
      <c r="CM230" s="259"/>
      <c r="CN230" s="259"/>
      <c r="CO230" s="259"/>
      <c r="CP230" s="259"/>
      <c r="CQ230" s="259"/>
      <c r="CR230" s="259"/>
      <c r="CS230" s="256"/>
      <c r="CT230" s="259"/>
      <c r="CU230" s="259"/>
      <c r="CV230" s="259"/>
      <c r="CW230" s="259"/>
      <c r="CX230" s="259"/>
      <c r="CY230" s="259"/>
      <c r="CZ230" s="259"/>
      <c r="DA230" s="259"/>
      <c r="DB230" s="259"/>
      <c r="DC230" s="259"/>
      <c r="DD230" s="259"/>
      <c r="DE230" s="259"/>
      <c r="DF230" s="256"/>
      <c r="DG230" s="259"/>
      <c r="DH230" s="260">
        <f>+F230+S230+AF230+AS230+BF230+BS230</f>
        <v>0</v>
      </c>
      <c r="DI230" s="260"/>
      <c r="DJ230" s="260"/>
    </row>
    <row r="231" spans="1:115" ht="15" customHeight="1">
      <c r="A231" s="598" t="s">
        <v>125</v>
      </c>
      <c r="B231" s="546" t="s">
        <v>82</v>
      </c>
      <c r="C231" s="152" t="s">
        <v>62</v>
      </c>
      <c r="D231" s="232"/>
      <c r="E231" s="153">
        <f>AF231+AS231+BF231+BS231+CF231+CS231+DF231+S231+DG231</f>
        <v>0</v>
      </c>
      <c r="F231" s="153"/>
      <c r="G231" s="154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6"/>
      <c r="S231" s="180">
        <f t="shared" ref="S231:S257" si="741">SUM(G231:R231)</f>
        <v>0</v>
      </c>
      <c r="T231" s="378"/>
      <c r="U231" s="382"/>
      <c r="V231" s="382"/>
      <c r="W231" s="382"/>
      <c r="X231" s="382"/>
      <c r="Y231" s="382"/>
      <c r="Z231" s="382"/>
      <c r="AA231" s="382"/>
      <c r="AB231" s="382"/>
      <c r="AC231" s="382"/>
      <c r="AD231" s="382"/>
      <c r="AE231" s="485"/>
      <c r="AF231" s="180">
        <f t="shared" ref="AF231:AF257" si="742">SUM(T231:AE231)</f>
        <v>0</v>
      </c>
      <c r="AG231" s="512"/>
      <c r="AH231" s="513"/>
      <c r="AI231" s="513"/>
      <c r="AJ231" s="513"/>
      <c r="AK231" s="513"/>
      <c r="AL231" s="513"/>
      <c r="AM231" s="512"/>
      <c r="AN231" s="513"/>
      <c r="AO231" s="513"/>
      <c r="AP231" s="513"/>
      <c r="AQ231" s="513"/>
      <c r="AR231" s="512"/>
      <c r="AS231" s="413">
        <f t="shared" ref="AS231:AS257" si="743">SUM(AG231:AR231)</f>
        <v>0</v>
      </c>
      <c r="AT231" s="500"/>
      <c r="AU231" s="513"/>
      <c r="AV231" s="513"/>
      <c r="AW231" s="155"/>
      <c r="AX231" s="283"/>
      <c r="AY231" s="155"/>
      <c r="AZ231" s="155"/>
      <c r="BA231" s="155"/>
      <c r="BB231" s="155"/>
      <c r="BC231" s="155"/>
      <c r="BD231" s="155"/>
      <c r="BE231" s="156"/>
      <c r="BF231" s="180">
        <f t="shared" ref="BF231:BF257" si="744">SUM(AT231:BE231)</f>
        <v>0</v>
      </c>
      <c r="BG231" s="158"/>
      <c r="BH231" s="155"/>
      <c r="BI231" s="155"/>
      <c r="BJ231" s="155"/>
      <c r="BK231" s="155"/>
      <c r="BL231" s="155"/>
      <c r="BM231" s="155"/>
      <c r="BN231" s="155"/>
      <c r="BO231" s="155"/>
      <c r="BP231" s="155"/>
      <c r="BQ231" s="155"/>
      <c r="BR231" s="156"/>
      <c r="BS231" s="180">
        <f t="shared" ref="BS231:BS257" si="745">SUM(BG231:BR231)</f>
        <v>0</v>
      </c>
      <c r="BT231" s="158"/>
      <c r="BU231" s="155"/>
      <c r="BV231" s="155"/>
      <c r="BW231" s="155"/>
      <c r="BX231" s="155"/>
      <c r="BY231" s="155"/>
      <c r="BZ231" s="155">
        <f>AX232+AY232</f>
        <v>0</v>
      </c>
      <c r="CA231" s="155"/>
      <c r="CB231" s="155"/>
      <c r="CC231" s="155"/>
      <c r="CD231" s="155"/>
      <c r="CE231" s="156"/>
      <c r="CF231" s="180">
        <f t="shared" ref="CF231:CF257" si="746">SUM(BT231:CE231)</f>
        <v>0</v>
      </c>
      <c r="CG231" s="158"/>
      <c r="CH231" s="155"/>
      <c r="CI231" s="155"/>
      <c r="CJ231" s="155"/>
      <c r="CK231" s="155"/>
      <c r="CL231" s="155"/>
      <c r="CM231" s="155"/>
      <c r="CN231" s="155"/>
      <c r="CO231" s="155"/>
      <c r="CP231" s="155"/>
      <c r="CQ231" s="155"/>
      <c r="CR231" s="156"/>
      <c r="CS231" s="180">
        <f t="shared" ref="CS231:CS257" si="747">SUM(CG231:CR231)</f>
        <v>0</v>
      </c>
      <c r="CT231" s="158"/>
      <c r="CU231" s="155"/>
      <c r="CV231" s="155"/>
      <c r="CW231" s="155"/>
      <c r="CX231" s="155"/>
      <c r="CY231" s="155"/>
      <c r="CZ231" s="155"/>
      <c r="DA231" s="155"/>
      <c r="DB231" s="155"/>
      <c r="DC231" s="155"/>
      <c r="DD231" s="155"/>
      <c r="DE231" s="156"/>
      <c r="DF231" s="180">
        <f t="shared" ref="DF231:DF257" si="748">SUM(CT231:DE231)</f>
        <v>0</v>
      </c>
      <c r="DG231" s="280"/>
      <c r="DH231" s="159">
        <f t="shared" si="614"/>
        <v>0</v>
      </c>
      <c r="DI231" s="160">
        <f t="shared" ref="DI231:DI257" si="749">+E231</f>
        <v>0</v>
      </c>
      <c r="DJ231" s="161">
        <f t="shared" ref="DJ231:DJ257" si="750">+DI231-DH231</f>
        <v>0</v>
      </c>
    </row>
    <row r="232" spans="1:115" ht="15" customHeight="1">
      <c r="A232" s="599"/>
      <c r="B232" s="548"/>
      <c r="C232" s="135" t="s">
        <v>63</v>
      </c>
      <c r="D232" s="230"/>
      <c r="E232" s="364">
        <f>AF232+AS232+BF232+BS232+CF232+CS232+DF232+S232+DG232</f>
        <v>3962.6919201484902</v>
      </c>
      <c r="F232" s="136"/>
      <c r="G232" s="137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9"/>
      <c r="S232" s="140">
        <f t="shared" si="741"/>
        <v>0</v>
      </c>
      <c r="T232" s="380"/>
      <c r="U232" s="381"/>
      <c r="V232" s="381"/>
      <c r="W232" s="381"/>
      <c r="X232" s="381"/>
      <c r="Y232" s="381"/>
      <c r="Z232" s="381"/>
      <c r="AA232" s="381"/>
      <c r="AB232" s="381"/>
      <c r="AC232" s="381"/>
      <c r="AD232" s="381"/>
      <c r="AE232" s="392"/>
      <c r="AF232" s="140">
        <f t="shared" si="742"/>
        <v>0</v>
      </c>
      <c r="AG232" s="497"/>
      <c r="AH232" s="499"/>
      <c r="AI232" s="499"/>
      <c r="AJ232" s="499"/>
      <c r="AK232" s="499"/>
      <c r="AL232" s="499"/>
      <c r="AM232" s="499"/>
      <c r="AN232" s="499">
        <v>3962.6919201484902</v>
      </c>
      <c r="AO232" s="499"/>
      <c r="AP232" s="499"/>
      <c r="AQ232" s="499"/>
      <c r="AR232" s="511"/>
      <c r="AS232" s="407">
        <f>SUM(AG232:AR232)</f>
        <v>3962.6919201484902</v>
      </c>
      <c r="AT232" s="501"/>
      <c r="AU232" s="499"/>
      <c r="AV232" s="499"/>
      <c r="AW232" s="138"/>
      <c r="AX232" s="138"/>
      <c r="AY232" s="138"/>
      <c r="AZ232" s="138"/>
      <c r="BA232" s="138"/>
      <c r="BB232" s="138"/>
      <c r="BC232" s="138"/>
      <c r="BD232" s="138"/>
      <c r="BE232" s="139"/>
      <c r="BF232" s="140">
        <f t="shared" si="744"/>
        <v>0</v>
      </c>
      <c r="BG232" s="141"/>
      <c r="BH232" s="138"/>
      <c r="BI232" s="138"/>
      <c r="BJ232" s="138"/>
      <c r="BK232" s="138"/>
      <c r="BL232" s="138"/>
      <c r="BM232" s="138"/>
      <c r="BN232" s="138"/>
      <c r="BO232" s="138"/>
      <c r="BP232" s="138"/>
      <c r="BQ232" s="138"/>
      <c r="BR232" s="139"/>
      <c r="BS232" s="140">
        <f t="shared" si="745"/>
        <v>0</v>
      </c>
      <c r="BT232" s="141"/>
      <c r="BU232" s="138"/>
      <c r="BV232" s="138"/>
      <c r="BW232" s="138"/>
      <c r="BX232" s="138"/>
      <c r="BY232" s="138"/>
      <c r="BZ232" s="138"/>
      <c r="CA232" s="138"/>
      <c r="CB232" s="138"/>
      <c r="CC232" s="138"/>
      <c r="CD232" s="138"/>
      <c r="CE232" s="139"/>
      <c r="CF232" s="140">
        <f t="shared" si="746"/>
        <v>0</v>
      </c>
      <c r="CG232" s="141"/>
      <c r="CH232" s="138"/>
      <c r="CI232" s="138"/>
      <c r="CJ232" s="138"/>
      <c r="CK232" s="138"/>
      <c r="CL232" s="138"/>
      <c r="CM232" s="138"/>
      <c r="CN232" s="138"/>
      <c r="CO232" s="138"/>
      <c r="CP232" s="138"/>
      <c r="CQ232" s="138"/>
      <c r="CR232" s="139"/>
      <c r="CS232" s="140">
        <f t="shared" si="747"/>
        <v>0</v>
      </c>
      <c r="CT232" s="141"/>
      <c r="CU232" s="138"/>
      <c r="CV232" s="138"/>
      <c r="CW232" s="138"/>
      <c r="CX232" s="138"/>
      <c r="CY232" s="138"/>
      <c r="CZ232" s="138"/>
      <c r="DA232" s="138"/>
      <c r="DB232" s="138"/>
      <c r="DC232" s="138"/>
      <c r="DD232" s="138"/>
      <c r="DE232" s="139"/>
      <c r="DF232" s="140">
        <f t="shared" si="748"/>
        <v>0</v>
      </c>
      <c r="DG232" s="279"/>
      <c r="DH232" s="90">
        <f t="shared" si="614"/>
        <v>3962.6919201484902</v>
      </c>
      <c r="DI232" s="91">
        <f t="shared" si="749"/>
        <v>3962.6919201484902</v>
      </c>
      <c r="DJ232" s="92">
        <f t="shared" si="750"/>
        <v>0</v>
      </c>
      <c r="DK232" s="64"/>
    </row>
    <row r="233" spans="1:115" ht="15" customHeight="1">
      <c r="A233" s="599"/>
      <c r="B233" s="556"/>
      <c r="C233" s="142" t="s">
        <v>11</v>
      </c>
      <c r="D233" s="231"/>
      <c r="E233" s="143">
        <f t="shared" ref="E233:R233" si="751">+E231-E232</f>
        <v>-3962.6919201484902</v>
      </c>
      <c r="F233" s="144">
        <f t="shared" si="751"/>
        <v>0</v>
      </c>
      <c r="G233" s="145">
        <f t="shared" si="751"/>
        <v>0</v>
      </c>
      <c r="H233" s="145">
        <f t="shared" si="751"/>
        <v>0</v>
      </c>
      <c r="I233" s="145">
        <f t="shared" si="751"/>
        <v>0</v>
      </c>
      <c r="J233" s="145">
        <f t="shared" si="751"/>
        <v>0</v>
      </c>
      <c r="K233" s="145">
        <f t="shared" si="751"/>
        <v>0</v>
      </c>
      <c r="L233" s="145">
        <f t="shared" si="751"/>
        <v>0</v>
      </c>
      <c r="M233" s="145">
        <f t="shared" si="751"/>
        <v>0</v>
      </c>
      <c r="N233" s="145">
        <f t="shared" si="751"/>
        <v>0</v>
      </c>
      <c r="O233" s="145">
        <f t="shared" si="751"/>
        <v>0</v>
      </c>
      <c r="P233" s="145">
        <f t="shared" si="751"/>
        <v>0</v>
      </c>
      <c r="Q233" s="145">
        <f t="shared" si="751"/>
        <v>0</v>
      </c>
      <c r="R233" s="146">
        <f t="shared" si="751"/>
        <v>0</v>
      </c>
      <c r="S233" s="147">
        <f t="shared" si="741"/>
        <v>0</v>
      </c>
      <c r="T233" s="148">
        <f t="shared" ref="T233:AE233" si="752">+T231-T232</f>
        <v>0</v>
      </c>
      <c r="U233" s="145">
        <f t="shared" si="752"/>
        <v>0</v>
      </c>
      <c r="V233" s="145">
        <f t="shared" si="752"/>
        <v>0</v>
      </c>
      <c r="W233" s="145">
        <f t="shared" si="752"/>
        <v>0</v>
      </c>
      <c r="X233" s="145">
        <f t="shared" si="752"/>
        <v>0</v>
      </c>
      <c r="Y233" s="145">
        <f t="shared" si="752"/>
        <v>0</v>
      </c>
      <c r="Z233" s="145">
        <f t="shared" si="752"/>
        <v>0</v>
      </c>
      <c r="AA233" s="145">
        <f t="shared" si="752"/>
        <v>0</v>
      </c>
      <c r="AB233" s="145">
        <f t="shared" si="752"/>
        <v>0</v>
      </c>
      <c r="AC233" s="145">
        <f t="shared" si="752"/>
        <v>0</v>
      </c>
      <c r="AD233" s="145">
        <f t="shared" si="752"/>
        <v>0</v>
      </c>
      <c r="AE233" s="146">
        <f t="shared" si="752"/>
        <v>0</v>
      </c>
      <c r="AF233" s="147">
        <f t="shared" si="742"/>
        <v>0</v>
      </c>
      <c r="AG233" s="148">
        <f>+AG231-AG232</f>
        <v>0</v>
      </c>
      <c r="AH233" s="145">
        <f t="shared" ref="AH233:AR233" si="753">+AH231-AH232</f>
        <v>0</v>
      </c>
      <c r="AI233" s="145">
        <f t="shared" si="753"/>
        <v>0</v>
      </c>
      <c r="AJ233" s="145">
        <f t="shared" si="753"/>
        <v>0</v>
      </c>
      <c r="AK233" s="145">
        <f t="shared" si="753"/>
        <v>0</v>
      </c>
      <c r="AL233" s="145">
        <f t="shared" si="753"/>
        <v>0</v>
      </c>
      <c r="AM233" s="145">
        <f t="shared" si="753"/>
        <v>0</v>
      </c>
      <c r="AN233" s="145">
        <f t="shared" si="753"/>
        <v>-3962.6919201484902</v>
      </c>
      <c r="AO233" s="145">
        <f t="shared" si="753"/>
        <v>0</v>
      </c>
      <c r="AP233" s="145">
        <f t="shared" si="753"/>
        <v>0</v>
      </c>
      <c r="AQ233" s="145">
        <f t="shared" si="753"/>
        <v>0</v>
      </c>
      <c r="AR233" s="146">
        <f t="shared" si="753"/>
        <v>0</v>
      </c>
      <c r="AS233" s="408">
        <f t="shared" si="743"/>
        <v>-3962.6919201484902</v>
      </c>
      <c r="AT233" s="148">
        <f t="shared" ref="AT233:BE233" si="754">+AT231-AT232</f>
        <v>0</v>
      </c>
      <c r="AU233" s="145">
        <f t="shared" si="754"/>
        <v>0</v>
      </c>
      <c r="AV233" s="145">
        <f t="shared" si="754"/>
        <v>0</v>
      </c>
      <c r="AW233" s="145">
        <f t="shared" si="754"/>
        <v>0</v>
      </c>
      <c r="AX233" s="145">
        <f t="shared" si="754"/>
        <v>0</v>
      </c>
      <c r="AY233" s="145">
        <f t="shared" si="754"/>
        <v>0</v>
      </c>
      <c r="AZ233" s="145">
        <f t="shared" si="754"/>
        <v>0</v>
      </c>
      <c r="BA233" s="145">
        <f t="shared" si="754"/>
        <v>0</v>
      </c>
      <c r="BB233" s="145">
        <f t="shared" si="754"/>
        <v>0</v>
      </c>
      <c r="BC233" s="145">
        <f t="shared" si="754"/>
        <v>0</v>
      </c>
      <c r="BD233" s="145">
        <f t="shared" si="754"/>
        <v>0</v>
      </c>
      <c r="BE233" s="146">
        <f t="shared" si="754"/>
        <v>0</v>
      </c>
      <c r="BF233" s="147">
        <f t="shared" si="744"/>
        <v>0</v>
      </c>
      <c r="BG233" s="148">
        <f t="shared" ref="BG233:BR233" si="755">+BG231-BG232</f>
        <v>0</v>
      </c>
      <c r="BH233" s="145">
        <f t="shared" si="755"/>
        <v>0</v>
      </c>
      <c r="BI233" s="145">
        <f t="shared" si="755"/>
        <v>0</v>
      </c>
      <c r="BJ233" s="145">
        <f t="shared" si="755"/>
        <v>0</v>
      </c>
      <c r="BK233" s="145">
        <f t="shared" si="755"/>
        <v>0</v>
      </c>
      <c r="BL233" s="145">
        <f t="shared" si="755"/>
        <v>0</v>
      </c>
      <c r="BM233" s="145">
        <f t="shared" si="755"/>
        <v>0</v>
      </c>
      <c r="BN233" s="145">
        <f t="shared" si="755"/>
        <v>0</v>
      </c>
      <c r="BO233" s="145">
        <f t="shared" si="755"/>
        <v>0</v>
      </c>
      <c r="BP233" s="145">
        <f t="shared" si="755"/>
        <v>0</v>
      </c>
      <c r="BQ233" s="145">
        <f t="shared" si="755"/>
        <v>0</v>
      </c>
      <c r="BR233" s="146">
        <f t="shared" si="755"/>
        <v>0</v>
      </c>
      <c r="BS233" s="147">
        <f t="shared" si="745"/>
        <v>0</v>
      </c>
      <c r="BT233" s="148">
        <f t="shared" ref="BT233:CE233" si="756">+BT231-BT232</f>
        <v>0</v>
      </c>
      <c r="BU233" s="145">
        <f t="shared" si="756"/>
        <v>0</v>
      </c>
      <c r="BV233" s="145">
        <f t="shared" si="756"/>
        <v>0</v>
      </c>
      <c r="BW233" s="145">
        <f t="shared" si="756"/>
        <v>0</v>
      </c>
      <c r="BX233" s="145">
        <f t="shared" si="756"/>
        <v>0</v>
      </c>
      <c r="BY233" s="145">
        <f t="shared" si="756"/>
        <v>0</v>
      </c>
      <c r="BZ233" s="145">
        <f t="shared" si="756"/>
        <v>0</v>
      </c>
      <c r="CA233" s="145">
        <f t="shared" si="756"/>
        <v>0</v>
      </c>
      <c r="CB233" s="145">
        <f t="shared" si="756"/>
        <v>0</v>
      </c>
      <c r="CC233" s="145">
        <f t="shared" si="756"/>
        <v>0</v>
      </c>
      <c r="CD233" s="145">
        <f t="shared" si="756"/>
        <v>0</v>
      </c>
      <c r="CE233" s="146">
        <f t="shared" si="756"/>
        <v>0</v>
      </c>
      <c r="CF233" s="147">
        <f t="shared" si="746"/>
        <v>0</v>
      </c>
      <c r="CG233" s="148">
        <f t="shared" ref="CG233:CR233" si="757">+CG231-CG232</f>
        <v>0</v>
      </c>
      <c r="CH233" s="145">
        <f t="shared" si="757"/>
        <v>0</v>
      </c>
      <c r="CI233" s="145">
        <f t="shared" si="757"/>
        <v>0</v>
      </c>
      <c r="CJ233" s="145">
        <f t="shared" si="757"/>
        <v>0</v>
      </c>
      <c r="CK233" s="145">
        <f t="shared" si="757"/>
        <v>0</v>
      </c>
      <c r="CL233" s="145">
        <f t="shared" si="757"/>
        <v>0</v>
      </c>
      <c r="CM233" s="145">
        <f t="shared" si="757"/>
        <v>0</v>
      </c>
      <c r="CN233" s="145">
        <f t="shared" si="757"/>
        <v>0</v>
      </c>
      <c r="CO233" s="145">
        <f t="shared" si="757"/>
        <v>0</v>
      </c>
      <c r="CP233" s="145">
        <f t="shared" si="757"/>
        <v>0</v>
      </c>
      <c r="CQ233" s="145">
        <f t="shared" si="757"/>
        <v>0</v>
      </c>
      <c r="CR233" s="146">
        <f t="shared" si="757"/>
        <v>0</v>
      </c>
      <c r="CS233" s="147">
        <f t="shared" si="747"/>
        <v>0</v>
      </c>
      <c r="CT233" s="148">
        <f t="shared" ref="CT233:DE233" si="758">+CT231-CT232</f>
        <v>0</v>
      </c>
      <c r="CU233" s="145">
        <f t="shared" si="758"/>
        <v>0</v>
      </c>
      <c r="CV233" s="145">
        <f t="shared" si="758"/>
        <v>0</v>
      </c>
      <c r="CW233" s="145">
        <f t="shared" si="758"/>
        <v>0</v>
      </c>
      <c r="CX233" s="145">
        <f t="shared" si="758"/>
        <v>0</v>
      </c>
      <c r="CY233" s="145">
        <f t="shared" si="758"/>
        <v>0</v>
      </c>
      <c r="CZ233" s="145">
        <f t="shared" si="758"/>
        <v>0</v>
      </c>
      <c r="DA233" s="145">
        <f t="shared" si="758"/>
        <v>0</v>
      </c>
      <c r="DB233" s="145">
        <f t="shared" si="758"/>
        <v>0</v>
      </c>
      <c r="DC233" s="145">
        <f t="shared" si="758"/>
        <v>0</v>
      </c>
      <c r="DD233" s="145">
        <f t="shared" si="758"/>
        <v>0</v>
      </c>
      <c r="DE233" s="146">
        <f t="shared" si="758"/>
        <v>0</v>
      </c>
      <c r="DF233" s="147">
        <f t="shared" si="748"/>
        <v>0</v>
      </c>
      <c r="DG233" s="146">
        <f>+DG231-DG232</f>
        <v>0</v>
      </c>
      <c r="DH233" s="149">
        <f t="shared" si="614"/>
        <v>-3962.6919201484902</v>
      </c>
      <c r="DI233" s="150">
        <f t="shared" si="749"/>
        <v>-3962.6919201484902</v>
      </c>
      <c r="DJ233" s="151">
        <f t="shared" si="750"/>
        <v>0</v>
      </c>
    </row>
    <row r="234" spans="1:115" ht="15" customHeight="1">
      <c r="A234" s="599"/>
      <c r="B234" s="546" t="s">
        <v>18</v>
      </c>
      <c r="C234" s="152" t="s">
        <v>62</v>
      </c>
      <c r="D234" s="235"/>
      <c r="E234" s="136">
        <f t="shared" ref="E234:E253" si="759">AF234+AS234+BF234+BS234+CF234+CS234+DF234+S234+DG234</f>
        <v>49.507310901737149</v>
      </c>
      <c r="F234" s="128"/>
      <c r="G234" s="129"/>
      <c r="H234" s="130"/>
      <c r="I234" s="130"/>
      <c r="J234" s="130"/>
      <c r="K234" s="130"/>
      <c r="L234" s="130"/>
      <c r="M234" s="130"/>
      <c r="N234" s="130"/>
      <c r="O234" s="130"/>
      <c r="P234" s="130"/>
      <c r="Q234" s="130"/>
      <c r="R234" s="131"/>
      <c r="S234" s="132">
        <f t="shared" si="741"/>
        <v>0</v>
      </c>
      <c r="T234" s="385">
        <v>6.663915824221168</v>
      </c>
      <c r="U234" s="379">
        <v>2.2228127555192101</v>
      </c>
      <c r="V234" s="379">
        <v>2.5554341998375301</v>
      </c>
      <c r="W234" s="379">
        <v>4.7719409869964604</v>
      </c>
      <c r="X234" s="379">
        <v>2.1795989537925022</v>
      </c>
      <c r="Y234" s="379"/>
      <c r="Z234" s="379"/>
      <c r="AA234" s="379">
        <v>2.0075605244108399</v>
      </c>
      <c r="AB234" s="379">
        <v>1.8644136642430642</v>
      </c>
      <c r="AC234" s="379">
        <v>3.3216022776701331</v>
      </c>
      <c r="AD234" s="379"/>
      <c r="AE234" s="480">
        <v>0.65627821172037526</v>
      </c>
      <c r="AF234" s="132">
        <f t="shared" si="742"/>
        <v>26.243557398411284</v>
      </c>
      <c r="AG234" s="496">
        <v>1.2634132738427217</v>
      </c>
      <c r="AH234" s="510"/>
      <c r="AI234" s="510">
        <v>3.0346188410893604</v>
      </c>
      <c r="AJ234" s="510">
        <v>2.9494099104294005</v>
      </c>
      <c r="AK234" s="510"/>
      <c r="AL234" s="510">
        <v>3.5652673950546299</v>
      </c>
      <c r="AM234" s="510"/>
      <c r="AN234" s="510">
        <v>0.71101178074927074</v>
      </c>
      <c r="AO234" s="510">
        <v>3.7016700117393118</v>
      </c>
      <c r="AP234" s="510"/>
      <c r="AQ234" s="510">
        <v>1.288220361459478</v>
      </c>
      <c r="AR234" s="515">
        <v>1.7969178082191781</v>
      </c>
      <c r="AS234" s="406">
        <f t="shared" si="743"/>
        <v>18.310529382583351</v>
      </c>
      <c r="AT234" s="516"/>
      <c r="AU234" s="510">
        <v>3.209083940206976</v>
      </c>
      <c r="AV234" s="510">
        <v>1.7441401805355381</v>
      </c>
      <c r="AW234" s="130"/>
      <c r="AX234" s="130"/>
      <c r="AY234" s="130"/>
      <c r="AZ234" s="130"/>
      <c r="BA234" s="130"/>
      <c r="BB234" s="130"/>
      <c r="BC234" s="130"/>
      <c r="BD234" s="130"/>
      <c r="BE234" s="131"/>
      <c r="BF234" s="132">
        <f t="shared" si="744"/>
        <v>4.9532241207425143</v>
      </c>
      <c r="BG234" s="133"/>
      <c r="BH234" s="130"/>
      <c r="BI234" s="130"/>
      <c r="BJ234" s="130"/>
      <c r="BK234" s="130"/>
      <c r="BL234" s="130"/>
      <c r="BM234" s="130"/>
      <c r="BN234" s="130"/>
      <c r="BO234" s="130"/>
      <c r="BP234" s="130"/>
      <c r="BQ234" s="130"/>
      <c r="BR234" s="131"/>
      <c r="BS234" s="132">
        <f t="shared" si="745"/>
        <v>0</v>
      </c>
      <c r="BT234" s="133"/>
      <c r="BU234" s="130"/>
      <c r="BV234" s="130"/>
      <c r="BW234" s="130"/>
      <c r="BX234" s="130"/>
      <c r="BY234" s="130"/>
      <c r="BZ234" s="130"/>
      <c r="CA234" s="130"/>
      <c r="CB234" s="130"/>
      <c r="CC234" s="130"/>
      <c r="CD234" s="130"/>
      <c r="CE234" s="131"/>
      <c r="CF234" s="132">
        <f t="shared" si="746"/>
        <v>0</v>
      </c>
      <c r="CG234" s="133"/>
      <c r="CH234" s="130"/>
      <c r="CI234" s="130"/>
      <c r="CJ234" s="130"/>
      <c r="CK234" s="130"/>
      <c r="CL234" s="130"/>
      <c r="CM234" s="130"/>
      <c r="CN234" s="130"/>
      <c r="CO234" s="130"/>
      <c r="CP234" s="130"/>
      <c r="CQ234" s="130"/>
      <c r="CR234" s="131"/>
      <c r="CS234" s="132">
        <f t="shared" si="747"/>
        <v>0</v>
      </c>
      <c r="CT234" s="133"/>
      <c r="CU234" s="130"/>
      <c r="CV234" s="130"/>
      <c r="CW234" s="130"/>
      <c r="CX234" s="130"/>
      <c r="CY234" s="130"/>
      <c r="CZ234" s="130"/>
      <c r="DA234" s="130"/>
      <c r="DB234" s="130"/>
      <c r="DC234" s="130"/>
      <c r="DD234" s="130"/>
      <c r="DE234" s="131"/>
      <c r="DF234" s="132">
        <f t="shared" si="748"/>
        <v>0</v>
      </c>
      <c r="DG234" s="278"/>
      <c r="DH234" s="159">
        <f t="shared" si="614"/>
        <v>49.507310901737149</v>
      </c>
      <c r="DI234" s="160">
        <f t="shared" si="749"/>
        <v>49.507310901737149</v>
      </c>
      <c r="DJ234" s="161">
        <f t="shared" si="750"/>
        <v>0</v>
      </c>
    </row>
    <row r="235" spans="1:115" ht="15" customHeight="1">
      <c r="A235" s="599"/>
      <c r="B235" s="548"/>
      <c r="C235" s="135" t="s">
        <v>63</v>
      </c>
      <c r="D235" s="233"/>
      <c r="E235" s="136">
        <f t="shared" si="759"/>
        <v>78.813225793894617</v>
      </c>
      <c r="F235" s="136"/>
      <c r="G235" s="137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9"/>
      <c r="S235" s="140">
        <f t="shared" si="741"/>
        <v>0</v>
      </c>
      <c r="T235" s="380">
        <v>0.20631318341242005</v>
      </c>
      <c r="U235" s="381">
        <v>1.9691332788225675</v>
      </c>
      <c r="V235" s="381">
        <v>1.6043866774979691</v>
      </c>
      <c r="W235" s="381"/>
      <c r="X235" s="381"/>
      <c r="Y235" s="381">
        <v>8.8756786747512706</v>
      </c>
      <c r="Z235" s="381">
        <v>6.3456106794182103</v>
      </c>
      <c r="AA235" s="381">
        <v>-14.506555135526421</v>
      </c>
      <c r="AB235" s="381">
        <v>3.3510703115479914</v>
      </c>
      <c r="AC235" s="381"/>
      <c r="AD235" s="381">
        <v>1.348686804953072</v>
      </c>
      <c r="AE235" s="392">
        <v>0.80559335871570403</v>
      </c>
      <c r="AF235" s="140">
        <f t="shared" si="742"/>
        <v>9.9999178335927859</v>
      </c>
      <c r="AG235" s="497">
        <v>4.1316628157118958</v>
      </c>
      <c r="AH235" s="499">
        <v>4.4599412340842308</v>
      </c>
      <c r="AI235" s="499">
        <v>38.411792286953499</v>
      </c>
      <c r="AJ235" s="499">
        <v>1.3070387882981587</v>
      </c>
      <c r="AK235" s="499">
        <v>1.9488756486642322</v>
      </c>
      <c r="AL235" s="499"/>
      <c r="AM235" s="499">
        <v>4.8858577373907064</v>
      </c>
      <c r="AN235" s="499">
        <v>1.8826470699647715</v>
      </c>
      <c r="AO235" s="499">
        <v>1.9023743704320826</v>
      </c>
      <c r="AP235" s="499">
        <v>1.2924316721785076</v>
      </c>
      <c r="AQ235" s="499">
        <v>1.6879475618535218</v>
      </c>
      <c r="AR235" s="511">
        <v>1.9597945205479452</v>
      </c>
      <c r="AS235" s="407">
        <f t="shared" si="743"/>
        <v>63.870363706079551</v>
      </c>
      <c r="AT235" s="501">
        <v>4.9429442542222901</v>
      </c>
      <c r="AU235" s="499"/>
      <c r="AV235" s="499"/>
      <c r="AW235" s="138"/>
      <c r="AX235" s="138"/>
      <c r="AY235" s="138"/>
      <c r="AZ235" s="138"/>
      <c r="BA235" s="138"/>
      <c r="BB235" s="138"/>
      <c r="BC235" s="138"/>
      <c r="BD235" s="138"/>
      <c r="BE235" s="139"/>
      <c r="BF235" s="140">
        <f t="shared" si="744"/>
        <v>4.9429442542222901</v>
      </c>
      <c r="BG235" s="141"/>
      <c r="BH235" s="138"/>
      <c r="BI235" s="138"/>
      <c r="BJ235" s="138"/>
      <c r="BK235" s="138"/>
      <c r="BL235" s="138"/>
      <c r="BM235" s="138"/>
      <c r="BN235" s="138"/>
      <c r="BO235" s="138"/>
      <c r="BP235" s="138"/>
      <c r="BQ235" s="138"/>
      <c r="BR235" s="139"/>
      <c r="BS235" s="140">
        <f t="shared" si="745"/>
        <v>0</v>
      </c>
      <c r="BT235" s="141"/>
      <c r="BU235" s="138"/>
      <c r="BV235" s="138"/>
      <c r="BW235" s="138"/>
      <c r="BX235" s="138"/>
      <c r="BY235" s="138"/>
      <c r="BZ235" s="138"/>
      <c r="CA235" s="138"/>
      <c r="CB235" s="138"/>
      <c r="CC235" s="138"/>
      <c r="CD235" s="138"/>
      <c r="CE235" s="139"/>
      <c r="CF235" s="140">
        <f t="shared" si="746"/>
        <v>0</v>
      </c>
      <c r="CG235" s="141"/>
      <c r="CH235" s="138"/>
      <c r="CI235" s="138"/>
      <c r="CJ235" s="138"/>
      <c r="CK235" s="138"/>
      <c r="CL235" s="138"/>
      <c r="CM235" s="138"/>
      <c r="CN235" s="138"/>
      <c r="CO235" s="138"/>
      <c r="CP235" s="138"/>
      <c r="CQ235" s="138"/>
      <c r="CR235" s="139"/>
      <c r="CS235" s="140">
        <f t="shared" si="747"/>
        <v>0</v>
      </c>
      <c r="CT235" s="141"/>
      <c r="CU235" s="138"/>
      <c r="CV235" s="138"/>
      <c r="CW235" s="138"/>
      <c r="CX235" s="138"/>
      <c r="CY235" s="138"/>
      <c r="CZ235" s="138"/>
      <c r="DA235" s="138"/>
      <c r="DB235" s="138"/>
      <c r="DC235" s="138"/>
      <c r="DD235" s="138"/>
      <c r="DE235" s="139"/>
      <c r="DF235" s="140">
        <f t="shared" si="748"/>
        <v>0</v>
      </c>
      <c r="DG235" s="279"/>
      <c r="DH235" s="90">
        <f t="shared" si="614"/>
        <v>78.813225793894617</v>
      </c>
      <c r="DI235" s="91">
        <f t="shared" si="749"/>
        <v>78.813225793894617</v>
      </c>
      <c r="DJ235" s="92">
        <f t="shared" si="750"/>
        <v>0</v>
      </c>
      <c r="DK235" s="64"/>
    </row>
    <row r="236" spans="1:115" ht="15" customHeight="1">
      <c r="A236" s="599"/>
      <c r="B236" s="556"/>
      <c r="C236" s="142" t="s">
        <v>11</v>
      </c>
      <c r="D236" s="234"/>
      <c r="E236" s="143">
        <f t="shared" ref="E236:R236" si="760">+E234-E235</f>
        <v>-29.305914892157467</v>
      </c>
      <c r="F236" s="144">
        <f t="shared" si="760"/>
        <v>0</v>
      </c>
      <c r="G236" s="145">
        <f t="shared" si="760"/>
        <v>0</v>
      </c>
      <c r="H236" s="145">
        <f t="shared" si="760"/>
        <v>0</v>
      </c>
      <c r="I236" s="145">
        <f t="shared" si="760"/>
        <v>0</v>
      </c>
      <c r="J236" s="145">
        <f t="shared" si="760"/>
        <v>0</v>
      </c>
      <c r="K236" s="145">
        <f t="shared" si="760"/>
        <v>0</v>
      </c>
      <c r="L236" s="145">
        <f t="shared" si="760"/>
        <v>0</v>
      </c>
      <c r="M236" s="145">
        <f t="shared" si="760"/>
        <v>0</v>
      </c>
      <c r="N236" s="145">
        <f t="shared" si="760"/>
        <v>0</v>
      </c>
      <c r="O236" s="145">
        <f t="shared" si="760"/>
        <v>0</v>
      </c>
      <c r="P236" s="145">
        <f t="shared" si="760"/>
        <v>0</v>
      </c>
      <c r="Q236" s="145">
        <f t="shared" si="760"/>
        <v>0</v>
      </c>
      <c r="R236" s="146">
        <f t="shared" si="760"/>
        <v>0</v>
      </c>
      <c r="S236" s="147">
        <f t="shared" si="741"/>
        <v>0</v>
      </c>
      <c r="T236" s="148">
        <f t="shared" ref="T236:AE236" si="761">+T234-T235</f>
        <v>6.4576026408087479</v>
      </c>
      <c r="U236" s="145">
        <f t="shared" si="761"/>
        <v>0.25367947669664259</v>
      </c>
      <c r="V236" s="145">
        <f t="shared" si="761"/>
        <v>0.95104752233956091</v>
      </c>
      <c r="W236" s="145">
        <f t="shared" si="761"/>
        <v>4.7719409869964604</v>
      </c>
      <c r="X236" s="145">
        <f t="shared" si="761"/>
        <v>2.1795989537925022</v>
      </c>
      <c r="Y236" s="145">
        <f t="shared" si="761"/>
        <v>-8.8756786747512706</v>
      </c>
      <c r="Z236" s="145">
        <f t="shared" si="761"/>
        <v>-6.3456106794182103</v>
      </c>
      <c r="AA236" s="145">
        <f t="shared" si="761"/>
        <v>16.514115659937261</v>
      </c>
      <c r="AB236" s="145">
        <f t="shared" si="761"/>
        <v>-1.4866566473049272</v>
      </c>
      <c r="AC236" s="145">
        <f t="shared" si="761"/>
        <v>3.3216022776701331</v>
      </c>
      <c r="AD236" s="145">
        <f t="shared" si="761"/>
        <v>-1.348686804953072</v>
      </c>
      <c r="AE236" s="146">
        <f t="shared" si="761"/>
        <v>-0.14931514699532877</v>
      </c>
      <c r="AF236" s="147">
        <f t="shared" si="742"/>
        <v>16.243639564818498</v>
      </c>
      <c r="AG236" s="148">
        <f t="shared" ref="AG236:AR236" si="762">+AG234-AG235</f>
        <v>-2.868249541869174</v>
      </c>
      <c r="AH236" s="145">
        <f t="shared" si="762"/>
        <v>-4.4599412340842308</v>
      </c>
      <c r="AI236" s="145">
        <f t="shared" si="762"/>
        <v>-35.377173445864138</v>
      </c>
      <c r="AJ236" s="145">
        <f t="shared" si="762"/>
        <v>1.6423711221312418</v>
      </c>
      <c r="AK236" s="145">
        <f t="shared" si="762"/>
        <v>-1.9488756486642322</v>
      </c>
      <c r="AL236" s="145">
        <f t="shared" si="762"/>
        <v>3.5652673950546299</v>
      </c>
      <c r="AM236" s="145">
        <f t="shared" si="762"/>
        <v>-4.8858577373907064</v>
      </c>
      <c r="AN236" s="145">
        <f t="shared" si="762"/>
        <v>-1.1716352892155006</v>
      </c>
      <c r="AO236" s="145">
        <f t="shared" si="762"/>
        <v>1.7992956413072292</v>
      </c>
      <c r="AP236" s="145">
        <f t="shared" si="762"/>
        <v>-1.2924316721785076</v>
      </c>
      <c r="AQ236" s="145">
        <f t="shared" si="762"/>
        <v>-0.39972720039404375</v>
      </c>
      <c r="AR236" s="146">
        <f t="shared" si="762"/>
        <v>-0.1628767123287671</v>
      </c>
      <c r="AS236" s="408">
        <f t="shared" si="743"/>
        <v>-45.559834323496197</v>
      </c>
      <c r="AT236" s="148">
        <f t="shared" ref="AT236:BE236" si="763">+AT234-AT235</f>
        <v>-4.9429442542222901</v>
      </c>
      <c r="AU236" s="145">
        <f t="shared" si="763"/>
        <v>3.209083940206976</v>
      </c>
      <c r="AV236" s="145">
        <f t="shared" si="763"/>
        <v>1.7441401805355381</v>
      </c>
      <c r="AW236" s="145">
        <f t="shared" si="763"/>
        <v>0</v>
      </c>
      <c r="AX236" s="145">
        <f t="shared" si="763"/>
        <v>0</v>
      </c>
      <c r="AY236" s="145">
        <f t="shared" si="763"/>
        <v>0</v>
      </c>
      <c r="AZ236" s="145">
        <f t="shared" si="763"/>
        <v>0</v>
      </c>
      <c r="BA236" s="145">
        <f t="shared" si="763"/>
        <v>0</v>
      </c>
      <c r="BB236" s="145">
        <f t="shared" si="763"/>
        <v>0</v>
      </c>
      <c r="BC236" s="145">
        <f t="shared" si="763"/>
        <v>0</v>
      </c>
      <c r="BD236" s="145">
        <f t="shared" si="763"/>
        <v>0</v>
      </c>
      <c r="BE236" s="146">
        <f t="shared" si="763"/>
        <v>0</v>
      </c>
      <c r="BF236" s="147">
        <f t="shared" si="744"/>
        <v>1.0279866520223946E-2</v>
      </c>
      <c r="BG236" s="148">
        <f t="shared" ref="BG236:BR236" si="764">+BG234-BG235</f>
        <v>0</v>
      </c>
      <c r="BH236" s="145">
        <f t="shared" si="764"/>
        <v>0</v>
      </c>
      <c r="BI236" s="145">
        <f t="shared" si="764"/>
        <v>0</v>
      </c>
      <c r="BJ236" s="145">
        <f t="shared" si="764"/>
        <v>0</v>
      </c>
      <c r="BK236" s="145">
        <f t="shared" si="764"/>
        <v>0</v>
      </c>
      <c r="BL236" s="145">
        <f t="shared" si="764"/>
        <v>0</v>
      </c>
      <c r="BM236" s="145">
        <f t="shared" si="764"/>
        <v>0</v>
      </c>
      <c r="BN236" s="145">
        <f t="shared" si="764"/>
        <v>0</v>
      </c>
      <c r="BO236" s="145">
        <f t="shared" si="764"/>
        <v>0</v>
      </c>
      <c r="BP236" s="145">
        <f t="shared" si="764"/>
        <v>0</v>
      </c>
      <c r="BQ236" s="145">
        <f t="shared" si="764"/>
        <v>0</v>
      </c>
      <c r="BR236" s="146">
        <f t="shared" si="764"/>
        <v>0</v>
      </c>
      <c r="BS236" s="147">
        <f t="shared" si="745"/>
        <v>0</v>
      </c>
      <c r="BT236" s="148">
        <f t="shared" ref="BT236:CE236" si="765">+BT234-BT235</f>
        <v>0</v>
      </c>
      <c r="BU236" s="145">
        <f t="shared" si="765"/>
        <v>0</v>
      </c>
      <c r="BV236" s="145">
        <f t="shared" si="765"/>
        <v>0</v>
      </c>
      <c r="BW236" s="145">
        <f t="shared" si="765"/>
        <v>0</v>
      </c>
      <c r="BX236" s="145">
        <f t="shared" si="765"/>
        <v>0</v>
      </c>
      <c r="BY236" s="145">
        <f t="shared" si="765"/>
        <v>0</v>
      </c>
      <c r="BZ236" s="145">
        <f t="shared" si="765"/>
        <v>0</v>
      </c>
      <c r="CA236" s="145">
        <f t="shared" si="765"/>
        <v>0</v>
      </c>
      <c r="CB236" s="145">
        <f t="shared" si="765"/>
        <v>0</v>
      </c>
      <c r="CC236" s="145">
        <f t="shared" si="765"/>
        <v>0</v>
      </c>
      <c r="CD236" s="145">
        <f t="shared" si="765"/>
        <v>0</v>
      </c>
      <c r="CE236" s="146">
        <f t="shared" si="765"/>
        <v>0</v>
      </c>
      <c r="CF236" s="147">
        <f t="shared" si="746"/>
        <v>0</v>
      </c>
      <c r="CG236" s="148">
        <f t="shared" ref="CG236:CR236" si="766">+CG234-CG235</f>
        <v>0</v>
      </c>
      <c r="CH236" s="145">
        <f t="shared" si="766"/>
        <v>0</v>
      </c>
      <c r="CI236" s="145">
        <f t="shared" si="766"/>
        <v>0</v>
      </c>
      <c r="CJ236" s="145">
        <f t="shared" si="766"/>
        <v>0</v>
      </c>
      <c r="CK236" s="145">
        <f t="shared" si="766"/>
        <v>0</v>
      </c>
      <c r="CL236" s="145">
        <f t="shared" si="766"/>
        <v>0</v>
      </c>
      <c r="CM236" s="145">
        <f t="shared" si="766"/>
        <v>0</v>
      </c>
      <c r="CN236" s="145">
        <f t="shared" si="766"/>
        <v>0</v>
      </c>
      <c r="CO236" s="145">
        <f t="shared" si="766"/>
        <v>0</v>
      </c>
      <c r="CP236" s="145">
        <f t="shared" si="766"/>
        <v>0</v>
      </c>
      <c r="CQ236" s="145">
        <f t="shared" si="766"/>
        <v>0</v>
      </c>
      <c r="CR236" s="146">
        <f t="shared" si="766"/>
        <v>0</v>
      </c>
      <c r="CS236" s="147">
        <f t="shared" si="747"/>
        <v>0</v>
      </c>
      <c r="CT236" s="148">
        <f t="shared" ref="CT236:DE236" si="767">+CT234-CT235</f>
        <v>0</v>
      </c>
      <c r="CU236" s="145">
        <f t="shared" si="767"/>
        <v>0</v>
      </c>
      <c r="CV236" s="145">
        <f t="shared" si="767"/>
        <v>0</v>
      </c>
      <c r="CW236" s="145">
        <f t="shared" si="767"/>
        <v>0</v>
      </c>
      <c r="CX236" s="145">
        <f t="shared" si="767"/>
        <v>0</v>
      </c>
      <c r="CY236" s="145">
        <f t="shared" si="767"/>
        <v>0</v>
      </c>
      <c r="CZ236" s="145">
        <f t="shared" si="767"/>
        <v>0</v>
      </c>
      <c r="DA236" s="145">
        <f t="shared" si="767"/>
        <v>0</v>
      </c>
      <c r="DB236" s="145">
        <f t="shared" si="767"/>
        <v>0</v>
      </c>
      <c r="DC236" s="145">
        <f t="shared" si="767"/>
        <v>0</v>
      </c>
      <c r="DD236" s="145">
        <f t="shared" si="767"/>
        <v>0</v>
      </c>
      <c r="DE236" s="146">
        <f t="shared" si="767"/>
        <v>0</v>
      </c>
      <c r="DF236" s="147">
        <f t="shared" si="748"/>
        <v>0</v>
      </c>
      <c r="DG236" s="146">
        <f>+DG234-DG235</f>
        <v>0</v>
      </c>
      <c r="DH236" s="98">
        <f t="shared" si="614"/>
        <v>-29.305914892157475</v>
      </c>
      <c r="DI236" s="99">
        <f t="shared" si="749"/>
        <v>-29.305914892157467</v>
      </c>
      <c r="DJ236" s="100">
        <f t="shared" si="750"/>
        <v>0</v>
      </c>
    </row>
    <row r="237" spans="1:115" ht="15" customHeight="1">
      <c r="A237" s="599"/>
      <c r="B237" s="593" t="s">
        <v>84</v>
      </c>
      <c r="C237" s="152" t="s">
        <v>62</v>
      </c>
      <c r="D237" s="235"/>
      <c r="E237" s="136">
        <f t="shared" si="759"/>
        <v>0</v>
      </c>
      <c r="F237" s="128"/>
      <c r="G237" s="129"/>
      <c r="H237" s="130"/>
      <c r="I237" s="130"/>
      <c r="J237" s="130"/>
      <c r="K237" s="130"/>
      <c r="L237" s="130"/>
      <c r="M237" s="130"/>
      <c r="N237" s="130"/>
      <c r="O237" s="130"/>
      <c r="P237" s="130"/>
      <c r="Q237" s="130"/>
      <c r="R237" s="131"/>
      <c r="S237" s="132">
        <f t="shared" si="741"/>
        <v>0</v>
      </c>
      <c r="T237" s="385"/>
      <c r="U237" s="379"/>
      <c r="V237" s="379"/>
      <c r="W237" s="379"/>
      <c r="X237" s="379"/>
      <c r="Y237" s="379"/>
      <c r="Z237" s="379"/>
      <c r="AA237" s="379"/>
      <c r="AB237" s="379"/>
      <c r="AC237" s="379"/>
      <c r="AD237" s="379"/>
      <c r="AE237" s="480"/>
      <c r="AF237" s="132">
        <f t="shared" si="742"/>
        <v>0</v>
      </c>
      <c r="AG237" s="510"/>
      <c r="AH237" s="510"/>
      <c r="AI237" s="510"/>
      <c r="AJ237" s="510"/>
      <c r="AK237" s="510"/>
      <c r="AL237" s="510"/>
      <c r="AM237" s="512"/>
      <c r="AN237" s="510"/>
      <c r="AO237" s="510"/>
      <c r="AP237" s="510"/>
      <c r="AQ237" s="510"/>
      <c r="AR237" s="515"/>
      <c r="AS237" s="406">
        <f t="shared" si="743"/>
        <v>0</v>
      </c>
      <c r="AT237" s="516"/>
      <c r="AU237" s="510"/>
      <c r="AV237" s="510"/>
      <c r="AW237" s="130"/>
      <c r="AX237" s="130"/>
      <c r="AY237" s="130"/>
      <c r="AZ237" s="130"/>
      <c r="BA237" s="130"/>
      <c r="BB237" s="130"/>
      <c r="BC237" s="130"/>
      <c r="BD237" s="130"/>
      <c r="BE237" s="131"/>
      <c r="BF237" s="132">
        <f t="shared" si="744"/>
        <v>0</v>
      </c>
      <c r="BG237" s="133"/>
      <c r="BH237" s="130"/>
      <c r="BI237" s="130"/>
      <c r="BJ237" s="130"/>
      <c r="BK237" s="130"/>
      <c r="BL237" s="130"/>
      <c r="BM237" s="130"/>
      <c r="BN237" s="130"/>
      <c r="BO237" s="130"/>
      <c r="BP237" s="130"/>
      <c r="BQ237" s="130"/>
      <c r="BR237" s="131"/>
      <c r="BS237" s="132">
        <f t="shared" si="745"/>
        <v>0</v>
      </c>
      <c r="BT237" s="133"/>
      <c r="BU237" s="130"/>
      <c r="BV237" s="130"/>
      <c r="BW237" s="130"/>
      <c r="BX237" s="130"/>
      <c r="BY237" s="130"/>
      <c r="BZ237" s="130"/>
      <c r="CA237" s="130"/>
      <c r="CB237" s="130"/>
      <c r="CC237" s="130"/>
      <c r="CD237" s="130"/>
      <c r="CE237" s="131"/>
      <c r="CF237" s="132">
        <f t="shared" si="746"/>
        <v>0</v>
      </c>
      <c r="CG237" s="133"/>
      <c r="CH237" s="130"/>
      <c r="CI237" s="130"/>
      <c r="CJ237" s="130"/>
      <c r="CK237" s="130"/>
      <c r="CL237" s="130"/>
      <c r="CM237" s="130"/>
      <c r="CN237" s="130"/>
      <c r="CO237" s="130"/>
      <c r="CP237" s="130"/>
      <c r="CQ237" s="130"/>
      <c r="CR237" s="131"/>
      <c r="CS237" s="132">
        <f t="shared" si="747"/>
        <v>0</v>
      </c>
      <c r="CT237" s="133"/>
      <c r="CU237" s="130"/>
      <c r="CV237" s="130"/>
      <c r="CW237" s="130"/>
      <c r="CX237" s="130"/>
      <c r="CY237" s="130"/>
      <c r="CZ237" s="130"/>
      <c r="DA237" s="130"/>
      <c r="DB237" s="130"/>
      <c r="DC237" s="130"/>
      <c r="DD237" s="130"/>
      <c r="DE237" s="131"/>
      <c r="DF237" s="132">
        <f t="shared" si="748"/>
        <v>0</v>
      </c>
      <c r="DG237" s="278"/>
      <c r="DH237" s="164">
        <f t="shared" si="614"/>
        <v>0</v>
      </c>
      <c r="DI237" s="165">
        <f t="shared" si="749"/>
        <v>0</v>
      </c>
      <c r="DJ237" s="166">
        <f t="shared" si="750"/>
        <v>0</v>
      </c>
    </row>
    <row r="238" spans="1:115" ht="15" customHeight="1">
      <c r="A238" s="599"/>
      <c r="B238" s="548"/>
      <c r="C238" s="135" t="s">
        <v>63</v>
      </c>
      <c r="D238" s="233"/>
      <c r="E238" s="136">
        <f t="shared" si="759"/>
        <v>74000</v>
      </c>
      <c r="F238" s="136"/>
      <c r="G238" s="137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9"/>
      <c r="S238" s="140">
        <f t="shared" si="741"/>
        <v>0</v>
      </c>
      <c r="T238" s="380"/>
      <c r="U238" s="381"/>
      <c r="V238" s="381"/>
      <c r="W238" s="381"/>
      <c r="X238" s="381"/>
      <c r="Y238" s="381"/>
      <c r="Z238" s="381"/>
      <c r="AA238" s="381"/>
      <c r="AB238" s="381"/>
      <c r="AC238" s="381"/>
      <c r="AD238" s="381"/>
      <c r="AE238" s="392"/>
      <c r="AF238" s="140">
        <f t="shared" si="742"/>
        <v>0</v>
      </c>
      <c r="AG238" s="497"/>
      <c r="AH238" s="499"/>
      <c r="AI238" s="499"/>
      <c r="AJ238" s="499"/>
      <c r="AK238" s="499"/>
      <c r="AL238" s="499"/>
      <c r="AM238" s="499"/>
      <c r="AN238" s="499"/>
      <c r="AO238" s="499"/>
      <c r="AP238" s="499"/>
      <c r="AQ238" s="499"/>
      <c r="AR238" s="511"/>
      <c r="AS238" s="407">
        <f t="shared" si="743"/>
        <v>0</v>
      </c>
      <c r="AT238" s="501"/>
      <c r="AU238" s="499"/>
      <c r="AV238" s="499"/>
      <c r="AW238" s="138"/>
      <c r="AX238" s="138"/>
      <c r="AY238" s="138"/>
      <c r="AZ238" s="138"/>
      <c r="BA238" s="138"/>
      <c r="BB238" s="138"/>
      <c r="BC238" s="138"/>
      <c r="BD238" s="138"/>
      <c r="BE238" s="139"/>
      <c r="BF238" s="140">
        <f t="shared" si="744"/>
        <v>0</v>
      </c>
      <c r="BG238" s="141"/>
      <c r="BH238" s="138"/>
      <c r="BI238" s="138"/>
      <c r="BJ238" s="138"/>
      <c r="BK238" s="138"/>
      <c r="BL238" s="138"/>
      <c r="BM238" s="138"/>
      <c r="BN238" s="138"/>
      <c r="BO238" s="138"/>
      <c r="BP238" s="138"/>
      <c r="BQ238" s="138"/>
      <c r="BR238" s="139"/>
      <c r="BS238" s="140">
        <f t="shared" si="745"/>
        <v>0</v>
      </c>
      <c r="BT238" s="141"/>
      <c r="BU238" s="138"/>
      <c r="BV238" s="138"/>
      <c r="BW238" s="138"/>
      <c r="BX238" s="138"/>
      <c r="BY238" s="138"/>
      <c r="BZ238" s="138"/>
      <c r="CA238" s="138"/>
      <c r="CB238" s="138"/>
      <c r="CC238" s="138"/>
      <c r="CD238" s="138"/>
      <c r="CE238" s="139"/>
      <c r="CF238" s="140">
        <f t="shared" si="746"/>
        <v>0</v>
      </c>
      <c r="CG238" s="141"/>
      <c r="CH238" s="138"/>
      <c r="CI238" s="138"/>
      <c r="CJ238" s="138"/>
      <c r="CK238" s="138"/>
      <c r="CL238" s="138"/>
      <c r="CM238" s="138"/>
      <c r="CN238" s="138"/>
      <c r="CO238" s="138"/>
      <c r="CP238" s="138"/>
      <c r="CQ238" s="138"/>
      <c r="CR238" s="139"/>
      <c r="CS238" s="140">
        <f t="shared" si="747"/>
        <v>0</v>
      </c>
      <c r="CT238" s="141"/>
      <c r="CU238" s="138"/>
      <c r="CV238" s="138"/>
      <c r="CW238" s="138"/>
      <c r="CX238" s="138"/>
      <c r="CY238" s="138"/>
      <c r="CZ238" s="138"/>
      <c r="DA238" s="138"/>
      <c r="DB238" s="138"/>
      <c r="DC238" s="138"/>
      <c r="DD238" s="138"/>
      <c r="DE238" s="139"/>
      <c r="DF238" s="140">
        <f t="shared" si="748"/>
        <v>0</v>
      </c>
      <c r="DG238" s="279">
        <v>74000</v>
      </c>
      <c r="DH238" s="90">
        <f t="shared" si="614"/>
        <v>74000</v>
      </c>
      <c r="DI238" s="91">
        <f t="shared" si="749"/>
        <v>74000</v>
      </c>
      <c r="DJ238" s="92">
        <f t="shared" si="750"/>
        <v>0</v>
      </c>
      <c r="DK238" s="64" t="e">
        <f>+DH238/DH237</f>
        <v>#DIV/0!</v>
      </c>
    </row>
    <row r="239" spans="1:115" ht="15" customHeight="1">
      <c r="A239" s="599"/>
      <c r="B239" s="556"/>
      <c r="C239" s="142" t="s">
        <v>11</v>
      </c>
      <c r="D239" s="234"/>
      <c r="E239" s="143">
        <f t="shared" ref="E239:R239" si="768">+E237-E238</f>
        <v>-74000</v>
      </c>
      <c r="F239" s="144">
        <f t="shared" si="768"/>
        <v>0</v>
      </c>
      <c r="G239" s="145">
        <f t="shared" si="768"/>
        <v>0</v>
      </c>
      <c r="H239" s="145">
        <f t="shared" si="768"/>
        <v>0</v>
      </c>
      <c r="I239" s="145">
        <f t="shared" si="768"/>
        <v>0</v>
      </c>
      <c r="J239" s="145">
        <f t="shared" si="768"/>
        <v>0</v>
      </c>
      <c r="K239" s="145">
        <f t="shared" si="768"/>
        <v>0</v>
      </c>
      <c r="L239" s="145">
        <f t="shared" si="768"/>
        <v>0</v>
      </c>
      <c r="M239" s="145">
        <f t="shared" si="768"/>
        <v>0</v>
      </c>
      <c r="N239" s="145">
        <f t="shared" si="768"/>
        <v>0</v>
      </c>
      <c r="O239" s="145">
        <f t="shared" si="768"/>
        <v>0</v>
      </c>
      <c r="P239" s="145">
        <f t="shared" si="768"/>
        <v>0</v>
      </c>
      <c r="Q239" s="145">
        <f t="shared" si="768"/>
        <v>0</v>
      </c>
      <c r="R239" s="146">
        <f t="shared" si="768"/>
        <v>0</v>
      </c>
      <c r="S239" s="147">
        <f t="shared" si="741"/>
        <v>0</v>
      </c>
      <c r="T239" s="148">
        <f t="shared" ref="T239:AE239" si="769">+T237-T238</f>
        <v>0</v>
      </c>
      <c r="U239" s="145">
        <f t="shared" si="769"/>
        <v>0</v>
      </c>
      <c r="V239" s="145">
        <f t="shared" si="769"/>
        <v>0</v>
      </c>
      <c r="W239" s="145">
        <f t="shared" si="769"/>
        <v>0</v>
      </c>
      <c r="X239" s="145">
        <f t="shared" si="769"/>
        <v>0</v>
      </c>
      <c r="Y239" s="145">
        <f t="shared" si="769"/>
        <v>0</v>
      </c>
      <c r="Z239" s="145">
        <f t="shared" si="769"/>
        <v>0</v>
      </c>
      <c r="AA239" s="145">
        <f t="shared" si="769"/>
        <v>0</v>
      </c>
      <c r="AB239" s="145">
        <f t="shared" si="769"/>
        <v>0</v>
      </c>
      <c r="AC239" s="145">
        <f t="shared" si="769"/>
        <v>0</v>
      </c>
      <c r="AD239" s="145">
        <f t="shared" si="769"/>
        <v>0</v>
      </c>
      <c r="AE239" s="146">
        <f t="shared" si="769"/>
        <v>0</v>
      </c>
      <c r="AF239" s="147">
        <f t="shared" si="742"/>
        <v>0</v>
      </c>
      <c r="AG239" s="148">
        <f t="shared" ref="AG239:AR239" si="770">+AG237-AG238</f>
        <v>0</v>
      </c>
      <c r="AH239" s="145">
        <f t="shared" si="770"/>
        <v>0</v>
      </c>
      <c r="AI239" s="145">
        <f t="shared" si="770"/>
        <v>0</v>
      </c>
      <c r="AJ239" s="145">
        <f t="shared" si="770"/>
        <v>0</v>
      </c>
      <c r="AK239" s="145">
        <f t="shared" si="770"/>
        <v>0</v>
      </c>
      <c r="AL239" s="145">
        <f t="shared" si="770"/>
        <v>0</v>
      </c>
      <c r="AM239" s="145">
        <f t="shared" si="770"/>
        <v>0</v>
      </c>
      <c r="AN239" s="145">
        <f t="shared" si="770"/>
        <v>0</v>
      </c>
      <c r="AO239" s="145">
        <f t="shared" si="770"/>
        <v>0</v>
      </c>
      <c r="AP239" s="145">
        <f t="shared" si="770"/>
        <v>0</v>
      </c>
      <c r="AQ239" s="145">
        <f t="shared" si="770"/>
        <v>0</v>
      </c>
      <c r="AR239" s="146">
        <f t="shared" si="770"/>
        <v>0</v>
      </c>
      <c r="AS239" s="408">
        <f t="shared" si="743"/>
        <v>0</v>
      </c>
      <c r="AT239" s="148">
        <f t="shared" ref="AT239:BE239" si="771">+AT237-AT238</f>
        <v>0</v>
      </c>
      <c r="AU239" s="145">
        <f t="shared" si="771"/>
        <v>0</v>
      </c>
      <c r="AV239" s="145">
        <f t="shared" si="771"/>
        <v>0</v>
      </c>
      <c r="AW239" s="145">
        <f t="shared" si="771"/>
        <v>0</v>
      </c>
      <c r="AX239" s="145">
        <f t="shared" si="771"/>
        <v>0</v>
      </c>
      <c r="AY239" s="145">
        <f t="shared" si="771"/>
        <v>0</v>
      </c>
      <c r="AZ239" s="145">
        <f t="shared" si="771"/>
        <v>0</v>
      </c>
      <c r="BA239" s="145">
        <f t="shared" si="771"/>
        <v>0</v>
      </c>
      <c r="BB239" s="145">
        <f t="shared" si="771"/>
        <v>0</v>
      </c>
      <c r="BC239" s="145">
        <f t="shared" si="771"/>
        <v>0</v>
      </c>
      <c r="BD239" s="145">
        <f t="shared" si="771"/>
        <v>0</v>
      </c>
      <c r="BE239" s="146">
        <f t="shared" si="771"/>
        <v>0</v>
      </c>
      <c r="BF239" s="147">
        <f t="shared" si="744"/>
        <v>0</v>
      </c>
      <c r="BG239" s="148">
        <f t="shared" ref="BG239:BR239" si="772">+BG237-BG238</f>
        <v>0</v>
      </c>
      <c r="BH239" s="145">
        <f t="shared" si="772"/>
        <v>0</v>
      </c>
      <c r="BI239" s="145">
        <f t="shared" si="772"/>
        <v>0</v>
      </c>
      <c r="BJ239" s="145">
        <f t="shared" si="772"/>
        <v>0</v>
      </c>
      <c r="BK239" s="145">
        <f t="shared" si="772"/>
        <v>0</v>
      </c>
      <c r="BL239" s="145">
        <f t="shared" si="772"/>
        <v>0</v>
      </c>
      <c r="BM239" s="145">
        <f t="shared" si="772"/>
        <v>0</v>
      </c>
      <c r="BN239" s="145">
        <f t="shared" si="772"/>
        <v>0</v>
      </c>
      <c r="BO239" s="145">
        <f t="shared" si="772"/>
        <v>0</v>
      </c>
      <c r="BP239" s="145">
        <f t="shared" si="772"/>
        <v>0</v>
      </c>
      <c r="BQ239" s="145">
        <f t="shared" si="772"/>
        <v>0</v>
      </c>
      <c r="BR239" s="146">
        <f t="shared" si="772"/>
        <v>0</v>
      </c>
      <c r="BS239" s="147">
        <f t="shared" si="745"/>
        <v>0</v>
      </c>
      <c r="BT239" s="148">
        <f t="shared" ref="BT239:CE239" si="773">+BT237-BT238</f>
        <v>0</v>
      </c>
      <c r="BU239" s="145">
        <f t="shared" si="773"/>
        <v>0</v>
      </c>
      <c r="BV239" s="145">
        <f t="shared" si="773"/>
        <v>0</v>
      </c>
      <c r="BW239" s="145">
        <f t="shared" si="773"/>
        <v>0</v>
      </c>
      <c r="BX239" s="145">
        <f t="shared" si="773"/>
        <v>0</v>
      </c>
      <c r="BY239" s="145">
        <f t="shared" si="773"/>
        <v>0</v>
      </c>
      <c r="BZ239" s="145">
        <f t="shared" si="773"/>
        <v>0</v>
      </c>
      <c r="CA239" s="145">
        <f t="shared" si="773"/>
        <v>0</v>
      </c>
      <c r="CB239" s="145">
        <f t="shared" si="773"/>
        <v>0</v>
      </c>
      <c r="CC239" s="145">
        <f t="shared" si="773"/>
        <v>0</v>
      </c>
      <c r="CD239" s="145">
        <f t="shared" si="773"/>
        <v>0</v>
      </c>
      <c r="CE239" s="146">
        <f t="shared" si="773"/>
        <v>0</v>
      </c>
      <c r="CF239" s="147">
        <f t="shared" si="746"/>
        <v>0</v>
      </c>
      <c r="CG239" s="148">
        <f t="shared" ref="CG239:CR239" si="774">+CG237-CG238</f>
        <v>0</v>
      </c>
      <c r="CH239" s="145">
        <f t="shared" si="774"/>
        <v>0</v>
      </c>
      <c r="CI239" s="145">
        <f t="shared" si="774"/>
        <v>0</v>
      </c>
      <c r="CJ239" s="145">
        <f t="shared" si="774"/>
        <v>0</v>
      </c>
      <c r="CK239" s="145">
        <f t="shared" si="774"/>
        <v>0</v>
      </c>
      <c r="CL239" s="145">
        <f t="shared" si="774"/>
        <v>0</v>
      </c>
      <c r="CM239" s="145">
        <f t="shared" si="774"/>
        <v>0</v>
      </c>
      <c r="CN239" s="145">
        <f t="shared" si="774"/>
        <v>0</v>
      </c>
      <c r="CO239" s="145">
        <f t="shared" si="774"/>
        <v>0</v>
      </c>
      <c r="CP239" s="145">
        <f t="shared" si="774"/>
        <v>0</v>
      </c>
      <c r="CQ239" s="145">
        <f t="shared" si="774"/>
        <v>0</v>
      </c>
      <c r="CR239" s="146">
        <f t="shared" si="774"/>
        <v>0</v>
      </c>
      <c r="CS239" s="147">
        <f t="shared" si="747"/>
        <v>0</v>
      </c>
      <c r="CT239" s="148">
        <f t="shared" ref="CT239:DE239" si="775">+CT237-CT238</f>
        <v>0</v>
      </c>
      <c r="CU239" s="145">
        <f t="shared" si="775"/>
        <v>0</v>
      </c>
      <c r="CV239" s="145">
        <f t="shared" si="775"/>
        <v>0</v>
      </c>
      <c r="CW239" s="145">
        <f t="shared" si="775"/>
        <v>0</v>
      </c>
      <c r="CX239" s="145">
        <f t="shared" si="775"/>
        <v>0</v>
      </c>
      <c r="CY239" s="145">
        <f t="shared" si="775"/>
        <v>0</v>
      </c>
      <c r="CZ239" s="145">
        <f t="shared" si="775"/>
        <v>0</v>
      </c>
      <c r="DA239" s="145">
        <f t="shared" si="775"/>
        <v>0</v>
      </c>
      <c r="DB239" s="145">
        <f t="shared" si="775"/>
        <v>0</v>
      </c>
      <c r="DC239" s="145">
        <f t="shared" si="775"/>
        <v>0</v>
      </c>
      <c r="DD239" s="145">
        <f t="shared" si="775"/>
        <v>0</v>
      </c>
      <c r="DE239" s="146">
        <f t="shared" si="775"/>
        <v>0</v>
      </c>
      <c r="DF239" s="147">
        <f t="shared" si="748"/>
        <v>0</v>
      </c>
      <c r="DG239" s="146">
        <f>+DG237-DG238</f>
        <v>-74000</v>
      </c>
      <c r="DH239" s="149">
        <f t="shared" si="614"/>
        <v>-74000</v>
      </c>
      <c r="DI239" s="150">
        <f t="shared" si="749"/>
        <v>-74000</v>
      </c>
      <c r="DJ239" s="151">
        <f t="shared" si="750"/>
        <v>0</v>
      </c>
    </row>
    <row r="240" spans="1:115" ht="15" customHeight="1">
      <c r="A240" s="599"/>
      <c r="B240" s="593" t="s">
        <v>111</v>
      </c>
      <c r="C240" s="152" t="s">
        <v>62</v>
      </c>
      <c r="D240" s="235"/>
      <c r="E240" s="136">
        <f t="shared" si="759"/>
        <v>304143.88125973055</v>
      </c>
      <c r="F240" s="128">
        <f t="shared" ref="F240:R241" si="776">+F216</f>
        <v>0</v>
      </c>
      <c r="G240" s="129">
        <f t="shared" si="776"/>
        <v>0</v>
      </c>
      <c r="H240" s="130">
        <f t="shared" si="776"/>
        <v>0</v>
      </c>
      <c r="I240" s="130">
        <f t="shared" si="776"/>
        <v>0</v>
      </c>
      <c r="J240" s="130">
        <f t="shared" si="776"/>
        <v>0</v>
      </c>
      <c r="K240" s="130">
        <f t="shared" si="776"/>
        <v>0</v>
      </c>
      <c r="L240" s="130">
        <f t="shared" si="776"/>
        <v>0</v>
      </c>
      <c r="M240" s="130">
        <f t="shared" si="776"/>
        <v>0</v>
      </c>
      <c r="N240" s="130">
        <f t="shared" si="776"/>
        <v>0</v>
      </c>
      <c r="O240" s="130">
        <f t="shared" si="776"/>
        <v>0</v>
      </c>
      <c r="P240" s="130">
        <f t="shared" si="776"/>
        <v>0</v>
      </c>
      <c r="Q240" s="130">
        <f t="shared" si="776"/>
        <v>0</v>
      </c>
      <c r="R240" s="131">
        <f t="shared" si="776"/>
        <v>0</v>
      </c>
      <c r="S240" s="132">
        <f>SUM(G240:R240)</f>
        <v>0</v>
      </c>
      <c r="T240" s="385">
        <f t="shared" ref="T240:AE241" si="777">+T216</f>
        <v>0</v>
      </c>
      <c r="U240" s="379">
        <f t="shared" si="777"/>
        <v>0</v>
      </c>
      <c r="V240" s="379"/>
      <c r="W240" s="379">
        <v>0</v>
      </c>
      <c r="X240" s="382"/>
      <c r="Y240" s="379">
        <f t="shared" ref="Y240:AE240" si="778">+Y216</f>
        <v>0</v>
      </c>
      <c r="Z240" s="379">
        <v>80478.182904961155</v>
      </c>
      <c r="AA240" s="382"/>
      <c r="AB240" s="379">
        <f t="shared" si="778"/>
        <v>0</v>
      </c>
      <c r="AC240" s="379">
        <f t="shared" si="778"/>
        <v>0</v>
      </c>
      <c r="AD240" s="379">
        <f t="shared" si="778"/>
        <v>0</v>
      </c>
      <c r="AE240" s="480">
        <f t="shared" si="778"/>
        <v>0</v>
      </c>
      <c r="AF240" s="132">
        <f>SUM(T240:AE240)</f>
        <v>80478.182904961155</v>
      </c>
      <c r="AG240" s="496">
        <f t="shared" ref="AG240:AR241" si="779">+AG216</f>
        <v>0</v>
      </c>
      <c r="AH240" s="510">
        <f t="shared" si="779"/>
        <v>0</v>
      </c>
      <c r="AI240" s="510">
        <f t="shared" si="779"/>
        <v>0</v>
      </c>
      <c r="AJ240" s="510">
        <f t="shared" si="779"/>
        <v>0</v>
      </c>
      <c r="AK240" s="510">
        <f t="shared" si="779"/>
        <v>0</v>
      </c>
      <c r="AL240" s="510">
        <f t="shared" si="779"/>
        <v>0</v>
      </c>
      <c r="AM240" s="510">
        <f t="shared" si="779"/>
        <v>530.84411274865397</v>
      </c>
      <c r="AN240" s="510">
        <f t="shared" si="779"/>
        <v>0</v>
      </c>
      <c r="AO240" s="510">
        <f t="shared" si="779"/>
        <v>7.806296815238384</v>
      </c>
      <c r="AP240" s="510">
        <f t="shared" si="779"/>
        <v>0</v>
      </c>
      <c r="AQ240" s="510">
        <f t="shared" si="779"/>
        <v>0</v>
      </c>
      <c r="AR240" s="510">
        <f t="shared" si="779"/>
        <v>3473.0479452054801</v>
      </c>
      <c r="AS240" s="406">
        <f>SUM(AG240:AR240)</f>
        <v>4011.6983547693726</v>
      </c>
      <c r="AT240" s="516">
        <f t="shared" ref="AT240:BE241" si="780">+AT216</f>
        <v>0</v>
      </c>
      <c r="AU240" s="510">
        <f t="shared" si="780"/>
        <v>0</v>
      </c>
      <c r="AV240" s="510">
        <f t="shared" si="780"/>
        <v>0</v>
      </c>
      <c r="AW240" s="130">
        <f t="shared" si="780"/>
        <v>0</v>
      </c>
      <c r="AX240" s="130">
        <f t="shared" si="780"/>
        <v>0</v>
      </c>
      <c r="AY240" s="130">
        <f t="shared" si="780"/>
        <v>0</v>
      </c>
      <c r="AZ240" s="130">
        <f t="shared" si="780"/>
        <v>0</v>
      </c>
      <c r="BA240" s="130">
        <f t="shared" si="780"/>
        <v>0</v>
      </c>
      <c r="BB240" s="130">
        <f t="shared" si="780"/>
        <v>0</v>
      </c>
      <c r="BC240" s="130">
        <f t="shared" si="780"/>
        <v>0</v>
      </c>
      <c r="BD240" s="130">
        <f t="shared" si="780"/>
        <v>0</v>
      </c>
      <c r="BE240" s="131">
        <f t="shared" si="780"/>
        <v>0</v>
      </c>
      <c r="BF240" s="132">
        <f>SUM(AT240:BE240)</f>
        <v>0</v>
      </c>
      <c r="BG240" s="133">
        <f t="shared" ref="BG240:BR241" si="781">+BG216</f>
        <v>0</v>
      </c>
      <c r="BH240" s="130">
        <f t="shared" si="781"/>
        <v>0</v>
      </c>
      <c r="BI240" s="130">
        <f t="shared" si="781"/>
        <v>0</v>
      </c>
      <c r="BJ240" s="130">
        <f t="shared" si="781"/>
        <v>0</v>
      </c>
      <c r="BK240" s="130">
        <f t="shared" si="781"/>
        <v>0</v>
      </c>
      <c r="BL240" s="130">
        <f t="shared" si="781"/>
        <v>0</v>
      </c>
      <c r="BM240" s="130">
        <f t="shared" si="781"/>
        <v>0</v>
      </c>
      <c r="BN240" s="130">
        <f t="shared" si="781"/>
        <v>0</v>
      </c>
      <c r="BO240" s="130">
        <f t="shared" si="781"/>
        <v>0</v>
      </c>
      <c r="BP240" s="130">
        <f t="shared" si="781"/>
        <v>0</v>
      </c>
      <c r="BQ240" s="130">
        <f t="shared" si="781"/>
        <v>0</v>
      </c>
      <c r="BR240" s="131">
        <f t="shared" si="781"/>
        <v>0</v>
      </c>
      <c r="BS240" s="132">
        <f t="shared" si="745"/>
        <v>0</v>
      </c>
      <c r="BT240" s="133">
        <f t="shared" ref="BT240:CE241" si="782">+BT216</f>
        <v>0</v>
      </c>
      <c r="BU240" s="130">
        <f t="shared" si="782"/>
        <v>0</v>
      </c>
      <c r="BV240" s="130">
        <f t="shared" si="782"/>
        <v>0</v>
      </c>
      <c r="BW240" s="130">
        <f t="shared" si="782"/>
        <v>0</v>
      </c>
      <c r="BX240" s="130">
        <f t="shared" si="782"/>
        <v>0</v>
      </c>
      <c r="BY240" s="130">
        <f t="shared" si="782"/>
        <v>0</v>
      </c>
      <c r="BZ240" s="130">
        <f t="shared" si="782"/>
        <v>27958</v>
      </c>
      <c r="CA240" s="130">
        <f t="shared" si="782"/>
        <v>0</v>
      </c>
      <c r="CB240" s="130">
        <f t="shared" si="782"/>
        <v>0</v>
      </c>
      <c r="CC240" s="130">
        <f t="shared" si="782"/>
        <v>0</v>
      </c>
      <c r="CD240" s="130">
        <f t="shared" si="782"/>
        <v>0</v>
      </c>
      <c r="CE240" s="131">
        <f t="shared" si="782"/>
        <v>0</v>
      </c>
      <c r="CF240" s="132">
        <f t="shared" si="746"/>
        <v>27958</v>
      </c>
      <c r="CG240" s="133">
        <f t="shared" ref="CG240:CR241" si="783">+CG216</f>
        <v>0</v>
      </c>
      <c r="CH240" s="130">
        <f t="shared" si="783"/>
        <v>0</v>
      </c>
      <c r="CI240" s="130">
        <f t="shared" si="783"/>
        <v>0</v>
      </c>
      <c r="CJ240" s="130">
        <f t="shared" si="783"/>
        <v>0</v>
      </c>
      <c r="CK240" s="130">
        <f t="shared" si="783"/>
        <v>0</v>
      </c>
      <c r="CL240" s="130">
        <f t="shared" si="783"/>
        <v>0</v>
      </c>
      <c r="CM240" s="130">
        <f t="shared" si="783"/>
        <v>0</v>
      </c>
      <c r="CN240" s="130">
        <f t="shared" si="783"/>
        <v>0</v>
      </c>
      <c r="CO240" s="130">
        <f t="shared" si="783"/>
        <v>0</v>
      </c>
      <c r="CP240" s="130">
        <f t="shared" si="783"/>
        <v>0</v>
      </c>
      <c r="CQ240" s="130">
        <f t="shared" si="783"/>
        <v>0</v>
      </c>
      <c r="CR240" s="131">
        <f t="shared" si="783"/>
        <v>0</v>
      </c>
      <c r="CS240" s="132">
        <f t="shared" si="747"/>
        <v>0</v>
      </c>
      <c r="CT240" s="133">
        <f t="shared" ref="CT240:DE241" si="784">+CT216</f>
        <v>0</v>
      </c>
      <c r="CU240" s="130">
        <f t="shared" si="784"/>
        <v>0</v>
      </c>
      <c r="CV240" s="130">
        <f t="shared" si="784"/>
        <v>0</v>
      </c>
      <c r="CW240" s="130">
        <f t="shared" si="784"/>
        <v>64200</v>
      </c>
      <c r="CX240" s="130">
        <f t="shared" si="784"/>
        <v>0</v>
      </c>
      <c r="CY240" s="130">
        <f t="shared" si="784"/>
        <v>0</v>
      </c>
      <c r="CZ240" s="130">
        <f t="shared" si="784"/>
        <v>0</v>
      </c>
      <c r="DA240" s="130">
        <f t="shared" si="784"/>
        <v>0</v>
      </c>
      <c r="DB240" s="130">
        <f t="shared" si="784"/>
        <v>0</v>
      </c>
      <c r="DC240" s="130">
        <f t="shared" si="784"/>
        <v>0</v>
      </c>
      <c r="DD240" s="130">
        <f t="shared" si="784"/>
        <v>0</v>
      </c>
      <c r="DE240" s="131">
        <f t="shared" si="784"/>
        <v>0</v>
      </c>
      <c r="DF240" s="132">
        <f t="shared" si="748"/>
        <v>64200</v>
      </c>
      <c r="DG240" s="278">
        <f>+DG216</f>
        <v>127496</v>
      </c>
      <c r="DH240" s="159">
        <f t="shared" si="614"/>
        <v>211985.88125973052</v>
      </c>
      <c r="DI240" s="160">
        <f>+E240</f>
        <v>304143.88125973055</v>
      </c>
      <c r="DJ240" s="161">
        <f>+DI240-DH240</f>
        <v>92158.000000000029</v>
      </c>
    </row>
    <row r="241" spans="1:115" ht="15" customHeight="1">
      <c r="A241" s="599"/>
      <c r="B241" s="548"/>
      <c r="C241" s="135" t="s">
        <v>63</v>
      </c>
      <c r="D241" s="233"/>
      <c r="E241" s="136">
        <f t="shared" si="759"/>
        <v>198373.91590487066</v>
      </c>
      <c r="F241" s="136">
        <f t="shared" si="776"/>
        <v>0</v>
      </c>
      <c r="G241" s="137">
        <f t="shared" si="776"/>
        <v>0</v>
      </c>
      <c r="H241" s="138">
        <f t="shared" si="776"/>
        <v>0</v>
      </c>
      <c r="I241" s="138">
        <f t="shared" si="776"/>
        <v>0</v>
      </c>
      <c r="J241" s="138">
        <f t="shared" si="776"/>
        <v>0</v>
      </c>
      <c r="K241" s="138">
        <f t="shared" si="776"/>
        <v>0</v>
      </c>
      <c r="L241" s="138">
        <f t="shared" si="776"/>
        <v>0</v>
      </c>
      <c r="M241" s="138">
        <f t="shared" si="776"/>
        <v>0</v>
      </c>
      <c r="N241" s="138">
        <f t="shared" si="776"/>
        <v>0</v>
      </c>
      <c r="O241" s="138">
        <f t="shared" si="776"/>
        <v>0</v>
      </c>
      <c r="P241" s="138">
        <f t="shared" si="776"/>
        <v>0</v>
      </c>
      <c r="Q241" s="138">
        <v>498.54590776900699</v>
      </c>
      <c r="R241" s="139">
        <f>+R217</f>
        <v>0</v>
      </c>
      <c r="S241" s="140">
        <f>SUM(G241:R241)</f>
        <v>498.54590776900699</v>
      </c>
      <c r="T241" s="384">
        <f t="shared" si="777"/>
        <v>0</v>
      </c>
      <c r="U241" s="381">
        <f t="shared" si="777"/>
        <v>0</v>
      </c>
      <c r="V241" s="381">
        <f t="shared" si="777"/>
        <v>0</v>
      </c>
      <c r="W241" s="381">
        <f t="shared" si="777"/>
        <v>0</v>
      </c>
      <c r="X241" s="381">
        <f t="shared" si="777"/>
        <v>0</v>
      </c>
      <c r="Y241" s="381">
        <f t="shared" si="777"/>
        <v>3617.1561051004637</v>
      </c>
      <c r="Z241" s="381"/>
      <c r="AA241" s="381"/>
      <c r="AB241" s="381">
        <f t="shared" si="777"/>
        <v>0</v>
      </c>
      <c r="AC241" s="381">
        <f t="shared" si="777"/>
        <v>0</v>
      </c>
      <c r="AD241" s="381">
        <f t="shared" si="777"/>
        <v>0</v>
      </c>
      <c r="AE241" s="392">
        <f t="shared" si="777"/>
        <v>0</v>
      </c>
      <c r="AF241" s="140">
        <f>SUM(T241:AE241)</f>
        <v>3617.1561051004637</v>
      </c>
      <c r="AG241" s="497">
        <f t="shared" si="779"/>
        <v>0</v>
      </c>
      <c r="AH241" s="499">
        <f t="shared" si="779"/>
        <v>0</v>
      </c>
      <c r="AI241" s="499">
        <v>0</v>
      </c>
      <c r="AJ241" s="499">
        <f t="shared" si="779"/>
        <v>0</v>
      </c>
      <c r="AK241" s="499">
        <f t="shared" si="779"/>
        <v>4021.1840861041705</v>
      </c>
      <c r="AL241" s="499">
        <f t="shared" si="779"/>
        <v>10025.982748706154</v>
      </c>
      <c r="AM241" s="499">
        <f t="shared" si="779"/>
        <v>5991.2434042228197</v>
      </c>
      <c r="AN241" s="499">
        <f t="shared" si="779"/>
        <v>0</v>
      </c>
      <c r="AO241" s="499">
        <f t="shared" si="779"/>
        <v>0</v>
      </c>
      <c r="AP241" s="499">
        <f t="shared" si="779"/>
        <v>0</v>
      </c>
      <c r="AQ241" s="499">
        <f t="shared" si="779"/>
        <v>0</v>
      </c>
      <c r="AR241" s="511">
        <v>57261.803652968032</v>
      </c>
      <c r="AS241" s="407">
        <f>SUM(AG241:AR241)</f>
        <v>77300.213892001178</v>
      </c>
      <c r="AT241" s="501">
        <f t="shared" si="780"/>
        <v>0</v>
      </c>
      <c r="AU241" s="499">
        <f t="shared" si="780"/>
        <v>0</v>
      </c>
      <c r="AV241" s="499">
        <f t="shared" si="780"/>
        <v>0</v>
      </c>
      <c r="AW241" s="138">
        <f t="shared" si="780"/>
        <v>0</v>
      </c>
      <c r="AX241" s="138">
        <f t="shared" si="780"/>
        <v>19083</v>
      </c>
      <c r="AY241" s="138">
        <f t="shared" si="780"/>
        <v>8875</v>
      </c>
      <c r="AZ241" s="138">
        <f t="shared" si="780"/>
        <v>0</v>
      </c>
      <c r="BA241" s="138">
        <f t="shared" si="780"/>
        <v>0</v>
      </c>
      <c r="BB241" s="138">
        <f t="shared" si="780"/>
        <v>0</v>
      </c>
      <c r="BC241" s="138">
        <f t="shared" si="780"/>
        <v>6000</v>
      </c>
      <c r="BD241" s="138">
        <f t="shared" si="780"/>
        <v>0</v>
      </c>
      <c r="BE241" s="139">
        <f t="shared" si="780"/>
        <v>0</v>
      </c>
      <c r="BF241" s="140">
        <f>SUM(AT241:BE241)</f>
        <v>33958</v>
      </c>
      <c r="BG241" s="137">
        <f t="shared" si="781"/>
        <v>0</v>
      </c>
      <c r="BH241" s="138">
        <f t="shared" si="781"/>
        <v>0</v>
      </c>
      <c r="BI241" s="138">
        <f t="shared" si="781"/>
        <v>0</v>
      </c>
      <c r="BJ241" s="138">
        <f t="shared" si="781"/>
        <v>0</v>
      </c>
      <c r="BK241" s="138">
        <f t="shared" si="781"/>
        <v>0</v>
      </c>
      <c r="BL241" s="138">
        <f t="shared" si="781"/>
        <v>0</v>
      </c>
      <c r="BM241" s="138">
        <f t="shared" si="781"/>
        <v>0</v>
      </c>
      <c r="BN241" s="138">
        <f t="shared" si="781"/>
        <v>77000</v>
      </c>
      <c r="BO241" s="138">
        <f t="shared" si="781"/>
        <v>6000</v>
      </c>
      <c r="BP241" s="138">
        <f t="shared" si="781"/>
        <v>0</v>
      </c>
      <c r="BQ241" s="138">
        <f t="shared" si="781"/>
        <v>0</v>
      </c>
      <c r="BR241" s="139">
        <f t="shared" si="781"/>
        <v>0</v>
      </c>
      <c r="BS241" s="140">
        <f t="shared" si="745"/>
        <v>83000</v>
      </c>
      <c r="BT241" s="137">
        <f t="shared" si="782"/>
        <v>0</v>
      </c>
      <c r="BU241" s="138">
        <f t="shared" si="782"/>
        <v>0</v>
      </c>
      <c r="BV241" s="138">
        <f t="shared" si="782"/>
        <v>0</v>
      </c>
      <c r="BW241" s="138">
        <f t="shared" si="782"/>
        <v>0</v>
      </c>
      <c r="BX241" s="138">
        <f t="shared" si="782"/>
        <v>0</v>
      </c>
      <c r="BY241" s="138">
        <f t="shared" si="782"/>
        <v>0</v>
      </c>
      <c r="BZ241" s="138">
        <f t="shared" si="782"/>
        <v>0</v>
      </c>
      <c r="CA241" s="138">
        <f t="shared" si="782"/>
        <v>0</v>
      </c>
      <c r="CB241" s="138">
        <f t="shared" si="782"/>
        <v>0</v>
      </c>
      <c r="CC241" s="138">
        <f t="shared" si="782"/>
        <v>0</v>
      </c>
      <c r="CD241" s="138">
        <f t="shared" si="782"/>
        <v>0</v>
      </c>
      <c r="CE241" s="139">
        <f t="shared" si="782"/>
        <v>0</v>
      </c>
      <c r="CF241" s="140">
        <f t="shared" si="746"/>
        <v>0</v>
      </c>
      <c r="CG241" s="137">
        <f t="shared" si="783"/>
        <v>0</v>
      </c>
      <c r="CH241" s="138">
        <f t="shared" si="783"/>
        <v>0</v>
      </c>
      <c r="CI241" s="138">
        <f t="shared" si="783"/>
        <v>0</v>
      </c>
      <c r="CJ241" s="138">
        <f t="shared" si="783"/>
        <v>0</v>
      </c>
      <c r="CK241" s="138">
        <f t="shared" si="783"/>
        <v>0</v>
      </c>
      <c r="CL241" s="138">
        <f t="shared" si="783"/>
        <v>0</v>
      </c>
      <c r="CM241" s="138">
        <f t="shared" si="783"/>
        <v>0</v>
      </c>
      <c r="CN241" s="138">
        <f t="shared" si="783"/>
        <v>0</v>
      </c>
      <c r="CO241" s="138">
        <f t="shared" si="783"/>
        <v>0</v>
      </c>
      <c r="CP241" s="138">
        <f t="shared" si="783"/>
        <v>0</v>
      </c>
      <c r="CQ241" s="138">
        <f t="shared" si="783"/>
        <v>0</v>
      </c>
      <c r="CR241" s="139">
        <f t="shared" si="783"/>
        <v>0</v>
      </c>
      <c r="CS241" s="140">
        <f t="shared" si="747"/>
        <v>0</v>
      </c>
      <c r="CT241" s="137">
        <f t="shared" si="784"/>
        <v>0</v>
      </c>
      <c r="CU241" s="138">
        <f t="shared" si="784"/>
        <v>0</v>
      </c>
      <c r="CV241" s="138">
        <f t="shared" si="784"/>
        <v>0</v>
      </c>
      <c r="CW241" s="138">
        <f t="shared" si="784"/>
        <v>0</v>
      </c>
      <c r="CX241" s="138">
        <f t="shared" si="784"/>
        <v>0</v>
      </c>
      <c r="CY241" s="138">
        <f t="shared" si="784"/>
        <v>0</v>
      </c>
      <c r="CZ241" s="138">
        <f t="shared" si="784"/>
        <v>0</v>
      </c>
      <c r="DA241" s="138">
        <f t="shared" si="784"/>
        <v>0</v>
      </c>
      <c r="DB241" s="138">
        <f t="shared" si="784"/>
        <v>0</v>
      </c>
      <c r="DC241" s="138">
        <f t="shared" si="784"/>
        <v>0</v>
      </c>
      <c r="DD241" s="138">
        <f t="shared" si="784"/>
        <v>0</v>
      </c>
      <c r="DE241" s="139">
        <f t="shared" si="784"/>
        <v>0</v>
      </c>
      <c r="DF241" s="140">
        <f t="shared" si="748"/>
        <v>0</v>
      </c>
      <c r="DG241" s="279">
        <f>+DG217</f>
        <v>0</v>
      </c>
      <c r="DH241" s="90">
        <f t="shared" si="614"/>
        <v>198373.91590487066</v>
      </c>
      <c r="DI241" s="91">
        <f>+E241</f>
        <v>198373.91590487066</v>
      </c>
      <c r="DJ241" s="92">
        <f>+DI241-DH241</f>
        <v>0</v>
      </c>
      <c r="DK241" s="64">
        <f>+DH241/DH240</f>
        <v>0.93578833989334353</v>
      </c>
    </row>
    <row r="242" spans="1:115" ht="15" customHeight="1">
      <c r="A242" s="599"/>
      <c r="B242" s="549"/>
      <c r="C242" s="286" t="s">
        <v>11</v>
      </c>
      <c r="D242" s="236"/>
      <c r="E242" s="143">
        <f t="shared" ref="E242:R242" si="785">+E240-E241</f>
        <v>105769.96535485989</v>
      </c>
      <c r="F242" s="144">
        <f t="shared" si="785"/>
        <v>0</v>
      </c>
      <c r="G242" s="145">
        <f t="shared" si="785"/>
        <v>0</v>
      </c>
      <c r="H242" s="145">
        <f t="shared" si="785"/>
        <v>0</v>
      </c>
      <c r="I242" s="145">
        <f t="shared" si="785"/>
        <v>0</v>
      </c>
      <c r="J242" s="145">
        <f t="shared" si="785"/>
        <v>0</v>
      </c>
      <c r="K242" s="145">
        <f t="shared" si="785"/>
        <v>0</v>
      </c>
      <c r="L242" s="145">
        <f t="shared" si="785"/>
        <v>0</v>
      </c>
      <c r="M242" s="145">
        <f t="shared" si="785"/>
        <v>0</v>
      </c>
      <c r="N242" s="145">
        <f t="shared" si="785"/>
        <v>0</v>
      </c>
      <c r="O242" s="145">
        <f t="shared" si="785"/>
        <v>0</v>
      </c>
      <c r="P242" s="145">
        <f t="shared" si="785"/>
        <v>0</v>
      </c>
      <c r="Q242" s="145">
        <f t="shared" si="785"/>
        <v>-498.54590776900699</v>
      </c>
      <c r="R242" s="146">
        <f t="shared" si="785"/>
        <v>0</v>
      </c>
      <c r="S242" s="147">
        <f>SUM(G242:R242)</f>
        <v>-498.54590776900699</v>
      </c>
      <c r="T242" s="148">
        <f t="shared" ref="T242:AE242" si="786">+T240-T241</f>
        <v>0</v>
      </c>
      <c r="U242" s="145">
        <f t="shared" si="786"/>
        <v>0</v>
      </c>
      <c r="V242" s="145">
        <f t="shared" si="786"/>
        <v>0</v>
      </c>
      <c r="W242" s="145">
        <f t="shared" si="786"/>
        <v>0</v>
      </c>
      <c r="X242" s="145">
        <f t="shared" si="786"/>
        <v>0</v>
      </c>
      <c r="Y242" s="145">
        <f t="shared" si="786"/>
        <v>-3617.1561051004637</v>
      </c>
      <c r="Z242" s="145">
        <f t="shared" si="786"/>
        <v>80478.182904961155</v>
      </c>
      <c r="AA242" s="145">
        <f t="shared" si="786"/>
        <v>0</v>
      </c>
      <c r="AB242" s="145">
        <f t="shared" si="786"/>
        <v>0</v>
      </c>
      <c r="AC242" s="145">
        <f t="shared" si="786"/>
        <v>0</v>
      </c>
      <c r="AD242" s="145">
        <f t="shared" si="786"/>
        <v>0</v>
      </c>
      <c r="AE242" s="146">
        <f t="shared" si="786"/>
        <v>0</v>
      </c>
      <c r="AF242" s="147">
        <f>SUM(T242:AE242)</f>
        <v>76861.026799860687</v>
      </c>
      <c r="AG242" s="148">
        <f t="shared" ref="AG242:AR242" si="787">+AG240-AG241</f>
        <v>0</v>
      </c>
      <c r="AH242" s="145">
        <f t="shared" si="787"/>
        <v>0</v>
      </c>
      <c r="AI242" s="145">
        <f t="shared" si="787"/>
        <v>0</v>
      </c>
      <c r="AJ242" s="145">
        <f t="shared" si="787"/>
        <v>0</v>
      </c>
      <c r="AK242" s="145">
        <f t="shared" si="787"/>
        <v>-4021.1840861041705</v>
      </c>
      <c r="AL242" s="145">
        <f t="shared" si="787"/>
        <v>-10025.982748706154</v>
      </c>
      <c r="AM242" s="145">
        <f t="shared" si="787"/>
        <v>-5460.3992914741657</v>
      </c>
      <c r="AN242" s="145">
        <f t="shared" si="787"/>
        <v>0</v>
      </c>
      <c r="AO242" s="145">
        <f t="shared" si="787"/>
        <v>7.806296815238384</v>
      </c>
      <c r="AP242" s="145">
        <f t="shared" si="787"/>
        <v>0</v>
      </c>
      <c r="AQ242" s="145">
        <f t="shared" si="787"/>
        <v>0</v>
      </c>
      <c r="AR242" s="146">
        <f t="shared" si="787"/>
        <v>-53788.755707762553</v>
      </c>
      <c r="AS242" s="408">
        <f>SUM(AG242:AR242)</f>
        <v>-73288.515537231811</v>
      </c>
      <c r="AT242" s="148">
        <f t="shared" ref="AT242:BE242" si="788">+AT240-AT241</f>
        <v>0</v>
      </c>
      <c r="AU242" s="145">
        <f t="shared" si="788"/>
        <v>0</v>
      </c>
      <c r="AV242" s="145">
        <f t="shared" si="788"/>
        <v>0</v>
      </c>
      <c r="AW242" s="145">
        <f t="shared" si="788"/>
        <v>0</v>
      </c>
      <c r="AX242" s="145">
        <f t="shared" si="788"/>
        <v>-19083</v>
      </c>
      <c r="AY242" s="145">
        <f t="shared" si="788"/>
        <v>-8875</v>
      </c>
      <c r="AZ242" s="145">
        <f t="shared" si="788"/>
        <v>0</v>
      </c>
      <c r="BA242" s="145">
        <f t="shared" si="788"/>
        <v>0</v>
      </c>
      <c r="BB242" s="145">
        <f t="shared" si="788"/>
        <v>0</v>
      </c>
      <c r="BC242" s="145">
        <f t="shared" si="788"/>
        <v>-6000</v>
      </c>
      <c r="BD242" s="145">
        <f t="shared" si="788"/>
        <v>0</v>
      </c>
      <c r="BE242" s="146">
        <f t="shared" si="788"/>
        <v>0</v>
      </c>
      <c r="BF242" s="147">
        <f>SUM(AT242:BE242)</f>
        <v>-33958</v>
      </c>
      <c r="BG242" s="148">
        <f t="shared" ref="BG242:BR242" si="789">+BG240-BG241</f>
        <v>0</v>
      </c>
      <c r="BH242" s="145">
        <f t="shared" si="789"/>
        <v>0</v>
      </c>
      <c r="BI242" s="145">
        <f t="shared" si="789"/>
        <v>0</v>
      </c>
      <c r="BJ242" s="145">
        <f t="shared" si="789"/>
        <v>0</v>
      </c>
      <c r="BK242" s="145">
        <f t="shared" si="789"/>
        <v>0</v>
      </c>
      <c r="BL242" s="145">
        <f t="shared" si="789"/>
        <v>0</v>
      </c>
      <c r="BM242" s="145">
        <f t="shared" si="789"/>
        <v>0</v>
      </c>
      <c r="BN242" s="145">
        <f t="shared" si="789"/>
        <v>-77000</v>
      </c>
      <c r="BO242" s="145">
        <f t="shared" si="789"/>
        <v>-6000</v>
      </c>
      <c r="BP242" s="145">
        <f t="shared" si="789"/>
        <v>0</v>
      </c>
      <c r="BQ242" s="145">
        <f t="shared" si="789"/>
        <v>0</v>
      </c>
      <c r="BR242" s="146">
        <f t="shared" si="789"/>
        <v>0</v>
      </c>
      <c r="BS242" s="147">
        <f t="shared" si="745"/>
        <v>-83000</v>
      </c>
      <c r="BT242" s="148">
        <f t="shared" ref="BT242:CE242" si="790">+BT240-BT241</f>
        <v>0</v>
      </c>
      <c r="BU242" s="145">
        <f t="shared" si="790"/>
        <v>0</v>
      </c>
      <c r="BV242" s="145">
        <f t="shared" si="790"/>
        <v>0</v>
      </c>
      <c r="BW242" s="145">
        <f t="shared" si="790"/>
        <v>0</v>
      </c>
      <c r="BX242" s="145">
        <f t="shared" si="790"/>
        <v>0</v>
      </c>
      <c r="BY242" s="145">
        <f t="shared" si="790"/>
        <v>0</v>
      </c>
      <c r="BZ242" s="145">
        <f t="shared" si="790"/>
        <v>27958</v>
      </c>
      <c r="CA242" s="145">
        <f t="shared" si="790"/>
        <v>0</v>
      </c>
      <c r="CB242" s="145">
        <f t="shared" si="790"/>
        <v>0</v>
      </c>
      <c r="CC242" s="145">
        <f t="shared" si="790"/>
        <v>0</v>
      </c>
      <c r="CD242" s="145">
        <f t="shared" si="790"/>
        <v>0</v>
      </c>
      <c r="CE242" s="146">
        <f t="shared" si="790"/>
        <v>0</v>
      </c>
      <c r="CF242" s="147">
        <f t="shared" si="746"/>
        <v>27958</v>
      </c>
      <c r="CG242" s="148">
        <f t="shared" ref="CG242:CR242" si="791">+CG240-CG241</f>
        <v>0</v>
      </c>
      <c r="CH242" s="145">
        <f t="shared" si="791"/>
        <v>0</v>
      </c>
      <c r="CI242" s="145">
        <f t="shared" si="791"/>
        <v>0</v>
      </c>
      <c r="CJ242" s="145">
        <f t="shared" si="791"/>
        <v>0</v>
      </c>
      <c r="CK242" s="145">
        <f t="shared" si="791"/>
        <v>0</v>
      </c>
      <c r="CL242" s="145">
        <f t="shared" si="791"/>
        <v>0</v>
      </c>
      <c r="CM242" s="145">
        <f t="shared" si="791"/>
        <v>0</v>
      </c>
      <c r="CN242" s="145">
        <f t="shared" si="791"/>
        <v>0</v>
      </c>
      <c r="CO242" s="145">
        <f t="shared" si="791"/>
        <v>0</v>
      </c>
      <c r="CP242" s="145">
        <f t="shared" si="791"/>
        <v>0</v>
      </c>
      <c r="CQ242" s="145">
        <f t="shared" si="791"/>
        <v>0</v>
      </c>
      <c r="CR242" s="146">
        <f t="shared" si="791"/>
        <v>0</v>
      </c>
      <c r="CS242" s="147">
        <f t="shared" si="747"/>
        <v>0</v>
      </c>
      <c r="CT242" s="148">
        <f t="shared" ref="CT242:DE242" si="792">+CT240-CT241</f>
        <v>0</v>
      </c>
      <c r="CU242" s="145">
        <f t="shared" si="792"/>
        <v>0</v>
      </c>
      <c r="CV242" s="145">
        <f t="shared" si="792"/>
        <v>0</v>
      </c>
      <c r="CW242" s="145">
        <f t="shared" si="792"/>
        <v>64200</v>
      </c>
      <c r="CX242" s="145">
        <f t="shared" si="792"/>
        <v>0</v>
      </c>
      <c r="CY242" s="145">
        <f t="shared" si="792"/>
        <v>0</v>
      </c>
      <c r="CZ242" s="145">
        <f t="shared" si="792"/>
        <v>0</v>
      </c>
      <c r="DA242" s="145">
        <f t="shared" si="792"/>
        <v>0</v>
      </c>
      <c r="DB242" s="145">
        <f t="shared" si="792"/>
        <v>0</v>
      </c>
      <c r="DC242" s="145">
        <f t="shared" si="792"/>
        <v>0</v>
      </c>
      <c r="DD242" s="145">
        <f t="shared" si="792"/>
        <v>0</v>
      </c>
      <c r="DE242" s="146">
        <f t="shared" si="792"/>
        <v>0</v>
      </c>
      <c r="DF242" s="147">
        <f t="shared" si="748"/>
        <v>64200</v>
      </c>
      <c r="DG242" s="146">
        <f>+DG240-DG241</f>
        <v>127496</v>
      </c>
      <c r="DH242" s="98">
        <f t="shared" si="614"/>
        <v>13611.965354859873</v>
      </c>
      <c r="DI242" s="99">
        <f>+E242</f>
        <v>105769.96535485989</v>
      </c>
      <c r="DJ242" s="100">
        <f>+DI242-DH242</f>
        <v>92158.000000000015</v>
      </c>
    </row>
    <row r="243" spans="1:115" ht="15" customHeight="1">
      <c r="A243" s="599"/>
      <c r="B243" s="593" t="s">
        <v>112</v>
      </c>
      <c r="C243" s="152" t="s">
        <v>62</v>
      </c>
      <c r="D243" s="235"/>
      <c r="E243" s="136">
        <f t="shared" si="759"/>
        <v>4249.8311524689243</v>
      </c>
      <c r="F243" s="128"/>
      <c r="G243" s="129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1"/>
      <c r="S243" s="132">
        <f t="shared" si="741"/>
        <v>0</v>
      </c>
      <c r="T243" s="385"/>
      <c r="U243" s="379"/>
      <c r="V243" s="379"/>
      <c r="W243" s="379"/>
      <c r="X243" s="379"/>
      <c r="Y243" s="379"/>
      <c r="Z243" s="379"/>
      <c r="AA243" s="379"/>
      <c r="AB243" s="379"/>
      <c r="AC243" s="379"/>
      <c r="AD243" s="379"/>
      <c r="AE243" s="480"/>
      <c r="AF243" s="132">
        <f t="shared" si="742"/>
        <v>0</v>
      </c>
      <c r="AG243" s="496"/>
      <c r="AH243" s="510"/>
      <c r="AI243" s="510"/>
      <c r="AJ243" s="510"/>
      <c r="AK243" s="510"/>
      <c r="AL243" s="510"/>
      <c r="AM243" s="510"/>
      <c r="AN243" s="510"/>
      <c r="AO243" s="510"/>
      <c r="AP243" s="510">
        <v>58.8311524689246</v>
      </c>
      <c r="AQ243" s="510"/>
      <c r="AR243" s="515"/>
      <c r="AS243" s="406">
        <f t="shared" si="743"/>
        <v>58.8311524689246</v>
      </c>
      <c r="AT243" s="516"/>
      <c r="AU243" s="510"/>
      <c r="AV243" s="510"/>
      <c r="AW243" s="130"/>
      <c r="AX243" s="130"/>
      <c r="AY243" s="130"/>
      <c r="AZ243" s="130"/>
      <c r="BA243" s="130"/>
      <c r="BB243" s="130"/>
      <c r="BC243" s="130"/>
      <c r="BD243" s="130"/>
      <c r="BE243" s="131"/>
      <c r="BF243" s="132">
        <f t="shared" si="744"/>
        <v>0</v>
      </c>
      <c r="BG243" s="133"/>
      <c r="BH243" s="130"/>
      <c r="BI243" s="130"/>
      <c r="BJ243" s="130"/>
      <c r="BK243" s="130"/>
      <c r="BL243" s="130"/>
      <c r="BM243" s="130"/>
      <c r="BN243" s="130"/>
      <c r="BO243" s="130"/>
      <c r="BP243" s="130"/>
      <c r="BQ243" s="130"/>
      <c r="BR243" s="131"/>
      <c r="BS243" s="132">
        <f t="shared" si="745"/>
        <v>0</v>
      </c>
      <c r="BT243" s="133"/>
      <c r="BU243" s="130"/>
      <c r="BV243" s="130"/>
      <c r="BW243" s="130"/>
      <c r="BX243" s="130"/>
      <c r="BY243" s="130">
        <v>0</v>
      </c>
      <c r="BZ243" s="130">
        <v>4191</v>
      </c>
      <c r="CA243" s="130">
        <f t="shared" ref="CA243" si="793">CA267</f>
        <v>0</v>
      </c>
      <c r="CB243" s="130"/>
      <c r="CC243" s="130"/>
      <c r="CD243" s="130"/>
      <c r="CE243" s="131"/>
      <c r="CF243" s="132">
        <f t="shared" si="746"/>
        <v>4191</v>
      </c>
      <c r="CG243" s="133"/>
      <c r="CH243" s="130"/>
      <c r="CI243" s="130"/>
      <c r="CJ243" s="130"/>
      <c r="CK243" s="130"/>
      <c r="CL243" s="130"/>
      <c r="CM243" s="130"/>
      <c r="CN243" s="130"/>
      <c r="CO243" s="130"/>
      <c r="CP243" s="130"/>
      <c r="CQ243" s="130"/>
      <c r="CR243" s="131"/>
      <c r="CS243" s="132">
        <f t="shared" si="747"/>
        <v>0</v>
      </c>
      <c r="CT243" s="133"/>
      <c r="CU243" s="130"/>
      <c r="CV243" s="130"/>
      <c r="CW243" s="130"/>
      <c r="CX243" s="130"/>
      <c r="CY243" s="130"/>
      <c r="CZ243" s="130"/>
      <c r="DA243" s="130"/>
      <c r="DB243" s="130"/>
      <c r="DC243" s="130"/>
      <c r="DD243" s="130"/>
      <c r="DE243" s="131"/>
      <c r="DF243" s="132">
        <f t="shared" si="748"/>
        <v>0</v>
      </c>
      <c r="DG243" s="278"/>
      <c r="DH243" s="159">
        <f t="shared" si="614"/>
        <v>58.8311524689246</v>
      </c>
      <c r="DI243" s="160">
        <f t="shared" si="749"/>
        <v>4249.8311524689243</v>
      </c>
      <c r="DJ243" s="161">
        <f t="shared" si="750"/>
        <v>4191</v>
      </c>
    </row>
    <row r="244" spans="1:115" ht="15" customHeight="1">
      <c r="A244" s="599"/>
      <c r="B244" s="548"/>
      <c r="C244" s="135" t="s">
        <v>63</v>
      </c>
      <c r="D244" s="233"/>
      <c r="E244" s="136">
        <f t="shared" si="759"/>
        <v>0</v>
      </c>
      <c r="F244" s="136"/>
      <c r="G244" s="137">
        <f t="shared" ref="G244:R244" si="794">+G266</f>
        <v>0</v>
      </c>
      <c r="H244" s="138">
        <f t="shared" si="794"/>
        <v>0</v>
      </c>
      <c r="I244" s="138">
        <f t="shared" si="794"/>
        <v>0</v>
      </c>
      <c r="J244" s="138">
        <f t="shared" si="794"/>
        <v>0</v>
      </c>
      <c r="K244" s="138">
        <f t="shared" si="794"/>
        <v>0</v>
      </c>
      <c r="L244" s="138">
        <f t="shared" si="794"/>
        <v>0</v>
      </c>
      <c r="M244" s="138">
        <f t="shared" si="794"/>
        <v>0</v>
      </c>
      <c r="N244" s="138">
        <f t="shared" si="794"/>
        <v>0</v>
      </c>
      <c r="O244" s="138">
        <f t="shared" si="794"/>
        <v>0</v>
      </c>
      <c r="P244" s="138">
        <f t="shared" si="794"/>
        <v>0</v>
      </c>
      <c r="Q244" s="138">
        <f t="shared" si="794"/>
        <v>0</v>
      </c>
      <c r="R244" s="139">
        <f t="shared" si="794"/>
        <v>0</v>
      </c>
      <c r="S244" s="140">
        <f t="shared" si="741"/>
        <v>0</v>
      </c>
      <c r="T244" s="384">
        <f t="shared" ref="T244:AE244" si="795">+T266</f>
        <v>0</v>
      </c>
      <c r="U244" s="381">
        <f t="shared" si="795"/>
        <v>0</v>
      </c>
      <c r="V244" s="381">
        <f t="shared" si="795"/>
        <v>0</v>
      </c>
      <c r="W244" s="381">
        <f t="shared" si="795"/>
        <v>0</v>
      </c>
      <c r="X244" s="381">
        <f t="shared" si="795"/>
        <v>0</v>
      </c>
      <c r="Y244" s="381">
        <f t="shared" si="795"/>
        <v>0</v>
      </c>
      <c r="Z244" s="381">
        <f t="shared" si="795"/>
        <v>0</v>
      </c>
      <c r="AA244" s="381">
        <f t="shared" si="795"/>
        <v>0</v>
      </c>
      <c r="AB244" s="381">
        <f t="shared" si="795"/>
        <v>0</v>
      </c>
      <c r="AC244" s="381">
        <f t="shared" si="795"/>
        <v>0</v>
      </c>
      <c r="AD244" s="381">
        <f t="shared" si="795"/>
        <v>0</v>
      </c>
      <c r="AE244" s="392">
        <f t="shared" si="795"/>
        <v>0</v>
      </c>
      <c r="AF244" s="140">
        <f t="shared" si="742"/>
        <v>0</v>
      </c>
      <c r="AG244" s="497">
        <f t="shared" ref="AG244:AO244" si="796">+AG266</f>
        <v>0</v>
      </c>
      <c r="AH244" s="499">
        <f t="shared" si="796"/>
        <v>0</v>
      </c>
      <c r="AI244" s="499">
        <f t="shared" si="796"/>
        <v>0</v>
      </c>
      <c r="AJ244" s="499">
        <f t="shared" si="796"/>
        <v>0</v>
      </c>
      <c r="AK244" s="499">
        <f t="shared" si="796"/>
        <v>0</v>
      </c>
      <c r="AL244" s="499">
        <f t="shared" si="796"/>
        <v>0</v>
      </c>
      <c r="AM244" s="499">
        <f t="shared" si="796"/>
        <v>0</v>
      </c>
      <c r="AN244" s="499">
        <f t="shared" si="796"/>
        <v>0</v>
      </c>
      <c r="AO244" s="499">
        <f t="shared" si="796"/>
        <v>0</v>
      </c>
      <c r="AP244" s="499">
        <v>0</v>
      </c>
      <c r="AQ244" s="499">
        <f>+AQ266</f>
        <v>0</v>
      </c>
      <c r="AR244" s="511">
        <f>+AR266</f>
        <v>0</v>
      </c>
      <c r="AS244" s="407">
        <f t="shared" si="743"/>
        <v>0</v>
      </c>
      <c r="AT244" s="501">
        <v>0</v>
      </c>
      <c r="AU244" s="499">
        <v>0</v>
      </c>
      <c r="AV244" s="499">
        <v>0</v>
      </c>
      <c r="AW244" s="138">
        <v>0</v>
      </c>
      <c r="AX244" s="138">
        <v>0</v>
      </c>
      <c r="AY244" s="138">
        <v>0</v>
      </c>
      <c r="AZ244" s="138">
        <v>0</v>
      </c>
      <c r="BA244" s="138">
        <v>0</v>
      </c>
      <c r="BB244" s="138">
        <v>0</v>
      </c>
      <c r="BC244" s="138">
        <v>0</v>
      </c>
      <c r="BD244" s="138">
        <v>0</v>
      </c>
      <c r="BE244" s="139">
        <v>0</v>
      </c>
      <c r="BF244" s="140">
        <f t="shared" si="744"/>
        <v>0</v>
      </c>
      <c r="BG244" s="137">
        <v>0</v>
      </c>
      <c r="BH244" s="138">
        <v>0</v>
      </c>
      <c r="BI244" s="138">
        <v>0</v>
      </c>
      <c r="BJ244" s="138">
        <v>0</v>
      </c>
      <c r="BK244" s="138">
        <v>0</v>
      </c>
      <c r="BL244" s="138">
        <v>0</v>
      </c>
      <c r="BM244" s="138">
        <v>0</v>
      </c>
      <c r="BN244" s="138">
        <v>0</v>
      </c>
      <c r="BO244" s="138">
        <v>0</v>
      </c>
      <c r="BP244" s="138">
        <v>0</v>
      </c>
      <c r="BQ244" s="138">
        <v>0</v>
      </c>
      <c r="BR244" s="139">
        <v>0</v>
      </c>
      <c r="BS244" s="140">
        <f t="shared" si="745"/>
        <v>0</v>
      </c>
      <c r="BT244" s="137">
        <v>0</v>
      </c>
      <c r="BU244" s="138">
        <v>0</v>
      </c>
      <c r="BV244" s="138">
        <v>0</v>
      </c>
      <c r="BW244" s="138">
        <v>0</v>
      </c>
      <c r="BX244" s="138">
        <v>0</v>
      </c>
      <c r="BY244" s="138">
        <v>0</v>
      </c>
      <c r="BZ244" s="138">
        <v>0</v>
      </c>
      <c r="CA244" s="138">
        <v>0</v>
      </c>
      <c r="CB244" s="138">
        <v>0</v>
      </c>
      <c r="CC244" s="138">
        <v>0</v>
      </c>
      <c r="CD244" s="138">
        <v>0</v>
      </c>
      <c r="CE244" s="139">
        <v>0</v>
      </c>
      <c r="CF244" s="140">
        <f t="shared" si="746"/>
        <v>0</v>
      </c>
      <c r="CG244" s="137">
        <v>0</v>
      </c>
      <c r="CH244" s="138">
        <v>0</v>
      </c>
      <c r="CI244" s="138">
        <v>0</v>
      </c>
      <c r="CJ244" s="138">
        <v>0</v>
      </c>
      <c r="CK244" s="138">
        <v>0</v>
      </c>
      <c r="CL244" s="138">
        <v>0</v>
      </c>
      <c r="CM244" s="138">
        <v>0</v>
      </c>
      <c r="CN244" s="138">
        <v>0</v>
      </c>
      <c r="CO244" s="138">
        <v>0</v>
      </c>
      <c r="CP244" s="138">
        <v>0</v>
      </c>
      <c r="CQ244" s="138">
        <v>0</v>
      </c>
      <c r="CR244" s="139">
        <v>0</v>
      </c>
      <c r="CS244" s="140">
        <f t="shared" si="747"/>
        <v>0</v>
      </c>
      <c r="CT244" s="137"/>
      <c r="CU244" s="138"/>
      <c r="CV244" s="138"/>
      <c r="CW244" s="138"/>
      <c r="CX244" s="138"/>
      <c r="CY244" s="138"/>
      <c r="CZ244" s="138"/>
      <c r="DA244" s="138"/>
      <c r="DB244" s="138"/>
      <c r="DC244" s="138"/>
      <c r="DD244" s="138"/>
      <c r="DE244" s="139"/>
      <c r="DF244" s="140">
        <f t="shared" si="748"/>
        <v>0</v>
      </c>
      <c r="DG244" s="279">
        <f>+DG266</f>
        <v>0</v>
      </c>
      <c r="DH244" s="90">
        <f t="shared" si="614"/>
        <v>0</v>
      </c>
      <c r="DI244" s="91">
        <f t="shared" si="749"/>
        <v>0</v>
      </c>
      <c r="DJ244" s="92">
        <f t="shared" si="750"/>
        <v>0</v>
      </c>
      <c r="DK244" s="64">
        <f>+DH244/DH243</f>
        <v>0</v>
      </c>
    </row>
    <row r="245" spans="1:115" ht="15" customHeight="1">
      <c r="A245" s="599"/>
      <c r="B245" s="549"/>
      <c r="C245" s="286" t="s">
        <v>11</v>
      </c>
      <c r="D245" s="236"/>
      <c r="E245" s="143">
        <f t="shared" ref="E245:R245" si="797">+E243-E244</f>
        <v>4249.8311524689243</v>
      </c>
      <c r="F245" s="144">
        <f t="shared" si="797"/>
        <v>0</v>
      </c>
      <c r="G245" s="145">
        <f t="shared" si="797"/>
        <v>0</v>
      </c>
      <c r="H245" s="145">
        <f t="shared" si="797"/>
        <v>0</v>
      </c>
      <c r="I245" s="145">
        <f t="shared" si="797"/>
        <v>0</v>
      </c>
      <c r="J245" s="145">
        <f t="shared" si="797"/>
        <v>0</v>
      </c>
      <c r="K245" s="145">
        <f t="shared" si="797"/>
        <v>0</v>
      </c>
      <c r="L245" s="145">
        <f t="shared" si="797"/>
        <v>0</v>
      </c>
      <c r="M245" s="145">
        <f t="shared" si="797"/>
        <v>0</v>
      </c>
      <c r="N245" s="145">
        <f t="shared" si="797"/>
        <v>0</v>
      </c>
      <c r="O245" s="145">
        <f t="shared" si="797"/>
        <v>0</v>
      </c>
      <c r="P245" s="145">
        <f t="shared" si="797"/>
        <v>0</v>
      </c>
      <c r="Q245" s="145">
        <f t="shared" si="797"/>
        <v>0</v>
      </c>
      <c r="R245" s="146">
        <f t="shared" si="797"/>
        <v>0</v>
      </c>
      <c r="S245" s="147">
        <f t="shared" si="741"/>
        <v>0</v>
      </c>
      <c r="T245" s="148">
        <f t="shared" ref="T245:AE245" si="798">+T243-T244</f>
        <v>0</v>
      </c>
      <c r="U245" s="145">
        <f t="shared" si="798"/>
        <v>0</v>
      </c>
      <c r="V245" s="145">
        <f t="shared" si="798"/>
        <v>0</v>
      </c>
      <c r="W245" s="145">
        <f t="shared" si="798"/>
        <v>0</v>
      </c>
      <c r="X245" s="145">
        <f t="shared" si="798"/>
        <v>0</v>
      </c>
      <c r="Y245" s="145">
        <f t="shared" si="798"/>
        <v>0</v>
      </c>
      <c r="Z245" s="145">
        <f t="shared" si="798"/>
        <v>0</v>
      </c>
      <c r="AA245" s="145">
        <f t="shared" si="798"/>
        <v>0</v>
      </c>
      <c r="AB245" s="145">
        <f t="shared" si="798"/>
        <v>0</v>
      </c>
      <c r="AC245" s="145">
        <f t="shared" si="798"/>
        <v>0</v>
      </c>
      <c r="AD245" s="145">
        <f t="shared" si="798"/>
        <v>0</v>
      </c>
      <c r="AE245" s="146">
        <f t="shared" si="798"/>
        <v>0</v>
      </c>
      <c r="AF245" s="147">
        <f t="shared" si="742"/>
        <v>0</v>
      </c>
      <c r="AG245" s="148">
        <f t="shared" ref="AG245:AR245" si="799">+AG243-AG244</f>
        <v>0</v>
      </c>
      <c r="AH245" s="145">
        <f t="shared" si="799"/>
        <v>0</v>
      </c>
      <c r="AI245" s="145">
        <f t="shared" si="799"/>
        <v>0</v>
      </c>
      <c r="AJ245" s="145">
        <f t="shared" si="799"/>
        <v>0</v>
      </c>
      <c r="AK245" s="145">
        <f t="shared" si="799"/>
        <v>0</v>
      </c>
      <c r="AL245" s="145">
        <f t="shared" si="799"/>
        <v>0</v>
      </c>
      <c r="AM245" s="145">
        <f t="shared" si="799"/>
        <v>0</v>
      </c>
      <c r="AN245" s="145">
        <f t="shared" si="799"/>
        <v>0</v>
      </c>
      <c r="AO245" s="145">
        <f t="shared" si="799"/>
        <v>0</v>
      </c>
      <c r="AP245" s="145">
        <f t="shared" si="799"/>
        <v>58.8311524689246</v>
      </c>
      <c r="AQ245" s="145">
        <f t="shared" si="799"/>
        <v>0</v>
      </c>
      <c r="AR245" s="146">
        <f t="shared" si="799"/>
        <v>0</v>
      </c>
      <c r="AS245" s="408">
        <f t="shared" si="743"/>
        <v>58.8311524689246</v>
      </c>
      <c r="AT245" s="148">
        <f t="shared" ref="AT245:BE245" si="800">+AT243-AT244</f>
        <v>0</v>
      </c>
      <c r="AU245" s="145">
        <f t="shared" si="800"/>
        <v>0</v>
      </c>
      <c r="AV245" s="145">
        <f t="shared" si="800"/>
        <v>0</v>
      </c>
      <c r="AW245" s="145">
        <f t="shared" si="800"/>
        <v>0</v>
      </c>
      <c r="AX245" s="145">
        <f t="shared" si="800"/>
        <v>0</v>
      </c>
      <c r="AY245" s="145">
        <f t="shared" si="800"/>
        <v>0</v>
      </c>
      <c r="AZ245" s="145">
        <f t="shared" si="800"/>
        <v>0</v>
      </c>
      <c r="BA245" s="145">
        <f t="shared" si="800"/>
        <v>0</v>
      </c>
      <c r="BB245" s="145">
        <f t="shared" si="800"/>
        <v>0</v>
      </c>
      <c r="BC245" s="145">
        <f t="shared" si="800"/>
        <v>0</v>
      </c>
      <c r="BD245" s="145">
        <f t="shared" si="800"/>
        <v>0</v>
      </c>
      <c r="BE245" s="146">
        <f t="shared" si="800"/>
        <v>0</v>
      </c>
      <c r="BF245" s="147">
        <f t="shared" si="744"/>
        <v>0</v>
      </c>
      <c r="BG245" s="148">
        <f t="shared" ref="BG245:BR245" si="801">+BG243-BG244</f>
        <v>0</v>
      </c>
      <c r="BH245" s="145">
        <f t="shared" si="801"/>
        <v>0</v>
      </c>
      <c r="BI245" s="145">
        <f t="shared" si="801"/>
        <v>0</v>
      </c>
      <c r="BJ245" s="145">
        <f t="shared" si="801"/>
        <v>0</v>
      </c>
      <c r="BK245" s="145">
        <f t="shared" si="801"/>
        <v>0</v>
      </c>
      <c r="BL245" s="145">
        <f t="shared" si="801"/>
        <v>0</v>
      </c>
      <c r="BM245" s="145">
        <f t="shared" si="801"/>
        <v>0</v>
      </c>
      <c r="BN245" s="145">
        <f t="shared" si="801"/>
        <v>0</v>
      </c>
      <c r="BO245" s="145">
        <f t="shared" si="801"/>
        <v>0</v>
      </c>
      <c r="BP245" s="145">
        <f t="shared" si="801"/>
        <v>0</v>
      </c>
      <c r="BQ245" s="145">
        <f t="shared" si="801"/>
        <v>0</v>
      </c>
      <c r="BR245" s="146">
        <f t="shared" si="801"/>
        <v>0</v>
      </c>
      <c r="BS245" s="147">
        <f t="shared" si="745"/>
        <v>0</v>
      </c>
      <c r="BT245" s="148">
        <f t="shared" ref="BT245:CE245" si="802">+BT243-BT244</f>
        <v>0</v>
      </c>
      <c r="BU245" s="145">
        <f t="shared" si="802"/>
        <v>0</v>
      </c>
      <c r="BV245" s="145">
        <f t="shared" si="802"/>
        <v>0</v>
      </c>
      <c r="BW245" s="145">
        <f t="shared" si="802"/>
        <v>0</v>
      </c>
      <c r="BX245" s="145">
        <f t="shared" si="802"/>
        <v>0</v>
      </c>
      <c r="BY245" s="145">
        <f t="shared" si="802"/>
        <v>0</v>
      </c>
      <c r="BZ245" s="145">
        <f t="shared" si="802"/>
        <v>4191</v>
      </c>
      <c r="CA245" s="145">
        <f t="shared" si="802"/>
        <v>0</v>
      </c>
      <c r="CB245" s="145">
        <f t="shared" si="802"/>
        <v>0</v>
      </c>
      <c r="CC245" s="145">
        <f t="shared" si="802"/>
        <v>0</v>
      </c>
      <c r="CD245" s="145">
        <f t="shared" si="802"/>
        <v>0</v>
      </c>
      <c r="CE245" s="146">
        <f t="shared" si="802"/>
        <v>0</v>
      </c>
      <c r="CF245" s="147">
        <f t="shared" si="746"/>
        <v>4191</v>
      </c>
      <c r="CG245" s="148">
        <f t="shared" ref="CG245:CR245" si="803">+CG243-CG244</f>
        <v>0</v>
      </c>
      <c r="CH245" s="145">
        <f t="shared" si="803"/>
        <v>0</v>
      </c>
      <c r="CI245" s="145">
        <f t="shared" si="803"/>
        <v>0</v>
      </c>
      <c r="CJ245" s="145">
        <f t="shared" si="803"/>
        <v>0</v>
      </c>
      <c r="CK245" s="145">
        <f t="shared" si="803"/>
        <v>0</v>
      </c>
      <c r="CL245" s="145">
        <f t="shared" si="803"/>
        <v>0</v>
      </c>
      <c r="CM245" s="145">
        <f t="shared" si="803"/>
        <v>0</v>
      </c>
      <c r="CN245" s="145">
        <f t="shared" si="803"/>
        <v>0</v>
      </c>
      <c r="CO245" s="145">
        <f t="shared" si="803"/>
        <v>0</v>
      </c>
      <c r="CP245" s="145">
        <f t="shared" si="803"/>
        <v>0</v>
      </c>
      <c r="CQ245" s="145">
        <f t="shared" si="803"/>
        <v>0</v>
      </c>
      <c r="CR245" s="146">
        <f t="shared" si="803"/>
        <v>0</v>
      </c>
      <c r="CS245" s="147">
        <f t="shared" si="747"/>
        <v>0</v>
      </c>
      <c r="CT245" s="148">
        <f t="shared" ref="CT245:DE245" si="804">+CT243-CT244</f>
        <v>0</v>
      </c>
      <c r="CU245" s="145">
        <f t="shared" si="804"/>
        <v>0</v>
      </c>
      <c r="CV245" s="145">
        <f t="shared" si="804"/>
        <v>0</v>
      </c>
      <c r="CW245" s="145">
        <f t="shared" si="804"/>
        <v>0</v>
      </c>
      <c r="CX245" s="145">
        <f t="shared" si="804"/>
        <v>0</v>
      </c>
      <c r="CY245" s="145">
        <f t="shared" si="804"/>
        <v>0</v>
      </c>
      <c r="CZ245" s="145">
        <f t="shared" si="804"/>
        <v>0</v>
      </c>
      <c r="DA245" s="145">
        <f t="shared" si="804"/>
        <v>0</v>
      </c>
      <c r="DB245" s="145">
        <f t="shared" si="804"/>
        <v>0</v>
      </c>
      <c r="DC245" s="145">
        <f t="shared" si="804"/>
        <v>0</v>
      </c>
      <c r="DD245" s="145">
        <f t="shared" si="804"/>
        <v>0</v>
      </c>
      <c r="DE245" s="146">
        <f t="shared" si="804"/>
        <v>0</v>
      </c>
      <c r="DF245" s="147">
        <f t="shared" si="748"/>
        <v>0</v>
      </c>
      <c r="DG245" s="146">
        <f>+DG243-DG244</f>
        <v>0</v>
      </c>
      <c r="DH245" s="98">
        <f t="shared" si="614"/>
        <v>58.8311524689246</v>
      </c>
      <c r="DI245" s="99">
        <f t="shared" si="749"/>
        <v>4249.8311524689243</v>
      </c>
      <c r="DJ245" s="100">
        <f t="shared" si="750"/>
        <v>4191</v>
      </c>
    </row>
    <row r="246" spans="1:115" ht="15" customHeight="1">
      <c r="A246" s="599"/>
      <c r="B246" s="593" t="s">
        <v>359</v>
      </c>
      <c r="C246" s="152" t="s">
        <v>62</v>
      </c>
      <c r="D246" s="235"/>
      <c r="E246" s="136">
        <f t="shared" si="759"/>
        <v>22450.754813125757</v>
      </c>
      <c r="F246" s="128"/>
      <c r="G246" s="129">
        <v>267</v>
      </c>
      <c r="H246" s="130">
        <v>30</v>
      </c>
      <c r="I246" s="130">
        <v>31.690435910652898</v>
      </c>
      <c r="J246" s="130">
        <v>30.818565921787702</v>
      </c>
      <c r="K246" s="130">
        <v>27.487747982832619</v>
      </c>
      <c r="L246" s="130">
        <v>23.602976832656552</v>
      </c>
      <c r="M246" s="130">
        <v>725.21884549904235</v>
      </c>
      <c r="N246" s="130">
        <v>31.23327056113903</v>
      </c>
      <c r="O246" s="130">
        <v>15.518960995850623</v>
      </c>
      <c r="P246" s="130">
        <v>142.02183032416909</v>
      </c>
      <c r="Q246" s="130">
        <v>58.7377421686747</v>
      </c>
      <c r="R246" s="131">
        <v>37.031831143451143</v>
      </c>
      <c r="S246" s="132">
        <f t="shared" si="741"/>
        <v>1420.3622073402569</v>
      </c>
      <c r="T246" s="385">
        <v>190.20762842995669</v>
      </c>
      <c r="U246" s="379">
        <v>89.328731643499594</v>
      </c>
      <c r="V246" s="379">
        <v>19.834575223395611</v>
      </c>
      <c r="W246" s="379">
        <v>17.067838748160813</v>
      </c>
      <c r="X246" s="379">
        <v>329.6391820163272</v>
      </c>
      <c r="Y246" s="379">
        <v>19.702723695161097</v>
      </c>
      <c r="Z246" s="379">
        <v>267.92654751942615</v>
      </c>
      <c r="AA246" s="379">
        <v>95.780618394595038</v>
      </c>
      <c r="AB246" s="379">
        <v>93.602134977050241</v>
      </c>
      <c r="AC246" s="379">
        <v>90.189075685080468</v>
      </c>
      <c r="AD246" s="379">
        <v>354.86728996766305</v>
      </c>
      <c r="AE246" s="480">
        <v>93.803933665659216</v>
      </c>
      <c r="AF246" s="132">
        <f t="shared" si="742"/>
        <v>1661.9502799659751</v>
      </c>
      <c r="AG246" s="496">
        <v>117.06765779619153</v>
      </c>
      <c r="AH246" s="510">
        <v>112.49558687561215</v>
      </c>
      <c r="AI246" s="510">
        <v>167.16807505958661</v>
      </c>
      <c r="AJ246" s="510">
        <v>110.56016787759965</v>
      </c>
      <c r="AK246" s="510">
        <v>2612.5066700749567</v>
      </c>
      <c r="AL246" s="510">
        <v>956.27385133218297</v>
      </c>
      <c r="AM246" s="510">
        <v>173.97868034821121</v>
      </c>
      <c r="AN246" s="510">
        <v>1519.5043554680101</v>
      </c>
      <c r="AO246" s="510">
        <v>551.23114776385057</v>
      </c>
      <c r="AP246" s="510">
        <v>195.21534298855801</v>
      </c>
      <c r="AQ246" s="510">
        <v>767.70500458454887</v>
      </c>
      <c r="AR246" s="515">
        <v>405.61594246575339</v>
      </c>
      <c r="AS246" s="406">
        <f t="shared" si="743"/>
        <v>7689.3224826350615</v>
      </c>
      <c r="AT246" s="516">
        <v>177.07950140422423</v>
      </c>
      <c r="AU246" s="510">
        <v>269.75396546569567</v>
      </c>
      <c r="AV246" s="510">
        <v>520.04505089888494</v>
      </c>
      <c r="AW246" s="130">
        <f t="shared" ref="AW246:BE246" si="805">+AW260</f>
        <v>266.60402010712136</v>
      </c>
      <c r="AX246" s="130">
        <f t="shared" si="805"/>
        <v>253.01033348483634</v>
      </c>
      <c r="AY246" s="130">
        <f t="shared" si="805"/>
        <v>162.95150099325366</v>
      </c>
      <c r="AZ246" s="130">
        <f t="shared" si="805"/>
        <v>97.811221547376476</v>
      </c>
      <c r="BA246" s="130">
        <f t="shared" si="805"/>
        <v>63.92436777499271</v>
      </c>
      <c r="BB246" s="130">
        <f t="shared" si="805"/>
        <v>27.680114598218122</v>
      </c>
      <c r="BC246" s="130">
        <f t="shared" si="805"/>
        <v>8.5249973846808675</v>
      </c>
      <c r="BD246" s="130">
        <f t="shared" si="805"/>
        <v>-17.046107362100809</v>
      </c>
      <c r="BE246" s="131">
        <f t="shared" si="805"/>
        <v>-18.076753256886906</v>
      </c>
      <c r="BF246" s="132">
        <f t="shared" si="744"/>
        <v>1812.2622130402967</v>
      </c>
      <c r="BG246" s="133">
        <f t="shared" ref="BG246:BQ246" si="806">+BG260</f>
        <v>-10.801237138693446</v>
      </c>
      <c r="BH246" s="130">
        <f t="shared" si="806"/>
        <v>12.109577707586629</v>
      </c>
      <c r="BI246" s="130">
        <f t="shared" si="806"/>
        <v>8.3167742418656445</v>
      </c>
      <c r="BJ246" s="130">
        <f t="shared" si="806"/>
        <v>-0.18222479972169517</v>
      </c>
      <c r="BK246" s="130">
        <f t="shared" si="806"/>
        <v>-10.424403527611487</v>
      </c>
      <c r="BL246" s="130">
        <f t="shared" si="806"/>
        <v>-21.952299001342421</v>
      </c>
      <c r="BM246" s="130">
        <f t="shared" si="806"/>
        <v>-30.116075082405647</v>
      </c>
      <c r="BN246" s="130">
        <f t="shared" si="806"/>
        <v>242.62134629271529</v>
      </c>
      <c r="BO246" s="130">
        <f t="shared" si="806"/>
        <v>-7.1234106545537843</v>
      </c>
      <c r="BP246" s="130">
        <f t="shared" si="806"/>
        <v>-18.51290499837954</v>
      </c>
      <c r="BQ246" s="130">
        <f t="shared" si="806"/>
        <v>-22.413811016289511</v>
      </c>
      <c r="BR246" s="131">
        <f>+BR260</f>
        <v>-7.1548429124630148</v>
      </c>
      <c r="BS246" s="132">
        <f t="shared" si="745"/>
        <v>134.36648911070702</v>
      </c>
      <c r="BT246" s="133">
        <f t="shared" ref="BT246:CD246" si="807">+BT260</f>
        <v>15.831166952111611</v>
      </c>
      <c r="BU246" s="130">
        <f t="shared" si="807"/>
        <v>40.984601394740011</v>
      </c>
      <c r="BV246" s="130">
        <f t="shared" si="807"/>
        <v>57.634566721343454</v>
      </c>
      <c r="BW246" s="130">
        <f t="shared" si="807"/>
        <v>56.347132291066714</v>
      </c>
      <c r="BX246" s="130">
        <f>+BX260</f>
        <v>54.948453589054559</v>
      </c>
      <c r="BY246" s="130">
        <f t="shared" si="807"/>
        <v>65.29745861089053</v>
      </c>
      <c r="BZ246" s="130">
        <f t="shared" si="807"/>
        <v>74.658186067511792</v>
      </c>
      <c r="CA246" s="130">
        <f t="shared" si="807"/>
        <v>183.45158257912149</v>
      </c>
      <c r="CB246" s="130">
        <f t="shared" si="807"/>
        <v>163.46837263178423</v>
      </c>
      <c r="CC246" s="130">
        <f t="shared" si="807"/>
        <v>175.47127245102624</v>
      </c>
      <c r="CD246" s="130">
        <f t="shared" si="807"/>
        <v>176.31212840291514</v>
      </c>
      <c r="CE246" s="131">
        <f>+CE260</f>
        <v>188.20765981340983</v>
      </c>
      <c r="CF246" s="132">
        <f t="shared" si="746"/>
        <v>1252.6125815049757</v>
      </c>
      <c r="CG246" s="133">
        <f t="shared" ref="CG246:CQ246" si="808">+CG260</f>
        <v>200.63555285776351</v>
      </c>
      <c r="CH246" s="130">
        <f t="shared" si="808"/>
        <v>211.85999109610881</v>
      </c>
      <c r="CI246" s="130">
        <f t="shared" si="808"/>
        <v>223.08052770426886</v>
      </c>
      <c r="CJ246" s="130">
        <f t="shared" si="808"/>
        <v>229.25525891508389</v>
      </c>
      <c r="CK246" s="130">
        <f t="shared" si="808"/>
        <v>239.00020081573223</v>
      </c>
      <c r="CL246" s="130">
        <f t="shared" si="808"/>
        <v>249.35203918084483</v>
      </c>
      <c r="CM246" s="130">
        <f t="shared" si="808"/>
        <v>260.10855097853289</v>
      </c>
      <c r="CN246" s="130">
        <f t="shared" si="808"/>
        <v>268.39662438001233</v>
      </c>
      <c r="CO246" s="130">
        <f t="shared" si="808"/>
        <v>276.77158821317352</v>
      </c>
      <c r="CP246" s="130">
        <f t="shared" si="808"/>
        <v>285.22619442462604</v>
      </c>
      <c r="CQ246" s="130">
        <f t="shared" si="808"/>
        <v>290.47404432369905</v>
      </c>
      <c r="CR246" s="131">
        <f>+CR260</f>
        <v>294.17437762918706</v>
      </c>
      <c r="CS246" s="132">
        <f t="shared" si="747"/>
        <v>3028.3349505190331</v>
      </c>
      <c r="CT246" s="133">
        <f t="shared" ref="CT246:DE246" si="809">+CT260</f>
        <v>299.37173342615239</v>
      </c>
      <c r="CU246" s="130">
        <f t="shared" si="809"/>
        <v>302.74773309626926</v>
      </c>
      <c r="CV246" s="130">
        <f t="shared" si="809"/>
        <v>305.27809902768701</v>
      </c>
      <c r="CW246" s="130">
        <f t="shared" si="809"/>
        <v>305.65260589464413</v>
      </c>
      <c r="CX246" s="130">
        <f t="shared" si="809"/>
        <v>521.94165444296766</v>
      </c>
      <c r="CY246" s="130">
        <f t="shared" si="809"/>
        <v>524.13818364482756</v>
      </c>
      <c r="CZ246" s="130">
        <f t="shared" si="809"/>
        <v>526.53184052059521</v>
      </c>
      <c r="DA246" s="130">
        <f t="shared" si="809"/>
        <v>526.71246699434437</v>
      </c>
      <c r="DB246" s="130">
        <f t="shared" si="809"/>
        <v>527.88232479912858</v>
      </c>
      <c r="DC246" s="130">
        <f t="shared" si="809"/>
        <v>529.30454185118572</v>
      </c>
      <c r="DD246" s="130">
        <f t="shared" si="809"/>
        <v>528.80565114450849</v>
      </c>
      <c r="DE246" s="131">
        <f t="shared" si="809"/>
        <v>529.4300237389715</v>
      </c>
      <c r="DF246" s="132">
        <f t="shared" si="748"/>
        <v>5427.7968585812823</v>
      </c>
      <c r="DG246" s="278">
        <f>+DG260</f>
        <v>23.746750428167417</v>
      </c>
      <c r="DH246" s="159">
        <f t="shared" si="614"/>
        <v>12742.010422520463</v>
      </c>
      <c r="DI246" s="160">
        <f t="shared" si="749"/>
        <v>22450.754813125757</v>
      </c>
      <c r="DJ246" s="161">
        <f t="shared" si="750"/>
        <v>9708.744390605294</v>
      </c>
    </row>
    <row r="247" spans="1:115" ht="15" customHeight="1">
      <c r="A247" s="599"/>
      <c r="B247" s="548"/>
      <c r="C247" s="135" t="s">
        <v>63</v>
      </c>
      <c r="D247" s="233"/>
      <c r="E247" s="136">
        <f t="shared" si="759"/>
        <v>0</v>
      </c>
      <c r="F247" s="136"/>
      <c r="G247" s="137">
        <f>+G263</f>
        <v>0</v>
      </c>
      <c r="H247" s="138">
        <f t="shared" ref="H247:R247" si="810">+H263</f>
        <v>0</v>
      </c>
      <c r="I247" s="138">
        <f t="shared" si="810"/>
        <v>0</v>
      </c>
      <c r="J247" s="138">
        <f t="shared" si="810"/>
        <v>0</v>
      </c>
      <c r="K247" s="138">
        <f t="shared" si="810"/>
        <v>0</v>
      </c>
      <c r="L247" s="138">
        <f t="shared" si="810"/>
        <v>0</v>
      </c>
      <c r="M247" s="138">
        <f t="shared" si="810"/>
        <v>0</v>
      </c>
      <c r="N247" s="138">
        <f t="shared" si="810"/>
        <v>0</v>
      </c>
      <c r="O247" s="138">
        <f t="shared" si="810"/>
        <v>0</v>
      </c>
      <c r="P247" s="138">
        <f t="shared" si="810"/>
        <v>0</v>
      </c>
      <c r="Q247" s="138">
        <f t="shared" si="810"/>
        <v>0</v>
      </c>
      <c r="R247" s="139">
        <f t="shared" si="810"/>
        <v>0</v>
      </c>
      <c r="S247" s="140">
        <f t="shared" si="741"/>
        <v>0</v>
      </c>
      <c r="T247" s="384">
        <f>+T263</f>
        <v>0</v>
      </c>
      <c r="U247" s="381">
        <f t="shared" ref="U247:AA247" si="811">+U263</f>
        <v>0</v>
      </c>
      <c r="V247" s="381">
        <v>0</v>
      </c>
      <c r="W247" s="381">
        <f t="shared" si="811"/>
        <v>0</v>
      </c>
      <c r="X247" s="381">
        <f t="shared" si="811"/>
        <v>0</v>
      </c>
      <c r="Y247" s="381">
        <f t="shared" si="811"/>
        <v>0</v>
      </c>
      <c r="Z247" s="381">
        <v>0</v>
      </c>
      <c r="AA247" s="381">
        <f t="shared" si="811"/>
        <v>0</v>
      </c>
      <c r="AB247" s="381">
        <v>0</v>
      </c>
      <c r="AC247" s="381">
        <v>0</v>
      </c>
      <c r="AD247" s="381">
        <v>0</v>
      </c>
      <c r="AE247" s="392">
        <v>0</v>
      </c>
      <c r="AF247" s="140">
        <f t="shared" si="742"/>
        <v>0</v>
      </c>
      <c r="AG247" s="497">
        <v>0</v>
      </c>
      <c r="AH247" s="499">
        <f t="shared" ref="AH247:AK247" si="812">+AH263</f>
        <v>0</v>
      </c>
      <c r="AI247" s="499">
        <v>0</v>
      </c>
      <c r="AJ247" s="499">
        <v>0</v>
      </c>
      <c r="AK247" s="499">
        <f t="shared" si="812"/>
        <v>0</v>
      </c>
      <c r="AL247" s="499"/>
      <c r="AM247" s="499"/>
      <c r="AN247" s="499"/>
      <c r="AO247" s="499"/>
      <c r="AP247" s="499"/>
      <c r="AQ247" s="499"/>
      <c r="AR247" s="511">
        <v>0</v>
      </c>
      <c r="AS247" s="407">
        <f t="shared" si="743"/>
        <v>0</v>
      </c>
      <c r="AT247" s="501"/>
      <c r="AU247" s="499"/>
      <c r="AV247" s="499"/>
      <c r="AW247" s="138">
        <f t="shared" ref="AW247:BE247" si="813">+AW263</f>
        <v>0</v>
      </c>
      <c r="AX247" s="138">
        <f t="shared" si="813"/>
        <v>0</v>
      </c>
      <c r="AY247" s="138">
        <f t="shared" si="813"/>
        <v>0</v>
      </c>
      <c r="AZ247" s="138">
        <f t="shared" si="813"/>
        <v>0</v>
      </c>
      <c r="BA247" s="138">
        <f t="shared" si="813"/>
        <v>0</v>
      </c>
      <c r="BB247" s="138">
        <f t="shared" si="813"/>
        <v>0</v>
      </c>
      <c r="BC247" s="138">
        <f t="shared" si="813"/>
        <v>0</v>
      </c>
      <c r="BD247" s="138">
        <f t="shared" si="813"/>
        <v>0</v>
      </c>
      <c r="BE247" s="139">
        <f t="shared" si="813"/>
        <v>0</v>
      </c>
      <c r="BF247" s="140">
        <f t="shared" si="744"/>
        <v>0</v>
      </c>
      <c r="BG247" s="137">
        <f>+BG263</f>
        <v>0</v>
      </c>
      <c r="BH247" s="138">
        <f t="shared" ref="BH247:BR247" si="814">+BH263</f>
        <v>0</v>
      </c>
      <c r="BI247" s="138">
        <f t="shared" si="814"/>
        <v>0</v>
      </c>
      <c r="BJ247" s="138">
        <f t="shared" si="814"/>
        <v>0</v>
      </c>
      <c r="BK247" s="138">
        <f t="shared" si="814"/>
        <v>0</v>
      </c>
      <c r="BL247" s="138">
        <f t="shared" si="814"/>
        <v>0</v>
      </c>
      <c r="BM247" s="138">
        <f t="shared" si="814"/>
        <v>0</v>
      </c>
      <c r="BN247" s="138">
        <f t="shared" si="814"/>
        <v>0</v>
      </c>
      <c r="BO247" s="138">
        <f t="shared" si="814"/>
        <v>0</v>
      </c>
      <c r="BP247" s="138">
        <f t="shared" si="814"/>
        <v>0</v>
      </c>
      <c r="BQ247" s="138">
        <f t="shared" si="814"/>
        <v>0</v>
      </c>
      <c r="BR247" s="139">
        <f t="shared" si="814"/>
        <v>0</v>
      </c>
      <c r="BS247" s="140">
        <f t="shared" si="745"/>
        <v>0</v>
      </c>
      <c r="BT247" s="137">
        <f>+BT263</f>
        <v>0</v>
      </c>
      <c r="BU247" s="138">
        <f t="shared" ref="BU247:CE247" si="815">+BU263</f>
        <v>0</v>
      </c>
      <c r="BV247" s="138">
        <f t="shared" si="815"/>
        <v>0</v>
      </c>
      <c r="BW247" s="138">
        <f t="shared" si="815"/>
        <v>0</v>
      </c>
      <c r="BX247" s="138">
        <f t="shared" si="815"/>
        <v>0</v>
      </c>
      <c r="BY247" s="138">
        <f t="shared" si="815"/>
        <v>0</v>
      </c>
      <c r="BZ247" s="138">
        <f t="shared" si="815"/>
        <v>0</v>
      </c>
      <c r="CA247" s="138">
        <f t="shared" si="815"/>
        <v>0</v>
      </c>
      <c r="CB247" s="138">
        <f t="shared" si="815"/>
        <v>0</v>
      </c>
      <c r="CC247" s="138">
        <f t="shared" si="815"/>
        <v>0</v>
      </c>
      <c r="CD247" s="138">
        <f t="shared" si="815"/>
        <v>0</v>
      </c>
      <c r="CE247" s="139">
        <f t="shared" si="815"/>
        <v>0</v>
      </c>
      <c r="CF247" s="140">
        <f t="shared" si="746"/>
        <v>0</v>
      </c>
      <c r="CG247" s="137">
        <f>+CG263</f>
        <v>0</v>
      </c>
      <c r="CH247" s="138">
        <f t="shared" ref="CH247:CR247" si="816">+CH263</f>
        <v>0</v>
      </c>
      <c r="CI247" s="138">
        <f t="shared" si="816"/>
        <v>0</v>
      </c>
      <c r="CJ247" s="138">
        <f t="shared" si="816"/>
        <v>0</v>
      </c>
      <c r="CK247" s="138">
        <f t="shared" si="816"/>
        <v>0</v>
      </c>
      <c r="CL247" s="138">
        <f t="shared" si="816"/>
        <v>0</v>
      </c>
      <c r="CM247" s="138">
        <f t="shared" si="816"/>
        <v>0</v>
      </c>
      <c r="CN247" s="138">
        <f t="shared" si="816"/>
        <v>0</v>
      </c>
      <c r="CO247" s="138">
        <f t="shared" si="816"/>
        <v>0</v>
      </c>
      <c r="CP247" s="138">
        <f t="shared" si="816"/>
        <v>0</v>
      </c>
      <c r="CQ247" s="138">
        <f t="shared" si="816"/>
        <v>0</v>
      </c>
      <c r="CR247" s="139">
        <f t="shared" si="816"/>
        <v>0</v>
      </c>
      <c r="CS247" s="140">
        <f t="shared" si="747"/>
        <v>0</v>
      </c>
      <c r="CT247" s="137"/>
      <c r="CU247" s="138"/>
      <c r="CV247" s="138"/>
      <c r="CW247" s="138"/>
      <c r="CX247" s="138"/>
      <c r="CY247" s="138"/>
      <c r="CZ247" s="138"/>
      <c r="DA247" s="138"/>
      <c r="DB247" s="138"/>
      <c r="DC247" s="138"/>
      <c r="DD247" s="138"/>
      <c r="DE247" s="139"/>
      <c r="DF247" s="140">
        <f t="shared" si="748"/>
        <v>0</v>
      </c>
      <c r="DG247" s="279">
        <f>+DG263</f>
        <v>0</v>
      </c>
      <c r="DH247" s="90">
        <f t="shared" si="614"/>
        <v>0</v>
      </c>
      <c r="DI247" s="91">
        <f t="shared" si="749"/>
        <v>0</v>
      </c>
      <c r="DJ247" s="92">
        <f t="shared" si="750"/>
        <v>0</v>
      </c>
      <c r="DK247" s="64">
        <f>+DH247/DH246</f>
        <v>0</v>
      </c>
    </row>
    <row r="248" spans="1:115" ht="15" customHeight="1">
      <c r="A248" s="599"/>
      <c r="B248" s="549"/>
      <c r="C248" s="286" t="s">
        <v>11</v>
      </c>
      <c r="D248" s="236"/>
      <c r="E248" s="143">
        <f t="shared" ref="E248:R248" si="817">+E246-E247</f>
        <v>22450.754813125757</v>
      </c>
      <c r="F248" s="144">
        <f t="shared" si="817"/>
        <v>0</v>
      </c>
      <c r="G248" s="145">
        <f t="shared" si="817"/>
        <v>267</v>
      </c>
      <c r="H248" s="145">
        <f t="shared" si="817"/>
        <v>30</v>
      </c>
      <c r="I248" s="145">
        <f t="shared" si="817"/>
        <v>31.690435910652898</v>
      </c>
      <c r="J248" s="145">
        <f t="shared" si="817"/>
        <v>30.818565921787702</v>
      </c>
      <c r="K248" s="145">
        <f t="shared" si="817"/>
        <v>27.487747982832619</v>
      </c>
      <c r="L248" s="145">
        <f t="shared" si="817"/>
        <v>23.602976832656552</v>
      </c>
      <c r="M248" s="145">
        <f t="shared" si="817"/>
        <v>725.21884549904235</v>
      </c>
      <c r="N248" s="145">
        <f t="shared" si="817"/>
        <v>31.23327056113903</v>
      </c>
      <c r="O248" s="145">
        <f t="shared" si="817"/>
        <v>15.518960995850623</v>
      </c>
      <c r="P248" s="145">
        <f t="shared" si="817"/>
        <v>142.02183032416909</v>
      </c>
      <c r="Q248" s="145">
        <f t="shared" si="817"/>
        <v>58.7377421686747</v>
      </c>
      <c r="R248" s="146">
        <f t="shared" si="817"/>
        <v>37.031831143451143</v>
      </c>
      <c r="S248" s="147">
        <f t="shared" si="741"/>
        <v>1420.3622073402569</v>
      </c>
      <c r="T248" s="148">
        <f t="shared" ref="T248:AE248" si="818">+T246-T247</f>
        <v>190.20762842995669</v>
      </c>
      <c r="U248" s="145">
        <f t="shared" si="818"/>
        <v>89.328731643499594</v>
      </c>
      <c r="V248" s="145">
        <f t="shared" si="818"/>
        <v>19.834575223395611</v>
      </c>
      <c r="W248" s="145">
        <f t="shared" si="818"/>
        <v>17.067838748160813</v>
      </c>
      <c r="X248" s="145">
        <f t="shared" si="818"/>
        <v>329.6391820163272</v>
      </c>
      <c r="Y248" s="145">
        <f t="shared" si="818"/>
        <v>19.702723695161097</v>
      </c>
      <c r="Z248" s="145">
        <f t="shared" si="818"/>
        <v>267.92654751942615</v>
      </c>
      <c r="AA248" s="145">
        <f t="shared" si="818"/>
        <v>95.780618394595038</v>
      </c>
      <c r="AB248" s="145">
        <f t="shared" si="818"/>
        <v>93.602134977050241</v>
      </c>
      <c r="AC248" s="145">
        <f t="shared" si="818"/>
        <v>90.189075685080468</v>
      </c>
      <c r="AD248" s="145">
        <f t="shared" si="818"/>
        <v>354.86728996766305</v>
      </c>
      <c r="AE248" s="146">
        <f t="shared" si="818"/>
        <v>93.803933665659216</v>
      </c>
      <c r="AF248" s="147">
        <f t="shared" si="742"/>
        <v>1661.9502799659751</v>
      </c>
      <c r="AG248" s="148">
        <f t="shared" ref="AG248:AR248" si="819">+AG246-AG247</f>
        <v>117.06765779619153</v>
      </c>
      <c r="AH248" s="145">
        <f t="shared" si="819"/>
        <v>112.49558687561215</v>
      </c>
      <c r="AI248" s="145">
        <f t="shared" si="819"/>
        <v>167.16807505958661</v>
      </c>
      <c r="AJ248" s="145">
        <f t="shared" si="819"/>
        <v>110.56016787759965</v>
      </c>
      <c r="AK248" s="145">
        <f t="shared" si="819"/>
        <v>2612.5066700749567</v>
      </c>
      <c r="AL248" s="145">
        <f t="shared" si="819"/>
        <v>956.27385133218297</v>
      </c>
      <c r="AM248" s="145">
        <f t="shared" si="819"/>
        <v>173.97868034821121</v>
      </c>
      <c r="AN248" s="145">
        <f t="shared" si="819"/>
        <v>1519.5043554680101</v>
      </c>
      <c r="AO248" s="145">
        <f t="shared" si="819"/>
        <v>551.23114776385057</v>
      </c>
      <c r="AP248" s="145">
        <f t="shared" si="819"/>
        <v>195.21534298855801</v>
      </c>
      <c r="AQ248" s="145">
        <f t="shared" si="819"/>
        <v>767.70500458454887</v>
      </c>
      <c r="AR248" s="146">
        <f t="shared" si="819"/>
        <v>405.61594246575339</v>
      </c>
      <c r="AS248" s="408">
        <f t="shared" si="743"/>
        <v>7689.3224826350615</v>
      </c>
      <c r="AT248" s="148">
        <f t="shared" ref="AT248:BE248" si="820">+AT246-AT247</f>
        <v>177.07950140422423</v>
      </c>
      <c r="AU248" s="145">
        <f t="shared" si="820"/>
        <v>269.75396546569567</v>
      </c>
      <c r="AV248" s="145">
        <f t="shared" si="820"/>
        <v>520.04505089888494</v>
      </c>
      <c r="AW248" s="145">
        <f t="shared" si="820"/>
        <v>266.60402010712136</v>
      </c>
      <c r="AX248" s="145">
        <f t="shared" si="820"/>
        <v>253.01033348483634</v>
      </c>
      <c r="AY248" s="145">
        <f t="shared" si="820"/>
        <v>162.95150099325366</v>
      </c>
      <c r="AZ248" s="145">
        <f t="shared" si="820"/>
        <v>97.811221547376476</v>
      </c>
      <c r="BA248" s="145">
        <f t="shared" si="820"/>
        <v>63.92436777499271</v>
      </c>
      <c r="BB248" s="145">
        <f t="shared" si="820"/>
        <v>27.680114598218122</v>
      </c>
      <c r="BC248" s="145">
        <f t="shared" si="820"/>
        <v>8.5249973846808675</v>
      </c>
      <c r="BD248" s="145">
        <f t="shared" si="820"/>
        <v>-17.046107362100809</v>
      </c>
      <c r="BE248" s="146">
        <f t="shared" si="820"/>
        <v>-18.076753256886906</v>
      </c>
      <c r="BF248" s="147">
        <f t="shared" si="744"/>
        <v>1812.2622130402967</v>
      </c>
      <c r="BG248" s="148">
        <f t="shared" ref="BG248:BR248" si="821">+BG246-BG247</f>
        <v>-10.801237138693446</v>
      </c>
      <c r="BH248" s="145">
        <f t="shared" si="821"/>
        <v>12.109577707586629</v>
      </c>
      <c r="BI248" s="145">
        <f t="shared" si="821"/>
        <v>8.3167742418656445</v>
      </c>
      <c r="BJ248" s="145">
        <f t="shared" si="821"/>
        <v>-0.18222479972169517</v>
      </c>
      <c r="BK248" s="145">
        <f t="shared" si="821"/>
        <v>-10.424403527611487</v>
      </c>
      <c r="BL248" s="145">
        <f t="shared" si="821"/>
        <v>-21.952299001342421</v>
      </c>
      <c r="BM248" s="145">
        <f t="shared" si="821"/>
        <v>-30.116075082405647</v>
      </c>
      <c r="BN248" s="145">
        <f t="shared" si="821"/>
        <v>242.62134629271529</v>
      </c>
      <c r="BO248" s="145">
        <f t="shared" si="821"/>
        <v>-7.1234106545537843</v>
      </c>
      <c r="BP248" s="145">
        <f t="shared" si="821"/>
        <v>-18.51290499837954</v>
      </c>
      <c r="BQ248" s="145">
        <f t="shared" si="821"/>
        <v>-22.413811016289511</v>
      </c>
      <c r="BR248" s="146">
        <f t="shared" si="821"/>
        <v>-7.1548429124630148</v>
      </c>
      <c r="BS248" s="147">
        <f t="shared" si="745"/>
        <v>134.36648911070702</v>
      </c>
      <c r="BT248" s="148">
        <f t="shared" ref="BT248:CE248" si="822">+BT246-BT247</f>
        <v>15.831166952111611</v>
      </c>
      <c r="BU248" s="145">
        <f t="shared" si="822"/>
        <v>40.984601394740011</v>
      </c>
      <c r="BV248" s="145">
        <f t="shared" si="822"/>
        <v>57.634566721343454</v>
      </c>
      <c r="BW248" s="145">
        <f t="shared" si="822"/>
        <v>56.347132291066714</v>
      </c>
      <c r="BX248" s="145">
        <f t="shared" si="822"/>
        <v>54.948453589054559</v>
      </c>
      <c r="BY248" s="145">
        <f t="shared" si="822"/>
        <v>65.29745861089053</v>
      </c>
      <c r="BZ248" s="145">
        <f t="shared" si="822"/>
        <v>74.658186067511792</v>
      </c>
      <c r="CA248" s="145">
        <f t="shared" si="822"/>
        <v>183.45158257912149</v>
      </c>
      <c r="CB248" s="145">
        <f t="shared" si="822"/>
        <v>163.46837263178423</v>
      </c>
      <c r="CC248" s="145">
        <f t="shared" si="822"/>
        <v>175.47127245102624</v>
      </c>
      <c r="CD248" s="145">
        <f t="shared" si="822"/>
        <v>176.31212840291514</v>
      </c>
      <c r="CE248" s="146">
        <f t="shared" si="822"/>
        <v>188.20765981340983</v>
      </c>
      <c r="CF248" s="147">
        <f t="shared" si="746"/>
        <v>1252.6125815049757</v>
      </c>
      <c r="CG248" s="148">
        <f t="shared" ref="CG248:CR248" si="823">+CG246-CG247</f>
        <v>200.63555285776351</v>
      </c>
      <c r="CH248" s="145">
        <f t="shared" si="823"/>
        <v>211.85999109610881</v>
      </c>
      <c r="CI248" s="145">
        <f t="shared" si="823"/>
        <v>223.08052770426886</v>
      </c>
      <c r="CJ248" s="145">
        <f t="shared" si="823"/>
        <v>229.25525891508389</v>
      </c>
      <c r="CK248" s="145">
        <f t="shared" si="823"/>
        <v>239.00020081573223</v>
      </c>
      <c r="CL248" s="145">
        <f t="shared" si="823"/>
        <v>249.35203918084483</v>
      </c>
      <c r="CM248" s="145">
        <f t="shared" si="823"/>
        <v>260.10855097853289</v>
      </c>
      <c r="CN248" s="145">
        <f t="shared" si="823"/>
        <v>268.39662438001233</v>
      </c>
      <c r="CO248" s="145">
        <f t="shared" si="823"/>
        <v>276.77158821317352</v>
      </c>
      <c r="CP248" s="145">
        <f t="shared" si="823"/>
        <v>285.22619442462604</v>
      </c>
      <c r="CQ248" s="145">
        <f t="shared" si="823"/>
        <v>290.47404432369905</v>
      </c>
      <c r="CR248" s="146">
        <f t="shared" si="823"/>
        <v>294.17437762918706</v>
      </c>
      <c r="CS248" s="147">
        <f t="shared" si="747"/>
        <v>3028.3349505190331</v>
      </c>
      <c r="CT248" s="148">
        <f t="shared" ref="CT248:DE248" si="824">+CT246-CT247</f>
        <v>299.37173342615239</v>
      </c>
      <c r="CU248" s="145">
        <f t="shared" si="824"/>
        <v>302.74773309626926</v>
      </c>
      <c r="CV248" s="145">
        <f t="shared" si="824"/>
        <v>305.27809902768701</v>
      </c>
      <c r="CW248" s="145">
        <f t="shared" si="824"/>
        <v>305.65260589464413</v>
      </c>
      <c r="CX248" s="145">
        <f t="shared" si="824"/>
        <v>521.94165444296766</v>
      </c>
      <c r="CY248" s="145">
        <f t="shared" si="824"/>
        <v>524.13818364482756</v>
      </c>
      <c r="CZ248" s="145">
        <f t="shared" si="824"/>
        <v>526.53184052059521</v>
      </c>
      <c r="DA248" s="145">
        <f t="shared" si="824"/>
        <v>526.71246699434437</v>
      </c>
      <c r="DB248" s="145">
        <f t="shared" si="824"/>
        <v>527.88232479912858</v>
      </c>
      <c r="DC248" s="145">
        <f t="shared" si="824"/>
        <v>529.30454185118572</v>
      </c>
      <c r="DD248" s="145">
        <f t="shared" si="824"/>
        <v>528.80565114450849</v>
      </c>
      <c r="DE248" s="146">
        <f t="shared" si="824"/>
        <v>529.4300237389715</v>
      </c>
      <c r="DF248" s="147">
        <f t="shared" si="748"/>
        <v>5427.7968585812823</v>
      </c>
      <c r="DG248" s="146">
        <f>+DG246-DG247</f>
        <v>23.746750428167417</v>
      </c>
      <c r="DH248" s="98">
        <f t="shared" si="614"/>
        <v>12742.010422520463</v>
      </c>
      <c r="DI248" s="99">
        <f t="shared" si="749"/>
        <v>22450.754813125757</v>
      </c>
      <c r="DJ248" s="100">
        <f t="shared" si="750"/>
        <v>9708.744390605294</v>
      </c>
    </row>
    <row r="249" spans="1:115" ht="15" customHeight="1">
      <c r="A249" s="599"/>
      <c r="B249" s="593" t="s">
        <v>113</v>
      </c>
      <c r="C249" s="152" t="s">
        <v>62</v>
      </c>
      <c r="D249" s="235"/>
      <c r="E249" s="136">
        <f t="shared" si="759"/>
        <v>6722.9561944779425</v>
      </c>
      <c r="F249" s="128"/>
      <c r="G249" s="129">
        <v>0</v>
      </c>
      <c r="H249" s="130"/>
      <c r="I249" s="130"/>
      <c r="J249" s="130"/>
      <c r="K249" s="130"/>
      <c r="L249" s="130"/>
      <c r="M249" s="130"/>
      <c r="N249" s="130"/>
      <c r="O249" s="130"/>
      <c r="P249" s="130"/>
      <c r="Q249" s="130"/>
      <c r="R249" s="131">
        <v>38.616868378797001</v>
      </c>
      <c r="S249" s="132">
        <f t="shared" si="741"/>
        <v>38.616868378797001</v>
      </c>
      <c r="T249" s="385">
        <v>0.76335877862595425</v>
      </c>
      <c r="U249" s="379">
        <v>0.91986917416189695</v>
      </c>
      <c r="V249" s="379">
        <v>0.64987814784727871</v>
      </c>
      <c r="W249" s="379">
        <v>2.0956774167892789</v>
      </c>
      <c r="X249" s="379">
        <v>0.34477292541808668</v>
      </c>
      <c r="Y249" s="379">
        <v>1.78218853484777</v>
      </c>
      <c r="Z249" s="379">
        <v>227.43746579484286</v>
      </c>
      <c r="AA249" s="379">
        <v>1126.48078037707</v>
      </c>
      <c r="AB249" s="379">
        <v>1239.13034884632</v>
      </c>
      <c r="AC249" s="379">
        <v>2.9064019929613667</v>
      </c>
      <c r="AD249" s="379">
        <v>9.8588216736335679E-2</v>
      </c>
      <c r="AE249" s="480">
        <v>0.35718491188130469</v>
      </c>
      <c r="AF249" s="132">
        <f t="shared" si="742"/>
        <v>2602.9665151175022</v>
      </c>
      <c r="AG249" s="496">
        <v>2212.0676949602766</v>
      </c>
      <c r="AH249" s="510"/>
      <c r="AI249" s="510"/>
      <c r="AJ249" s="510">
        <v>1.6914619613270288</v>
      </c>
      <c r="AK249" s="510"/>
      <c r="AL249" s="510"/>
      <c r="AM249" s="510"/>
      <c r="AN249" s="510"/>
      <c r="AO249" s="510"/>
      <c r="AP249" s="510">
        <v>479.96134134208802</v>
      </c>
      <c r="AQ249" s="510">
        <v>2.9828604175349525</v>
      </c>
      <c r="AR249" s="515">
        <v>541.35648645384799</v>
      </c>
      <c r="AS249" s="406">
        <f t="shared" si="743"/>
        <v>3238.0598451350747</v>
      </c>
      <c r="AT249" s="516">
        <v>842.84405055335219</v>
      </c>
      <c r="AU249" s="510">
        <v>0.46891529321579151</v>
      </c>
      <c r="AV249" s="510"/>
      <c r="AW249" s="130"/>
      <c r="AX249" s="130"/>
      <c r="AY249" s="130"/>
      <c r="AZ249" s="130"/>
      <c r="BA249" s="130"/>
      <c r="BB249" s="130"/>
      <c r="BC249" s="130"/>
      <c r="BD249" s="130"/>
      <c r="BE249" s="131"/>
      <c r="BF249" s="132">
        <f t="shared" si="744"/>
        <v>843.31296584656798</v>
      </c>
      <c r="BG249" s="133"/>
      <c r="BH249" s="130"/>
      <c r="BI249" s="130"/>
      <c r="BJ249" s="130"/>
      <c r="BK249" s="130"/>
      <c r="BL249" s="130"/>
      <c r="BM249" s="130"/>
      <c r="BN249" s="130"/>
      <c r="BO249" s="130"/>
      <c r="BP249" s="130"/>
      <c r="BQ249" s="130"/>
      <c r="BR249" s="131"/>
      <c r="BS249" s="132">
        <f t="shared" si="745"/>
        <v>0</v>
      </c>
      <c r="BT249" s="133"/>
      <c r="BU249" s="130"/>
      <c r="BV249" s="130"/>
      <c r="BW249" s="130"/>
      <c r="BX249" s="130"/>
      <c r="BY249" s="130"/>
      <c r="BZ249" s="130"/>
      <c r="CA249" s="130"/>
      <c r="CB249" s="130"/>
      <c r="CC249" s="130"/>
      <c r="CD249" s="130"/>
      <c r="CE249" s="131"/>
      <c r="CF249" s="132">
        <f t="shared" si="746"/>
        <v>0</v>
      </c>
      <c r="CG249" s="133"/>
      <c r="CH249" s="130"/>
      <c r="CI249" s="130"/>
      <c r="CJ249" s="130"/>
      <c r="CK249" s="130"/>
      <c r="CL249" s="130"/>
      <c r="CM249" s="130"/>
      <c r="CN249" s="130"/>
      <c r="CO249" s="130"/>
      <c r="CP249" s="130"/>
      <c r="CQ249" s="130"/>
      <c r="CR249" s="131"/>
      <c r="CS249" s="132">
        <f t="shared" si="747"/>
        <v>0</v>
      </c>
      <c r="CT249" s="133"/>
      <c r="CU249" s="130"/>
      <c r="CV249" s="130"/>
      <c r="CW249" s="130"/>
      <c r="CX249" s="130"/>
      <c r="CY249" s="130"/>
      <c r="CZ249" s="130"/>
      <c r="DA249" s="130"/>
      <c r="DB249" s="130"/>
      <c r="DC249" s="130"/>
      <c r="DD249" s="130"/>
      <c r="DE249" s="131"/>
      <c r="DF249" s="132">
        <f t="shared" si="748"/>
        <v>0</v>
      </c>
      <c r="DG249" s="278"/>
      <c r="DH249" s="159">
        <f t="shared" si="614"/>
        <v>6722.9561944779416</v>
      </c>
      <c r="DI249" s="160">
        <f t="shared" si="749"/>
        <v>6722.9561944779425</v>
      </c>
      <c r="DJ249" s="161">
        <f t="shared" si="750"/>
        <v>0</v>
      </c>
    </row>
    <row r="250" spans="1:115" ht="15" customHeight="1">
      <c r="A250" s="599"/>
      <c r="B250" s="548"/>
      <c r="C250" s="135" t="s">
        <v>63</v>
      </c>
      <c r="D250" s="233"/>
      <c r="E250" s="136">
        <f t="shared" si="759"/>
        <v>18800.216548489185</v>
      </c>
      <c r="F250" s="136"/>
      <c r="G250" s="137">
        <v>-120.045915808814</v>
      </c>
      <c r="H250" s="138">
        <v>303.87641176887001</v>
      </c>
      <c r="I250" s="138">
        <v>-297.896571884053</v>
      </c>
      <c r="J250" s="138">
        <v>-9.9071555421560298</v>
      </c>
      <c r="K250" s="138">
        <v>30.4</v>
      </c>
      <c r="L250" s="138">
        <v>88.969388530892999</v>
      </c>
      <c r="M250" s="138">
        <v>99.133653049455859</v>
      </c>
      <c r="N250" s="138">
        <v>380.02655681756585</v>
      </c>
      <c r="O250" s="138">
        <v>209.51374501584601</v>
      </c>
      <c r="P250" s="138">
        <v>250.43770151409601</v>
      </c>
      <c r="Q250" s="138">
        <v>-274.094383015186</v>
      </c>
      <c r="R250" s="139"/>
      <c r="S250" s="140">
        <f t="shared" si="741"/>
        <v>660.41343044651762</v>
      </c>
      <c r="T250" s="380">
        <v>366.502647982707</v>
      </c>
      <c r="U250" s="381">
        <v>438.92278399853228</v>
      </c>
      <c r="V250" s="381">
        <v>308.111526794913</v>
      </c>
      <c r="W250" s="381">
        <v>977.12215160282301</v>
      </c>
      <c r="X250" s="381">
        <v>156.41690105916507</v>
      </c>
      <c r="Y250" s="381">
        <v>3.9630642412713498E-3</v>
      </c>
      <c r="Z250" s="381">
        <v>0.54991034070531974</v>
      </c>
      <c r="AA250" s="381">
        <v>1.6287299927612</v>
      </c>
      <c r="AB250" s="381"/>
      <c r="AC250" s="381">
        <v>3313.5185956379701</v>
      </c>
      <c r="AD250" s="381">
        <v>329.900561559506</v>
      </c>
      <c r="AE250" s="392">
        <v>570.88685734243199</v>
      </c>
      <c r="AF250" s="140">
        <f t="shared" si="742"/>
        <v>6463.5646293757563</v>
      </c>
      <c r="AG250" s="497"/>
      <c r="AH250" s="499">
        <v>2490.89002418276</v>
      </c>
      <c r="AI250" s="499">
        <v>390.63988536514398</v>
      </c>
      <c r="AJ250" s="499">
        <v>2368.7443612310008</v>
      </c>
      <c r="AK250" s="499">
        <v>11.988342955068219</v>
      </c>
      <c r="AL250" s="499">
        <v>386.83816352809902</v>
      </c>
      <c r="AM250" s="499">
        <v>540.94355663182796</v>
      </c>
      <c r="AN250" s="499">
        <f>1013.41117815047+2</f>
        <v>1015.4111781504701</v>
      </c>
      <c r="AO250" s="499">
        <v>38.315473341412101</v>
      </c>
      <c r="AP250" s="499"/>
      <c r="AQ250" s="499">
        <v>414</v>
      </c>
      <c r="AR250" s="511"/>
      <c r="AS250" s="407">
        <f t="shared" si="743"/>
        <v>7657.7709853857823</v>
      </c>
      <c r="AT250" s="501"/>
      <c r="AU250" s="499">
        <v>288.79438826178375</v>
      </c>
      <c r="AV250" s="499">
        <v>841.10311501934495</v>
      </c>
      <c r="AW250" s="138"/>
      <c r="AX250" s="138">
        <v>152.03</v>
      </c>
      <c r="AY250" s="138"/>
      <c r="AZ250" s="138"/>
      <c r="BA250" s="138">
        <v>152.03</v>
      </c>
      <c r="BB250" s="138"/>
      <c r="BC250" s="138"/>
      <c r="BD250" s="138">
        <v>152.03</v>
      </c>
      <c r="BE250" s="139"/>
      <c r="BF250" s="140">
        <f t="shared" si="744"/>
        <v>1585.9875032811285</v>
      </c>
      <c r="BG250" s="141"/>
      <c r="BH250" s="138">
        <v>152.03</v>
      </c>
      <c r="BI250" s="138"/>
      <c r="BJ250" s="138"/>
      <c r="BK250" s="138">
        <v>152.03</v>
      </c>
      <c r="BL250" s="138"/>
      <c r="BM250" s="138"/>
      <c r="BN250" s="138">
        <v>152.03</v>
      </c>
      <c r="BO250" s="138"/>
      <c r="BP250" s="138"/>
      <c r="BQ250" s="138">
        <v>152.03</v>
      </c>
      <c r="BR250" s="139"/>
      <c r="BS250" s="140">
        <f t="shared" si="745"/>
        <v>608.12</v>
      </c>
      <c r="BT250" s="141"/>
      <c r="BU250" s="138">
        <v>152.03</v>
      </c>
      <c r="BV250" s="138"/>
      <c r="BW250" s="138"/>
      <c r="BX250" s="138">
        <v>152.03</v>
      </c>
      <c r="BY250" s="138"/>
      <c r="BZ250" s="138"/>
      <c r="CA250" s="138">
        <v>152.03</v>
      </c>
      <c r="CB250" s="138"/>
      <c r="CC250" s="138"/>
      <c r="CD250" s="138">
        <v>152.03</v>
      </c>
      <c r="CE250" s="139"/>
      <c r="CF250" s="140">
        <f t="shared" si="746"/>
        <v>608.12</v>
      </c>
      <c r="CG250" s="141"/>
      <c r="CH250" s="138">
        <v>152.03</v>
      </c>
      <c r="CI250" s="138"/>
      <c r="CJ250" s="138"/>
      <c r="CK250" s="138">
        <v>152.03</v>
      </c>
      <c r="CL250" s="138"/>
      <c r="CM250" s="138"/>
      <c r="CN250" s="138">
        <v>152.03</v>
      </c>
      <c r="CO250" s="138"/>
      <c r="CP250" s="138"/>
      <c r="CQ250" s="138">
        <v>152.03</v>
      </c>
      <c r="CR250" s="139"/>
      <c r="CS250" s="140">
        <f t="shared" si="747"/>
        <v>608.12</v>
      </c>
      <c r="CT250" s="141"/>
      <c r="CU250" s="138">
        <v>152.03</v>
      </c>
      <c r="CV250" s="138"/>
      <c r="CW250" s="138"/>
      <c r="CX250" s="138">
        <v>152.03</v>
      </c>
      <c r="CY250" s="138"/>
      <c r="CZ250" s="138"/>
      <c r="DA250" s="138">
        <v>152.03</v>
      </c>
      <c r="DB250" s="138"/>
      <c r="DC250" s="138"/>
      <c r="DD250" s="138">
        <v>152.03</v>
      </c>
      <c r="DE250" s="139"/>
      <c r="DF250" s="140">
        <f t="shared" si="748"/>
        <v>608.12</v>
      </c>
      <c r="DG250" s="279"/>
      <c r="DH250" s="90">
        <f t="shared" si="614"/>
        <v>16975.856548489184</v>
      </c>
      <c r="DI250" s="91">
        <f t="shared" si="749"/>
        <v>18800.216548489185</v>
      </c>
      <c r="DJ250" s="92">
        <f t="shared" si="750"/>
        <v>1824.3600000000006</v>
      </c>
      <c r="DK250" s="64">
        <f>+DH250/DH249</f>
        <v>2.5250583311003432</v>
      </c>
    </row>
    <row r="251" spans="1:115" ht="15" customHeight="1">
      <c r="A251" s="599"/>
      <c r="B251" s="549"/>
      <c r="C251" s="286" t="s">
        <v>11</v>
      </c>
      <c r="D251" s="236"/>
      <c r="E251" s="143">
        <f t="shared" ref="E251:R251" si="825">+E249-E250</f>
        <v>-12077.260354011243</v>
      </c>
      <c r="F251" s="144">
        <f t="shared" si="825"/>
        <v>0</v>
      </c>
      <c r="G251" s="145">
        <f t="shared" si="825"/>
        <v>120.045915808814</v>
      </c>
      <c r="H251" s="145">
        <f t="shared" si="825"/>
        <v>-303.87641176887001</v>
      </c>
      <c r="I251" s="145">
        <f t="shared" si="825"/>
        <v>297.896571884053</v>
      </c>
      <c r="J251" s="145">
        <f t="shared" si="825"/>
        <v>9.9071555421560298</v>
      </c>
      <c r="K251" s="145">
        <f t="shared" si="825"/>
        <v>-30.4</v>
      </c>
      <c r="L251" s="145">
        <f t="shared" si="825"/>
        <v>-88.969388530892999</v>
      </c>
      <c r="M251" s="145">
        <f t="shared" si="825"/>
        <v>-99.133653049455859</v>
      </c>
      <c r="N251" s="145">
        <f t="shared" si="825"/>
        <v>-380.02655681756585</v>
      </c>
      <c r="O251" s="145">
        <f t="shared" si="825"/>
        <v>-209.51374501584601</v>
      </c>
      <c r="P251" s="145">
        <f t="shared" si="825"/>
        <v>-250.43770151409601</v>
      </c>
      <c r="Q251" s="145">
        <f t="shared" si="825"/>
        <v>274.094383015186</v>
      </c>
      <c r="R251" s="146">
        <f t="shared" si="825"/>
        <v>38.616868378797001</v>
      </c>
      <c r="S251" s="147">
        <f t="shared" si="741"/>
        <v>-621.79656206772063</v>
      </c>
      <c r="T251" s="148">
        <f t="shared" ref="T251:AE251" si="826">+T249-T250</f>
        <v>-365.73928920408105</v>
      </c>
      <c r="U251" s="145">
        <f t="shared" si="826"/>
        <v>-438.00291482437041</v>
      </c>
      <c r="V251" s="145">
        <f t="shared" si="826"/>
        <v>-307.46164864706572</v>
      </c>
      <c r="W251" s="145">
        <f t="shared" si="826"/>
        <v>-975.02647418603374</v>
      </c>
      <c r="X251" s="145">
        <f t="shared" si="826"/>
        <v>-156.07212813374699</v>
      </c>
      <c r="Y251" s="145">
        <f t="shared" si="826"/>
        <v>1.7782254706064986</v>
      </c>
      <c r="Z251" s="145">
        <f t="shared" si="826"/>
        <v>226.88755545413755</v>
      </c>
      <c r="AA251" s="145">
        <f t="shared" si="826"/>
        <v>1124.8520503843088</v>
      </c>
      <c r="AB251" s="145">
        <f t="shared" si="826"/>
        <v>1239.13034884632</v>
      </c>
      <c r="AC251" s="145">
        <f t="shared" si="826"/>
        <v>-3310.6121936450086</v>
      </c>
      <c r="AD251" s="145">
        <f t="shared" si="826"/>
        <v>-329.80197334276966</v>
      </c>
      <c r="AE251" s="146">
        <f t="shared" si="826"/>
        <v>-570.5296724305507</v>
      </c>
      <c r="AF251" s="147">
        <f t="shared" si="742"/>
        <v>-3860.5981142582536</v>
      </c>
      <c r="AG251" s="148">
        <f t="shared" ref="AG251:AR251" si="827">+AG249-AG250</f>
        <v>2212.0676949602766</v>
      </c>
      <c r="AH251" s="145">
        <f t="shared" si="827"/>
        <v>-2490.89002418276</v>
      </c>
      <c r="AI251" s="145">
        <f t="shared" si="827"/>
        <v>-390.63988536514398</v>
      </c>
      <c r="AJ251" s="145">
        <f t="shared" si="827"/>
        <v>-2367.0528992696736</v>
      </c>
      <c r="AK251" s="145">
        <f t="shared" si="827"/>
        <v>-11.988342955068219</v>
      </c>
      <c r="AL251" s="145">
        <f t="shared" si="827"/>
        <v>-386.83816352809902</v>
      </c>
      <c r="AM251" s="145">
        <f t="shared" si="827"/>
        <v>-540.94355663182796</v>
      </c>
      <c r="AN251" s="145">
        <f t="shared" si="827"/>
        <v>-1015.4111781504701</v>
      </c>
      <c r="AO251" s="145">
        <f t="shared" si="827"/>
        <v>-38.315473341412101</v>
      </c>
      <c r="AP251" s="145">
        <f t="shared" si="827"/>
        <v>479.96134134208802</v>
      </c>
      <c r="AQ251" s="145">
        <f t="shared" si="827"/>
        <v>-411.01713958246506</v>
      </c>
      <c r="AR251" s="146">
        <f t="shared" si="827"/>
        <v>541.35648645384799</v>
      </c>
      <c r="AS251" s="408">
        <f t="shared" si="743"/>
        <v>-4419.7111402507071</v>
      </c>
      <c r="AT251" s="148">
        <f t="shared" ref="AT251:BE251" si="828">+AT249-AT250</f>
        <v>842.84405055335219</v>
      </c>
      <c r="AU251" s="145">
        <f t="shared" si="828"/>
        <v>-288.32547296856796</v>
      </c>
      <c r="AV251" s="145">
        <f t="shared" si="828"/>
        <v>-841.10311501934495</v>
      </c>
      <c r="AW251" s="145">
        <f t="shared" si="828"/>
        <v>0</v>
      </c>
      <c r="AX251" s="145">
        <f t="shared" si="828"/>
        <v>-152.03</v>
      </c>
      <c r="AY251" s="145">
        <f t="shared" si="828"/>
        <v>0</v>
      </c>
      <c r="AZ251" s="145">
        <f t="shared" si="828"/>
        <v>0</v>
      </c>
      <c r="BA251" s="145">
        <f t="shared" si="828"/>
        <v>-152.03</v>
      </c>
      <c r="BB251" s="145">
        <f t="shared" si="828"/>
        <v>0</v>
      </c>
      <c r="BC251" s="145">
        <f t="shared" si="828"/>
        <v>0</v>
      </c>
      <c r="BD251" s="145">
        <f t="shared" si="828"/>
        <v>-152.03</v>
      </c>
      <c r="BE251" s="146">
        <f t="shared" si="828"/>
        <v>0</v>
      </c>
      <c r="BF251" s="147">
        <f t="shared" si="744"/>
        <v>-742.67453743456065</v>
      </c>
      <c r="BG251" s="148">
        <f t="shared" ref="BG251:BR251" si="829">+BG249-BG250</f>
        <v>0</v>
      </c>
      <c r="BH251" s="145">
        <f t="shared" si="829"/>
        <v>-152.03</v>
      </c>
      <c r="BI251" s="145">
        <f t="shared" si="829"/>
        <v>0</v>
      </c>
      <c r="BJ251" s="145">
        <f t="shared" si="829"/>
        <v>0</v>
      </c>
      <c r="BK251" s="145">
        <f t="shared" si="829"/>
        <v>-152.03</v>
      </c>
      <c r="BL251" s="145">
        <f t="shared" si="829"/>
        <v>0</v>
      </c>
      <c r="BM251" s="145">
        <f t="shared" si="829"/>
        <v>0</v>
      </c>
      <c r="BN251" s="145">
        <f t="shared" si="829"/>
        <v>-152.03</v>
      </c>
      <c r="BO251" s="145">
        <f t="shared" si="829"/>
        <v>0</v>
      </c>
      <c r="BP251" s="145">
        <f t="shared" si="829"/>
        <v>0</v>
      </c>
      <c r="BQ251" s="145">
        <f t="shared" si="829"/>
        <v>-152.03</v>
      </c>
      <c r="BR251" s="146">
        <f t="shared" si="829"/>
        <v>0</v>
      </c>
      <c r="BS251" s="147">
        <f t="shared" si="745"/>
        <v>-608.12</v>
      </c>
      <c r="BT251" s="148">
        <f t="shared" ref="BT251:CE251" si="830">+BT249-BT250</f>
        <v>0</v>
      </c>
      <c r="BU251" s="145">
        <f t="shared" si="830"/>
        <v>-152.03</v>
      </c>
      <c r="BV251" s="145">
        <f t="shared" si="830"/>
        <v>0</v>
      </c>
      <c r="BW251" s="145">
        <f t="shared" si="830"/>
        <v>0</v>
      </c>
      <c r="BX251" s="145">
        <f t="shared" si="830"/>
        <v>-152.03</v>
      </c>
      <c r="BY251" s="145">
        <f t="shared" si="830"/>
        <v>0</v>
      </c>
      <c r="BZ251" s="145">
        <f t="shared" si="830"/>
        <v>0</v>
      </c>
      <c r="CA251" s="145">
        <f t="shared" si="830"/>
        <v>-152.03</v>
      </c>
      <c r="CB251" s="145">
        <f t="shared" si="830"/>
        <v>0</v>
      </c>
      <c r="CC251" s="145">
        <f t="shared" si="830"/>
        <v>0</v>
      </c>
      <c r="CD251" s="145">
        <f t="shared" si="830"/>
        <v>-152.03</v>
      </c>
      <c r="CE251" s="146">
        <f t="shared" si="830"/>
        <v>0</v>
      </c>
      <c r="CF251" s="147">
        <f t="shared" si="746"/>
        <v>-608.12</v>
      </c>
      <c r="CG251" s="148">
        <f t="shared" ref="CG251:CR251" si="831">+CG249-CG250</f>
        <v>0</v>
      </c>
      <c r="CH251" s="145">
        <f t="shared" si="831"/>
        <v>-152.03</v>
      </c>
      <c r="CI251" s="145">
        <f t="shared" si="831"/>
        <v>0</v>
      </c>
      <c r="CJ251" s="145">
        <f t="shared" si="831"/>
        <v>0</v>
      </c>
      <c r="CK251" s="145">
        <f t="shared" si="831"/>
        <v>-152.03</v>
      </c>
      <c r="CL251" s="145">
        <f t="shared" si="831"/>
        <v>0</v>
      </c>
      <c r="CM251" s="145">
        <f t="shared" si="831"/>
        <v>0</v>
      </c>
      <c r="CN251" s="145">
        <f t="shared" si="831"/>
        <v>-152.03</v>
      </c>
      <c r="CO251" s="145">
        <f t="shared" si="831"/>
        <v>0</v>
      </c>
      <c r="CP251" s="145">
        <f t="shared" si="831"/>
        <v>0</v>
      </c>
      <c r="CQ251" s="145">
        <f t="shared" si="831"/>
        <v>-152.03</v>
      </c>
      <c r="CR251" s="146">
        <f t="shared" si="831"/>
        <v>0</v>
      </c>
      <c r="CS251" s="147">
        <f t="shared" si="747"/>
        <v>-608.12</v>
      </c>
      <c r="CT251" s="148">
        <f t="shared" ref="CT251:DE251" si="832">+CT249-CT250</f>
        <v>0</v>
      </c>
      <c r="CU251" s="145">
        <f t="shared" si="832"/>
        <v>-152.03</v>
      </c>
      <c r="CV251" s="145">
        <f t="shared" si="832"/>
        <v>0</v>
      </c>
      <c r="CW251" s="145">
        <f t="shared" si="832"/>
        <v>0</v>
      </c>
      <c r="CX251" s="145">
        <f t="shared" si="832"/>
        <v>-152.03</v>
      </c>
      <c r="CY251" s="145">
        <f t="shared" si="832"/>
        <v>0</v>
      </c>
      <c r="CZ251" s="145">
        <f t="shared" si="832"/>
        <v>0</v>
      </c>
      <c r="DA251" s="145">
        <f t="shared" si="832"/>
        <v>-152.03</v>
      </c>
      <c r="DB251" s="145">
        <f t="shared" si="832"/>
        <v>0</v>
      </c>
      <c r="DC251" s="145">
        <f t="shared" si="832"/>
        <v>0</v>
      </c>
      <c r="DD251" s="145">
        <f t="shared" si="832"/>
        <v>-152.03</v>
      </c>
      <c r="DE251" s="146">
        <f t="shared" si="832"/>
        <v>0</v>
      </c>
      <c r="DF251" s="147">
        <f t="shared" si="748"/>
        <v>-608.12</v>
      </c>
      <c r="DG251" s="146">
        <f>+DG249-DG250</f>
        <v>0</v>
      </c>
      <c r="DH251" s="98">
        <f t="shared" si="614"/>
        <v>-10252.900354011243</v>
      </c>
      <c r="DI251" s="99">
        <f t="shared" si="749"/>
        <v>-12077.260354011243</v>
      </c>
      <c r="DJ251" s="100">
        <f t="shared" si="750"/>
        <v>-1824.3600000000006</v>
      </c>
    </row>
    <row r="252" spans="1:115" ht="15" customHeight="1">
      <c r="A252" s="599"/>
      <c r="B252" s="593" t="s">
        <v>194</v>
      </c>
      <c r="C252" s="152" t="s">
        <v>62</v>
      </c>
      <c r="D252" s="235"/>
      <c r="E252" s="136">
        <f t="shared" si="759"/>
        <v>0</v>
      </c>
      <c r="F252" s="128"/>
      <c r="G252" s="129"/>
      <c r="H252" s="130"/>
      <c r="I252" s="130"/>
      <c r="J252" s="130"/>
      <c r="K252" s="130"/>
      <c r="L252" s="130"/>
      <c r="M252" s="130"/>
      <c r="N252" s="130"/>
      <c r="O252" s="130"/>
      <c r="P252" s="130"/>
      <c r="Q252" s="130"/>
      <c r="R252" s="131"/>
      <c r="S252" s="132">
        <f>SUM(G252:R252)</f>
        <v>0</v>
      </c>
      <c r="T252" s="385"/>
      <c r="U252" s="379"/>
      <c r="V252" s="379"/>
      <c r="W252" s="379"/>
      <c r="X252" s="379"/>
      <c r="Y252" s="379"/>
      <c r="Z252" s="379"/>
      <c r="AA252" s="379"/>
      <c r="AB252" s="379"/>
      <c r="AC252" s="379"/>
      <c r="AD252" s="379"/>
      <c r="AE252" s="480"/>
      <c r="AF252" s="132">
        <f>SUM(T252:AE252)</f>
        <v>0</v>
      </c>
      <c r="AG252" s="496"/>
      <c r="AH252" s="510"/>
      <c r="AI252" s="510"/>
      <c r="AJ252" s="510"/>
      <c r="AK252" s="510"/>
      <c r="AL252" s="510"/>
      <c r="AM252" s="510"/>
      <c r="AN252" s="510"/>
      <c r="AO252" s="510"/>
      <c r="AP252" s="510"/>
      <c r="AQ252" s="510"/>
      <c r="AR252" s="515"/>
      <c r="AS252" s="406">
        <f>SUM(AG252:AR252)</f>
        <v>0</v>
      </c>
      <c r="AT252" s="516"/>
      <c r="AU252" s="510"/>
      <c r="AV252" s="510"/>
      <c r="AW252" s="130"/>
      <c r="AX252" s="130"/>
      <c r="AY252" s="130"/>
      <c r="AZ252" s="130"/>
      <c r="BA252" s="130"/>
      <c r="BB252" s="130"/>
      <c r="BC252" s="130"/>
      <c r="BD252" s="130"/>
      <c r="BE252" s="131"/>
      <c r="BF252" s="132">
        <f>SUM(AT252:BE252)</f>
        <v>0</v>
      </c>
      <c r="BG252" s="133"/>
      <c r="BH252" s="130"/>
      <c r="BI252" s="130"/>
      <c r="BJ252" s="130"/>
      <c r="BK252" s="130"/>
      <c r="BL252" s="130"/>
      <c r="BM252" s="130"/>
      <c r="BN252" s="130"/>
      <c r="BO252" s="130"/>
      <c r="BP252" s="130"/>
      <c r="BQ252" s="130"/>
      <c r="BR252" s="131"/>
      <c r="BS252" s="132">
        <f>SUM(BG252:BR252)</f>
        <v>0</v>
      </c>
      <c r="BT252" s="133"/>
      <c r="BU252" s="130"/>
      <c r="BV252" s="130"/>
      <c r="BW252" s="130"/>
      <c r="BX252" s="130"/>
      <c r="BY252" s="130"/>
      <c r="BZ252" s="130"/>
      <c r="CA252" s="130"/>
      <c r="CB252" s="130"/>
      <c r="CC252" s="130"/>
      <c r="CD252" s="130"/>
      <c r="CE252" s="131"/>
      <c r="CF252" s="132">
        <f t="shared" si="746"/>
        <v>0</v>
      </c>
      <c r="CG252" s="133"/>
      <c r="CH252" s="130"/>
      <c r="CI252" s="130"/>
      <c r="CJ252" s="130"/>
      <c r="CK252" s="130"/>
      <c r="CL252" s="130"/>
      <c r="CM252" s="130"/>
      <c r="CN252" s="130"/>
      <c r="CO252" s="130"/>
      <c r="CP252" s="130"/>
      <c r="CQ252" s="130"/>
      <c r="CR252" s="131"/>
      <c r="CS252" s="132">
        <f t="shared" si="747"/>
        <v>0</v>
      </c>
      <c r="CT252" s="133"/>
      <c r="CU252" s="130"/>
      <c r="CV252" s="130"/>
      <c r="CW252" s="130"/>
      <c r="CX252" s="130"/>
      <c r="CY252" s="130"/>
      <c r="CZ252" s="130"/>
      <c r="DA252" s="130"/>
      <c r="DB252" s="130"/>
      <c r="DC252" s="130"/>
      <c r="DD252" s="130"/>
      <c r="DE252" s="131"/>
      <c r="DF252" s="132">
        <f t="shared" si="748"/>
        <v>0</v>
      </c>
      <c r="DG252" s="278"/>
      <c r="DH252" s="159">
        <f>+F252+S252+AF252+AS252+BF252+BS252+DG252</f>
        <v>0</v>
      </c>
      <c r="DI252" s="160">
        <f>+E252</f>
        <v>0</v>
      </c>
      <c r="DJ252" s="161">
        <f>+DI252-DH252</f>
        <v>0</v>
      </c>
    </row>
    <row r="253" spans="1:115" ht="15" customHeight="1">
      <c r="A253" s="599"/>
      <c r="B253" s="548"/>
      <c r="C253" s="135" t="s">
        <v>63</v>
      </c>
      <c r="D253" s="233"/>
      <c r="E253" s="136">
        <f t="shared" si="759"/>
        <v>33720.02376158136</v>
      </c>
      <c r="F253" s="136"/>
      <c r="G253" s="137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9"/>
      <c r="S253" s="140">
        <f>SUM(G253:R253)</f>
        <v>0</v>
      </c>
      <c r="T253" s="380">
        <v>279.32077565504437</v>
      </c>
      <c r="U253" s="381"/>
      <c r="V253" s="381">
        <v>150.69456551584076</v>
      </c>
      <c r="W253" s="381">
        <v>56.434657573468009</v>
      </c>
      <c r="X253" s="381"/>
      <c r="Y253" s="381"/>
      <c r="Z253" s="381"/>
      <c r="AA253" s="381"/>
      <c r="AB253" s="381"/>
      <c r="AC253" s="381"/>
      <c r="AD253" s="381"/>
      <c r="AE253" s="392"/>
      <c r="AF253" s="140">
        <f>SUM(T253:AE253)</f>
        <v>486.44999874435314</v>
      </c>
      <c r="AG253" s="497"/>
      <c r="AH253" s="499">
        <v>645.62474969637617</v>
      </c>
      <c r="AI253" s="499">
        <v>203.49039073184073</v>
      </c>
      <c r="AJ253" s="499"/>
      <c r="AK253" s="499"/>
      <c r="AL253" s="499"/>
      <c r="AM253" s="499"/>
      <c r="AN253" s="499"/>
      <c r="AO253" s="499"/>
      <c r="AP253" s="499"/>
      <c r="AQ253" s="499"/>
      <c r="AR253" s="511"/>
      <c r="AS253" s="407">
        <f>SUM(AG253:AR253)</f>
        <v>849.11514042821693</v>
      </c>
      <c r="AT253" s="501">
        <v>3237.6683547493553</v>
      </c>
      <c r="AU253" s="499"/>
      <c r="AV253" s="499">
        <v>763.62990025032241</v>
      </c>
      <c r="AW253" s="138">
        <v>290</v>
      </c>
      <c r="AX253" s="138"/>
      <c r="AY253" s="138"/>
      <c r="AZ253" s="138">
        <v>847</v>
      </c>
      <c r="BA253" s="138"/>
      <c r="BB253" s="138"/>
      <c r="BC253" s="138">
        <v>800</v>
      </c>
      <c r="BD253" s="138"/>
      <c r="BE253" s="139"/>
      <c r="BF253" s="140">
        <f>SUM(AT253:BE253)</f>
        <v>5938.2982549996777</v>
      </c>
      <c r="BG253" s="141">
        <v>869</v>
      </c>
      <c r="BH253" s="138"/>
      <c r="BI253" s="138">
        <v>373</v>
      </c>
      <c r="BJ253" s="138">
        <v>1823.4197340626658</v>
      </c>
      <c r="BK253" s="138"/>
      <c r="BL253" s="138"/>
      <c r="BM253" s="138">
        <v>2635.2553113213803</v>
      </c>
      <c r="BN253" s="138"/>
      <c r="BO253" s="138"/>
      <c r="BP253" s="138">
        <v>3077.9160317875608</v>
      </c>
      <c r="BQ253" s="138"/>
      <c r="BR253" s="139"/>
      <c r="BS253" s="140">
        <f>SUM(BG253:BR253)</f>
        <v>8778.591077171608</v>
      </c>
      <c r="BT253" s="141">
        <v>1022</v>
      </c>
      <c r="BU253" s="138"/>
      <c r="BV253" s="138">
        <v>2140</v>
      </c>
      <c r="BW253" s="138">
        <v>2848.9146030491652</v>
      </c>
      <c r="BX253" s="138"/>
      <c r="BY253" s="138"/>
      <c r="BZ253" s="138">
        <v>3204.022064492146</v>
      </c>
      <c r="CA253" s="138"/>
      <c r="CB253" s="138"/>
      <c r="CC253" s="138">
        <v>3432.9644611281628</v>
      </c>
      <c r="CD253" s="138"/>
      <c r="CE253" s="139"/>
      <c r="CF253" s="140">
        <f t="shared" si="746"/>
        <v>12647.901128669473</v>
      </c>
      <c r="CG253" s="141">
        <v>83</v>
      </c>
      <c r="CH253" s="138"/>
      <c r="CI253" s="138">
        <v>1735</v>
      </c>
      <c r="CJ253" s="138">
        <v>332.14730752411708</v>
      </c>
      <c r="CK253" s="138"/>
      <c r="CL253" s="138"/>
      <c r="CM253" s="138">
        <v>485.54710138291853</v>
      </c>
      <c r="CN253" s="138"/>
      <c r="CO253" s="138"/>
      <c r="CP253" s="138">
        <v>602.37695768618107</v>
      </c>
      <c r="CQ253" s="138"/>
      <c r="CR253" s="139"/>
      <c r="CS253" s="140">
        <f t="shared" si="747"/>
        <v>3238.0713665932167</v>
      </c>
      <c r="CT253" s="141"/>
      <c r="CU253" s="138"/>
      <c r="CV253" s="138">
        <v>683.16852916509742</v>
      </c>
      <c r="CW253" s="138">
        <v>0</v>
      </c>
      <c r="CX253" s="138"/>
      <c r="CY253" s="138"/>
      <c r="CZ253" s="138">
        <v>561.73362108254696</v>
      </c>
      <c r="DA253" s="138"/>
      <c r="DB253" s="138"/>
      <c r="DC253" s="138">
        <v>536.6946447271697</v>
      </c>
      <c r="DD253" s="138"/>
      <c r="DE253" s="139"/>
      <c r="DF253" s="140">
        <f t="shared" si="748"/>
        <v>1781.5967949748142</v>
      </c>
      <c r="DG253" s="279"/>
      <c r="DH253" s="90">
        <f>+F253+S253+AF253+AS253+BF253+BS253+DG253</f>
        <v>16052.454471343855</v>
      </c>
      <c r="DI253" s="91">
        <f>+E253</f>
        <v>33720.02376158136</v>
      </c>
      <c r="DJ253" s="92">
        <f>+DI253-DH253</f>
        <v>17667.569290237505</v>
      </c>
      <c r="DK253" s="64" t="e">
        <f>+DH253/DH252</f>
        <v>#DIV/0!</v>
      </c>
    </row>
    <row r="254" spans="1:115" ht="15" customHeight="1">
      <c r="A254" s="599"/>
      <c r="B254" s="549"/>
      <c r="C254" s="286" t="s">
        <v>11</v>
      </c>
      <c r="D254" s="236"/>
      <c r="E254" s="143">
        <f t="shared" ref="E254:R254" si="833">+E252-E253</f>
        <v>-33720.02376158136</v>
      </c>
      <c r="F254" s="144">
        <f t="shared" si="833"/>
        <v>0</v>
      </c>
      <c r="G254" s="145">
        <f t="shared" si="833"/>
        <v>0</v>
      </c>
      <c r="H254" s="145">
        <f t="shared" si="833"/>
        <v>0</v>
      </c>
      <c r="I254" s="145">
        <f t="shared" si="833"/>
        <v>0</v>
      </c>
      <c r="J254" s="145">
        <f t="shared" si="833"/>
        <v>0</v>
      </c>
      <c r="K254" s="145">
        <f t="shared" si="833"/>
        <v>0</v>
      </c>
      <c r="L254" s="145">
        <f t="shared" si="833"/>
        <v>0</v>
      </c>
      <c r="M254" s="145">
        <f t="shared" si="833"/>
        <v>0</v>
      </c>
      <c r="N254" s="145">
        <f t="shared" si="833"/>
        <v>0</v>
      </c>
      <c r="O254" s="145">
        <f t="shared" si="833"/>
        <v>0</v>
      </c>
      <c r="P254" s="145">
        <f t="shared" si="833"/>
        <v>0</v>
      </c>
      <c r="Q254" s="145">
        <f t="shared" si="833"/>
        <v>0</v>
      </c>
      <c r="R254" s="146">
        <f t="shared" si="833"/>
        <v>0</v>
      </c>
      <c r="S254" s="147">
        <f>SUM(G254:R254)</f>
        <v>0</v>
      </c>
      <c r="T254" s="148">
        <f t="shared" ref="T254:AE254" si="834">+T252-T253</f>
        <v>-279.32077565504437</v>
      </c>
      <c r="U254" s="145">
        <f t="shared" si="834"/>
        <v>0</v>
      </c>
      <c r="V254" s="145">
        <f t="shared" si="834"/>
        <v>-150.69456551584076</v>
      </c>
      <c r="W254" s="145">
        <f t="shared" si="834"/>
        <v>-56.434657573468009</v>
      </c>
      <c r="X254" s="145">
        <f t="shared" si="834"/>
        <v>0</v>
      </c>
      <c r="Y254" s="145">
        <f t="shared" si="834"/>
        <v>0</v>
      </c>
      <c r="Z254" s="145">
        <f t="shared" si="834"/>
        <v>0</v>
      </c>
      <c r="AA254" s="145">
        <f t="shared" si="834"/>
        <v>0</v>
      </c>
      <c r="AB254" s="145">
        <f t="shared" si="834"/>
        <v>0</v>
      </c>
      <c r="AC254" s="145">
        <f t="shared" si="834"/>
        <v>0</v>
      </c>
      <c r="AD254" s="145">
        <f t="shared" si="834"/>
        <v>0</v>
      </c>
      <c r="AE254" s="146">
        <f t="shared" si="834"/>
        <v>0</v>
      </c>
      <c r="AF254" s="147">
        <f>SUM(T254:AE254)</f>
        <v>-486.44999874435314</v>
      </c>
      <c r="AG254" s="148">
        <f t="shared" ref="AG254:AR254" si="835">+AG252-AG253</f>
        <v>0</v>
      </c>
      <c r="AH254" s="145">
        <f t="shared" si="835"/>
        <v>-645.62474969637617</v>
      </c>
      <c r="AI254" s="145">
        <f t="shared" si="835"/>
        <v>-203.49039073184073</v>
      </c>
      <c r="AJ254" s="145">
        <f t="shared" si="835"/>
        <v>0</v>
      </c>
      <c r="AK254" s="145">
        <f t="shared" si="835"/>
        <v>0</v>
      </c>
      <c r="AL254" s="145">
        <f t="shared" si="835"/>
        <v>0</v>
      </c>
      <c r="AM254" s="145">
        <f t="shared" si="835"/>
        <v>0</v>
      </c>
      <c r="AN254" s="145">
        <f t="shared" si="835"/>
        <v>0</v>
      </c>
      <c r="AO254" s="145">
        <f t="shared" si="835"/>
        <v>0</v>
      </c>
      <c r="AP254" s="145">
        <f t="shared" si="835"/>
        <v>0</v>
      </c>
      <c r="AQ254" s="145">
        <f t="shared" si="835"/>
        <v>0</v>
      </c>
      <c r="AR254" s="146">
        <f t="shared" si="835"/>
        <v>0</v>
      </c>
      <c r="AS254" s="408">
        <f>SUM(AG254:AR254)</f>
        <v>-849.11514042821693</v>
      </c>
      <c r="AT254" s="148">
        <f t="shared" ref="AT254:BE254" si="836">+AT252-AT253</f>
        <v>-3237.6683547493553</v>
      </c>
      <c r="AU254" s="145">
        <f t="shared" si="836"/>
        <v>0</v>
      </c>
      <c r="AV254" s="145">
        <f t="shared" si="836"/>
        <v>-763.62990025032241</v>
      </c>
      <c r="AW254" s="145">
        <f t="shared" si="836"/>
        <v>-290</v>
      </c>
      <c r="AX254" s="145">
        <f t="shared" si="836"/>
        <v>0</v>
      </c>
      <c r="AY254" s="145">
        <f t="shared" si="836"/>
        <v>0</v>
      </c>
      <c r="AZ254" s="145">
        <f t="shared" si="836"/>
        <v>-847</v>
      </c>
      <c r="BA254" s="145">
        <f>+BA252-BA253</f>
        <v>0</v>
      </c>
      <c r="BB254" s="145">
        <f>+BB252-BB253</f>
        <v>0</v>
      </c>
      <c r="BC254" s="145">
        <f t="shared" si="836"/>
        <v>-800</v>
      </c>
      <c r="BD254" s="145">
        <f t="shared" si="836"/>
        <v>0</v>
      </c>
      <c r="BE254" s="146">
        <f t="shared" si="836"/>
        <v>0</v>
      </c>
      <c r="BF254" s="147">
        <f>SUM(AT254:BE254)</f>
        <v>-5938.2982549996777</v>
      </c>
      <c r="BG254" s="148">
        <f t="shared" ref="BG254:BR254" si="837">+BG252-BG253</f>
        <v>-869</v>
      </c>
      <c r="BH254" s="145">
        <f>+BH252-BH253</f>
        <v>0</v>
      </c>
      <c r="BI254" s="145">
        <f>+BI252-BI253</f>
        <v>-373</v>
      </c>
      <c r="BJ254" s="145">
        <f t="shared" si="837"/>
        <v>-1823.4197340626658</v>
      </c>
      <c r="BK254" s="145">
        <f t="shared" si="837"/>
        <v>0</v>
      </c>
      <c r="BL254" s="145">
        <f t="shared" si="837"/>
        <v>0</v>
      </c>
      <c r="BM254" s="145">
        <f t="shared" si="837"/>
        <v>-2635.2553113213803</v>
      </c>
      <c r="BN254" s="145">
        <f t="shared" si="837"/>
        <v>0</v>
      </c>
      <c r="BO254" s="145">
        <f t="shared" si="837"/>
        <v>0</v>
      </c>
      <c r="BP254" s="145">
        <f t="shared" si="837"/>
        <v>-3077.9160317875608</v>
      </c>
      <c r="BQ254" s="145">
        <f t="shared" si="837"/>
        <v>0</v>
      </c>
      <c r="BR254" s="146">
        <f t="shared" si="837"/>
        <v>0</v>
      </c>
      <c r="BS254" s="147">
        <f>SUM(BG254:BR254)</f>
        <v>-8778.591077171608</v>
      </c>
      <c r="BT254" s="148">
        <f t="shared" ref="BT254:CE254" si="838">+BT252-BT253</f>
        <v>-1022</v>
      </c>
      <c r="BU254" s="145">
        <f t="shared" si="838"/>
        <v>0</v>
      </c>
      <c r="BV254" s="145">
        <f t="shared" si="838"/>
        <v>-2140</v>
      </c>
      <c r="BW254" s="145">
        <f t="shared" si="838"/>
        <v>-2848.9146030491652</v>
      </c>
      <c r="BX254" s="145">
        <f t="shared" si="838"/>
        <v>0</v>
      </c>
      <c r="BY254" s="145">
        <f t="shared" si="838"/>
        <v>0</v>
      </c>
      <c r="BZ254" s="145">
        <f t="shared" si="838"/>
        <v>-3204.022064492146</v>
      </c>
      <c r="CA254" s="145">
        <f t="shared" si="838"/>
        <v>0</v>
      </c>
      <c r="CB254" s="145">
        <f t="shared" si="838"/>
        <v>0</v>
      </c>
      <c r="CC254" s="145">
        <f t="shared" si="838"/>
        <v>-3432.9644611281628</v>
      </c>
      <c r="CD254" s="145">
        <f t="shared" si="838"/>
        <v>0</v>
      </c>
      <c r="CE254" s="146">
        <f t="shared" si="838"/>
        <v>0</v>
      </c>
      <c r="CF254" s="147">
        <f t="shared" si="746"/>
        <v>-12647.901128669473</v>
      </c>
      <c r="CG254" s="148">
        <f t="shared" ref="CG254:CR254" si="839">+CG252-CG253</f>
        <v>-83</v>
      </c>
      <c r="CH254" s="145">
        <f t="shared" si="839"/>
        <v>0</v>
      </c>
      <c r="CI254" s="145">
        <f t="shared" si="839"/>
        <v>-1735</v>
      </c>
      <c r="CJ254" s="145">
        <f t="shared" si="839"/>
        <v>-332.14730752411708</v>
      </c>
      <c r="CK254" s="145">
        <f t="shared" si="839"/>
        <v>0</v>
      </c>
      <c r="CL254" s="145">
        <f t="shared" si="839"/>
        <v>0</v>
      </c>
      <c r="CM254" s="145">
        <f t="shared" si="839"/>
        <v>-485.54710138291853</v>
      </c>
      <c r="CN254" s="145">
        <f t="shared" si="839"/>
        <v>0</v>
      </c>
      <c r="CO254" s="145">
        <f t="shared" si="839"/>
        <v>0</v>
      </c>
      <c r="CP254" s="145">
        <f t="shared" si="839"/>
        <v>-602.37695768618107</v>
      </c>
      <c r="CQ254" s="145">
        <f t="shared" si="839"/>
        <v>0</v>
      </c>
      <c r="CR254" s="146">
        <f t="shared" si="839"/>
        <v>0</v>
      </c>
      <c r="CS254" s="147">
        <f t="shared" si="747"/>
        <v>-3238.0713665932167</v>
      </c>
      <c r="CT254" s="148">
        <f t="shared" ref="CT254:DE254" si="840">+CT252-CT253</f>
        <v>0</v>
      </c>
      <c r="CU254" s="145">
        <f t="shared" si="840"/>
        <v>0</v>
      </c>
      <c r="CV254" s="145">
        <f t="shared" si="840"/>
        <v>-683.16852916509742</v>
      </c>
      <c r="CW254" s="145">
        <f t="shared" si="840"/>
        <v>0</v>
      </c>
      <c r="CX254" s="145">
        <f t="shared" si="840"/>
        <v>0</v>
      </c>
      <c r="CY254" s="145">
        <f t="shared" si="840"/>
        <v>0</v>
      </c>
      <c r="CZ254" s="145">
        <f t="shared" si="840"/>
        <v>-561.73362108254696</v>
      </c>
      <c r="DA254" s="145">
        <f t="shared" si="840"/>
        <v>0</v>
      </c>
      <c r="DB254" s="145">
        <f t="shared" si="840"/>
        <v>0</v>
      </c>
      <c r="DC254" s="145">
        <f t="shared" si="840"/>
        <v>-536.6946447271697</v>
      </c>
      <c r="DD254" s="145">
        <f t="shared" si="840"/>
        <v>0</v>
      </c>
      <c r="DE254" s="146">
        <f t="shared" si="840"/>
        <v>0</v>
      </c>
      <c r="DF254" s="147">
        <f t="shared" si="748"/>
        <v>-1781.5967949748142</v>
      </c>
      <c r="DG254" s="146">
        <f>+DG252-DG253</f>
        <v>0</v>
      </c>
      <c r="DH254" s="98">
        <f>+F254+S254+AF254+AS254+BF254+BS254+DG254</f>
        <v>-16052.454471343855</v>
      </c>
      <c r="DI254" s="99">
        <f>+E254</f>
        <v>-33720.02376158136</v>
      </c>
      <c r="DJ254" s="100">
        <f>+DI254-DH254</f>
        <v>-17667.569290237505</v>
      </c>
    </row>
    <row r="255" spans="1:115" ht="15" customHeight="1">
      <c r="A255" s="599"/>
      <c r="B255" s="614" t="s">
        <v>65</v>
      </c>
      <c r="C255" s="217" t="s">
        <v>62</v>
      </c>
      <c r="D255" s="240"/>
      <c r="E255" s="128">
        <f t="shared" ref="E255:R256" si="841">E231+E234+E237+E240+E243+E246+E249</f>
        <v>337616.93073070492</v>
      </c>
      <c r="F255" s="128">
        <f t="shared" si="841"/>
        <v>0</v>
      </c>
      <c r="G255" s="154">
        <f t="shared" si="841"/>
        <v>267</v>
      </c>
      <c r="H255" s="133">
        <f t="shared" si="841"/>
        <v>30</v>
      </c>
      <c r="I255" s="130">
        <f t="shared" si="841"/>
        <v>31.690435910652898</v>
      </c>
      <c r="J255" s="130">
        <f t="shared" si="841"/>
        <v>30.818565921787702</v>
      </c>
      <c r="K255" s="130">
        <f t="shared" si="841"/>
        <v>27.487747982832619</v>
      </c>
      <c r="L255" s="130">
        <f t="shared" si="841"/>
        <v>23.602976832656552</v>
      </c>
      <c r="M255" s="130">
        <f t="shared" si="841"/>
        <v>725.21884549904235</v>
      </c>
      <c r="N255" s="130">
        <f t="shared" si="841"/>
        <v>31.23327056113903</v>
      </c>
      <c r="O255" s="130">
        <f t="shared" si="841"/>
        <v>15.518960995850623</v>
      </c>
      <c r="P255" s="130">
        <f t="shared" si="841"/>
        <v>142.02183032416909</v>
      </c>
      <c r="Q255" s="130">
        <f t="shared" si="841"/>
        <v>58.7377421686747</v>
      </c>
      <c r="R255" s="131">
        <f t="shared" si="841"/>
        <v>75.648699522248137</v>
      </c>
      <c r="S255" s="163">
        <f t="shared" si="741"/>
        <v>1458.9790757190538</v>
      </c>
      <c r="T255" s="383">
        <f>T231+T234+T237+T240+T243+T246+T249+T252</f>
        <v>197.63490303280381</v>
      </c>
      <c r="U255" s="385">
        <f t="shared" ref="U255:AE256" si="842">U231+U234+U237+U240+U243+U246+U249+U252</f>
        <v>92.471413573180712</v>
      </c>
      <c r="V255" s="379">
        <f t="shared" si="842"/>
        <v>23.039887571080421</v>
      </c>
      <c r="W255" s="379">
        <f t="shared" si="842"/>
        <v>23.935457151946551</v>
      </c>
      <c r="X255" s="379">
        <f t="shared" si="842"/>
        <v>332.1635538955378</v>
      </c>
      <c r="Y255" s="379">
        <f t="shared" si="842"/>
        <v>21.484912230008867</v>
      </c>
      <c r="Z255" s="379">
        <f t="shared" si="842"/>
        <v>80973.546918275417</v>
      </c>
      <c r="AA255" s="379">
        <f t="shared" si="842"/>
        <v>1224.268959296076</v>
      </c>
      <c r="AB255" s="379">
        <f t="shared" si="842"/>
        <v>1334.5968974876132</v>
      </c>
      <c r="AC255" s="379">
        <f t="shared" si="842"/>
        <v>96.417079955711969</v>
      </c>
      <c r="AD255" s="379">
        <f t="shared" si="842"/>
        <v>354.9658781843994</v>
      </c>
      <c r="AE255" s="480">
        <f t="shared" si="842"/>
        <v>94.817396789260897</v>
      </c>
      <c r="AF255" s="163">
        <f t="shared" si="742"/>
        <v>84769.343257443063</v>
      </c>
      <c r="AG255" s="498">
        <f>AG231+AG234+AG237+AG240+AG243+AG246+AG249+AG252</f>
        <v>2330.398766030311</v>
      </c>
      <c r="AH255" s="516">
        <f t="shared" ref="AH255:AR256" si="843">AH231+AH234+AH237+AH240+AH243+AH246+AH249+AH252</f>
        <v>112.49558687561215</v>
      </c>
      <c r="AI255" s="510">
        <f t="shared" si="843"/>
        <v>170.20269390067597</v>
      </c>
      <c r="AJ255" s="510">
        <f t="shared" si="843"/>
        <v>115.20103974935607</v>
      </c>
      <c r="AK255" s="510">
        <f t="shared" si="843"/>
        <v>2612.5066700749567</v>
      </c>
      <c r="AL255" s="510">
        <f t="shared" si="843"/>
        <v>959.83911872723763</v>
      </c>
      <c r="AM255" s="510">
        <f t="shared" si="843"/>
        <v>704.82279309686521</v>
      </c>
      <c r="AN255" s="510">
        <f t="shared" si="843"/>
        <v>1520.2153672487593</v>
      </c>
      <c r="AO255" s="510">
        <f t="shared" si="843"/>
        <v>562.73911459082831</v>
      </c>
      <c r="AP255" s="510">
        <f t="shared" si="843"/>
        <v>734.00783679957067</v>
      </c>
      <c r="AQ255" s="510">
        <f t="shared" si="843"/>
        <v>771.97608536354335</v>
      </c>
      <c r="AR255" s="515">
        <f t="shared" si="843"/>
        <v>4421.817291933301</v>
      </c>
      <c r="AS255" s="414">
        <f>SUM(AG255:AR255)</f>
        <v>15016.222364391015</v>
      </c>
      <c r="AT255" s="500">
        <f>AT231+AT234+AT237+AT240+AT243+AT246+AT249+AT252</f>
        <v>1019.9235519575764</v>
      </c>
      <c r="AU255" s="516">
        <f t="shared" ref="AU255:BE256" si="844">AU231+AU234+AU237+AU240+AU243+AU246+AU249+AU252</f>
        <v>273.43196469911845</v>
      </c>
      <c r="AV255" s="510">
        <f t="shared" si="844"/>
        <v>521.78919107942045</v>
      </c>
      <c r="AW255" s="130">
        <f t="shared" si="844"/>
        <v>266.60402010712136</v>
      </c>
      <c r="AX255" s="130">
        <f t="shared" si="844"/>
        <v>253.01033348483634</v>
      </c>
      <c r="AY255" s="130">
        <f t="shared" si="844"/>
        <v>162.95150099325366</v>
      </c>
      <c r="AZ255" s="130">
        <f t="shared" si="844"/>
        <v>97.811221547376476</v>
      </c>
      <c r="BA255" s="130">
        <f t="shared" si="844"/>
        <v>63.92436777499271</v>
      </c>
      <c r="BB255" s="130">
        <f t="shared" si="844"/>
        <v>27.680114598218122</v>
      </c>
      <c r="BC255" s="130">
        <f t="shared" si="844"/>
        <v>8.5249973846808675</v>
      </c>
      <c r="BD255" s="130">
        <f t="shared" si="844"/>
        <v>-17.046107362100809</v>
      </c>
      <c r="BE255" s="131">
        <f t="shared" si="844"/>
        <v>-18.076753256886906</v>
      </c>
      <c r="BF255" s="163">
        <f>SUM(AT255:BE255)</f>
        <v>2660.5284030076073</v>
      </c>
      <c r="BG255" s="154">
        <f>BG231+BG234+BG237+BG240+BG243+BG246+BG249+BG252</f>
        <v>-10.801237138693446</v>
      </c>
      <c r="BH255" s="133">
        <f t="shared" ref="BH255:BR256" si="845">BH231+BH234+BH237+BH240+BH243+BH246+BH249+BH252</f>
        <v>12.109577707586629</v>
      </c>
      <c r="BI255" s="130">
        <f t="shared" si="845"/>
        <v>8.3167742418656445</v>
      </c>
      <c r="BJ255" s="130">
        <f t="shared" si="845"/>
        <v>-0.18222479972169517</v>
      </c>
      <c r="BK255" s="130">
        <f t="shared" si="845"/>
        <v>-10.424403527611487</v>
      </c>
      <c r="BL255" s="130">
        <f t="shared" si="845"/>
        <v>-21.952299001342421</v>
      </c>
      <c r="BM255" s="130">
        <f t="shared" si="845"/>
        <v>-30.116075082405647</v>
      </c>
      <c r="BN255" s="130">
        <f t="shared" si="845"/>
        <v>242.62134629271529</v>
      </c>
      <c r="BO255" s="130">
        <f t="shared" si="845"/>
        <v>-7.1234106545537843</v>
      </c>
      <c r="BP255" s="130">
        <f t="shared" si="845"/>
        <v>-18.51290499837954</v>
      </c>
      <c r="BQ255" s="130">
        <f t="shared" si="845"/>
        <v>-22.413811016289511</v>
      </c>
      <c r="BR255" s="131">
        <f t="shared" si="845"/>
        <v>-7.1548429124630148</v>
      </c>
      <c r="BS255" s="163">
        <f>SUM(BG255:BR255)</f>
        <v>134.36648911070702</v>
      </c>
      <c r="BT255" s="154">
        <f>BT231+BT234+BT237+BT240+BT243+BT246+BT249+BT252</f>
        <v>15.831166952111611</v>
      </c>
      <c r="BU255" s="133">
        <f t="shared" ref="BU255:CE256" si="846">BU231+BU234+BU237+BU240+BU243+BU246+BU249+BU252</f>
        <v>40.984601394740011</v>
      </c>
      <c r="BV255" s="130">
        <f t="shared" si="846"/>
        <v>57.634566721343454</v>
      </c>
      <c r="BW255" s="130">
        <f t="shared" si="846"/>
        <v>56.347132291066714</v>
      </c>
      <c r="BX255" s="130">
        <f t="shared" si="846"/>
        <v>54.948453589054559</v>
      </c>
      <c r="BY255" s="130">
        <f t="shared" si="846"/>
        <v>65.29745861089053</v>
      </c>
      <c r="BZ255" s="130">
        <f t="shared" si="846"/>
        <v>32223.658186067511</v>
      </c>
      <c r="CA255" s="130">
        <f t="shared" si="846"/>
        <v>183.45158257912149</v>
      </c>
      <c r="CB255" s="130">
        <f t="shared" si="846"/>
        <v>163.46837263178423</v>
      </c>
      <c r="CC255" s="130">
        <f t="shared" si="846"/>
        <v>175.47127245102624</v>
      </c>
      <c r="CD255" s="130">
        <f t="shared" si="846"/>
        <v>176.31212840291514</v>
      </c>
      <c r="CE255" s="131">
        <f t="shared" si="846"/>
        <v>188.20765981340983</v>
      </c>
      <c r="CF255" s="163">
        <f t="shared" si="746"/>
        <v>33401.612581504975</v>
      </c>
      <c r="CG255" s="154">
        <f>CG231+CG234+CG237+CG240+CG243+CG246+CG249+CG252</f>
        <v>200.63555285776351</v>
      </c>
      <c r="CH255" s="133">
        <f t="shared" ref="CH255:CR256" si="847">CH231+CH234+CH237+CH240+CH243+CH246+CH249+CH252</f>
        <v>211.85999109610881</v>
      </c>
      <c r="CI255" s="130">
        <f t="shared" si="847"/>
        <v>223.08052770426886</v>
      </c>
      <c r="CJ255" s="130">
        <f t="shared" si="847"/>
        <v>229.25525891508389</v>
      </c>
      <c r="CK255" s="130">
        <f t="shared" si="847"/>
        <v>239.00020081573223</v>
      </c>
      <c r="CL255" s="130">
        <f t="shared" si="847"/>
        <v>249.35203918084483</v>
      </c>
      <c r="CM255" s="130">
        <f t="shared" si="847"/>
        <v>260.10855097853289</v>
      </c>
      <c r="CN255" s="130">
        <f t="shared" si="847"/>
        <v>268.39662438001233</v>
      </c>
      <c r="CO255" s="130">
        <f t="shared" si="847"/>
        <v>276.77158821317352</v>
      </c>
      <c r="CP255" s="130">
        <f t="shared" si="847"/>
        <v>285.22619442462604</v>
      </c>
      <c r="CQ255" s="130">
        <f t="shared" si="847"/>
        <v>290.47404432369905</v>
      </c>
      <c r="CR255" s="131">
        <f t="shared" si="847"/>
        <v>294.17437762918706</v>
      </c>
      <c r="CS255" s="163">
        <f t="shared" si="747"/>
        <v>3028.3349505190331</v>
      </c>
      <c r="CT255" s="154">
        <f>CT231+CT234+CT237+CT240+CT243+CT246+CT249+CT252</f>
        <v>299.37173342615239</v>
      </c>
      <c r="CU255" s="133">
        <f t="shared" ref="CU255:DE256" si="848">CU231+CU234+CU237+CU240+CU243+CU246+CU249+CU252</f>
        <v>302.74773309626926</v>
      </c>
      <c r="CV255" s="130">
        <f t="shared" si="848"/>
        <v>305.27809902768701</v>
      </c>
      <c r="CW255" s="130">
        <f t="shared" si="848"/>
        <v>64505.652605894647</v>
      </c>
      <c r="CX255" s="130">
        <f t="shared" si="848"/>
        <v>521.94165444296766</v>
      </c>
      <c r="CY255" s="130">
        <f t="shared" si="848"/>
        <v>524.13818364482756</v>
      </c>
      <c r="CZ255" s="130">
        <f t="shared" si="848"/>
        <v>526.53184052059521</v>
      </c>
      <c r="DA255" s="130">
        <f t="shared" si="848"/>
        <v>526.71246699434437</v>
      </c>
      <c r="DB255" s="130">
        <f t="shared" si="848"/>
        <v>527.88232479912858</v>
      </c>
      <c r="DC255" s="130">
        <f t="shared" si="848"/>
        <v>529.30454185118572</v>
      </c>
      <c r="DD255" s="130">
        <f t="shared" si="848"/>
        <v>528.80565114450849</v>
      </c>
      <c r="DE255" s="131">
        <f t="shared" si="848"/>
        <v>529.4300237389715</v>
      </c>
      <c r="DF255" s="163">
        <f t="shared" si="748"/>
        <v>69627.796858581263</v>
      </c>
      <c r="DG255" s="278">
        <f>DG231+DG234+DG237+DG240+DG243+DG246+DG249+DG252</f>
        <v>127519.74675042817</v>
      </c>
      <c r="DH255" s="164">
        <f t="shared" si="614"/>
        <v>231559.18634009961</v>
      </c>
      <c r="DI255" s="165">
        <f t="shared" si="749"/>
        <v>337616.93073070492</v>
      </c>
      <c r="DJ255" s="166">
        <f t="shared" si="750"/>
        <v>106057.74439060531</v>
      </c>
    </row>
    <row r="256" spans="1:115" ht="15" customHeight="1">
      <c r="A256" s="599"/>
      <c r="B256" s="615"/>
      <c r="C256" s="218" t="s">
        <v>63</v>
      </c>
      <c r="D256" s="241"/>
      <c r="E256" s="136">
        <f t="shared" si="841"/>
        <v>295215.63759930222</v>
      </c>
      <c r="F256" s="136">
        <f t="shared" si="841"/>
        <v>0</v>
      </c>
      <c r="G256" s="137">
        <f t="shared" si="841"/>
        <v>-120.045915808814</v>
      </c>
      <c r="H256" s="141">
        <f t="shared" si="841"/>
        <v>303.87641176887001</v>
      </c>
      <c r="I256" s="138">
        <f t="shared" si="841"/>
        <v>-297.896571884053</v>
      </c>
      <c r="J256" s="138">
        <f t="shared" si="841"/>
        <v>-9.9071555421560298</v>
      </c>
      <c r="K256" s="138">
        <f t="shared" si="841"/>
        <v>30.4</v>
      </c>
      <c r="L256" s="138">
        <f t="shared" si="841"/>
        <v>88.969388530892999</v>
      </c>
      <c r="M256" s="138">
        <f t="shared" si="841"/>
        <v>99.133653049455859</v>
      </c>
      <c r="N256" s="138">
        <f t="shared" si="841"/>
        <v>380.02655681756585</v>
      </c>
      <c r="O256" s="138">
        <f t="shared" si="841"/>
        <v>209.51374501584601</v>
      </c>
      <c r="P256" s="138">
        <f t="shared" si="841"/>
        <v>250.43770151409601</v>
      </c>
      <c r="Q256" s="138">
        <f t="shared" si="841"/>
        <v>224.45152475382099</v>
      </c>
      <c r="R256" s="139">
        <f t="shared" si="841"/>
        <v>0</v>
      </c>
      <c r="S256" s="162">
        <f t="shared" si="741"/>
        <v>1158.9593382155247</v>
      </c>
      <c r="T256" s="384">
        <f>T232+T235+T238+T241+T244+T247+T250+T253</f>
        <v>646.02973682116385</v>
      </c>
      <c r="U256" s="380">
        <f t="shared" si="842"/>
        <v>440.89191727735482</v>
      </c>
      <c r="V256" s="381">
        <f t="shared" si="842"/>
        <v>460.41047898825173</v>
      </c>
      <c r="W256" s="381">
        <f t="shared" si="842"/>
        <v>1033.5568091762909</v>
      </c>
      <c r="X256" s="381">
        <f t="shared" si="842"/>
        <v>156.41690105916507</v>
      </c>
      <c r="Y256" s="381">
        <f t="shared" si="842"/>
        <v>3626.0357468394564</v>
      </c>
      <c r="Z256" s="381">
        <f t="shared" si="842"/>
        <v>6.89552102012353</v>
      </c>
      <c r="AA256" s="381">
        <f t="shared" si="842"/>
        <v>-12.877825142765221</v>
      </c>
      <c r="AB256" s="381">
        <f t="shared" si="842"/>
        <v>3.3510703115479914</v>
      </c>
      <c r="AC256" s="381">
        <f t="shared" si="842"/>
        <v>3313.5185956379701</v>
      </c>
      <c r="AD256" s="381">
        <f t="shared" si="842"/>
        <v>331.24924836445905</v>
      </c>
      <c r="AE256" s="392">
        <f t="shared" si="842"/>
        <v>571.69245070114766</v>
      </c>
      <c r="AF256" s="162">
        <f t="shared" si="742"/>
        <v>10577.170651054166</v>
      </c>
      <c r="AG256" s="497">
        <f>AG232+AG235+AG238+AG241+AG244+AG247+AG250+AG253</f>
        <v>4.1316628157118958</v>
      </c>
      <c r="AH256" s="501">
        <f t="shared" si="843"/>
        <v>3140.9747151132206</v>
      </c>
      <c r="AI256" s="499">
        <f t="shared" si="843"/>
        <v>632.54206838393827</v>
      </c>
      <c r="AJ256" s="499">
        <f t="shared" si="843"/>
        <v>2370.0514000192989</v>
      </c>
      <c r="AK256" s="499">
        <f t="shared" si="843"/>
        <v>4035.1213047079032</v>
      </c>
      <c r="AL256" s="499">
        <f t="shared" si="843"/>
        <v>10412.820912234252</v>
      </c>
      <c r="AM256" s="499">
        <f t="shared" si="843"/>
        <v>6537.0728185920379</v>
      </c>
      <c r="AN256" s="499">
        <f t="shared" si="843"/>
        <v>4979.9857453689247</v>
      </c>
      <c r="AO256" s="499">
        <f t="shared" si="843"/>
        <v>40.217847711844186</v>
      </c>
      <c r="AP256" s="499">
        <f t="shared" si="843"/>
        <v>1.2924316721785076</v>
      </c>
      <c r="AQ256" s="499">
        <f t="shared" si="843"/>
        <v>415.68794756185355</v>
      </c>
      <c r="AR256" s="511">
        <f t="shared" si="843"/>
        <v>57263.763447488578</v>
      </c>
      <c r="AS256" s="410">
        <f>SUM(AG256:AR256)</f>
        <v>89833.662301669741</v>
      </c>
      <c r="AT256" s="501">
        <f>AT232+AT235+AT238+AT241+AT244+AT247+AT250+AT253</f>
        <v>3242.6112990035776</v>
      </c>
      <c r="AU256" s="501">
        <f t="shared" si="844"/>
        <v>288.79438826178375</v>
      </c>
      <c r="AV256" s="499">
        <f t="shared" si="844"/>
        <v>1604.7330152696672</v>
      </c>
      <c r="AW256" s="138">
        <f t="shared" si="844"/>
        <v>290</v>
      </c>
      <c r="AX256" s="138">
        <f t="shared" si="844"/>
        <v>19235.03</v>
      </c>
      <c r="AY256" s="138">
        <f t="shared" si="844"/>
        <v>8875</v>
      </c>
      <c r="AZ256" s="138">
        <f t="shared" si="844"/>
        <v>847</v>
      </c>
      <c r="BA256" s="138">
        <f>BA232+BA235+BA238+BA241+BA244+BA247+BA250+BA253</f>
        <v>152.03</v>
      </c>
      <c r="BB256" s="138">
        <f>BB232+BB235+BB238+BB241+BB244+BB247+BB250+BB253</f>
        <v>0</v>
      </c>
      <c r="BC256" s="138">
        <f t="shared" si="844"/>
        <v>6800</v>
      </c>
      <c r="BD256" s="138">
        <f t="shared" si="844"/>
        <v>152.03</v>
      </c>
      <c r="BE256" s="139">
        <f t="shared" si="844"/>
        <v>0</v>
      </c>
      <c r="BF256" s="162">
        <f>SUM(AT256:BE256)</f>
        <v>41487.228702535023</v>
      </c>
      <c r="BG256" s="137">
        <f>BG232+BG235+BG238+BG241+BG244+BG247+BG250+BG253</f>
        <v>869</v>
      </c>
      <c r="BH256" s="141">
        <f>BH232+BH235+BH238+BH241+BH244+BH247+BH250+BH253</f>
        <v>152.03</v>
      </c>
      <c r="BI256" s="138">
        <f>BI232+BI235+BI238+BI241+BI244+BI247+BI250+BI253</f>
        <v>373</v>
      </c>
      <c r="BJ256" s="138">
        <f t="shared" si="845"/>
        <v>1823.4197340626658</v>
      </c>
      <c r="BK256" s="138">
        <f t="shared" si="845"/>
        <v>152.03</v>
      </c>
      <c r="BL256" s="138">
        <f t="shared" si="845"/>
        <v>0</v>
      </c>
      <c r="BM256" s="138">
        <f t="shared" si="845"/>
        <v>2635.2553113213803</v>
      </c>
      <c r="BN256" s="138">
        <f t="shared" si="845"/>
        <v>77152.03</v>
      </c>
      <c r="BO256" s="138">
        <f t="shared" si="845"/>
        <v>6000</v>
      </c>
      <c r="BP256" s="138">
        <f t="shared" si="845"/>
        <v>3077.9160317875608</v>
      </c>
      <c r="BQ256" s="138">
        <f t="shared" si="845"/>
        <v>152.03</v>
      </c>
      <c r="BR256" s="139">
        <f t="shared" si="845"/>
        <v>0</v>
      </c>
      <c r="BS256" s="162">
        <f>SUM(BG256:BR256)</f>
        <v>92386.711077171611</v>
      </c>
      <c r="BT256" s="137">
        <f>BT232+BT235+BT238+BT241+BT244+BT247+BT250+BT253</f>
        <v>1022</v>
      </c>
      <c r="BU256" s="141">
        <f t="shared" si="846"/>
        <v>152.03</v>
      </c>
      <c r="BV256" s="138">
        <f t="shared" si="846"/>
        <v>2140</v>
      </c>
      <c r="BW256" s="138">
        <f t="shared" si="846"/>
        <v>2848.9146030491652</v>
      </c>
      <c r="BX256" s="138">
        <f t="shared" si="846"/>
        <v>152.03</v>
      </c>
      <c r="BY256" s="138">
        <f t="shared" si="846"/>
        <v>0</v>
      </c>
      <c r="BZ256" s="138">
        <f t="shared" si="846"/>
        <v>3204.022064492146</v>
      </c>
      <c r="CA256" s="138">
        <f t="shared" si="846"/>
        <v>152.03</v>
      </c>
      <c r="CB256" s="138">
        <f t="shared" si="846"/>
        <v>0</v>
      </c>
      <c r="CC256" s="138">
        <f t="shared" si="846"/>
        <v>3432.9644611281628</v>
      </c>
      <c r="CD256" s="138">
        <f t="shared" si="846"/>
        <v>152.03</v>
      </c>
      <c r="CE256" s="139">
        <f t="shared" si="846"/>
        <v>0</v>
      </c>
      <c r="CF256" s="162">
        <f t="shared" si="746"/>
        <v>13256.021128669474</v>
      </c>
      <c r="CG256" s="137">
        <f>CG232+CG235+CG238+CG241+CG244+CG247+CG250+CG253</f>
        <v>83</v>
      </c>
      <c r="CH256" s="141">
        <f t="shared" si="847"/>
        <v>152.03</v>
      </c>
      <c r="CI256" s="138">
        <f t="shared" si="847"/>
        <v>1735</v>
      </c>
      <c r="CJ256" s="138">
        <f t="shared" si="847"/>
        <v>332.14730752411708</v>
      </c>
      <c r="CK256" s="138">
        <f t="shared" si="847"/>
        <v>152.03</v>
      </c>
      <c r="CL256" s="138">
        <f t="shared" si="847"/>
        <v>0</v>
      </c>
      <c r="CM256" s="138">
        <f t="shared" si="847"/>
        <v>485.54710138291853</v>
      </c>
      <c r="CN256" s="138">
        <f t="shared" si="847"/>
        <v>152.03</v>
      </c>
      <c r="CO256" s="138">
        <f t="shared" si="847"/>
        <v>0</v>
      </c>
      <c r="CP256" s="138">
        <f t="shared" si="847"/>
        <v>602.37695768618107</v>
      </c>
      <c r="CQ256" s="138">
        <f t="shared" si="847"/>
        <v>152.03</v>
      </c>
      <c r="CR256" s="139">
        <f t="shared" si="847"/>
        <v>0</v>
      </c>
      <c r="CS256" s="162">
        <f t="shared" si="747"/>
        <v>3846.1913665932175</v>
      </c>
      <c r="CT256" s="137">
        <f>CT232+CT235+CT238+CT241+CT244+CT247+CT250+CT253</f>
        <v>0</v>
      </c>
      <c r="CU256" s="141">
        <f t="shared" si="848"/>
        <v>152.03</v>
      </c>
      <c r="CV256" s="138">
        <f t="shared" si="848"/>
        <v>683.16852916509742</v>
      </c>
      <c r="CW256" s="138">
        <f t="shared" si="848"/>
        <v>0</v>
      </c>
      <c r="CX256" s="138">
        <f t="shared" si="848"/>
        <v>152.03</v>
      </c>
      <c r="CY256" s="138">
        <f t="shared" si="848"/>
        <v>0</v>
      </c>
      <c r="CZ256" s="138">
        <f t="shared" si="848"/>
        <v>561.73362108254696</v>
      </c>
      <c r="DA256" s="138">
        <f t="shared" si="848"/>
        <v>152.03</v>
      </c>
      <c r="DB256" s="138">
        <f t="shared" si="848"/>
        <v>0</v>
      </c>
      <c r="DC256" s="138">
        <f t="shared" si="848"/>
        <v>536.6946447271697</v>
      </c>
      <c r="DD256" s="138">
        <f t="shared" si="848"/>
        <v>152.03</v>
      </c>
      <c r="DE256" s="139">
        <f t="shared" si="848"/>
        <v>0</v>
      </c>
      <c r="DF256" s="162">
        <f t="shared" si="748"/>
        <v>2389.7167949748141</v>
      </c>
      <c r="DG256" s="279">
        <f>DG232+DG235+DG238+DG241+DG244+DG247+DG250+DG253</f>
        <v>74000</v>
      </c>
      <c r="DH256" s="90">
        <f t="shared" si="614"/>
        <v>309443.73207064607</v>
      </c>
      <c r="DI256" s="91">
        <f t="shared" si="749"/>
        <v>295215.63759930222</v>
      </c>
      <c r="DJ256" s="92">
        <f t="shared" si="750"/>
        <v>-14228.094471343851</v>
      </c>
      <c r="DK256" s="64">
        <f>+DH256/DH255</f>
        <v>1.3363483304702692</v>
      </c>
    </row>
    <row r="257" spans="1:114" ht="15" customHeight="1">
      <c r="A257" s="600"/>
      <c r="B257" s="616"/>
      <c r="C257" s="219" t="s">
        <v>11</v>
      </c>
      <c r="D257" s="242"/>
      <c r="E257" s="220">
        <f t="shared" ref="E257:R257" si="849">+E255-E256</f>
        <v>42401.293131402694</v>
      </c>
      <c r="F257" s="221">
        <f t="shared" si="849"/>
        <v>0</v>
      </c>
      <c r="G257" s="222">
        <f t="shared" si="849"/>
        <v>387.04591580881402</v>
      </c>
      <c r="H257" s="222">
        <f t="shared" si="849"/>
        <v>-273.87641176887001</v>
      </c>
      <c r="I257" s="222">
        <f t="shared" si="849"/>
        <v>329.58700779470593</v>
      </c>
      <c r="J257" s="222">
        <f t="shared" si="849"/>
        <v>40.725721463943728</v>
      </c>
      <c r="K257" s="222">
        <f t="shared" si="849"/>
        <v>-2.9122520171673791</v>
      </c>
      <c r="L257" s="222">
        <f t="shared" si="849"/>
        <v>-65.366411698236448</v>
      </c>
      <c r="M257" s="222">
        <f t="shared" si="849"/>
        <v>626.08519244958643</v>
      </c>
      <c r="N257" s="222">
        <f t="shared" si="849"/>
        <v>-348.79328625642682</v>
      </c>
      <c r="O257" s="222">
        <f t="shared" si="849"/>
        <v>-193.99478401999539</v>
      </c>
      <c r="P257" s="222">
        <f t="shared" si="849"/>
        <v>-108.41587118992692</v>
      </c>
      <c r="Q257" s="222">
        <f t="shared" si="849"/>
        <v>-165.7137825851463</v>
      </c>
      <c r="R257" s="223">
        <f t="shared" si="849"/>
        <v>75.648699522248137</v>
      </c>
      <c r="S257" s="224">
        <f t="shared" si="741"/>
        <v>300.01973750352892</v>
      </c>
      <c r="T257" s="225">
        <f t="shared" ref="T257:AE257" si="850">+T255-T256</f>
        <v>-448.39483378836007</v>
      </c>
      <c r="U257" s="222">
        <f t="shared" si="850"/>
        <v>-348.42050370417411</v>
      </c>
      <c r="V257" s="222">
        <f t="shared" si="850"/>
        <v>-437.37059141717128</v>
      </c>
      <c r="W257" s="222">
        <f t="shared" si="850"/>
        <v>-1009.6213520243443</v>
      </c>
      <c r="X257" s="222">
        <f t="shared" si="850"/>
        <v>175.74665283637273</v>
      </c>
      <c r="Y257" s="222">
        <f t="shared" si="850"/>
        <v>-3604.5508346094475</v>
      </c>
      <c r="Z257" s="222">
        <f t="shared" si="850"/>
        <v>80966.651397255293</v>
      </c>
      <c r="AA257" s="222">
        <f t="shared" si="850"/>
        <v>1237.1467844388412</v>
      </c>
      <c r="AB257" s="222">
        <f t="shared" si="850"/>
        <v>1331.2458271760652</v>
      </c>
      <c r="AC257" s="222">
        <f t="shared" si="850"/>
        <v>-3217.1015156822582</v>
      </c>
      <c r="AD257" s="222">
        <f t="shared" si="850"/>
        <v>23.716629819940351</v>
      </c>
      <c r="AE257" s="223">
        <f t="shared" si="850"/>
        <v>-476.87505391188677</v>
      </c>
      <c r="AF257" s="224">
        <f t="shared" si="742"/>
        <v>74192.172606388878</v>
      </c>
      <c r="AG257" s="225">
        <f t="shared" ref="AG257:AR257" si="851">+AG255-AG256</f>
        <v>2326.267103214599</v>
      </c>
      <c r="AH257" s="222">
        <f t="shared" si="851"/>
        <v>-3028.4791282376086</v>
      </c>
      <c r="AI257" s="222">
        <f t="shared" si="851"/>
        <v>-462.3393744832623</v>
      </c>
      <c r="AJ257" s="222">
        <f t="shared" si="851"/>
        <v>-2254.8503602699429</v>
      </c>
      <c r="AK257" s="222">
        <f t="shared" si="851"/>
        <v>-1422.6146346329465</v>
      </c>
      <c r="AL257" s="222">
        <f t="shared" si="851"/>
        <v>-9452.981793507015</v>
      </c>
      <c r="AM257" s="222">
        <f t="shared" si="851"/>
        <v>-5832.2500254951728</v>
      </c>
      <c r="AN257" s="222">
        <f t="shared" si="851"/>
        <v>-3459.7703781201653</v>
      </c>
      <c r="AO257" s="222">
        <f t="shared" si="851"/>
        <v>522.52126687898408</v>
      </c>
      <c r="AP257" s="222">
        <f t="shared" si="851"/>
        <v>732.71540512739216</v>
      </c>
      <c r="AQ257" s="222">
        <f t="shared" si="851"/>
        <v>356.2881378016898</v>
      </c>
      <c r="AR257" s="223">
        <f t="shared" si="851"/>
        <v>-52841.946155555277</v>
      </c>
      <c r="AS257" s="418">
        <f t="shared" si="743"/>
        <v>-74817.43993727873</v>
      </c>
      <c r="AT257" s="225">
        <f t="shared" ref="AT257:BE257" si="852">+AT255-AT256</f>
        <v>-2222.6877470460013</v>
      </c>
      <c r="AU257" s="222">
        <f t="shared" si="852"/>
        <v>-15.362423562665299</v>
      </c>
      <c r="AV257" s="222">
        <f t="shared" si="852"/>
        <v>-1082.9438241902467</v>
      </c>
      <c r="AW257" s="222">
        <f t="shared" si="852"/>
        <v>-23.395979892878643</v>
      </c>
      <c r="AX257" s="222">
        <f t="shared" si="852"/>
        <v>-18982.019666515163</v>
      </c>
      <c r="AY257" s="222">
        <f t="shared" si="852"/>
        <v>-8712.0484990067471</v>
      </c>
      <c r="AZ257" s="222">
        <f t="shared" si="852"/>
        <v>-749.18877845262352</v>
      </c>
      <c r="BA257" s="222">
        <f t="shared" si="852"/>
        <v>-88.105632225007298</v>
      </c>
      <c r="BB257" s="222">
        <f t="shared" si="852"/>
        <v>27.680114598218122</v>
      </c>
      <c r="BC257" s="222">
        <f t="shared" si="852"/>
        <v>-6791.4750026153188</v>
      </c>
      <c r="BD257" s="222">
        <f t="shared" si="852"/>
        <v>-169.0761073621008</v>
      </c>
      <c r="BE257" s="223">
        <f t="shared" si="852"/>
        <v>-18.076753256886906</v>
      </c>
      <c r="BF257" s="224">
        <f t="shared" si="744"/>
        <v>-38826.700299527423</v>
      </c>
      <c r="BG257" s="225">
        <f t="shared" ref="BG257:BR257" si="853">+BG255-BG256</f>
        <v>-879.80123713869341</v>
      </c>
      <c r="BH257" s="222">
        <f t="shared" si="853"/>
        <v>-139.92042229241338</v>
      </c>
      <c r="BI257" s="222">
        <f t="shared" si="853"/>
        <v>-364.68322575813437</v>
      </c>
      <c r="BJ257" s="222">
        <f t="shared" si="853"/>
        <v>-1823.6019588623876</v>
      </c>
      <c r="BK257" s="222">
        <f t="shared" si="853"/>
        <v>-162.45440352761148</v>
      </c>
      <c r="BL257" s="222">
        <f t="shared" si="853"/>
        <v>-21.952299001342421</v>
      </c>
      <c r="BM257" s="222">
        <f t="shared" si="853"/>
        <v>-2665.3713864037859</v>
      </c>
      <c r="BN257" s="222">
        <f t="shared" si="853"/>
        <v>-76909.408653707287</v>
      </c>
      <c r="BO257" s="222">
        <f t="shared" si="853"/>
        <v>-6007.1234106545535</v>
      </c>
      <c r="BP257" s="222">
        <f t="shared" si="853"/>
        <v>-3096.4289367859401</v>
      </c>
      <c r="BQ257" s="222">
        <f t="shared" si="853"/>
        <v>-174.44381101628952</v>
      </c>
      <c r="BR257" s="223">
        <f t="shared" si="853"/>
        <v>-7.1548429124630148</v>
      </c>
      <c r="BS257" s="224">
        <f t="shared" si="745"/>
        <v>-92252.344588060922</v>
      </c>
      <c r="BT257" s="225">
        <f t="shared" ref="BT257:CE257" si="854">+BT255-BT256</f>
        <v>-1006.1688330478884</v>
      </c>
      <c r="BU257" s="222">
        <f t="shared" si="854"/>
        <v>-111.04539860525999</v>
      </c>
      <c r="BV257" s="222">
        <f t="shared" si="854"/>
        <v>-2082.3654332786564</v>
      </c>
      <c r="BW257" s="222">
        <f t="shared" si="854"/>
        <v>-2792.5674707580984</v>
      </c>
      <c r="BX257" s="222">
        <f t="shared" si="854"/>
        <v>-97.081546410945435</v>
      </c>
      <c r="BY257" s="222">
        <f t="shared" si="854"/>
        <v>65.29745861089053</v>
      </c>
      <c r="BZ257" s="222">
        <f t="shared" si="854"/>
        <v>29019.636121575364</v>
      </c>
      <c r="CA257" s="222">
        <f t="shared" si="854"/>
        <v>31.421582579121491</v>
      </c>
      <c r="CB257" s="222">
        <f t="shared" si="854"/>
        <v>163.46837263178423</v>
      </c>
      <c r="CC257" s="222">
        <f t="shared" si="854"/>
        <v>-3257.4931886771365</v>
      </c>
      <c r="CD257" s="222">
        <f t="shared" si="854"/>
        <v>24.282128402915134</v>
      </c>
      <c r="CE257" s="223">
        <f t="shared" si="854"/>
        <v>188.20765981340983</v>
      </c>
      <c r="CF257" s="224">
        <f t="shared" si="746"/>
        <v>20145.591452835499</v>
      </c>
      <c r="CG257" s="225">
        <f t="shared" ref="CG257:CR257" si="855">+CG255-CG256</f>
        <v>117.63555285776351</v>
      </c>
      <c r="CH257" s="222">
        <f t="shared" si="855"/>
        <v>59.829991096108813</v>
      </c>
      <c r="CI257" s="222">
        <f t="shared" si="855"/>
        <v>-1511.9194722957311</v>
      </c>
      <c r="CJ257" s="222">
        <f t="shared" si="855"/>
        <v>-102.8920486090332</v>
      </c>
      <c r="CK257" s="222">
        <f t="shared" si="855"/>
        <v>86.970200815732227</v>
      </c>
      <c r="CL257" s="222">
        <f t="shared" si="855"/>
        <v>249.35203918084483</v>
      </c>
      <c r="CM257" s="222">
        <f t="shared" si="855"/>
        <v>-225.43855040438564</v>
      </c>
      <c r="CN257" s="222">
        <f t="shared" si="855"/>
        <v>116.36662438001233</v>
      </c>
      <c r="CO257" s="222">
        <f t="shared" si="855"/>
        <v>276.77158821317352</v>
      </c>
      <c r="CP257" s="222">
        <f t="shared" si="855"/>
        <v>-317.15076326155503</v>
      </c>
      <c r="CQ257" s="222">
        <f t="shared" si="855"/>
        <v>138.44404432369905</v>
      </c>
      <c r="CR257" s="223">
        <f t="shared" si="855"/>
        <v>294.17437762918706</v>
      </c>
      <c r="CS257" s="224">
        <f t="shared" si="747"/>
        <v>-817.85641607418393</v>
      </c>
      <c r="CT257" s="225">
        <f t="shared" ref="CT257:DE257" si="856">+CT255-CT256</f>
        <v>299.37173342615239</v>
      </c>
      <c r="CU257" s="222">
        <f t="shared" si="856"/>
        <v>150.71773309626926</v>
      </c>
      <c r="CV257" s="222">
        <f t="shared" si="856"/>
        <v>-377.89043013741042</v>
      </c>
      <c r="CW257" s="222">
        <f t="shared" si="856"/>
        <v>64505.652605894647</v>
      </c>
      <c r="CX257" s="222">
        <f t="shared" si="856"/>
        <v>369.91165444296769</v>
      </c>
      <c r="CY257" s="222">
        <f t="shared" si="856"/>
        <v>524.13818364482756</v>
      </c>
      <c r="CZ257" s="222">
        <f t="shared" si="856"/>
        <v>-35.20178056195175</v>
      </c>
      <c r="DA257" s="222">
        <f t="shared" si="856"/>
        <v>374.6824669943444</v>
      </c>
      <c r="DB257" s="222">
        <f t="shared" si="856"/>
        <v>527.88232479912858</v>
      </c>
      <c r="DC257" s="222">
        <f t="shared" si="856"/>
        <v>-7.3901028759839846</v>
      </c>
      <c r="DD257" s="222">
        <f t="shared" si="856"/>
        <v>376.77565114450852</v>
      </c>
      <c r="DE257" s="223">
        <f t="shared" si="856"/>
        <v>529.4300237389715</v>
      </c>
      <c r="DF257" s="224">
        <f t="shared" si="748"/>
        <v>67238.080063606452</v>
      </c>
      <c r="DG257" s="223">
        <f>+DG255-DG256</f>
        <v>53519.746750428167</v>
      </c>
      <c r="DH257" s="98">
        <f t="shared" ref="DH257" si="857">+F257+S257+AF257+AS257+BF257+BS257+DG257</f>
        <v>-77884.545730546495</v>
      </c>
      <c r="DI257" s="99">
        <f t="shared" si="749"/>
        <v>42401.293131402694</v>
      </c>
      <c r="DJ257" s="100">
        <f t="shared" si="750"/>
        <v>120285.83886194919</v>
      </c>
    </row>
    <row r="258" spans="1:114">
      <c r="A258" s="207"/>
      <c r="B258" s="208"/>
      <c r="C258" s="209"/>
      <c r="D258" s="209"/>
      <c r="E258" s="210"/>
      <c r="F258" s="211"/>
      <c r="G258" s="212"/>
      <c r="H258" s="212"/>
      <c r="I258" s="212"/>
      <c r="J258" s="212"/>
      <c r="K258" s="212"/>
      <c r="L258" s="212"/>
      <c r="M258" s="212"/>
      <c r="N258" s="212"/>
      <c r="O258" s="212"/>
      <c r="P258" s="212"/>
      <c r="Q258" s="212"/>
      <c r="R258" s="212"/>
      <c r="S258" s="211"/>
      <c r="T258" s="212"/>
      <c r="U258" s="212"/>
      <c r="V258" s="212"/>
      <c r="W258" s="212"/>
      <c r="X258" s="212"/>
      <c r="Y258" s="212"/>
      <c r="Z258" s="212"/>
      <c r="AA258" s="212"/>
      <c r="AB258" s="212"/>
      <c r="AC258" s="212"/>
      <c r="AD258" s="212"/>
      <c r="AE258" s="212"/>
      <c r="AF258" s="211"/>
      <c r="AG258" s="212"/>
      <c r="AH258" s="212"/>
      <c r="AI258" s="212"/>
      <c r="AJ258" s="212"/>
      <c r="AK258" s="212"/>
      <c r="AL258" s="212"/>
      <c r="AM258" s="212"/>
      <c r="AN258" s="212"/>
      <c r="AO258" s="212"/>
      <c r="AP258" s="212"/>
      <c r="AQ258" s="212"/>
      <c r="AR258" s="212"/>
      <c r="AS258" s="211"/>
      <c r="AT258" s="212"/>
      <c r="AU258" s="212"/>
      <c r="AV258" s="212"/>
      <c r="AW258" s="212"/>
      <c r="AX258" s="212"/>
      <c r="AY258" s="212"/>
      <c r="AZ258" s="212"/>
      <c r="BA258" s="212"/>
      <c r="BB258" s="212"/>
      <c r="BC258" s="212"/>
      <c r="BD258" s="212"/>
      <c r="BE258" s="212"/>
      <c r="BF258" s="211"/>
      <c r="BG258" s="212"/>
      <c r="BH258" s="212"/>
      <c r="BI258" s="212"/>
      <c r="BJ258" s="212"/>
      <c r="BK258" s="212"/>
      <c r="BL258" s="212"/>
      <c r="BM258" s="212"/>
      <c r="BN258" s="212"/>
      <c r="BO258" s="212"/>
      <c r="BP258" s="212"/>
      <c r="BQ258" s="212"/>
      <c r="BR258" s="212"/>
      <c r="BS258" s="211"/>
      <c r="BT258" s="212"/>
      <c r="BU258" s="212"/>
      <c r="BV258" s="212"/>
      <c r="BW258" s="212"/>
      <c r="BX258" s="212"/>
      <c r="BY258" s="212"/>
      <c r="BZ258" s="212"/>
      <c r="CA258" s="212"/>
      <c r="CB258" s="212"/>
      <c r="CC258" s="212"/>
      <c r="CD258" s="212"/>
      <c r="CE258" s="212"/>
      <c r="CF258" s="211"/>
      <c r="CG258" s="212"/>
      <c r="CH258" s="212"/>
      <c r="CI258" s="212"/>
      <c r="CJ258" s="212"/>
      <c r="CK258" s="212"/>
      <c r="CL258" s="212"/>
      <c r="CM258" s="212"/>
      <c r="CN258" s="212"/>
      <c r="CO258" s="212"/>
      <c r="CP258" s="212"/>
      <c r="CQ258" s="212"/>
      <c r="CR258" s="212"/>
      <c r="CS258" s="211"/>
      <c r="CT258" s="212"/>
      <c r="CU258" s="212"/>
      <c r="CV258" s="212"/>
      <c r="CW258" s="212"/>
      <c r="CX258" s="212"/>
      <c r="CY258" s="212"/>
      <c r="CZ258" s="212"/>
      <c r="DA258" s="212"/>
      <c r="DB258" s="212"/>
      <c r="DC258" s="212"/>
      <c r="DD258" s="212"/>
      <c r="DE258" s="212"/>
      <c r="DF258" s="211"/>
      <c r="DG258" s="212"/>
      <c r="DH258" s="213"/>
      <c r="DI258" s="213"/>
      <c r="DJ258" s="213"/>
    </row>
    <row r="259" spans="1:114">
      <c r="E259" s="604" t="s">
        <v>85</v>
      </c>
      <c r="F259" s="66" t="s">
        <v>87</v>
      </c>
      <c r="G259" s="214">
        <f t="shared" ref="G259:BR259" si="858">+F13</f>
        <v>21579</v>
      </c>
      <c r="H259" s="214">
        <f t="shared" si="858"/>
        <v>22491.933616797636</v>
      </c>
      <c r="I259" s="214">
        <f t="shared" si="858"/>
        <v>23217.746883456341</v>
      </c>
      <c r="J259" s="214">
        <f t="shared" si="858"/>
        <v>23154.823851861012</v>
      </c>
      <c r="K259" s="214">
        <f t="shared" si="858"/>
        <v>23136.326162495563</v>
      </c>
      <c r="L259" s="214">
        <f t="shared" si="858"/>
        <v>22010.014862710155</v>
      </c>
      <c r="M259" s="214">
        <f t="shared" si="858"/>
        <v>23391.584071101683</v>
      </c>
      <c r="N259" s="214">
        <f t="shared" si="858"/>
        <v>23644.140975915601</v>
      </c>
      <c r="O259" s="214">
        <f t="shared" si="858"/>
        <v>23051.324554818304</v>
      </c>
      <c r="P259" s="214">
        <f t="shared" si="858"/>
        <v>22704.367552790009</v>
      </c>
      <c r="Q259" s="214">
        <f t="shared" si="858"/>
        <v>22091.552120787608</v>
      </c>
      <c r="R259" s="214">
        <f t="shared" si="858"/>
        <v>46536.934192086963</v>
      </c>
      <c r="S259" s="214">
        <f t="shared" si="858"/>
        <v>48011.996852316071</v>
      </c>
      <c r="T259" s="214">
        <f t="shared" si="858"/>
        <v>48011.996852316071</v>
      </c>
      <c r="U259" s="214">
        <f t="shared" si="858"/>
        <v>47718.721507036069</v>
      </c>
      <c r="V259" s="214">
        <f t="shared" si="858"/>
        <v>47410.811152146285</v>
      </c>
      <c r="W259" s="214">
        <f t="shared" si="858"/>
        <v>46625.749105773793</v>
      </c>
      <c r="X259" s="214">
        <f t="shared" si="858"/>
        <v>45368.242855391793</v>
      </c>
      <c r="Y259" s="214">
        <f t="shared" si="858"/>
        <v>45170.113266411572</v>
      </c>
      <c r="Z259" s="214">
        <f t="shared" si="858"/>
        <v>41359.150765967701</v>
      </c>
      <c r="AA259" s="214">
        <f t="shared" si="858"/>
        <v>122319.16130125846</v>
      </c>
      <c r="AB259" s="214">
        <f t="shared" si="858"/>
        <v>124104.71114312511</v>
      </c>
      <c r="AC259" s="214">
        <f t="shared" si="858"/>
        <v>125094.48755566208</v>
      </c>
      <c r="AD259" s="214">
        <f t="shared" si="858"/>
        <v>121242.03484965992</v>
      </c>
      <c r="AE259" s="214">
        <f t="shared" si="858"/>
        <v>122529.60941792137</v>
      </c>
      <c r="AF259" s="214">
        <f t="shared" si="858"/>
        <v>148173.73408940886</v>
      </c>
      <c r="AG259" s="214">
        <f t="shared" si="858"/>
        <v>148173.73408940886</v>
      </c>
      <c r="AH259" s="214">
        <f t="shared" si="858"/>
        <v>150386.14541678884</v>
      </c>
      <c r="AI259" s="214">
        <f t="shared" si="858"/>
        <v>147124.72227491756</v>
      </c>
      <c r="AJ259" s="214">
        <f t="shared" si="858"/>
        <v>146706.0875546757</v>
      </c>
      <c r="AK259" s="214">
        <f t="shared" si="858"/>
        <v>144289.35410948668</v>
      </c>
      <c r="AL259" s="214">
        <f t="shared" si="858"/>
        <v>143244.75162949529</v>
      </c>
      <c r="AM259" s="214">
        <f t="shared" si="858"/>
        <v>133660.12401927367</v>
      </c>
      <c r="AN259" s="214">
        <f t="shared" si="858"/>
        <v>128477.40220323976</v>
      </c>
      <c r="AO259" s="214">
        <f t="shared" si="858"/>
        <v>126474.65329631169</v>
      </c>
      <c r="AP259" s="214">
        <f t="shared" si="858"/>
        <v>126263.95718806286</v>
      </c>
      <c r="AQ259" s="214">
        <f t="shared" si="858"/>
        <v>126542.14612301122</v>
      </c>
      <c r="AR259" s="214">
        <f t="shared" si="858"/>
        <v>126093.84640782159</v>
      </c>
      <c r="AS259" s="214">
        <f t="shared" si="858"/>
        <v>76334.820286512899</v>
      </c>
      <c r="AT259" s="214">
        <f t="shared" si="858"/>
        <v>76334.820286512899</v>
      </c>
      <c r="AU259" s="214">
        <f t="shared" si="858"/>
        <v>77676.155997551759</v>
      </c>
      <c r="AV259" s="214">
        <f t="shared" si="858"/>
        <v>80349.124625119803</v>
      </c>
      <c r="AW259" s="214">
        <f t="shared" si="858"/>
        <v>79981.206032136412</v>
      </c>
      <c r="AX259" s="214">
        <f t="shared" si="858"/>
        <v>75903.100045450905</v>
      </c>
      <c r="AY259" s="214">
        <f t="shared" si="858"/>
        <v>48885.450297976095</v>
      </c>
      <c r="AZ259" s="214">
        <f t="shared" si="858"/>
        <v>29343.366464212944</v>
      </c>
      <c r="BA259" s="214">
        <f t="shared" si="858"/>
        <v>19177.310332497815</v>
      </c>
      <c r="BB259" s="214">
        <f t="shared" si="858"/>
        <v>8304.0343794654364</v>
      </c>
      <c r="BC259" s="214">
        <f t="shared" si="858"/>
        <v>2557.4992154042602</v>
      </c>
      <c r="BD259" s="214">
        <f t="shared" si="858"/>
        <v>-5113.8322086302423</v>
      </c>
      <c r="BE259" s="214">
        <f t="shared" si="858"/>
        <v>-5423.0259770660714</v>
      </c>
      <c r="BF259" s="214">
        <f t="shared" si="858"/>
        <v>-3240.3711416080341</v>
      </c>
      <c r="BG259" s="214">
        <f t="shared" si="858"/>
        <v>-3240.3711416080341</v>
      </c>
      <c r="BH259" s="214">
        <f t="shared" si="858"/>
        <v>3632.8733122759886</v>
      </c>
      <c r="BI259" s="214">
        <f t="shared" si="858"/>
        <v>2495.0322725596934</v>
      </c>
      <c r="BJ259" s="214">
        <f t="shared" si="858"/>
        <v>-54.667439916508556</v>
      </c>
      <c r="BK259" s="214">
        <f t="shared" si="858"/>
        <v>-3127.3210582834463</v>
      </c>
      <c r="BL259" s="214">
        <f t="shared" si="858"/>
        <v>-6585.689700402726</v>
      </c>
      <c r="BM259" s="214">
        <f t="shared" si="858"/>
        <v>-9034.8225247216942</v>
      </c>
      <c r="BN259" s="214">
        <f t="shared" si="858"/>
        <v>72786.40388781458</v>
      </c>
      <c r="BO259" s="214">
        <f t="shared" si="858"/>
        <v>-2137.0231963661354</v>
      </c>
      <c r="BP259" s="214">
        <f t="shared" si="858"/>
        <v>-5553.8714995138616</v>
      </c>
      <c r="BQ259" s="214">
        <f t="shared" si="858"/>
        <v>-6724.143304886853</v>
      </c>
      <c r="BR259" s="214">
        <f t="shared" si="858"/>
        <v>-2146.4528737389046</v>
      </c>
      <c r="BS259" s="214">
        <f t="shared" ref="BS259:DF259" si="859">+BR13</f>
        <v>4749.3500856334831</v>
      </c>
      <c r="BT259" s="214">
        <f t="shared" si="859"/>
        <v>4749.3500856334831</v>
      </c>
      <c r="BU259" s="214">
        <f t="shared" si="859"/>
        <v>12295.380418422003</v>
      </c>
      <c r="BV259" s="214">
        <f t="shared" si="859"/>
        <v>17290.370016403038</v>
      </c>
      <c r="BW259" s="214">
        <f t="shared" si="859"/>
        <v>16904.139687320014</v>
      </c>
      <c r="BX259" s="214">
        <f t="shared" si="859"/>
        <v>16484.536076716366</v>
      </c>
      <c r="BY259" s="214">
        <f t="shared" si="859"/>
        <v>19589.237583267161</v>
      </c>
      <c r="BZ259" s="214">
        <f t="shared" si="859"/>
        <v>22397.455820253537</v>
      </c>
      <c r="CA259" s="214">
        <f t="shared" si="859"/>
        <v>55035.474773736452</v>
      </c>
      <c r="CB259" s="214">
        <f t="shared" si="859"/>
        <v>49040.511789535267</v>
      </c>
      <c r="CC259" s="214">
        <f t="shared" si="859"/>
        <v>52641.38173530787</v>
      </c>
      <c r="CD259" s="214">
        <f t="shared" si="859"/>
        <v>52893.638520874534</v>
      </c>
      <c r="CE259" s="214">
        <f t="shared" si="859"/>
        <v>56462.297944022946</v>
      </c>
      <c r="CF259" s="214">
        <f t="shared" si="859"/>
        <v>60190.665857329048</v>
      </c>
      <c r="CG259" s="214">
        <f t="shared" si="859"/>
        <v>60190.665857329048</v>
      </c>
      <c r="CH259" s="214">
        <f t="shared" si="859"/>
        <v>63557.997328832644</v>
      </c>
      <c r="CI259" s="214">
        <f t="shared" si="859"/>
        <v>66924.158311280655</v>
      </c>
      <c r="CJ259" s="214">
        <f t="shared" si="859"/>
        <v>68776.577674525164</v>
      </c>
      <c r="CK259" s="214">
        <f t="shared" si="859"/>
        <v>71700.060244719672</v>
      </c>
      <c r="CL259" s="214">
        <f t="shared" si="859"/>
        <v>74805.611754253448</v>
      </c>
      <c r="CM259" s="214">
        <f t="shared" si="859"/>
        <v>78032.565293559863</v>
      </c>
      <c r="CN259" s="214">
        <f t="shared" si="859"/>
        <v>80518.987314003694</v>
      </c>
      <c r="CO259" s="214">
        <f t="shared" si="859"/>
        <v>83031.476463952058</v>
      </c>
      <c r="CP259" s="214">
        <f t="shared" si="859"/>
        <v>85567.858327387803</v>
      </c>
      <c r="CQ259" s="214">
        <f t="shared" si="859"/>
        <v>87142.213297109716</v>
      </c>
      <c r="CR259" s="214">
        <f t="shared" si="859"/>
        <v>88252.313288756108</v>
      </c>
      <c r="CS259" s="214">
        <f t="shared" si="859"/>
        <v>89811.52002784572</v>
      </c>
      <c r="CT259" s="214">
        <f t="shared" si="859"/>
        <v>89811.52002784572</v>
      </c>
      <c r="CU259" s="214">
        <f t="shared" si="859"/>
        <v>90824.319928880781</v>
      </c>
      <c r="CV259" s="214">
        <f t="shared" si="859"/>
        <v>91583.429708306096</v>
      </c>
      <c r="CW259" s="214">
        <f t="shared" si="859"/>
        <v>91695.781768393237</v>
      </c>
      <c r="CX259" s="214">
        <f t="shared" si="859"/>
        <v>156582.4963328903</v>
      </c>
      <c r="CY259" s="214">
        <f t="shared" si="859"/>
        <v>157241.45509344825</v>
      </c>
      <c r="CZ259" s="214">
        <f t="shared" si="859"/>
        <v>157959.55215617857</v>
      </c>
      <c r="DA259" s="214">
        <f t="shared" si="859"/>
        <v>158013.7400983033</v>
      </c>
      <c r="DB259" s="214">
        <f t="shared" si="859"/>
        <v>158364.69743973858</v>
      </c>
      <c r="DC259" s="214">
        <f t="shared" si="859"/>
        <v>158791.36255535571</v>
      </c>
      <c r="DD259" s="214">
        <f t="shared" si="859"/>
        <v>158641.69534335253</v>
      </c>
      <c r="DE259" s="214">
        <f t="shared" si="859"/>
        <v>158829.00712169145</v>
      </c>
      <c r="DF259" s="214">
        <f t="shared" si="859"/>
        <v>159116.30564854591</v>
      </c>
      <c r="DG259" s="214">
        <f>+BS13</f>
        <v>4749.3500856334831</v>
      </c>
    </row>
    <row r="260" spans="1:114">
      <c r="E260" s="604"/>
      <c r="F260" s="66" t="s">
        <v>86</v>
      </c>
      <c r="G260" s="215">
        <f>+G259*4%/12</f>
        <v>71.929999999999993</v>
      </c>
      <c r="H260" s="215">
        <f>+H259*4%/12</f>
        <v>74.973112055992118</v>
      </c>
      <c r="I260" s="215">
        <f t="shared" ref="I260:O260" si="860">+I259*6%/12</f>
        <v>116.08873441728169</v>
      </c>
      <c r="J260" s="215">
        <f t="shared" si="860"/>
        <v>115.77411925930505</v>
      </c>
      <c r="K260" s="215">
        <f t="shared" si="860"/>
        <v>115.68163081247781</v>
      </c>
      <c r="L260" s="215">
        <f t="shared" si="860"/>
        <v>110.05007431355078</v>
      </c>
      <c r="M260" s="215">
        <f t="shared" si="860"/>
        <v>116.95792035550841</v>
      </c>
      <c r="N260" s="215">
        <f t="shared" si="860"/>
        <v>118.22070487957801</v>
      </c>
      <c r="O260" s="215">
        <f t="shared" si="860"/>
        <v>115.25662277409151</v>
      </c>
      <c r="P260" s="215">
        <f>+P259*4%/12</f>
        <v>75.681225175966702</v>
      </c>
      <c r="Q260" s="215">
        <f t="shared" ref="Q260:BR260" si="861">+Q259*4%/12</f>
        <v>73.638507069292032</v>
      </c>
      <c r="R260" s="215">
        <f t="shared" si="861"/>
        <v>155.12311397362322</v>
      </c>
      <c r="S260" s="215">
        <f t="shared" si="861"/>
        <v>160.03998950772024</v>
      </c>
      <c r="T260" s="215">
        <f t="shared" si="861"/>
        <v>160.03998950772024</v>
      </c>
      <c r="U260" s="215">
        <f t="shared" si="861"/>
        <v>159.06240502345358</v>
      </c>
      <c r="V260" s="215">
        <f t="shared" si="861"/>
        <v>158.03603717382097</v>
      </c>
      <c r="W260" s="215">
        <f t="shared" si="861"/>
        <v>155.41916368591265</v>
      </c>
      <c r="X260" s="215">
        <f t="shared" si="861"/>
        <v>151.2274761846393</v>
      </c>
      <c r="Y260" s="215">
        <f t="shared" si="861"/>
        <v>150.5670442213719</v>
      </c>
      <c r="Z260" s="215">
        <f t="shared" si="861"/>
        <v>137.863835886559</v>
      </c>
      <c r="AA260" s="215">
        <f t="shared" si="861"/>
        <v>407.73053767086157</v>
      </c>
      <c r="AB260" s="215">
        <f t="shared" si="861"/>
        <v>413.68237047708368</v>
      </c>
      <c r="AC260" s="215">
        <f t="shared" si="861"/>
        <v>416.98162518554028</v>
      </c>
      <c r="AD260" s="215">
        <f t="shared" si="861"/>
        <v>404.14011616553307</v>
      </c>
      <c r="AE260" s="215">
        <f t="shared" si="861"/>
        <v>408.43203139307121</v>
      </c>
      <c r="AF260" s="215">
        <f t="shared" si="861"/>
        <v>493.91244696469624</v>
      </c>
      <c r="AG260" s="215">
        <f t="shared" si="861"/>
        <v>493.91244696469624</v>
      </c>
      <c r="AH260" s="215">
        <f t="shared" si="861"/>
        <v>501.28715138929618</v>
      </c>
      <c r="AI260" s="215">
        <f t="shared" si="861"/>
        <v>490.41574091639183</v>
      </c>
      <c r="AJ260" s="215">
        <f t="shared" si="861"/>
        <v>489.02029184891899</v>
      </c>
      <c r="AK260" s="215">
        <f t="shared" si="861"/>
        <v>480.96451369828895</v>
      </c>
      <c r="AL260" s="215">
        <f t="shared" si="861"/>
        <v>477.48250543165096</v>
      </c>
      <c r="AM260" s="215">
        <f t="shared" si="861"/>
        <v>445.53374673091224</v>
      </c>
      <c r="AN260" s="215">
        <f t="shared" si="861"/>
        <v>428.25800734413252</v>
      </c>
      <c r="AO260" s="215">
        <f t="shared" si="861"/>
        <v>421.58217765437234</v>
      </c>
      <c r="AP260" s="215">
        <f t="shared" si="861"/>
        <v>420.8798572935429</v>
      </c>
      <c r="AQ260" s="215">
        <f t="shared" si="861"/>
        <v>421.80715374337075</v>
      </c>
      <c r="AR260" s="215">
        <f t="shared" si="861"/>
        <v>420.31282135940529</v>
      </c>
      <c r="AS260" s="215">
        <f t="shared" si="861"/>
        <v>254.44940095504299</v>
      </c>
      <c r="AT260" s="215">
        <f t="shared" si="861"/>
        <v>254.44940095504299</v>
      </c>
      <c r="AU260" s="215">
        <f t="shared" si="861"/>
        <v>258.92051999183917</v>
      </c>
      <c r="AV260" s="215">
        <f t="shared" si="861"/>
        <v>267.83041541706604</v>
      </c>
      <c r="AW260" s="215">
        <f t="shared" si="861"/>
        <v>266.60402010712136</v>
      </c>
      <c r="AX260" s="215">
        <f t="shared" si="861"/>
        <v>253.01033348483634</v>
      </c>
      <c r="AY260" s="215">
        <f t="shared" si="861"/>
        <v>162.95150099325366</v>
      </c>
      <c r="AZ260" s="215">
        <f t="shared" si="861"/>
        <v>97.811221547376476</v>
      </c>
      <c r="BA260" s="215">
        <f t="shared" si="861"/>
        <v>63.92436777499271</v>
      </c>
      <c r="BB260" s="215">
        <f t="shared" si="861"/>
        <v>27.680114598218122</v>
      </c>
      <c r="BC260" s="215">
        <f t="shared" si="861"/>
        <v>8.5249973846808675</v>
      </c>
      <c r="BD260" s="215">
        <f t="shared" si="861"/>
        <v>-17.046107362100809</v>
      </c>
      <c r="BE260" s="215">
        <f t="shared" si="861"/>
        <v>-18.076753256886906</v>
      </c>
      <c r="BF260" s="215">
        <f t="shared" si="861"/>
        <v>-10.801237138693446</v>
      </c>
      <c r="BG260" s="215">
        <f t="shared" si="861"/>
        <v>-10.801237138693446</v>
      </c>
      <c r="BH260" s="215">
        <f t="shared" si="861"/>
        <v>12.109577707586629</v>
      </c>
      <c r="BI260" s="215">
        <f t="shared" si="861"/>
        <v>8.3167742418656445</v>
      </c>
      <c r="BJ260" s="215">
        <f t="shared" si="861"/>
        <v>-0.18222479972169517</v>
      </c>
      <c r="BK260" s="215">
        <f t="shared" si="861"/>
        <v>-10.424403527611487</v>
      </c>
      <c r="BL260" s="215">
        <f t="shared" si="861"/>
        <v>-21.952299001342421</v>
      </c>
      <c r="BM260" s="215">
        <f t="shared" si="861"/>
        <v>-30.116075082405647</v>
      </c>
      <c r="BN260" s="215">
        <f t="shared" si="861"/>
        <v>242.62134629271529</v>
      </c>
      <c r="BO260" s="215">
        <f t="shared" si="861"/>
        <v>-7.1234106545537843</v>
      </c>
      <c r="BP260" s="215">
        <f t="shared" si="861"/>
        <v>-18.51290499837954</v>
      </c>
      <c r="BQ260" s="215">
        <f t="shared" si="861"/>
        <v>-22.413811016289511</v>
      </c>
      <c r="BR260" s="215">
        <f t="shared" si="861"/>
        <v>-7.1548429124630148</v>
      </c>
      <c r="BS260" s="215"/>
      <c r="BT260" s="215">
        <f t="shared" ref="BT260:CE260" si="862">+BT259*4%/12</f>
        <v>15.831166952111611</v>
      </c>
      <c r="BU260" s="215">
        <f t="shared" si="862"/>
        <v>40.984601394740011</v>
      </c>
      <c r="BV260" s="215">
        <f t="shared" si="862"/>
        <v>57.634566721343454</v>
      </c>
      <c r="BW260" s="215">
        <f t="shared" si="862"/>
        <v>56.347132291066714</v>
      </c>
      <c r="BX260" s="215">
        <f t="shared" si="862"/>
        <v>54.948453589054559</v>
      </c>
      <c r="BY260" s="215">
        <f t="shared" si="862"/>
        <v>65.29745861089053</v>
      </c>
      <c r="BZ260" s="215">
        <f t="shared" si="862"/>
        <v>74.658186067511792</v>
      </c>
      <c r="CA260" s="215">
        <f t="shared" si="862"/>
        <v>183.45158257912149</v>
      </c>
      <c r="CB260" s="215">
        <f t="shared" si="862"/>
        <v>163.46837263178423</v>
      </c>
      <c r="CC260" s="215">
        <f t="shared" si="862"/>
        <v>175.47127245102624</v>
      </c>
      <c r="CD260" s="215">
        <f t="shared" si="862"/>
        <v>176.31212840291514</v>
      </c>
      <c r="CE260" s="215">
        <f t="shared" si="862"/>
        <v>188.20765981340983</v>
      </c>
      <c r="CF260" s="215"/>
      <c r="CG260" s="215">
        <f t="shared" ref="CG260:CR260" si="863">+CG259*4%/12</f>
        <v>200.63555285776351</v>
      </c>
      <c r="CH260" s="215">
        <f t="shared" si="863"/>
        <v>211.85999109610881</v>
      </c>
      <c r="CI260" s="215">
        <f t="shared" si="863"/>
        <v>223.08052770426886</v>
      </c>
      <c r="CJ260" s="215">
        <f t="shared" si="863"/>
        <v>229.25525891508389</v>
      </c>
      <c r="CK260" s="215">
        <f t="shared" si="863"/>
        <v>239.00020081573223</v>
      </c>
      <c r="CL260" s="215">
        <f t="shared" si="863"/>
        <v>249.35203918084483</v>
      </c>
      <c r="CM260" s="215">
        <f t="shared" si="863"/>
        <v>260.10855097853289</v>
      </c>
      <c r="CN260" s="215">
        <f t="shared" si="863"/>
        <v>268.39662438001233</v>
      </c>
      <c r="CO260" s="215">
        <f t="shared" si="863"/>
        <v>276.77158821317352</v>
      </c>
      <c r="CP260" s="215">
        <f t="shared" si="863"/>
        <v>285.22619442462604</v>
      </c>
      <c r="CQ260" s="215">
        <f t="shared" si="863"/>
        <v>290.47404432369905</v>
      </c>
      <c r="CR260" s="215">
        <f t="shared" si="863"/>
        <v>294.17437762918706</v>
      </c>
      <c r="CS260" s="215"/>
      <c r="CT260" s="215">
        <f t="shared" ref="CT260:DE260" si="864">+CT259*4%/12</f>
        <v>299.37173342615239</v>
      </c>
      <c r="CU260" s="215">
        <f t="shared" si="864"/>
        <v>302.74773309626926</v>
      </c>
      <c r="CV260" s="215">
        <f t="shared" si="864"/>
        <v>305.27809902768701</v>
      </c>
      <c r="CW260" s="215">
        <f t="shared" si="864"/>
        <v>305.65260589464413</v>
      </c>
      <c r="CX260" s="215">
        <f t="shared" si="864"/>
        <v>521.94165444296766</v>
      </c>
      <c r="CY260" s="215">
        <f t="shared" si="864"/>
        <v>524.13818364482756</v>
      </c>
      <c r="CZ260" s="215">
        <f t="shared" si="864"/>
        <v>526.53184052059521</v>
      </c>
      <c r="DA260" s="215">
        <f t="shared" si="864"/>
        <v>526.71246699434437</v>
      </c>
      <c r="DB260" s="215">
        <f t="shared" si="864"/>
        <v>527.88232479912858</v>
      </c>
      <c r="DC260" s="215">
        <f t="shared" si="864"/>
        <v>529.30454185118572</v>
      </c>
      <c r="DD260" s="215">
        <f t="shared" si="864"/>
        <v>528.80565114450849</v>
      </c>
      <c r="DE260" s="215">
        <f t="shared" si="864"/>
        <v>529.4300237389715</v>
      </c>
      <c r="DF260" s="215"/>
      <c r="DG260" s="215">
        <f>+DG259*6%/12</f>
        <v>23.746750428167417</v>
      </c>
      <c r="DH260" s="196"/>
      <c r="DI260" s="197"/>
      <c r="DJ260" s="198"/>
    </row>
    <row r="261" spans="1:114">
      <c r="E261" s="65" t="s">
        <v>162</v>
      </c>
      <c r="F261" s="66" t="s">
        <v>90</v>
      </c>
      <c r="G261" s="214">
        <f t="shared" ref="G261:BR261" si="865">+G237</f>
        <v>0</v>
      </c>
      <c r="H261" s="214">
        <f t="shared" si="865"/>
        <v>0</v>
      </c>
      <c r="I261" s="214">
        <f t="shared" si="865"/>
        <v>0</v>
      </c>
      <c r="J261" s="214">
        <f t="shared" si="865"/>
        <v>0</v>
      </c>
      <c r="K261" s="214">
        <f t="shared" si="865"/>
        <v>0</v>
      </c>
      <c r="L261" s="214">
        <f t="shared" si="865"/>
        <v>0</v>
      </c>
      <c r="M261" s="214">
        <f t="shared" si="865"/>
        <v>0</v>
      </c>
      <c r="N261" s="214">
        <f t="shared" si="865"/>
        <v>0</v>
      </c>
      <c r="O261" s="214">
        <f t="shared" si="865"/>
        <v>0</v>
      </c>
      <c r="P261" s="214">
        <f t="shared" si="865"/>
        <v>0</v>
      </c>
      <c r="Q261" s="214">
        <f t="shared" si="865"/>
        <v>0</v>
      </c>
      <c r="R261" s="214">
        <f t="shared" si="865"/>
        <v>0</v>
      </c>
      <c r="S261" s="214">
        <f t="shared" si="865"/>
        <v>0</v>
      </c>
      <c r="T261" s="214">
        <f t="shared" si="865"/>
        <v>0</v>
      </c>
      <c r="U261" s="214">
        <f t="shared" si="865"/>
        <v>0</v>
      </c>
      <c r="V261" s="214">
        <f t="shared" si="865"/>
        <v>0</v>
      </c>
      <c r="W261" s="214">
        <f t="shared" si="865"/>
        <v>0</v>
      </c>
      <c r="X261" s="214">
        <f t="shared" si="865"/>
        <v>0</v>
      </c>
      <c r="Y261" s="214">
        <f t="shared" si="865"/>
        <v>0</v>
      </c>
      <c r="Z261" s="214">
        <f t="shared" si="865"/>
        <v>0</v>
      </c>
      <c r="AA261" s="214">
        <f t="shared" si="865"/>
        <v>0</v>
      </c>
      <c r="AB261" s="214">
        <f t="shared" si="865"/>
        <v>0</v>
      </c>
      <c r="AC261" s="214">
        <f t="shared" si="865"/>
        <v>0</v>
      </c>
      <c r="AD261" s="214">
        <f t="shared" si="865"/>
        <v>0</v>
      </c>
      <c r="AE261" s="214">
        <f t="shared" si="865"/>
        <v>0</v>
      </c>
      <c r="AF261" s="214">
        <f t="shared" si="865"/>
        <v>0</v>
      </c>
      <c r="AG261" s="214">
        <f t="shared" si="865"/>
        <v>0</v>
      </c>
      <c r="AH261" s="214">
        <f t="shared" si="865"/>
        <v>0</v>
      </c>
      <c r="AI261" s="214">
        <f t="shared" si="865"/>
        <v>0</v>
      </c>
      <c r="AJ261" s="214">
        <f t="shared" si="865"/>
        <v>0</v>
      </c>
      <c r="AK261" s="214">
        <f t="shared" si="865"/>
        <v>0</v>
      </c>
      <c r="AL261" s="214">
        <f t="shared" si="865"/>
        <v>0</v>
      </c>
      <c r="AM261" s="214">
        <f t="shared" si="865"/>
        <v>0</v>
      </c>
      <c r="AN261" s="214">
        <f t="shared" si="865"/>
        <v>0</v>
      </c>
      <c r="AO261" s="214">
        <f t="shared" si="865"/>
        <v>0</v>
      </c>
      <c r="AP261" s="214">
        <f t="shared" si="865"/>
        <v>0</v>
      </c>
      <c r="AQ261" s="214">
        <f t="shared" si="865"/>
        <v>0</v>
      </c>
      <c r="AR261" s="214">
        <f t="shared" si="865"/>
        <v>0</v>
      </c>
      <c r="AS261" s="214">
        <f t="shared" si="865"/>
        <v>0</v>
      </c>
      <c r="AT261" s="214">
        <f t="shared" si="865"/>
        <v>0</v>
      </c>
      <c r="AU261" s="214">
        <f t="shared" si="865"/>
        <v>0</v>
      </c>
      <c r="AV261" s="214">
        <f t="shared" si="865"/>
        <v>0</v>
      </c>
      <c r="AW261" s="214">
        <f t="shared" si="865"/>
        <v>0</v>
      </c>
      <c r="AX261" s="214">
        <f t="shared" si="865"/>
        <v>0</v>
      </c>
      <c r="AY261" s="214">
        <f t="shared" si="865"/>
        <v>0</v>
      </c>
      <c r="AZ261" s="214">
        <f t="shared" si="865"/>
        <v>0</v>
      </c>
      <c r="BA261" s="214">
        <f t="shared" si="865"/>
        <v>0</v>
      </c>
      <c r="BB261" s="214">
        <f t="shared" si="865"/>
        <v>0</v>
      </c>
      <c r="BC261" s="214">
        <f t="shared" si="865"/>
        <v>0</v>
      </c>
      <c r="BD261" s="214">
        <f t="shared" si="865"/>
        <v>0</v>
      </c>
      <c r="BE261" s="214">
        <f t="shared" si="865"/>
        <v>0</v>
      </c>
      <c r="BF261" s="214">
        <f t="shared" si="865"/>
        <v>0</v>
      </c>
      <c r="BG261" s="214">
        <f t="shared" si="865"/>
        <v>0</v>
      </c>
      <c r="BH261" s="214">
        <f t="shared" si="865"/>
        <v>0</v>
      </c>
      <c r="BI261" s="214">
        <f t="shared" si="865"/>
        <v>0</v>
      </c>
      <c r="BJ261" s="214">
        <f t="shared" si="865"/>
        <v>0</v>
      </c>
      <c r="BK261" s="214">
        <f t="shared" si="865"/>
        <v>0</v>
      </c>
      <c r="BL261" s="214">
        <f t="shared" si="865"/>
        <v>0</v>
      </c>
      <c r="BM261" s="214">
        <f t="shared" si="865"/>
        <v>0</v>
      </c>
      <c r="BN261" s="214">
        <f t="shared" si="865"/>
        <v>0</v>
      </c>
      <c r="BO261" s="214">
        <f t="shared" si="865"/>
        <v>0</v>
      </c>
      <c r="BP261" s="214">
        <f t="shared" si="865"/>
        <v>0</v>
      </c>
      <c r="BQ261" s="214">
        <f t="shared" si="865"/>
        <v>0</v>
      </c>
      <c r="BR261" s="214">
        <f t="shared" si="865"/>
        <v>0</v>
      </c>
      <c r="BS261" s="214">
        <f t="shared" ref="BS261:DF261" si="866">+BS237</f>
        <v>0</v>
      </c>
      <c r="BT261" s="214">
        <f t="shared" si="866"/>
        <v>0</v>
      </c>
      <c r="BU261" s="214">
        <f t="shared" si="866"/>
        <v>0</v>
      </c>
      <c r="BV261" s="214">
        <f t="shared" si="866"/>
        <v>0</v>
      </c>
      <c r="BW261" s="214">
        <f t="shared" si="866"/>
        <v>0</v>
      </c>
      <c r="BX261" s="214">
        <f t="shared" si="866"/>
        <v>0</v>
      </c>
      <c r="BY261" s="214">
        <f t="shared" si="866"/>
        <v>0</v>
      </c>
      <c r="BZ261" s="214">
        <f t="shared" si="866"/>
        <v>0</v>
      </c>
      <c r="CA261" s="214">
        <f t="shared" si="866"/>
        <v>0</v>
      </c>
      <c r="CB261" s="214">
        <f t="shared" si="866"/>
        <v>0</v>
      </c>
      <c r="CC261" s="214">
        <f t="shared" si="866"/>
        <v>0</v>
      </c>
      <c r="CD261" s="214">
        <f t="shared" si="866"/>
        <v>0</v>
      </c>
      <c r="CE261" s="214">
        <f t="shared" si="866"/>
        <v>0</v>
      </c>
      <c r="CF261" s="214">
        <f t="shared" si="866"/>
        <v>0</v>
      </c>
      <c r="CG261" s="214">
        <f t="shared" si="866"/>
        <v>0</v>
      </c>
      <c r="CH261" s="214">
        <f t="shared" si="866"/>
        <v>0</v>
      </c>
      <c r="CI261" s="214">
        <f t="shared" si="866"/>
        <v>0</v>
      </c>
      <c r="CJ261" s="214">
        <f t="shared" si="866"/>
        <v>0</v>
      </c>
      <c r="CK261" s="214">
        <f t="shared" si="866"/>
        <v>0</v>
      </c>
      <c r="CL261" s="214">
        <f t="shared" si="866"/>
        <v>0</v>
      </c>
      <c r="CM261" s="214">
        <f t="shared" si="866"/>
        <v>0</v>
      </c>
      <c r="CN261" s="214">
        <f t="shared" si="866"/>
        <v>0</v>
      </c>
      <c r="CO261" s="214">
        <f t="shared" si="866"/>
        <v>0</v>
      </c>
      <c r="CP261" s="214">
        <f t="shared" si="866"/>
        <v>0</v>
      </c>
      <c r="CQ261" s="214">
        <f t="shared" si="866"/>
        <v>0</v>
      </c>
      <c r="CR261" s="214">
        <f t="shared" si="866"/>
        <v>0</v>
      </c>
      <c r="CS261" s="214">
        <f t="shared" si="866"/>
        <v>0</v>
      </c>
      <c r="CT261" s="214">
        <f t="shared" si="866"/>
        <v>0</v>
      </c>
      <c r="CU261" s="214">
        <f t="shared" si="866"/>
        <v>0</v>
      </c>
      <c r="CV261" s="214">
        <f t="shared" si="866"/>
        <v>0</v>
      </c>
      <c r="CW261" s="214">
        <f t="shared" si="866"/>
        <v>0</v>
      </c>
      <c r="CX261" s="214">
        <f t="shared" si="866"/>
        <v>0</v>
      </c>
      <c r="CY261" s="214">
        <f t="shared" si="866"/>
        <v>0</v>
      </c>
      <c r="CZ261" s="214">
        <f t="shared" si="866"/>
        <v>0</v>
      </c>
      <c r="DA261" s="214">
        <f t="shared" si="866"/>
        <v>0</v>
      </c>
      <c r="DB261" s="214">
        <f t="shared" si="866"/>
        <v>0</v>
      </c>
      <c r="DC261" s="214">
        <f t="shared" si="866"/>
        <v>0</v>
      </c>
      <c r="DD261" s="214">
        <f t="shared" si="866"/>
        <v>0</v>
      </c>
      <c r="DE261" s="214">
        <f t="shared" si="866"/>
        <v>0</v>
      </c>
      <c r="DF261" s="214">
        <f t="shared" si="866"/>
        <v>0</v>
      </c>
      <c r="DG261" s="214">
        <f>+DG237</f>
        <v>0</v>
      </c>
    </row>
    <row r="262" spans="1:114">
      <c r="E262" s="65" t="s">
        <v>361</v>
      </c>
      <c r="F262" s="66" t="s">
        <v>89</v>
      </c>
      <c r="G262" s="214">
        <f>+G261</f>
        <v>0</v>
      </c>
      <c r="H262" s="214">
        <f>+G262+H261</f>
        <v>0</v>
      </c>
      <c r="I262" s="214">
        <f t="shared" ref="I262:BE262" si="867">+H262+I261</f>
        <v>0</v>
      </c>
      <c r="J262" s="214">
        <f t="shared" si="867"/>
        <v>0</v>
      </c>
      <c r="K262" s="214">
        <f t="shared" si="867"/>
        <v>0</v>
      </c>
      <c r="L262" s="214">
        <f t="shared" si="867"/>
        <v>0</v>
      </c>
      <c r="M262" s="214">
        <f t="shared" si="867"/>
        <v>0</v>
      </c>
      <c r="N262" s="214">
        <f t="shared" si="867"/>
        <v>0</v>
      </c>
      <c r="O262" s="214">
        <f t="shared" si="867"/>
        <v>0</v>
      </c>
      <c r="P262" s="214">
        <f t="shared" si="867"/>
        <v>0</v>
      </c>
      <c r="Q262" s="214">
        <f t="shared" si="867"/>
        <v>0</v>
      </c>
      <c r="R262" s="214">
        <f t="shared" si="867"/>
        <v>0</v>
      </c>
      <c r="S262" s="214">
        <f>+R262</f>
        <v>0</v>
      </c>
      <c r="T262" s="214">
        <f t="shared" si="867"/>
        <v>0</v>
      </c>
      <c r="U262" s="214">
        <f t="shared" si="867"/>
        <v>0</v>
      </c>
      <c r="V262" s="214">
        <f t="shared" si="867"/>
        <v>0</v>
      </c>
      <c r="W262" s="214">
        <f t="shared" si="867"/>
        <v>0</v>
      </c>
      <c r="X262" s="214">
        <f t="shared" si="867"/>
        <v>0</v>
      </c>
      <c r="Y262" s="214">
        <f t="shared" si="867"/>
        <v>0</v>
      </c>
      <c r="Z262" s="214">
        <f t="shared" si="867"/>
        <v>0</v>
      </c>
      <c r="AA262" s="214">
        <f t="shared" si="867"/>
        <v>0</v>
      </c>
      <c r="AB262" s="214">
        <f t="shared" si="867"/>
        <v>0</v>
      </c>
      <c r="AC262" s="214">
        <f t="shared" si="867"/>
        <v>0</v>
      </c>
      <c r="AD262" s="214">
        <f t="shared" si="867"/>
        <v>0</v>
      </c>
      <c r="AE262" s="214">
        <f t="shared" si="867"/>
        <v>0</v>
      </c>
      <c r="AF262" s="214">
        <f>+AE262</f>
        <v>0</v>
      </c>
      <c r="AG262" s="214">
        <f t="shared" si="867"/>
        <v>0</v>
      </c>
      <c r="AH262" s="214">
        <f t="shared" si="867"/>
        <v>0</v>
      </c>
      <c r="AI262" s="214">
        <f t="shared" si="867"/>
        <v>0</v>
      </c>
      <c r="AJ262" s="214">
        <f t="shared" si="867"/>
        <v>0</v>
      </c>
      <c r="AK262" s="214">
        <f t="shared" si="867"/>
        <v>0</v>
      </c>
      <c r="AL262" s="214">
        <f t="shared" si="867"/>
        <v>0</v>
      </c>
      <c r="AM262" s="214">
        <f t="shared" si="867"/>
        <v>0</v>
      </c>
      <c r="AN262" s="214">
        <f t="shared" si="867"/>
        <v>0</v>
      </c>
      <c r="AO262" s="214">
        <f t="shared" si="867"/>
        <v>0</v>
      </c>
      <c r="AP262" s="214">
        <f t="shared" si="867"/>
        <v>0</v>
      </c>
      <c r="AQ262" s="214">
        <f t="shared" si="867"/>
        <v>0</v>
      </c>
      <c r="AR262" s="214">
        <f t="shared" si="867"/>
        <v>0</v>
      </c>
      <c r="AS262" s="214">
        <f>+AR262</f>
        <v>0</v>
      </c>
      <c r="AT262" s="214">
        <f t="shared" si="867"/>
        <v>0</v>
      </c>
      <c r="AU262" s="214">
        <f t="shared" si="867"/>
        <v>0</v>
      </c>
      <c r="AV262" s="214">
        <f t="shared" si="867"/>
        <v>0</v>
      </c>
      <c r="AW262" s="214">
        <f t="shared" si="867"/>
        <v>0</v>
      </c>
      <c r="AX262" s="214">
        <f t="shared" si="867"/>
        <v>0</v>
      </c>
      <c r="AY262" s="214">
        <f t="shared" si="867"/>
        <v>0</v>
      </c>
      <c r="AZ262" s="214">
        <f t="shared" si="867"/>
        <v>0</v>
      </c>
      <c r="BA262" s="214">
        <f t="shared" si="867"/>
        <v>0</v>
      </c>
      <c r="BB262" s="214">
        <f t="shared" si="867"/>
        <v>0</v>
      </c>
      <c r="BC262" s="214">
        <f t="shared" si="867"/>
        <v>0</v>
      </c>
      <c r="BD262" s="214">
        <f t="shared" si="867"/>
        <v>0</v>
      </c>
      <c r="BE262" s="214">
        <f t="shared" si="867"/>
        <v>0</v>
      </c>
      <c r="BF262" s="214">
        <f>+BE262</f>
        <v>0</v>
      </c>
      <c r="BG262" s="214">
        <f t="shared" ref="BG262:BR262" si="868">+BF262+BG261</f>
        <v>0</v>
      </c>
      <c r="BH262" s="214">
        <f t="shared" si="868"/>
        <v>0</v>
      </c>
      <c r="BI262" s="214">
        <f t="shared" si="868"/>
        <v>0</v>
      </c>
      <c r="BJ262" s="214">
        <f t="shared" si="868"/>
        <v>0</v>
      </c>
      <c r="BK262" s="214">
        <f t="shared" si="868"/>
        <v>0</v>
      </c>
      <c r="BL262" s="214">
        <f t="shared" si="868"/>
        <v>0</v>
      </c>
      <c r="BM262" s="214">
        <f t="shared" si="868"/>
        <v>0</v>
      </c>
      <c r="BN262" s="214">
        <f t="shared" si="868"/>
        <v>0</v>
      </c>
      <c r="BO262" s="214">
        <f t="shared" si="868"/>
        <v>0</v>
      </c>
      <c r="BP262" s="214">
        <f t="shared" si="868"/>
        <v>0</v>
      </c>
      <c r="BQ262" s="214">
        <f t="shared" si="868"/>
        <v>0</v>
      </c>
      <c r="BR262" s="214">
        <f t="shared" si="868"/>
        <v>0</v>
      </c>
      <c r="BS262" s="214">
        <f>+BR262</f>
        <v>0</v>
      </c>
      <c r="BT262" s="214">
        <f>+BS262+BT261</f>
        <v>0</v>
      </c>
      <c r="BU262" s="214">
        <f>+BT262+BU261</f>
        <v>0</v>
      </c>
      <c r="BV262" s="214">
        <f>+BU262+BV261</f>
        <v>0</v>
      </c>
      <c r="BW262" s="214">
        <v>0</v>
      </c>
      <c r="BX262" s="214">
        <f t="shared" ref="BX262:CE262" si="869">+BW262+BX261</f>
        <v>0</v>
      </c>
      <c r="BY262" s="214">
        <f t="shared" si="869"/>
        <v>0</v>
      </c>
      <c r="BZ262" s="214">
        <f t="shared" si="869"/>
        <v>0</v>
      </c>
      <c r="CA262" s="214">
        <f t="shared" si="869"/>
        <v>0</v>
      </c>
      <c r="CB262" s="214">
        <f t="shared" si="869"/>
        <v>0</v>
      </c>
      <c r="CC262" s="214">
        <f t="shared" si="869"/>
        <v>0</v>
      </c>
      <c r="CD262" s="214">
        <f t="shared" si="869"/>
        <v>0</v>
      </c>
      <c r="CE262" s="214">
        <f t="shared" si="869"/>
        <v>0</v>
      </c>
      <c r="CF262" s="214">
        <f>+CE262</f>
        <v>0</v>
      </c>
      <c r="CG262" s="214">
        <f t="shared" ref="CG262:CR262" si="870">+CF262+CG261</f>
        <v>0</v>
      </c>
      <c r="CH262" s="214">
        <f t="shared" si="870"/>
        <v>0</v>
      </c>
      <c r="CI262" s="214">
        <f t="shared" si="870"/>
        <v>0</v>
      </c>
      <c r="CJ262" s="214">
        <f t="shared" si="870"/>
        <v>0</v>
      </c>
      <c r="CK262" s="214">
        <f t="shared" si="870"/>
        <v>0</v>
      </c>
      <c r="CL262" s="214">
        <f t="shared" si="870"/>
        <v>0</v>
      </c>
      <c r="CM262" s="214">
        <f t="shared" si="870"/>
        <v>0</v>
      </c>
      <c r="CN262" s="214">
        <f t="shared" si="870"/>
        <v>0</v>
      </c>
      <c r="CO262" s="214">
        <f t="shared" si="870"/>
        <v>0</v>
      </c>
      <c r="CP262" s="214">
        <f t="shared" si="870"/>
        <v>0</v>
      </c>
      <c r="CQ262" s="214">
        <f t="shared" si="870"/>
        <v>0</v>
      </c>
      <c r="CR262" s="214">
        <f t="shared" si="870"/>
        <v>0</v>
      </c>
      <c r="CS262" s="214">
        <f>+CR262</f>
        <v>0</v>
      </c>
      <c r="CT262" s="214">
        <f t="shared" ref="CT262:DE262" si="871">+CS262+CT261</f>
        <v>0</v>
      </c>
      <c r="CU262" s="214">
        <f t="shared" si="871"/>
        <v>0</v>
      </c>
      <c r="CV262" s="214">
        <f t="shared" si="871"/>
        <v>0</v>
      </c>
      <c r="CW262" s="214">
        <f t="shared" si="871"/>
        <v>0</v>
      </c>
      <c r="CX262" s="214">
        <f t="shared" si="871"/>
        <v>0</v>
      </c>
      <c r="CY262" s="214">
        <f t="shared" si="871"/>
        <v>0</v>
      </c>
      <c r="CZ262" s="214">
        <f t="shared" si="871"/>
        <v>0</v>
      </c>
      <c r="DA262" s="214">
        <f t="shared" si="871"/>
        <v>0</v>
      </c>
      <c r="DB262" s="214">
        <f t="shared" si="871"/>
        <v>0</v>
      </c>
      <c r="DC262" s="214">
        <f t="shared" si="871"/>
        <v>0</v>
      </c>
      <c r="DD262" s="214">
        <f t="shared" si="871"/>
        <v>0</v>
      </c>
      <c r="DE262" s="214">
        <f t="shared" si="871"/>
        <v>0</v>
      </c>
      <c r="DF262" s="214">
        <f>+DE262</f>
        <v>0</v>
      </c>
      <c r="DG262" s="214">
        <f>+BS262+DG261</f>
        <v>0</v>
      </c>
    </row>
    <row r="263" spans="1:114">
      <c r="E263" s="65" t="s">
        <v>360</v>
      </c>
      <c r="F263" s="66" t="s">
        <v>88</v>
      </c>
      <c r="G263" s="214">
        <f>+G262*12%/12</f>
        <v>0</v>
      </c>
      <c r="H263" s="214">
        <f t="shared" ref="H263:AL264" si="872">+H262*12%/12</f>
        <v>0</v>
      </c>
      <c r="I263" s="214">
        <f t="shared" si="872"/>
        <v>0</v>
      </c>
      <c r="J263" s="214">
        <f t="shared" si="872"/>
        <v>0</v>
      </c>
      <c r="K263" s="214">
        <f t="shared" si="872"/>
        <v>0</v>
      </c>
      <c r="L263" s="214">
        <f t="shared" si="872"/>
        <v>0</v>
      </c>
      <c r="M263" s="214">
        <f t="shared" si="872"/>
        <v>0</v>
      </c>
      <c r="N263" s="214">
        <f t="shared" si="872"/>
        <v>0</v>
      </c>
      <c r="O263" s="214">
        <f t="shared" si="872"/>
        <v>0</v>
      </c>
      <c r="P263" s="214">
        <f t="shared" si="872"/>
        <v>0</v>
      </c>
      <c r="Q263" s="214">
        <f t="shared" si="872"/>
        <v>0</v>
      </c>
      <c r="R263" s="214">
        <f t="shared" si="872"/>
        <v>0</v>
      </c>
      <c r="S263" s="214"/>
      <c r="T263" s="214">
        <f t="shared" si="872"/>
        <v>0</v>
      </c>
      <c r="U263" s="214">
        <f t="shared" si="872"/>
        <v>0</v>
      </c>
      <c r="V263" s="214">
        <f t="shared" si="872"/>
        <v>0</v>
      </c>
      <c r="W263" s="214">
        <f t="shared" si="872"/>
        <v>0</v>
      </c>
      <c r="X263" s="214">
        <f t="shared" si="872"/>
        <v>0</v>
      </c>
      <c r="Y263" s="214">
        <f t="shared" si="872"/>
        <v>0</v>
      </c>
      <c r="Z263" s="214">
        <f t="shared" si="872"/>
        <v>0</v>
      </c>
      <c r="AA263" s="214">
        <f t="shared" si="872"/>
        <v>0</v>
      </c>
      <c r="AB263" s="214">
        <f t="shared" si="872"/>
        <v>0</v>
      </c>
      <c r="AC263" s="214">
        <f t="shared" si="872"/>
        <v>0</v>
      </c>
      <c r="AD263" s="214">
        <f t="shared" si="872"/>
        <v>0</v>
      </c>
      <c r="AE263" s="214">
        <f t="shared" si="872"/>
        <v>0</v>
      </c>
      <c r="AF263" s="214">
        <f t="shared" si="872"/>
        <v>0</v>
      </c>
      <c r="AG263" s="214">
        <f t="shared" si="872"/>
        <v>0</v>
      </c>
      <c r="AH263" s="214">
        <f t="shared" si="872"/>
        <v>0</v>
      </c>
      <c r="AI263" s="214">
        <f t="shared" si="872"/>
        <v>0</v>
      </c>
      <c r="AJ263" s="214">
        <f t="shared" si="872"/>
        <v>0</v>
      </c>
      <c r="AK263" s="214">
        <f t="shared" si="872"/>
        <v>0</v>
      </c>
      <c r="AL263" s="214">
        <f t="shared" si="872"/>
        <v>0</v>
      </c>
      <c r="AM263" s="214">
        <f t="shared" ref="AM263:AR263" si="873">+AM262*6%/12</f>
        <v>0</v>
      </c>
      <c r="AN263" s="214">
        <f t="shared" si="873"/>
        <v>0</v>
      </c>
      <c r="AO263" s="214">
        <f t="shared" si="873"/>
        <v>0</v>
      </c>
      <c r="AP263" s="214">
        <f t="shared" si="873"/>
        <v>0</v>
      </c>
      <c r="AQ263" s="214">
        <f t="shared" si="873"/>
        <v>0</v>
      </c>
      <c r="AR263" s="214">
        <f t="shared" si="873"/>
        <v>0</v>
      </c>
      <c r="AS263" s="214"/>
      <c r="AT263" s="214">
        <f t="shared" ref="AT263:BE263" si="874">+AT262*6%/12</f>
        <v>0</v>
      </c>
      <c r="AU263" s="214">
        <f t="shared" si="874"/>
        <v>0</v>
      </c>
      <c r="AV263" s="214">
        <f t="shared" si="874"/>
        <v>0</v>
      </c>
      <c r="AW263" s="214">
        <f t="shared" si="874"/>
        <v>0</v>
      </c>
      <c r="AX263" s="214">
        <f t="shared" si="874"/>
        <v>0</v>
      </c>
      <c r="AY263" s="214">
        <f t="shared" si="874"/>
        <v>0</v>
      </c>
      <c r="AZ263" s="214">
        <f t="shared" si="874"/>
        <v>0</v>
      </c>
      <c r="BA263" s="214">
        <f t="shared" si="874"/>
        <v>0</v>
      </c>
      <c r="BB263" s="214">
        <f t="shared" si="874"/>
        <v>0</v>
      </c>
      <c r="BC263" s="214">
        <f t="shared" si="874"/>
        <v>0</v>
      </c>
      <c r="BD263" s="214">
        <f t="shared" si="874"/>
        <v>0</v>
      </c>
      <c r="BE263" s="214">
        <f t="shared" si="874"/>
        <v>0</v>
      </c>
      <c r="BF263" s="214"/>
      <c r="BG263" s="214">
        <f t="shared" ref="BG263:BR263" si="875">+BG262*6%/12</f>
        <v>0</v>
      </c>
      <c r="BH263" s="214">
        <f t="shared" si="875"/>
        <v>0</v>
      </c>
      <c r="BI263" s="214">
        <f t="shared" si="875"/>
        <v>0</v>
      </c>
      <c r="BJ263" s="214">
        <f t="shared" si="875"/>
        <v>0</v>
      </c>
      <c r="BK263" s="214">
        <f t="shared" si="875"/>
        <v>0</v>
      </c>
      <c r="BL263" s="214">
        <f t="shared" si="875"/>
        <v>0</v>
      </c>
      <c r="BM263" s="214">
        <f t="shared" si="875"/>
        <v>0</v>
      </c>
      <c r="BN263" s="214">
        <f t="shared" si="875"/>
        <v>0</v>
      </c>
      <c r="BO263" s="214">
        <f t="shared" si="875"/>
        <v>0</v>
      </c>
      <c r="BP263" s="214">
        <f t="shared" si="875"/>
        <v>0</v>
      </c>
      <c r="BQ263" s="214">
        <f t="shared" si="875"/>
        <v>0</v>
      </c>
      <c r="BR263" s="214">
        <f t="shared" si="875"/>
        <v>0</v>
      </c>
      <c r="BS263" s="214"/>
      <c r="BT263" s="214">
        <f t="shared" ref="BT263:CE263" si="876">+BT262*6%/12</f>
        <v>0</v>
      </c>
      <c r="BU263" s="214">
        <f t="shared" si="876"/>
        <v>0</v>
      </c>
      <c r="BV263" s="214">
        <f t="shared" si="876"/>
        <v>0</v>
      </c>
      <c r="BW263" s="214">
        <f t="shared" si="876"/>
        <v>0</v>
      </c>
      <c r="BX263" s="214">
        <f t="shared" si="876"/>
        <v>0</v>
      </c>
      <c r="BY263" s="214">
        <f t="shared" si="876"/>
        <v>0</v>
      </c>
      <c r="BZ263" s="214">
        <f t="shared" si="876"/>
        <v>0</v>
      </c>
      <c r="CA263" s="214">
        <f t="shared" si="876"/>
        <v>0</v>
      </c>
      <c r="CB263" s="214">
        <f t="shared" si="876"/>
        <v>0</v>
      </c>
      <c r="CC263" s="214">
        <f t="shared" si="876"/>
        <v>0</v>
      </c>
      <c r="CD263" s="214">
        <f t="shared" si="876"/>
        <v>0</v>
      </c>
      <c r="CE263" s="214">
        <f t="shared" si="876"/>
        <v>0</v>
      </c>
      <c r="CF263" s="214"/>
      <c r="CG263" s="214">
        <f t="shared" ref="CG263:CR263" si="877">+CG262*6%/12</f>
        <v>0</v>
      </c>
      <c r="CH263" s="214">
        <f t="shared" si="877"/>
        <v>0</v>
      </c>
      <c r="CI263" s="214">
        <f t="shared" si="877"/>
        <v>0</v>
      </c>
      <c r="CJ263" s="214">
        <f t="shared" si="877"/>
        <v>0</v>
      </c>
      <c r="CK263" s="214">
        <f t="shared" si="877"/>
        <v>0</v>
      </c>
      <c r="CL263" s="214">
        <f t="shared" si="877"/>
        <v>0</v>
      </c>
      <c r="CM263" s="214">
        <f t="shared" si="877"/>
        <v>0</v>
      </c>
      <c r="CN263" s="214">
        <f t="shared" si="877"/>
        <v>0</v>
      </c>
      <c r="CO263" s="214">
        <f t="shared" si="877"/>
        <v>0</v>
      </c>
      <c r="CP263" s="214">
        <f t="shared" si="877"/>
        <v>0</v>
      </c>
      <c r="CQ263" s="214">
        <f t="shared" si="877"/>
        <v>0</v>
      </c>
      <c r="CR263" s="214">
        <f t="shared" si="877"/>
        <v>0</v>
      </c>
      <c r="CS263" s="214"/>
      <c r="CT263" s="214">
        <f t="shared" ref="CT263:DE263" si="878">+CT262*6%/12</f>
        <v>0</v>
      </c>
      <c r="CU263" s="214">
        <f t="shared" si="878"/>
        <v>0</v>
      </c>
      <c r="CV263" s="214">
        <f t="shared" si="878"/>
        <v>0</v>
      </c>
      <c r="CW263" s="214">
        <f t="shared" si="878"/>
        <v>0</v>
      </c>
      <c r="CX263" s="214">
        <f t="shared" si="878"/>
        <v>0</v>
      </c>
      <c r="CY263" s="214">
        <f t="shared" si="878"/>
        <v>0</v>
      </c>
      <c r="CZ263" s="214">
        <f t="shared" si="878"/>
        <v>0</v>
      </c>
      <c r="DA263" s="214">
        <f t="shared" si="878"/>
        <v>0</v>
      </c>
      <c r="DB263" s="214">
        <f t="shared" si="878"/>
        <v>0</v>
      </c>
      <c r="DC263" s="214">
        <f t="shared" si="878"/>
        <v>0</v>
      </c>
      <c r="DD263" s="214">
        <f t="shared" si="878"/>
        <v>0</v>
      </c>
      <c r="DE263" s="214">
        <f t="shared" si="878"/>
        <v>0</v>
      </c>
      <c r="DF263" s="214"/>
      <c r="DG263" s="214">
        <f>+DG262*12%/12</f>
        <v>0</v>
      </c>
    </row>
    <row r="264" spans="1:114">
      <c r="F264" s="66" t="s">
        <v>91</v>
      </c>
      <c r="G264" s="214">
        <f t="shared" ref="G264:R264" si="879">+G231</f>
        <v>0</v>
      </c>
      <c r="H264" s="214">
        <f t="shared" si="879"/>
        <v>0</v>
      </c>
      <c r="I264" s="214">
        <f t="shared" si="879"/>
        <v>0</v>
      </c>
      <c r="J264" s="214">
        <f t="shared" si="879"/>
        <v>0</v>
      </c>
      <c r="K264" s="214">
        <f t="shared" si="879"/>
        <v>0</v>
      </c>
      <c r="L264" s="214">
        <f t="shared" si="879"/>
        <v>0</v>
      </c>
      <c r="M264" s="214">
        <f t="shared" si="879"/>
        <v>0</v>
      </c>
      <c r="N264" s="214">
        <f t="shared" si="879"/>
        <v>0</v>
      </c>
      <c r="O264" s="214">
        <f t="shared" si="879"/>
        <v>0</v>
      </c>
      <c r="P264" s="214">
        <f t="shared" si="879"/>
        <v>0</v>
      </c>
      <c r="Q264" s="214">
        <f t="shared" si="879"/>
        <v>0</v>
      </c>
      <c r="R264" s="214">
        <f t="shared" si="879"/>
        <v>0</v>
      </c>
      <c r="S264" s="214"/>
      <c r="T264" s="214">
        <f t="shared" ref="T264:AE264" si="880">+T231</f>
        <v>0</v>
      </c>
      <c r="U264" s="214">
        <f t="shared" si="880"/>
        <v>0</v>
      </c>
      <c r="V264" s="214">
        <f t="shared" si="880"/>
        <v>0</v>
      </c>
      <c r="W264" s="214">
        <f t="shared" si="880"/>
        <v>0</v>
      </c>
      <c r="X264" s="214">
        <f t="shared" si="880"/>
        <v>0</v>
      </c>
      <c r="Y264" s="214">
        <f t="shared" si="880"/>
        <v>0</v>
      </c>
      <c r="Z264" s="214">
        <f t="shared" si="880"/>
        <v>0</v>
      </c>
      <c r="AA264" s="214">
        <f t="shared" si="880"/>
        <v>0</v>
      </c>
      <c r="AB264" s="214">
        <f t="shared" si="880"/>
        <v>0</v>
      </c>
      <c r="AC264" s="214">
        <f t="shared" si="880"/>
        <v>0</v>
      </c>
      <c r="AD264" s="214">
        <f t="shared" si="880"/>
        <v>0</v>
      </c>
      <c r="AE264" s="214">
        <f t="shared" si="880"/>
        <v>0</v>
      </c>
      <c r="AF264" s="214">
        <f t="shared" si="872"/>
        <v>0</v>
      </c>
      <c r="AG264" s="214">
        <f>+AG231</f>
        <v>0</v>
      </c>
      <c r="AH264" s="214">
        <f t="shared" ref="AH264:AR264" si="881">+AH231</f>
        <v>0</v>
      </c>
      <c r="AI264" s="214">
        <f t="shared" si="881"/>
        <v>0</v>
      </c>
      <c r="AJ264" s="214">
        <f t="shared" si="881"/>
        <v>0</v>
      </c>
      <c r="AK264" s="214">
        <f t="shared" si="881"/>
        <v>0</v>
      </c>
      <c r="AL264" s="214">
        <f t="shared" si="881"/>
        <v>0</v>
      </c>
      <c r="AM264" s="214">
        <f t="shared" si="881"/>
        <v>0</v>
      </c>
      <c r="AN264" s="214">
        <f t="shared" si="881"/>
        <v>0</v>
      </c>
      <c r="AO264" s="214">
        <f t="shared" si="881"/>
        <v>0</v>
      </c>
      <c r="AP264" s="214">
        <f t="shared" si="881"/>
        <v>0</v>
      </c>
      <c r="AQ264" s="214">
        <f t="shared" si="881"/>
        <v>0</v>
      </c>
      <c r="AR264" s="214">
        <f t="shared" si="881"/>
        <v>0</v>
      </c>
      <c r="AS264" s="214"/>
      <c r="AT264" s="214">
        <f t="shared" ref="AT264:BE264" si="882">+AT231</f>
        <v>0</v>
      </c>
      <c r="AU264" s="214">
        <v>0</v>
      </c>
      <c r="AV264" s="214">
        <f t="shared" si="882"/>
        <v>0</v>
      </c>
      <c r="AW264" s="214">
        <f t="shared" si="882"/>
        <v>0</v>
      </c>
      <c r="AX264" s="214">
        <f t="shared" si="882"/>
        <v>0</v>
      </c>
      <c r="AY264" s="214">
        <f t="shared" si="882"/>
        <v>0</v>
      </c>
      <c r="AZ264" s="214">
        <f t="shared" si="882"/>
        <v>0</v>
      </c>
      <c r="BA264" s="214">
        <f t="shared" si="882"/>
        <v>0</v>
      </c>
      <c r="BB264" s="214">
        <f t="shared" si="882"/>
        <v>0</v>
      </c>
      <c r="BC264" s="214">
        <f t="shared" si="882"/>
        <v>0</v>
      </c>
      <c r="BD264" s="214">
        <f t="shared" si="882"/>
        <v>0</v>
      </c>
      <c r="BE264" s="214">
        <f t="shared" si="882"/>
        <v>0</v>
      </c>
      <c r="BF264" s="214"/>
      <c r="BG264" s="214">
        <f t="shared" ref="BG264:BR264" si="883">+BG231</f>
        <v>0</v>
      </c>
      <c r="BH264" s="214">
        <f t="shared" si="883"/>
        <v>0</v>
      </c>
      <c r="BI264" s="214">
        <f t="shared" si="883"/>
        <v>0</v>
      </c>
      <c r="BJ264" s="214">
        <f t="shared" si="883"/>
        <v>0</v>
      </c>
      <c r="BK264" s="214">
        <f t="shared" si="883"/>
        <v>0</v>
      </c>
      <c r="BL264" s="214">
        <f t="shared" si="883"/>
        <v>0</v>
      </c>
      <c r="BM264" s="214">
        <f t="shared" si="883"/>
        <v>0</v>
      </c>
      <c r="BN264" s="214">
        <f t="shared" si="883"/>
        <v>0</v>
      </c>
      <c r="BO264" s="214">
        <f t="shared" si="883"/>
        <v>0</v>
      </c>
      <c r="BP264" s="214">
        <f t="shared" si="883"/>
        <v>0</v>
      </c>
      <c r="BQ264" s="214">
        <f t="shared" si="883"/>
        <v>0</v>
      </c>
      <c r="BR264" s="214">
        <f t="shared" si="883"/>
        <v>0</v>
      </c>
      <c r="BS264" s="214"/>
      <c r="BT264" s="214">
        <f t="shared" ref="BT264:CE264" si="884">+BT231</f>
        <v>0</v>
      </c>
      <c r="BU264" s="214">
        <f t="shared" si="884"/>
        <v>0</v>
      </c>
      <c r="BV264" s="214">
        <f t="shared" si="884"/>
        <v>0</v>
      </c>
      <c r="BW264" s="214">
        <f t="shared" si="884"/>
        <v>0</v>
      </c>
      <c r="BX264" s="214">
        <f t="shared" si="884"/>
        <v>0</v>
      </c>
      <c r="BY264" s="214">
        <f t="shared" si="884"/>
        <v>0</v>
      </c>
      <c r="BZ264" s="214">
        <f t="shared" si="884"/>
        <v>0</v>
      </c>
      <c r="CA264" s="214">
        <f t="shared" si="884"/>
        <v>0</v>
      </c>
      <c r="CB264" s="214">
        <f t="shared" si="884"/>
        <v>0</v>
      </c>
      <c r="CC264" s="214">
        <f t="shared" si="884"/>
        <v>0</v>
      </c>
      <c r="CD264" s="214">
        <f t="shared" si="884"/>
        <v>0</v>
      </c>
      <c r="CE264" s="214">
        <f t="shared" si="884"/>
        <v>0</v>
      </c>
      <c r="CF264" s="214"/>
      <c r="CG264" s="214">
        <f t="shared" ref="CG264:CR264" si="885">+CG231</f>
        <v>0</v>
      </c>
      <c r="CH264" s="214">
        <f t="shared" si="885"/>
        <v>0</v>
      </c>
      <c r="CI264" s="214">
        <f t="shared" si="885"/>
        <v>0</v>
      </c>
      <c r="CJ264" s="214">
        <f t="shared" si="885"/>
        <v>0</v>
      </c>
      <c r="CK264" s="214">
        <f t="shared" si="885"/>
        <v>0</v>
      </c>
      <c r="CL264" s="214">
        <f t="shared" si="885"/>
        <v>0</v>
      </c>
      <c r="CM264" s="214">
        <f t="shared" si="885"/>
        <v>0</v>
      </c>
      <c r="CN264" s="214">
        <f t="shared" si="885"/>
        <v>0</v>
      </c>
      <c r="CO264" s="214">
        <f t="shared" si="885"/>
        <v>0</v>
      </c>
      <c r="CP264" s="214">
        <f t="shared" si="885"/>
        <v>0</v>
      </c>
      <c r="CQ264" s="214">
        <f t="shared" si="885"/>
        <v>0</v>
      </c>
      <c r="CR264" s="214">
        <f t="shared" si="885"/>
        <v>0</v>
      </c>
      <c r="CS264" s="214"/>
      <c r="CT264" s="214">
        <f t="shared" ref="CT264:DE264" si="886">+CT231</f>
        <v>0</v>
      </c>
      <c r="CU264" s="214">
        <f t="shared" si="886"/>
        <v>0</v>
      </c>
      <c r="CV264" s="214">
        <f t="shared" si="886"/>
        <v>0</v>
      </c>
      <c r="CW264" s="214">
        <f t="shared" si="886"/>
        <v>0</v>
      </c>
      <c r="CX264" s="214">
        <f t="shared" si="886"/>
        <v>0</v>
      </c>
      <c r="CY264" s="214">
        <f t="shared" si="886"/>
        <v>0</v>
      </c>
      <c r="CZ264" s="214">
        <f t="shared" si="886"/>
        <v>0</v>
      </c>
      <c r="DA264" s="214">
        <f t="shared" si="886"/>
        <v>0</v>
      </c>
      <c r="DB264" s="214">
        <f t="shared" si="886"/>
        <v>0</v>
      </c>
      <c r="DC264" s="214">
        <f t="shared" si="886"/>
        <v>0</v>
      </c>
      <c r="DD264" s="214">
        <f t="shared" si="886"/>
        <v>0</v>
      </c>
      <c r="DE264" s="214">
        <f t="shared" si="886"/>
        <v>0</v>
      </c>
      <c r="DF264" s="214"/>
      <c r="DG264" s="214">
        <f>+DG231</f>
        <v>0</v>
      </c>
    </row>
    <row r="265" spans="1:114">
      <c r="E265" s="65" t="s">
        <v>82</v>
      </c>
      <c r="F265" s="66" t="s">
        <v>92</v>
      </c>
      <c r="G265" s="214">
        <f>+G264</f>
        <v>0</v>
      </c>
      <c r="H265" s="214">
        <f>+G265+H264</f>
        <v>0</v>
      </c>
      <c r="I265" s="214">
        <f t="shared" ref="I265:T265" si="887">+H265+I264</f>
        <v>0</v>
      </c>
      <c r="J265" s="214">
        <f t="shared" si="887"/>
        <v>0</v>
      </c>
      <c r="K265" s="214">
        <f t="shared" si="887"/>
        <v>0</v>
      </c>
      <c r="L265" s="214">
        <f t="shared" si="887"/>
        <v>0</v>
      </c>
      <c r="M265" s="214">
        <f t="shared" si="887"/>
        <v>0</v>
      </c>
      <c r="N265" s="214">
        <f t="shared" si="887"/>
        <v>0</v>
      </c>
      <c r="O265" s="214">
        <f t="shared" si="887"/>
        <v>0</v>
      </c>
      <c r="P265" s="214">
        <f t="shared" si="887"/>
        <v>0</v>
      </c>
      <c r="Q265" s="214">
        <f t="shared" si="887"/>
        <v>0</v>
      </c>
      <c r="R265" s="214">
        <f t="shared" si="887"/>
        <v>0</v>
      </c>
      <c r="S265" s="214">
        <f t="shared" si="887"/>
        <v>0</v>
      </c>
      <c r="T265" s="214">
        <f t="shared" si="887"/>
        <v>0</v>
      </c>
      <c r="U265" s="214">
        <f>+U264</f>
        <v>0</v>
      </c>
      <c r="V265" s="214">
        <f>+U265+V264</f>
        <v>0</v>
      </c>
      <c r="W265" s="214">
        <f>+W264</f>
        <v>0</v>
      </c>
      <c r="X265" s="214">
        <f>+W265+X264</f>
        <v>0</v>
      </c>
      <c r="Y265" s="214">
        <f>+Y264</f>
        <v>0</v>
      </c>
      <c r="Z265" s="214">
        <f>+Y265+Z264</f>
        <v>0</v>
      </c>
      <c r="AA265" s="214">
        <f>+AA264</f>
        <v>0</v>
      </c>
      <c r="AB265" s="214">
        <f>+AA265+AB264</f>
        <v>0</v>
      </c>
      <c r="AC265" s="214">
        <f>+AC264</f>
        <v>0</v>
      </c>
      <c r="AD265" s="214">
        <f>+AC265+AD264</f>
        <v>0</v>
      </c>
      <c r="AE265" s="214">
        <f>+AE264</f>
        <v>0</v>
      </c>
      <c r="AF265" s="214">
        <f t="shared" ref="AF265:BF265" si="888">+AE265+AF264</f>
        <v>0</v>
      </c>
      <c r="AG265" s="214">
        <f t="shared" si="888"/>
        <v>0</v>
      </c>
      <c r="AH265" s="214">
        <f t="shared" si="888"/>
        <v>0</v>
      </c>
      <c r="AI265" s="214">
        <f t="shared" si="888"/>
        <v>0</v>
      </c>
      <c r="AJ265" s="214">
        <f t="shared" si="888"/>
        <v>0</v>
      </c>
      <c r="AK265" s="214">
        <f t="shared" si="888"/>
        <v>0</v>
      </c>
      <c r="AL265" s="214">
        <f t="shared" si="888"/>
        <v>0</v>
      </c>
      <c r="AM265" s="214">
        <f t="shared" si="888"/>
        <v>0</v>
      </c>
      <c r="AN265" s="214">
        <f t="shared" si="888"/>
        <v>0</v>
      </c>
      <c r="AO265" s="214">
        <f t="shared" si="888"/>
        <v>0</v>
      </c>
      <c r="AP265" s="214">
        <f t="shared" si="888"/>
        <v>0</v>
      </c>
      <c r="AQ265" s="214">
        <f t="shared" si="888"/>
        <v>0</v>
      </c>
      <c r="AR265" s="214">
        <f t="shared" si="888"/>
        <v>0</v>
      </c>
      <c r="AS265" s="214">
        <f t="shared" si="888"/>
        <v>0</v>
      </c>
      <c r="AT265" s="214">
        <f t="shared" si="888"/>
        <v>0</v>
      </c>
      <c r="AU265" s="214">
        <f t="shared" si="888"/>
        <v>0</v>
      </c>
      <c r="AV265" s="214">
        <f t="shared" si="888"/>
        <v>0</v>
      </c>
      <c r="AW265" s="214">
        <f t="shared" si="888"/>
        <v>0</v>
      </c>
      <c r="AX265" s="214">
        <f>AX197</f>
        <v>19083</v>
      </c>
      <c r="AY265" s="214">
        <f>AY197</f>
        <v>8875</v>
      </c>
      <c r="AZ265" s="214">
        <f t="shared" ref="AZ265:BE265" si="889">AZ197</f>
        <v>0</v>
      </c>
      <c r="BA265" s="214">
        <f t="shared" si="889"/>
        <v>0</v>
      </c>
      <c r="BB265" s="214">
        <f t="shared" si="889"/>
        <v>0</v>
      </c>
      <c r="BC265" s="214">
        <f t="shared" si="889"/>
        <v>0</v>
      </c>
      <c r="BD265" s="214">
        <f t="shared" si="889"/>
        <v>0</v>
      </c>
      <c r="BE265" s="214">
        <f t="shared" si="889"/>
        <v>0</v>
      </c>
      <c r="BF265" s="214">
        <f t="shared" si="888"/>
        <v>0</v>
      </c>
      <c r="BG265" s="214">
        <f t="shared" ref="BG265:BR265" si="890">BG197</f>
        <v>0</v>
      </c>
      <c r="BH265" s="214">
        <f t="shared" si="890"/>
        <v>0</v>
      </c>
      <c r="BI265" s="214">
        <f t="shared" si="890"/>
        <v>0</v>
      </c>
      <c r="BJ265" s="214">
        <f t="shared" si="890"/>
        <v>0</v>
      </c>
      <c r="BK265" s="214">
        <f t="shared" si="890"/>
        <v>0</v>
      </c>
      <c r="BL265" s="214">
        <f t="shared" si="890"/>
        <v>0</v>
      </c>
      <c r="BM265" s="214">
        <f t="shared" si="890"/>
        <v>0</v>
      </c>
      <c r="BN265" s="214">
        <f t="shared" si="890"/>
        <v>0</v>
      </c>
      <c r="BO265" s="214">
        <f t="shared" si="890"/>
        <v>0</v>
      </c>
      <c r="BP265" s="214">
        <f t="shared" si="890"/>
        <v>0</v>
      </c>
      <c r="BQ265" s="214">
        <f t="shared" si="890"/>
        <v>0</v>
      </c>
      <c r="BR265" s="214">
        <f t="shared" si="890"/>
        <v>0</v>
      </c>
      <c r="BS265" s="214">
        <f t="shared" ref="BS265:DF265" si="891">+BR265+BS264</f>
        <v>0</v>
      </c>
      <c r="BT265" s="214">
        <f t="shared" si="891"/>
        <v>0</v>
      </c>
      <c r="BU265" s="214">
        <f t="shared" si="891"/>
        <v>0</v>
      </c>
      <c r="BV265" s="214">
        <f t="shared" si="891"/>
        <v>0</v>
      </c>
      <c r="BW265" s="214">
        <f t="shared" si="891"/>
        <v>0</v>
      </c>
      <c r="BX265" s="214">
        <f t="shared" si="891"/>
        <v>0</v>
      </c>
      <c r="BY265" s="214">
        <f t="shared" si="891"/>
        <v>0</v>
      </c>
      <c r="BZ265" s="214">
        <f t="shared" si="891"/>
        <v>0</v>
      </c>
      <c r="CA265" s="214">
        <f t="shared" si="891"/>
        <v>0</v>
      </c>
      <c r="CB265" s="214">
        <f t="shared" si="891"/>
        <v>0</v>
      </c>
      <c r="CC265" s="214">
        <f t="shared" si="891"/>
        <v>0</v>
      </c>
      <c r="CD265" s="214">
        <f t="shared" si="891"/>
        <v>0</v>
      </c>
      <c r="CE265" s="214">
        <f t="shared" si="891"/>
        <v>0</v>
      </c>
      <c r="CF265" s="214">
        <f t="shared" si="891"/>
        <v>0</v>
      </c>
      <c r="CG265" s="214">
        <f t="shared" si="891"/>
        <v>0</v>
      </c>
      <c r="CH265" s="214">
        <f t="shared" si="891"/>
        <v>0</v>
      </c>
      <c r="CI265" s="214">
        <f t="shared" si="891"/>
        <v>0</v>
      </c>
      <c r="CJ265" s="214">
        <f t="shared" si="891"/>
        <v>0</v>
      </c>
      <c r="CK265" s="214">
        <f t="shared" si="891"/>
        <v>0</v>
      </c>
      <c r="CL265" s="214">
        <f t="shared" si="891"/>
        <v>0</v>
      </c>
      <c r="CM265" s="214">
        <f t="shared" si="891"/>
        <v>0</v>
      </c>
      <c r="CN265" s="214">
        <f t="shared" si="891"/>
        <v>0</v>
      </c>
      <c r="CO265" s="214">
        <f t="shared" si="891"/>
        <v>0</v>
      </c>
      <c r="CP265" s="214">
        <f t="shared" si="891"/>
        <v>0</v>
      </c>
      <c r="CQ265" s="214">
        <f t="shared" si="891"/>
        <v>0</v>
      </c>
      <c r="CR265" s="214">
        <f t="shared" si="891"/>
        <v>0</v>
      </c>
      <c r="CS265" s="214">
        <f t="shared" si="891"/>
        <v>0</v>
      </c>
      <c r="CT265" s="214">
        <f t="shared" si="891"/>
        <v>0</v>
      </c>
      <c r="CU265" s="214">
        <f t="shared" si="891"/>
        <v>0</v>
      </c>
      <c r="CV265" s="214">
        <f t="shared" si="891"/>
        <v>0</v>
      </c>
      <c r="CW265" s="214">
        <f t="shared" si="891"/>
        <v>0</v>
      </c>
      <c r="CX265" s="214">
        <f t="shared" si="891"/>
        <v>0</v>
      </c>
      <c r="CY265" s="214">
        <f t="shared" si="891"/>
        <v>0</v>
      </c>
      <c r="CZ265" s="214">
        <f t="shared" si="891"/>
        <v>0</v>
      </c>
      <c r="DA265" s="214">
        <f t="shared" si="891"/>
        <v>0</v>
      </c>
      <c r="DB265" s="214">
        <f t="shared" si="891"/>
        <v>0</v>
      </c>
      <c r="DC265" s="214">
        <f t="shared" si="891"/>
        <v>0</v>
      </c>
      <c r="DD265" s="214">
        <f t="shared" si="891"/>
        <v>0</v>
      </c>
      <c r="DE265" s="214">
        <f t="shared" si="891"/>
        <v>0</v>
      </c>
      <c r="DF265" s="214">
        <f t="shared" si="891"/>
        <v>0</v>
      </c>
      <c r="DG265" s="214">
        <f>+BS265+DG264</f>
        <v>0</v>
      </c>
    </row>
    <row r="266" spans="1:114">
      <c r="E266" s="65" t="s">
        <v>92</v>
      </c>
      <c r="F266" s="66" t="s">
        <v>83</v>
      </c>
      <c r="G266" s="214">
        <f>+G265*12%/12</f>
        <v>0</v>
      </c>
      <c r="H266" s="214">
        <f t="shared" ref="H266:O266" si="892">+H265*12%/12</f>
        <v>0</v>
      </c>
      <c r="I266" s="214">
        <f t="shared" si="892"/>
        <v>0</v>
      </c>
      <c r="J266" s="214">
        <f t="shared" si="892"/>
        <v>0</v>
      </c>
      <c r="K266" s="214">
        <f t="shared" si="892"/>
        <v>0</v>
      </c>
      <c r="L266" s="214">
        <f t="shared" si="892"/>
        <v>0</v>
      </c>
      <c r="M266" s="214">
        <f t="shared" si="892"/>
        <v>0</v>
      </c>
      <c r="N266" s="214">
        <f t="shared" si="892"/>
        <v>0</v>
      </c>
      <c r="O266" s="214">
        <f t="shared" si="892"/>
        <v>0</v>
      </c>
      <c r="P266" s="214">
        <f>+O265*12%/12</f>
        <v>0</v>
      </c>
      <c r="Q266" s="214">
        <f t="shared" ref="Q266:AD266" si="893">+P265*12%/12</f>
        <v>0</v>
      </c>
      <c r="R266" s="214">
        <f t="shared" si="893"/>
        <v>0</v>
      </c>
      <c r="S266" s="214">
        <f t="shared" si="893"/>
        <v>0</v>
      </c>
      <c r="T266" s="214">
        <f t="shared" si="893"/>
        <v>0</v>
      </c>
      <c r="U266" s="214">
        <f t="shared" si="893"/>
        <v>0</v>
      </c>
      <c r="V266" s="214">
        <f t="shared" si="893"/>
        <v>0</v>
      </c>
      <c r="W266" s="214">
        <f t="shared" si="893"/>
        <v>0</v>
      </c>
      <c r="X266" s="214">
        <f t="shared" si="893"/>
        <v>0</v>
      </c>
      <c r="Y266" s="214">
        <f t="shared" si="893"/>
        <v>0</v>
      </c>
      <c r="Z266" s="214">
        <f t="shared" si="893"/>
        <v>0</v>
      </c>
      <c r="AA266" s="214">
        <f t="shared" si="893"/>
        <v>0</v>
      </c>
      <c r="AB266" s="214">
        <f t="shared" si="893"/>
        <v>0</v>
      </c>
      <c r="AC266" s="214">
        <f t="shared" si="893"/>
        <v>0</v>
      </c>
      <c r="AD266" s="214">
        <f t="shared" si="893"/>
        <v>0</v>
      </c>
      <c r="AE266" s="214">
        <f>+AD265*12%/12</f>
        <v>0</v>
      </c>
      <c r="AF266" s="214">
        <f>+AE265*12%/12</f>
        <v>0</v>
      </c>
      <c r="AG266" s="214">
        <f t="shared" ref="AG266:AW266" si="894">+AF265*12%/12</f>
        <v>0</v>
      </c>
      <c r="AH266" s="214">
        <f t="shared" si="894"/>
        <v>0</v>
      </c>
      <c r="AI266" s="214">
        <f t="shared" si="894"/>
        <v>0</v>
      </c>
      <c r="AJ266" s="214">
        <f t="shared" si="894"/>
        <v>0</v>
      </c>
      <c r="AK266" s="214">
        <f t="shared" si="894"/>
        <v>0</v>
      </c>
      <c r="AL266" s="214">
        <f t="shared" si="894"/>
        <v>0</v>
      </c>
      <c r="AM266" s="214">
        <f t="shared" si="894"/>
        <v>0</v>
      </c>
      <c r="AN266" s="214">
        <f t="shared" si="894"/>
        <v>0</v>
      </c>
      <c r="AO266" s="214">
        <f t="shared" si="894"/>
        <v>0</v>
      </c>
      <c r="AP266" s="214">
        <f t="shared" si="894"/>
        <v>0</v>
      </c>
      <c r="AQ266" s="214">
        <f t="shared" si="894"/>
        <v>0</v>
      </c>
      <c r="AR266" s="214">
        <f t="shared" si="894"/>
        <v>0</v>
      </c>
      <c r="AS266" s="214">
        <f t="shared" si="894"/>
        <v>0</v>
      </c>
      <c r="AT266" s="214">
        <f t="shared" si="894"/>
        <v>0</v>
      </c>
      <c r="AU266" s="214">
        <f t="shared" si="894"/>
        <v>0</v>
      </c>
      <c r="AV266" s="214">
        <f t="shared" si="894"/>
        <v>0</v>
      </c>
      <c r="AW266" s="214">
        <f t="shared" si="894"/>
        <v>0</v>
      </c>
      <c r="AX266" s="214">
        <f>AX265</f>
        <v>19083</v>
      </c>
      <c r="AY266" s="214">
        <f>AX266+AY265</f>
        <v>27958</v>
      </c>
      <c r="AZ266" s="214">
        <f t="shared" ref="AZ266:BE266" si="895">AY266+AZ265</f>
        <v>27958</v>
      </c>
      <c r="BA266" s="214">
        <f t="shared" si="895"/>
        <v>27958</v>
      </c>
      <c r="BB266" s="214">
        <f t="shared" si="895"/>
        <v>27958</v>
      </c>
      <c r="BC266" s="214">
        <f t="shared" si="895"/>
        <v>27958</v>
      </c>
      <c r="BD266" s="214">
        <f t="shared" si="895"/>
        <v>27958</v>
      </c>
      <c r="BE266" s="214">
        <f t="shared" si="895"/>
        <v>27958</v>
      </c>
      <c r="BF266" s="214"/>
      <c r="BG266" s="214">
        <f>BE266</f>
        <v>27958</v>
      </c>
      <c r="BH266" s="214">
        <f t="shared" ref="BH266:BR266" si="896">BG266+BH265</f>
        <v>27958</v>
      </c>
      <c r="BI266" s="214">
        <f t="shared" si="896"/>
        <v>27958</v>
      </c>
      <c r="BJ266" s="214">
        <f t="shared" si="896"/>
        <v>27958</v>
      </c>
      <c r="BK266" s="214">
        <f t="shared" si="896"/>
        <v>27958</v>
      </c>
      <c r="BL266" s="214">
        <f t="shared" si="896"/>
        <v>27958</v>
      </c>
      <c r="BM266" s="214">
        <f t="shared" si="896"/>
        <v>27958</v>
      </c>
      <c r="BN266" s="214">
        <f t="shared" si="896"/>
        <v>27958</v>
      </c>
      <c r="BO266" s="214">
        <f t="shared" si="896"/>
        <v>27958</v>
      </c>
      <c r="BP266" s="214">
        <f t="shared" si="896"/>
        <v>27958</v>
      </c>
      <c r="BQ266" s="214">
        <f t="shared" si="896"/>
        <v>27958</v>
      </c>
      <c r="BR266" s="214">
        <f t="shared" si="896"/>
        <v>27958</v>
      </c>
      <c r="BS266" s="214"/>
      <c r="BT266" s="214">
        <f>BR266</f>
        <v>27958</v>
      </c>
      <c r="BU266" s="214">
        <f t="shared" ref="BU266:BY266" si="897">BT266+BU265</f>
        <v>27958</v>
      </c>
      <c r="BV266" s="214">
        <f t="shared" si="897"/>
        <v>27958</v>
      </c>
      <c r="BW266" s="214">
        <f t="shared" si="897"/>
        <v>27958</v>
      </c>
      <c r="BX266" s="214">
        <f t="shared" si="897"/>
        <v>27958</v>
      </c>
      <c r="BY266" s="214">
        <f t="shared" si="897"/>
        <v>27958</v>
      </c>
      <c r="BZ266" s="214">
        <v>0</v>
      </c>
      <c r="CA266" s="214">
        <v>0</v>
      </c>
      <c r="CB266" s="214">
        <f t="shared" ref="CB266:CE266" si="898">CA266+CB265</f>
        <v>0</v>
      </c>
      <c r="CC266" s="214">
        <f t="shared" si="898"/>
        <v>0</v>
      </c>
      <c r="CD266" s="214">
        <f t="shared" si="898"/>
        <v>0</v>
      </c>
      <c r="CE266" s="214">
        <f t="shared" si="898"/>
        <v>0</v>
      </c>
      <c r="CF266" s="214"/>
      <c r="CG266" s="214">
        <f>CE266</f>
        <v>0</v>
      </c>
      <c r="CH266" s="214">
        <f t="shared" ref="CH266:CR266" si="899">CG266+CH265</f>
        <v>0</v>
      </c>
      <c r="CI266" s="214">
        <f t="shared" si="899"/>
        <v>0</v>
      </c>
      <c r="CJ266" s="214">
        <f t="shared" si="899"/>
        <v>0</v>
      </c>
      <c r="CK266" s="214">
        <f t="shared" si="899"/>
        <v>0</v>
      </c>
      <c r="CL266" s="214">
        <f t="shared" si="899"/>
        <v>0</v>
      </c>
      <c r="CM266" s="214">
        <f t="shared" si="899"/>
        <v>0</v>
      </c>
      <c r="CN266" s="214">
        <f t="shared" si="899"/>
        <v>0</v>
      </c>
      <c r="CO266" s="214">
        <f t="shared" si="899"/>
        <v>0</v>
      </c>
      <c r="CP266" s="214">
        <f t="shared" si="899"/>
        <v>0</v>
      </c>
      <c r="CQ266" s="214">
        <f t="shared" si="899"/>
        <v>0</v>
      </c>
      <c r="CR266" s="214">
        <f t="shared" si="899"/>
        <v>0</v>
      </c>
      <c r="CS266" s="214"/>
      <c r="CT266" s="214">
        <f>CR266</f>
        <v>0</v>
      </c>
      <c r="CU266" s="214">
        <f t="shared" ref="CU266:DE266" si="900">CT266+CU265</f>
        <v>0</v>
      </c>
      <c r="CV266" s="214">
        <f t="shared" si="900"/>
        <v>0</v>
      </c>
      <c r="CW266" s="214">
        <f t="shared" si="900"/>
        <v>0</v>
      </c>
      <c r="CX266" s="214">
        <f t="shared" si="900"/>
        <v>0</v>
      </c>
      <c r="CY266" s="214">
        <f t="shared" si="900"/>
        <v>0</v>
      </c>
      <c r="CZ266" s="214">
        <f t="shared" si="900"/>
        <v>0</v>
      </c>
      <c r="DA266" s="214">
        <f t="shared" si="900"/>
        <v>0</v>
      </c>
      <c r="DB266" s="214">
        <f t="shared" si="900"/>
        <v>0</v>
      </c>
      <c r="DC266" s="214">
        <f t="shared" si="900"/>
        <v>0</v>
      </c>
      <c r="DD266" s="214">
        <f t="shared" si="900"/>
        <v>0</v>
      </c>
      <c r="DE266" s="214">
        <f t="shared" si="900"/>
        <v>0</v>
      </c>
      <c r="DF266" s="214"/>
      <c r="DG266" s="214">
        <v>0</v>
      </c>
    </row>
    <row r="267" spans="1:114">
      <c r="E267" s="583" t="s">
        <v>83</v>
      </c>
      <c r="F267" s="583"/>
      <c r="G267" s="134">
        <f t="shared" ref="G267:AW267" si="901">+G262+G265</f>
        <v>0</v>
      </c>
      <c r="H267" s="134">
        <f t="shared" si="901"/>
        <v>0</v>
      </c>
      <c r="I267" s="134">
        <f t="shared" si="901"/>
        <v>0</v>
      </c>
      <c r="J267" s="134">
        <f t="shared" si="901"/>
        <v>0</v>
      </c>
      <c r="K267" s="134">
        <f t="shared" si="901"/>
        <v>0</v>
      </c>
      <c r="L267" s="134">
        <f t="shared" si="901"/>
        <v>0</v>
      </c>
      <c r="M267" s="134">
        <f t="shared" si="901"/>
        <v>0</v>
      </c>
      <c r="N267" s="134">
        <f t="shared" si="901"/>
        <v>0</v>
      </c>
      <c r="O267" s="134">
        <f t="shared" si="901"/>
        <v>0</v>
      </c>
      <c r="P267" s="134">
        <f t="shared" si="901"/>
        <v>0</v>
      </c>
      <c r="Q267" s="134">
        <f t="shared" si="901"/>
        <v>0</v>
      </c>
      <c r="R267" s="134">
        <f t="shared" si="901"/>
        <v>0</v>
      </c>
      <c r="S267" s="134">
        <f t="shared" si="901"/>
        <v>0</v>
      </c>
      <c r="T267" s="134">
        <f t="shared" si="901"/>
        <v>0</v>
      </c>
      <c r="U267" s="134">
        <f t="shared" si="901"/>
        <v>0</v>
      </c>
      <c r="V267" s="134">
        <f t="shared" si="901"/>
        <v>0</v>
      </c>
      <c r="W267" s="134">
        <f t="shared" si="901"/>
        <v>0</v>
      </c>
      <c r="X267" s="134">
        <f t="shared" si="901"/>
        <v>0</v>
      </c>
      <c r="Y267" s="134">
        <f t="shared" si="901"/>
        <v>0</v>
      </c>
      <c r="Z267" s="134">
        <f t="shared" si="901"/>
        <v>0</v>
      </c>
      <c r="AA267" s="134">
        <f t="shared" si="901"/>
        <v>0</v>
      </c>
      <c r="AB267" s="134">
        <f t="shared" si="901"/>
        <v>0</v>
      </c>
      <c r="AC267" s="134">
        <f t="shared" si="901"/>
        <v>0</v>
      </c>
      <c r="AD267" s="134">
        <f t="shared" si="901"/>
        <v>0</v>
      </c>
      <c r="AE267" s="134">
        <f t="shared" si="901"/>
        <v>0</v>
      </c>
      <c r="AF267" s="134">
        <f t="shared" si="901"/>
        <v>0</v>
      </c>
      <c r="AG267" s="134">
        <f t="shared" si="901"/>
        <v>0</v>
      </c>
      <c r="AH267" s="134">
        <f t="shared" si="901"/>
        <v>0</v>
      </c>
      <c r="AI267" s="134">
        <f t="shared" si="901"/>
        <v>0</v>
      </c>
      <c r="AJ267" s="134">
        <f t="shared" si="901"/>
        <v>0</v>
      </c>
      <c r="AK267" s="134">
        <f t="shared" si="901"/>
        <v>0</v>
      </c>
      <c r="AL267" s="134">
        <f t="shared" si="901"/>
        <v>0</v>
      </c>
      <c r="AM267" s="134">
        <f t="shared" si="901"/>
        <v>0</v>
      </c>
      <c r="AN267" s="134">
        <f t="shared" si="901"/>
        <v>0</v>
      </c>
      <c r="AO267" s="134">
        <f t="shared" si="901"/>
        <v>0</v>
      </c>
      <c r="AP267" s="134">
        <f t="shared" si="901"/>
        <v>0</v>
      </c>
      <c r="AQ267" s="134">
        <f t="shared" si="901"/>
        <v>0</v>
      </c>
      <c r="AR267" s="134">
        <f t="shared" si="901"/>
        <v>0</v>
      </c>
      <c r="AS267" s="134">
        <f t="shared" si="901"/>
        <v>0</v>
      </c>
      <c r="AT267" s="134">
        <f t="shared" si="901"/>
        <v>0</v>
      </c>
      <c r="AU267" s="134">
        <f t="shared" si="901"/>
        <v>0</v>
      </c>
      <c r="AV267" s="134">
        <f t="shared" si="901"/>
        <v>0</v>
      </c>
      <c r="AW267" s="134">
        <f t="shared" si="901"/>
        <v>0</v>
      </c>
      <c r="AX267" s="134"/>
      <c r="AY267" s="134">
        <f>AX266*7%/12</f>
        <v>111.31750000000001</v>
      </c>
      <c r="AZ267" s="134">
        <f t="shared" ref="AZ267:BY267" si="902">AY266*7%/12</f>
        <v>163.08833333333334</v>
      </c>
      <c r="BA267" s="134">
        <f t="shared" si="902"/>
        <v>163.08833333333334</v>
      </c>
      <c r="BB267" s="134">
        <f t="shared" si="902"/>
        <v>163.08833333333334</v>
      </c>
      <c r="BC267" s="134">
        <f t="shared" si="902"/>
        <v>163.08833333333334</v>
      </c>
      <c r="BD267" s="134">
        <f t="shared" si="902"/>
        <v>163.08833333333334</v>
      </c>
      <c r="BE267" s="134">
        <f t="shared" si="902"/>
        <v>163.08833333333334</v>
      </c>
      <c r="BF267" s="134">
        <f>SUM(AT267:BE267)</f>
        <v>1089.8475000000001</v>
      </c>
      <c r="BG267" s="134">
        <f>BE266*7%/12</f>
        <v>163.08833333333334</v>
      </c>
      <c r="BH267" s="134">
        <f t="shared" si="902"/>
        <v>163.08833333333334</v>
      </c>
      <c r="BI267" s="134">
        <f t="shared" si="902"/>
        <v>163.08833333333334</v>
      </c>
      <c r="BJ267" s="134">
        <f t="shared" si="902"/>
        <v>163.08833333333334</v>
      </c>
      <c r="BK267" s="134">
        <f t="shared" si="902"/>
        <v>163.08833333333334</v>
      </c>
      <c r="BL267" s="134">
        <f t="shared" si="902"/>
        <v>163.08833333333334</v>
      </c>
      <c r="BM267" s="134">
        <f t="shared" si="902"/>
        <v>163.08833333333334</v>
      </c>
      <c r="BN267" s="134">
        <f t="shared" si="902"/>
        <v>163.08833333333334</v>
      </c>
      <c r="BO267" s="134">
        <f t="shared" si="902"/>
        <v>163.08833333333334</v>
      </c>
      <c r="BP267" s="134">
        <f t="shared" si="902"/>
        <v>163.08833333333334</v>
      </c>
      <c r="BQ267" s="134">
        <f t="shared" si="902"/>
        <v>163.08833333333334</v>
      </c>
      <c r="BR267" s="134">
        <f t="shared" si="902"/>
        <v>163.08833333333334</v>
      </c>
      <c r="BS267" s="134">
        <f>SUM(BG267:BR267)</f>
        <v>1957.0600000000002</v>
      </c>
      <c r="BT267" s="134">
        <f>BR266*7%/12</f>
        <v>163.08833333333334</v>
      </c>
      <c r="BU267" s="134">
        <f t="shared" si="902"/>
        <v>163.08833333333334</v>
      </c>
      <c r="BV267" s="134">
        <f t="shared" si="902"/>
        <v>163.08833333333334</v>
      </c>
      <c r="BW267" s="134">
        <f t="shared" si="902"/>
        <v>163.08833333333334</v>
      </c>
      <c r="BX267" s="134">
        <f t="shared" si="902"/>
        <v>163.08833333333334</v>
      </c>
      <c r="BY267" s="134">
        <f t="shared" si="902"/>
        <v>163.08833333333334</v>
      </c>
      <c r="BZ267" s="134"/>
      <c r="CA267" s="134">
        <f t="shared" ref="CA267:CE267" si="903">BZ266*12%/12</f>
        <v>0</v>
      </c>
      <c r="CB267" s="134">
        <f t="shared" si="903"/>
        <v>0</v>
      </c>
      <c r="CC267" s="134">
        <f t="shared" si="903"/>
        <v>0</v>
      </c>
      <c r="CD267" s="134">
        <f t="shared" si="903"/>
        <v>0</v>
      </c>
      <c r="CE267" s="134">
        <f t="shared" si="903"/>
        <v>0</v>
      </c>
      <c r="CF267" s="134">
        <f>SUM(BT267:CE267)</f>
        <v>978.53000000000009</v>
      </c>
      <c r="CG267" s="134">
        <f>CE266*12%/12</f>
        <v>0</v>
      </c>
      <c r="CH267" s="134">
        <f t="shared" ref="CH267:CR267" si="904">CG266*12%/12</f>
        <v>0</v>
      </c>
      <c r="CI267" s="134">
        <f t="shared" si="904"/>
        <v>0</v>
      </c>
      <c r="CJ267" s="134">
        <f t="shared" si="904"/>
        <v>0</v>
      </c>
      <c r="CK267" s="134">
        <f t="shared" si="904"/>
        <v>0</v>
      </c>
      <c r="CL267" s="134">
        <f t="shared" si="904"/>
        <v>0</v>
      </c>
      <c r="CM267" s="134">
        <f t="shared" si="904"/>
        <v>0</v>
      </c>
      <c r="CN267" s="134">
        <f t="shared" si="904"/>
        <v>0</v>
      </c>
      <c r="CO267" s="134">
        <f t="shared" si="904"/>
        <v>0</v>
      </c>
      <c r="CP267" s="134">
        <f t="shared" si="904"/>
        <v>0</v>
      </c>
      <c r="CQ267" s="134">
        <f t="shared" si="904"/>
        <v>0</v>
      </c>
      <c r="CR267" s="134">
        <f t="shared" si="904"/>
        <v>0</v>
      </c>
      <c r="CS267" s="134">
        <f>+CS262+CS265</f>
        <v>0</v>
      </c>
      <c r="CT267" s="134">
        <f>CR266*12%/12</f>
        <v>0</v>
      </c>
      <c r="CU267" s="134">
        <f t="shared" ref="CU267:DE267" si="905">CT266*12%/12</f>
        <v>0</v>
      </c>
      <c r="CV267" s="134">
        <f t="shared" si="905"/>
        <v>0</v>
      </c>
      <c r="CW267" s="134">
        <f t="shared" si="905"/>
        <v>0</v>
      </c>
      <c r="CX267" s="134">
        <f t="shared" si="905"/>
        <v>0</v>
      </c>
      <c r="CY267" s="134">
        <f t="shared" si="905"/>
        <v>0</v>
      </c>
      <c r="CZ267" s="134">
        <f t="shared" si="905"/>
        <v>0</v>
      </c>
      <c r="DA267" s="134">
        <f t="shared" si="905"/>
        <v>0</v>
      </c>
      <c r="DB267" s="134">
        <f t="shared" si="905"/>
        <v>0</v>
      </c>
      <c r="DC267" s="134">
        <f t="shared" si="905"/>
        <v>0</v>
      </c>
      <c r="DD267" s="134">
        <f t="shared" si="905"/>
        <v>0</v>
      </c>
      <c r="DE267" s="134">
        <f t="shared" si="905"/>
        <v>0</v>
      </c>
      <c r="DF267" s="134">
        <f>+DF262+DF265</f>
        <v>0</v>
      </c>
      <c r="DG267" s="134">
        <f>+DG262+DG265</f>
        <v>0</v>
      </c>
    </row>
    <row r="269" spans="1:114">
      <c r="G269" s="227"/>
    </row>
    <row r="270" spans="1:114">
      <c r="G270" s="227"/>
    </row>
    <row r="271" spans="1:114">
      <c r="G271" s="227"/>
    </row>
    <row r="272" spans="1:114">
      <c r="E272" s="65" t="s">
        <v>353</v>
      </c>
      <c r="AT272" s="227">
        <f>51991010612/9*12/26000/1000</f>
        <v>2666.2056724102567</v>
      </c>
      <c r="AW272" s="227">
        <f>(SUM(AT6:AV6)/1.08+SUM(AT246:AV246))*20%</f>
        <v>1483.6312110393958</v>
      </c>
      <c r="AZ272" s="227">
        <f>((SUM(AW6:AY6)-AY55)/1.08+SUM(AW246:AY246))*20%</f>
        <v>-4108.0007962141926</v>
      </c>
      <c r="BC272" s="227">
        <f>((SUM(AZ6:BB6)-BA46-BB64)/1.08+SUM(AZ246:BB246))*20%</f>
        <v>-5266.1916866774009</v>
      </c>
      <c r="BF272" s="227"/>
      <c r="BG272" s="227">
        <f>((SUM(BC6:BE6))/1.08+SUM(BC246:BE246))*20%-200</f>
        <v>13.339224801659526</v>
      </c>
      <c r="BI272" s="227">
        <v>200</v>
      </c>
      <c r="BJ272" s="227">
        <f>((SUM(BG6:BI6)-BG49)/1.08+SUM(BG246:BI246))*20%</f>
        <v>848.24142794007139</v>
      </c>
      <c r="BM272" s="227">
        <f>((SUM(BJ6:BL6)-BL37)/1.08+SUM(BJ246:BL246))*20%</f>
        <v>-2194.3111427039016</v>
      </c>
      <c r="BP272" s="227">
        <f>((SUM(BM6:BO6))/1.08+SUM(BM246:BO246))*20%</f>
        <v>16534.197571365494</v>
      </c>
      <c r="BS272" s="227">
        <f>((SUM(BP6:BR6))/1.08+SUM(BP246:BR246))*20%</f>
        <v>2505.4298318927285</v>
      </c>
      <c r="BW272" s="227">
        <f>((SUM(BT6:BV6))/1.08+SUM(BT246:BV246))*20%</f>
        <v>2866.2917830540714</v>
      </c>
      <c r="BZ272" s="227">
        <f>((SUM(BW6:BY6))/1.08+SUM(BW246:BY246))*20%</f>
        <v>1575.6274406559205</v>
      </c>
      <c r="CC272" s="227">
        <f>((SUM(BZ6:CB6))/1.08+SUM(BZ246:CB246))*20%</f>
        <v>274.94522793495361</v>
      </c>
      <c r="CF272" s="227">
        <f>((SUM(CC6:CE6))/1.08+SUM(CC246:CE246))*20%</f>
        <v>2069.9033088893934</v>
      </c>
      <c r="CG272" s="521"/>
      <c r="CH272" s="521"/>
      <c r="CJ272" s="227">
        <f>((SUM(CG6:CI6))/1.08+SUM(CG246:CI246))*20%</f>
        <v>1964.2199820238473</v>
      </c>
      <c r="CM272" s="227">
        <f>((SUM(CJ6:CL6))/1.08+SUM(CJ246:CL246))*20%</f>
        <v>1814.3654678651394</v>
      </c>
      <c r="CP272" s="227">
        <f>((SUM(CM6:CO6))/1.08+SUM(CM246:CO246))*20%</f>
        <v>1525.4244956104794</v>
      </c>
      <c r="CS272" s="227">
        <f>((SUM(CP6:CR6))/1.08+SUM(CP246:CR246))*20%</f>
        <v>938.45530138042579</v>
      </c>
      <c r="CT272" s="521"/>
      <c r="CU272" s="521">
        <f>SUM(CJ272:CS272)-SUM(CJ272:CP272)-CT272</f>
        <v>938.45530138042614</v>
      </c>
      <c r="CW272" s="227">
        <f>((SUM(CT6:CV6))/1.08+SUM(CT246:CV246))*20%</f>
        <v>517.0466805475246</v>
      </c>
      <c r="CZ272" s="227">
        <f>((SUM(CW6:CY6))/1.08+SUM(CW246:CY246))*20%</f>
        <v>430.35907098221026</v>
      </c>
      <c r="DC272" s="227">
        <f>((SUM(CZ6:DB6))/1.08+SUM(CZ246:DB246))*20%</f>
        <v>309.64150941570722</v>
      </c>
      <c r="DF272" s="227">
        <f>((SUM(DC6:DE6))/1.08+SUM(DC246:DE246))*20%</f>
        <v>211.23536208447078</v>
      </c>
    </row>
    <row r="273" spans="59:97">
      <c r="BS273" s="227">
        <f>((SUM(BG6:BR6)-BL37-BG49)/1.08+SUM(BG246:BR246))*20%</f>
        <v>17693.557688494388</v>
      </c>
      <c r="CF273" s="227">
        <f>((SUM(BT6:CE6)-BY37-BT49)/1.08+SUM(BT246:CE246))*20%</f>
        <v>6329.8078796745513</v>
      </c>
      <c r="CS273" s="227">
        <f>((SUM(CG6:CR6)-CL37-CG49)/1.08+SUM(CG246:CR246))*20%</f>
        <v>5181.2922877866777</v>
      </c>
    </row>
    <row r="274" spans="59:97">
      <c r="CS274" s="527">
        <f>CS273*0.8</f>
        <v>4145.0338302293421</v>
      </c>
    </row>
    <row r="275" spans="59:97">
      <c r="BG275" t="s">
        <v>363</v>
      </c>
      <c r="BH275" s="134">
        <f>SUM(BG4:BI4)</f>
        <v>58838.422113957786</v>
      </c>
      <c r="BI275" s="227">
        <f>$BI$279*(BH275/$BH$279)</f>
        <v>1122.5989381752211</v>
      </c>
      <c r="BT275" t="s">
        <v>363</v>
      </c>
      <c r="BU275" s="134">
        <f>SUM(BT4:BV4)</f>
        <v>103339.73532013281</v>
      </c>
      <c r="BV275" s="227">
        <f>$BV$279*(BU275/$BU$279)</f>
        <v>2151.6384798663221</v>
      </c>
    </row>
    <row r="276" spans="59:97">
      <c r="BG276" t="s">
        <v>364</v>
      </c>
      <c r="BH276" s="134">
        <f>SUM(BJ4:BL4)</f>
        <v>77078.164505287205</v>
      </c>
      <c r="BI276" s="227">
        <f>$BI$279*(BH276/$BH$279)</f>
        <v>1470.6013948257137</v>
      </c>
      <c r="BT276" t="s">
        <v>364</v>
      </c>
      <c r="BU276" s="134">
        <f>SUM(BW4:BY4)</f>
        <v>99432.859046674072</v>
      </c>
      <c r="BV276" s="227">
        <f>$BV$279*(BU276/$BU$279)</f>
        <v>2070.293339006329</v>
      </c>
    </row>
    <row r="277" spans="59:97">
      <c r="BG277" t="s">
        <v>365</v>
      </c>
      <c r="BH277" s="134">
        <f>SUM(BM4:BO4)</f>
        <v>179748.26533188505</v>
      </c>
      <c r="BI277" s="227">
        <f>$BI$279*(BH277/$BH$279)</f>
        <v>3429.4803387078614</v>
      </c>
      <c r="BT277" t="s">
        <v>365</v>
      </c>
      <c r="BU277" s="134">
        <f>SUM(BZ4:CB4)</f>
        <v>106710.31661738335</v>
      </c>
      <c r="BV277" s="227">
        <f>$BV$279*(BU277/$BU$279)</f>
        <v>2221.8174134218939</v>
      </c>
    </row>
    <row r="278" spans="59:97">
      <c r="BG278" t="s">
        <v>366</v>
      </c>
      <c r="BH278" s="134">
        <f>SUM(BP4:BR4)</f>
        <v>90376.202085288416</v>
      </c>
      <c r="BI278" s="227">
        <f>$BI$279*(BH278/$BH$279)</f>
        <v>1724.3193282912034</v>
      </c>
      <c r="BT278" t="s">
        <v>366</v>
      </c>
      <c r="BU278" s="134">
        <f>SUM(CC4:CE4)</f>
        <v>107067.32866721974</v>
      </c>
      <c r="BV278" s="227">
        <f>$BV$279*(BU278/$BU$279)</f>
        <v>2229.2507677054546</v>
      </c>
    </row>
    <row r="279" spans="59:97">
      <c r="BH279" s="134">
        <f>SUM(BH275:BH278)</f>
        <v>406041.0540364185</v>
      </c>
      <c r="BI279" s="227">
        <v>7747</v>
      </c>
      <c r="BU279" s="134">
        <f>SUM(BU275:BU278)</f>
        <v>416550.23965140997</v>
      </c>
      <c r="BV279" s="227">
        <v>8673</v>
      </c>
    </row>
    <row r="299" spans="42:42">
      <c r="AP299">
        <v>1E+100</v>
      </c>
    </row>
    <row r="300" spans="42:42">
      <c r="AP300">
        <v>2.2222222222222198E+109</v>
      </c>
    </row>
  </sheetData>
  <mergeCells count="155">
    <mergeCell ref="DH2:DJ2"/>
    <mergeCell ref="A3:B3"/>
    <mergeCell ref="C3:D3"/>
    <mergeCell ref="A4:B6"/>
    <mergeCell ref="C4:D4"/>
    <mergeCell ref="C5:D5"/>
    <mergeCell ref="C6:D6"/>
    <mergeCell ref="A7:B9"/>
    <mergeCell ref="C7:D7"/>
    <mergeCell ref="C8:D8"/>
    <mergeCell ref="C9:D9"/>
    <mergeCell ref="A10:B13"/>
    <mergeCell ref="C10:D10"/>
    <mergeCell ref="C11:D11"/>
    <mergeCell ref="C12:D12"/>
    <mergeCell ref="C13:D13"/>
    <mergeCell ref="A15:B15"/>
    <mergeCell ref="A16:A114"/>
    <mergeCell ref="B16:B18"/>
    <mergeCell ref="C18:D18"/>
    <mergeCell ref="B19:B21"/>
    <mergeCell ref="C21:D21"/>
    <mergeCell ref="B22:B24"/>
    <mergeCell ref="C24:D24"/>
    <mergeCell ref="B25:B27"/>
    <mergeCell ref="C27:D27"/>
    <mergeCell ref="B40:B42"/>
    <mergeCell ref="B43:B45"/>
    <mergeCell ref="B46:B48"/>
    <mergeCell ref="B49:B51"/>
    <mergeCell ref="B52:B54"/>
    <mergeCell ref="C54:D54"/>
    <mergeCell ref="B28:B30"/>
    <mergeCell ref="C30:D30"/>
    <mergeCell ref="B31:B33"/>
    <mergeCell ref="C33:D33"/>
    <mergeCell ref="B34:B36"/>
    <mergeCell ref="B37:B39"/>
    <mergeCell ref="B70:B72"/>
    <mergeCell ref="B73:B75"/>
    <mergeCell ref="B76:B78"/>
    <mergeCell ref="B79:B81"/>
    <mergeCell ref="B82:B84"/>
    <mergeCell ref="B85:B87"/>
    <mergeCell ref="B55:B57"/>
    <mergeCell ref="C57:D57"/>
    <mergeCell ref="B58:B60"/>
    <mergeCell ref="B61:B63"/>
    <mergeCell ref="B64:B66"/>
    <mergeCell ref="B67:B69"/>
    <mergeCell ref="B103:B105"/>
    <mergeCell ref="C105:D105"/>
    <mergeCell ref="B106:B108"/>
    <mergeCell ref="C108:D108"/>
    <mergeCell ref="B109:B111"/>
    <mergeCell ref="C111:D111"/>
    <mergeCell ref="B88:B90"/>
    <mergeCell ref="B91:B93"/>
    <mergeCell ref="B94:B96"/>
    <mergeCell ref="B97:B99"/>
    <mergeCell ref="B100:B102"/>
    <mergeCell ref="C102:D102"/>
    <mergeCell ref="B112:B114"/>
    <mergeCell ref="C114:D114"/>
    <mergeCell ref="A116:A190"/>
    <mergeCell ref="B116:B118"/>
    <mergeCell ref="C118:D118"/>
    <mergeCell ref="B119:B121"/>
    <mergeCell ref="C121:D121"/>
    <mergeCell ref="B122:B124"/>
    <mergeCell ref="C124:D124"/>
    <mergeCell ref="B125:B127"/>
    <mergeCell ref="B140:B142"/>
    <mergeCell ref="C142:D142"/>
    <mergeCell ref="B143:B145"/>
    <mergeCell ref="C145:D145"/>
    <mergeCell ref="B146:B148"/>
    <mergeCell ref="C148:D148"/>
    <mergeCell ref="C127:D127"/>
    <mergeCell ref="B128:B130"/>
    <mergeCell ref="C130:D130"/>
    <mergeCell ref="B131:B133"/>
    <mergeCell ref="B134:B136"/>
    <mergeCell ref="B137:B139"/>
    <mergeCell ref="C139:D139"/>
    <mergeCell ref="B158:B160"/>
    <mergeCell ref="C160:D160"/>
    <mergeCell ref="B161:B163"/>
    <mergeCell ref="C163:D163"/>
    <mergeCell ref="B164:B166"/>
    <mergeCell ref="C166:D166"/>
    <mergeCell ref="B149:B151"/>
    <mergeCell ref="C151:D151"/>
    <mergeCell ref="B152:B154"/>
    <mergeCell ref="C154:D154"/>
    <mergeCell ref="B155:B157"/>
    <mergeCell ref="C157:D157"/>
    <mergeCell ref="B176:B178"/>
    <mergeCell ref="C178:D178"/>
    <mergeCell ref="B179:B181"/>
    <mergeCell ref="B182:B184"/>
    <mergeCell ref="B185:B187"/>
    <mergeCell ref="B188:B190"/>
    <mergeCell ref="C190:D190"/>
    <mergeCell ref="B167:B169"/>
    <mergeCell ref="C169:D169"/>
    <mergeCell ref="B170:B172"/>
    <mergeCell ref="C172:D172"/>
    <mergeCell ref="B173:B175"/>
    <mergeCell ref="C175:D175"/>
    <mergeCell ref="C200:D200"/>
    <mergeCell ref="C201:C202"/>
    <mergeCell ref="C203:D203"/>
    <mergeCell ref="B204:B207"/>
    <mergeCell ref="C204:D204"/>
    <mergeCell ref="C205:C206"/>
    <mergeCell ref="C207:D207"/>
    <mergeCell ref="A192:A219"/>
    <mergeCell ref="B192:B195"/>
    <mergeCell ref="C192:D192"/>
    <mergeCell ref="C193:C194"/>
    <mergeCell ref="C195:D195"/>
    <mergeCell ref="B196:B199"/>
    <mergeCell ref="C196:D196"/>
    <mergeCell ref="C197:C198"/>
    <mergeCell ref="C199:D199"/>
    <mergeCell ref="B200:B203"/>
    <mergeCell ref="B216:B219"/>
    <mergeCell ref="C216:D216"/>
    <mergeCell ref="C217:C218"/>
    <mergeCell ref="C219:D219"/>
    <mergeCell ref="A221:B221"/>
    <mergeCell ref="C221:D221"/>
    <mergeCell ref="B208:B211"/>
    <mergeCell ref="C208:D208"/>
    <mergeCell ref="C209:C210"/>
    <mergeCell ref="C211:D211"/>
    <mergeCell ref="B212:B215"/>
    <mergeCell ref="C212:D212"/>
    <mergeCell ref="C213:C214"/>
    <mergeCell ref="C215:D215"/>
    <mergeCell ref="B252:B254"/>
    <mergeCell ref="B255:B257"/>
    <mergeCell ref="E259:E260"/>
    <mergeCell ref="E267:F267"/>
    <mergeCell ref="A223:B225"/>
    <mergeCell ref="A227:B229"/>
    <mergeCell ref="A231:A257"/>
    <mergeCell ref="B231:B233"/>
    <mergeCell ref="B234:B236"/>
    <mergeCell ref="B237:B239"/>
    <mergeCell ref="B240:B242"/>
    <mergeCell ref="B243:B245"/>
    <mergeCell ref="B246:B248"/>
    <mergeCell ref="B249:B251"/>
  </mergeCells>
  <phoneticPr fontId="18" type="noConversion"/>
  <printOptions horizontalCentered="1"/>
  <pageMargins left="0.19685039370078741" right="0.19685039370078741" top="0.19685039370078741" bottom="0.19685039370078741" header="0.31496062992125984" footer="0.31496062992125984"/>
  <pageSetup paperSize="8" scale="36" fitToWidth="0" orientation="portrait" r:id="rId1"/>
  <colBreaks count="1" manualBreakCount="1">
    <brk id="58" max="191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B7F81-DCDA-4D08-B743-DC2520777236}">
  <dimension ref="A2:BM16"/>
  <sheetViews>
    <sheetView topLeftCell="AO1" workbookViewId="0">
      <selection activeCell="BE15" sqref="BE15:BE16"/>
    </sheetView>
  </sheetViews>
  <sheetFormatPr defaultRowHeight="16.5"/>
  <sheetData>
    <row r="2" spans="1:65">
      <c r="E2" t="s">
        <v>269</v>
      </c>
    </row>
    <row r="3" spans="1:65">
      <c r="E3" s="81">
        <v>46266</v>
      </c>
      <c r="F3" s="81">
        <v>46296</v>
      </c>
      <c r="G3" s="81">
        <v>46327</v>
      </c>
      <c r="H3" s="78">
        <v>46357</v>
      </c>
      <c r="I3" s="80">
        <v>46388</v>
      </c>
      <c r="J3" s="81">
        <v>46419</v>
      </c>
      <c r="K3" s="80">
        <v>46447</v>
      </c>
      <c r="L3" s="81">
        <v>46478</v>
      </c>
      <c r="M3" s="80">
        <v>46508</v>
      </c>
      <c r="N3" s="81">
        <v>46539</v>
      </c>
      <c r="O3" s="80">
        <v>46569</v>
      </c>
      <c r="P3" s="81">
        <v>46600</v>
      </c>
      <c r="Q3" s="80">
        <v>46631</v>
      </c>
      <c r="R3" s="81">
        <v>46661</v>
      </c>
      <c r="S3" s="80">
        <v>46692</v>
      </c>
      <c r="T3" s="81">
        <v>46722</v>
      </c>
      <c r="U3" s="80">
        <v>46753</v>
      </c>
      <c r="V3" s="81">
        <v>46784</v>
      </c>
      <c r="W3" s="80">
        <v>46813</v>
      </c>
      <c r="X3" s="81">
        <v>46844</v>
      </c>
      <c r="Y3" s="80">
        <v>46874</v>
      </c>
      <c r="Z3" s="81">
        <v>46905</v>
      </c>
      <c r="AA3" s="80">
        <v>46935</v>
      </c>
      <c r="AB3" s="81">
        <v>46966</v>
      </c>
      <c r="AC3" s="80">
        <v>46997</v>
      </c>
      <c r="AD3" s="81">
        <v>47027</v>
      </c>
      <c r="AE3" s="80">
        <v>47058</v>
      </c>
      <c r="AF3" s="81">
        <v>47088</v>
      </c>
      <c r="AG3" s="80">
        <v>47119</v>
      </c>
      <c r="AH3" s="81">
        <v>47150</v>
      </c>
      <c r="AI3" s="80">
        <v>47178</v>
      </c>
      <c r="AJ3" s="81">
        <v>47209</v>
      </c>
      <c r="AK3" s="80">
        <v>47239</v>
      </c>
      <c r="AL3" s="81">
        <v>47270</v>
      </c>
      <c r="AM3" s="80">
        <v>47300</v>
      </c>
      <c r="AN3" s="81">
        <v>47331</v>
      </c>
      <c r="AO3" s="80">
        <v>47362</v>
      </c>
      <c r="AP3" s="81">
        <v>47392</v>
      </c>
      <c r="AQ3" s="80">
        <v>47423</v>
      </c>
      <c r="AR3" s="81">
        <v>47453</v>
      </c>
      <c r="AS3" s="80">
        <v>47484</v>
      </c>
      <c r="AT3" s="81">
        <v>47515</v>
      </c>
      <c r="AU3" s="80">
        <v>47543</v>
      </c>
      <c r="AV3" s="81">
        <v>47574</v>
      </c>
      <c r="AW3" s="80">
        <v>47604</v>
      </c>
      <c r="AX3" s="81">
        <v>47635</v>
      </c>
      <c r="AY3" s="80">
        <v>47665</v>
      </c>
      <c r="AZ3" s="81">
        <v>47696</v>
      </c>
      <c r="BA3" s="80">
        <v>47727</v>
      </c>
      <c r="BB3" s="81">
        <v>47757</v>
      </c>
      <c r="BC3" s="80">
        <v>47788</v>
      </c>
      <c r="BD3" s="81">
        <v>47818</v>
      </c>
      <c r="BE3" s="531">
        <f t="shared" ref="BE3:BM3" si="0">+EOMONTH(BD3,1)</f>
        <v>47879</v>
      </c>
      <c r="BF3" s="531">
        <f t="shared" si="0"/>
        <v>47907</v>
      </c>
      <c r="BG3" s="531">
        <f t="shared" si="0"/>
        <v>47938</v>
      </c>
      <c r="BH3" s="531">
        <f t="shared" si="0"/>
        <v>47968</v>
      </c>
      <c r="BI3" s="531">
        <f t="shared" si="0"/>
        <v>47999</v>
      </c>
      <c r="BJ3" s="531">
        <f t="shared" si="0"/>
        <v>48029</v>
      </c>
      <c r="BK3" s="531">
        <f t="shared" si="0"/>
        <v>48060</v>
      </c>
      <c r="BL3" s="531">
        <f t="shared" si="0"/>
        <v>48091</v>
      </c>
      <c r="BM3" s="531">
        <f t="shared" si="0"/>
        <v>48121</v>
      </c>
    </row>
    <row r="4" spans="1:65" s="227" customFormat="1">
      <c r="C4" s="227">
        <f>D4*1.08</f>
        <v>57580.224096159262</v>
      </c>
      <c r="D4" s="227">
        <f>SUM(F4:BM4)</f>
        <v>53315.022311258574</v>
      </c>
      <c r="E4" s="227">
        <f>D4*5%</f>
        <v>2665.751115562929</v>
      </c>
      <c r="F4" s="227">
        <v>13.75</v>
      </c>
      <c r="G4" s="227">
        <v>100</v>
      </c>
      <c r="H4" s="227">
        <v>102.5</v>
      </c>
      <c r="I4" s="227">
        <v>150</v>
      </c>
      <c r="J4" s="227">
        <v>126</v>
      </c>
      <c r="K4" s="227">
        <v>191</v>
      </c>
      <c r="L4" s="227">
        <v>198</v>
      </c>
      <c r="M4" s="227">
        <v>534.08218224151688</v>
      </c>
      <c r="N4" s="227">
        <v>600.8316185562212</v>
      </c>
      <c r="O4" s="227">
        <v>665.93421716774537</v>
      </c>
      <c r="P4" s="227">
        <v>729.21153637852422</v>
      </c>
      <c r="Q4" s="227">
        <v>790.4901374549836</v>
      </c>
      <c r="R4" s="227">
        <v>849.60206001096503</v>
      </c>
      <c r="S4" s="227">
        <v>906.38528237555329</v>
      </c>
      <c r="T4" s="227">
        <v>960.68416568325119</v>
      </c>
      <c r="U4" s="227">
        <v>1012.3498804691335</v>
      </c>
      <c r="V4" s="227">
        <v>1061.240814600209</v>
      </c>
      <c r="W4" s="227">
        <v>1107.2229614244443</v>
      </c>
      <c r="X4" s="227">
        <v>1150.1702870735262</v>
      </c>
      <c r="Y4" s="227">
        <v>1189.9650759130691</v>
      </c>
      <c r="Z4" s="227">
        <v>1226.49825319304</v>
      </c>
      <c r="AA4" s="227">
        <v>1259.6696840138302</v>
      </c>
      <c r="AB4" s="227">
        <v>1289.3884477892898</v>
      </c>
      <c r="AC4" s="227">
        <v>1315.5730874536857</v>
      </c>
      <c r="AD4" s="227">
        <v>1338.1518327297199</v>
      </c>
      <c r="AE4" s="227">
        <v>1357.062796846014</v>
      </c>
      <c r="AF4" s="227">
        <v>1372.2541461644723</v>
      </c>
      <c r="AG4" s="227">
        <v>1383.6842422524896</v>
      </c>
      <c r="AH4" s="227">
        <v>1391.3217560111807</v>
      </c>
      <c r="AI4" s="227">
        <v>1395.1457535462832</v>
      </c>
      <c r="AJ4" s="227">
        <v>1395.1457535462869</v>
      </c>
      <c r="AK4" s="227">
        <v>1391.3217560111771</v>
      </c>
      <c r="AL4" s="227">
        <v>1383.6842422524933</v>
      </c>
      <c r="AM4" s="227">
        <v>1372.2541461644723</v>
      </c>
      <c r="AN4" s="227">
        <v>1357.0627968460103</v>
      </c>
      <c r="AO4" s="227">
        <v>1338.1518327297235</v>
      </c>
      <c r="AP4" s="227">
        <v>1315.5730874536894</v>
      </c>
      <c r="AQ4" s="227">
        <v>1289.388447789308</v>
      </c>
      <c r="AR4" s="227">
        <v>1259.6696840138102</v>
      </c>
      <c r="AS4" s="227">
        <v>1226.4982531930364</v>
      </c>
      <c r="AT4" s="227">
        <v>1189.9650759130964</v>
      </c>
      <c r="AU4" s="227">
        <v>1150.1702870735025</v>
      </c>
      <c r="AV4" s="227">
        <v>1107.2229614244425</v>
      </c>
      <c r="AW4" s="227">
        <v>1061.2408146002272</v>
      </c>
      <c r="AX4" s="227">
        <v>1012.3498804691189</v>
      </c>
      <c r="AY4" s="227">
        <v>960.68416568324756</v>
      </c>
      <c r="AZ4" s="227">
        <v>906.3852823755733</v>
      </c>
      <c r="BA4" s="227">
        <v>849.60206001094775</v>
      </c>
      <c r="BB4" s="227">
        <v>790.49013745498814</v>
      </c>
      <c r="BC4" s="227">
        <v>729.21153637853422</v>
      </c>
      <c r="BD4" s="227">
        <v>665.93421716773446</v>
      </c>
      <c r="BE4" s="227">
        <v>600.83161855621438</v>
      </c>
      <c r="BF4" s="227">
        <v>522.14829815716257</v>
      </c>
      <c r="BG4" s="227">
        <v>455.45918302471489</v>
      </c>
      <c r="BH4" s="227">
        <v>387.52168593018388</v>
      </c>
      <c r="BI4" s="227">
        <v>655.36011694118088</v>
      </c>
      <c r="BJ4" s="227">
        <v>512.35996661758281</v>
      </c>
      <c r="BK4" s="227">
        <v>366.9778178978907</v>
      </c>
      <c r="BL4" s="227">
        <v>220.58980848767948</v>
      </c>
      <c r="BM4" s="227">
        <v>73.597177745400728</v>
      </c>
    </row>
    <row r="5" spans="1:65" s="227" customFormat="1">
      <c r="A5" s="227" t="s">
        <v>356</v>
      </c>
      <c r="C5" s="227">
        <f>C4*90%</f>
        <v>51822.20168654334</v>
      </c>
      <c r="F5" s="227">
        <v>10.692000000000002</v>
      </c>
      <c r="G5" s="227">
        <v>77.760000000000005</v>
      </c>
      <c r="H5" s="227">
        <v>79.704000000000008</v>
      </c>
      <c r="I5" s="227">
        <v>116.64000000000001</v>
      </c>
      <c r="J5" s="227">
        <v>122.47200000000001</v>
      </c>
      <c r="K5" s="227">
        <v>185.65200000000002</v>
      </c>
      <c r="L5" s="227">
        <v>192.45600000000002</v>
      </c>
      <c r="M5" s="227">
        <v>519.12788113875445</v>
      </c>
      <c r="N5" s="227">
        <v>584.0083332366471</v>
      </c>
      <c r="O5" s="227">
        <v>647.28805908704862</v>
      </c>
      <c r="P5" s="227">
        <v>708.79361335992564</v>
      </c>
      <c r="Q5" s="227">
        <v>768.35641360624413</v>
      </c>
      <c r="R5" s="227">
        <v>825.8132023306581</v>
      </c>
      <c r="S5" s="227">
        <v>881.00649446903788</v>
      </c>
      <c r="T5" s="227">
        <v>933.78500904412022</v>
      </c>
      <c r="U5" s="227">
        <v>984.00408381599777</v>
      </c>
      <c r="V5" s="227">
        <v>1031.5260717914032</v>
      </c>
      <c r="W5" s="227">
        <v>1076.22071850456</v>
      </c>
      <c r="X5" s="227">
        <v>1117.9655190354674</v>
      </c>
      <c r="Y5" s="227">
        <v>1156.6460537875032</v>
      </c>
      <c r="Z5" s="227">
        <v>1192.156302103635</v>
      </c>
      <c r="AA5" s="227">
        <v>1224.3989328614432</v>
      </c>
      <c r="AB5" s="227">
        <v>1253.2855712511896</v>
      </c>
      <c r="AC5" s="227">
        <v>1278.7370410049825</v>
      </c>
      <c r="AD5" s="227">
        <v>1300.6835814132878</v>
      </c>
      <c r="AE5" s="227">
        <v>1319.0650385343256</v>
      </c>
      <c r="AF5" s="227">
        <v>1333.8310300718674</v>
      </c>
      <c r="AG5" s="227">
        <v>1344.9410834694202</v>
      </c>
      <c r="AH5" s="227">
        <v>1352.3647468428678</v>
      </c>
      <c r="AI5" s="227">
        <v>1356.0816724469873</v>
      </c>
      <c r="AJ5" s="227">
        <v>1356.081672446991</v>
      </c>
      <c r="AK5" s="227">
        <v>1352.3647468428642</v>
      </c>
      <c r="AL5" s="227">
        <v>1344.9410834694236</v>
      </c>
      <c r="AM5" s="227">
        <v>1333.8310300718674</v>
      </c>
      <c r="AN5" s="227">
        <v>1319.0650385343222</v>
      </c>
      <c r="AO5" s="227">
        <v>1300.6835814132914</v>
      </c>
      <c r="AP5" s="227">
        <v>1278.7370410049864</v>
      </c>
      <c r="AQ5" s="227">
        <v>1253.2855712512073</v>
      </c>
      <c r="AR5" s="227">
        <v>1224.3989328614236</v>
      </c>
    </row>
    <row r="6" spans="1:65" s="227" customFormat="1"/>
    <row r="7" spans="1:65">
      <c r="D7" s="227">
        <f>SUM(F7:BM7)</f>
        <v>54914.472980596343</v>
      </c>
      <c r="E7" s="227">
        <f>E4</f>
        <v>2665.751115562929</v>
      </c>
      <c r="F7" s="227">
        <f>(F4*1.08)-($E$4*F4/$D$4)</f>
        <v>14.162500000000001</v>
      </c>
      <c r="G7" s="227">
        <f t="shared" ref="G7:BM7" si="1">(G4*1.08)-($E$4*G4/$D$4)</f>
        <v>103</v>
      </c>
      <c r="H7" s="227">
        <f t="shared" si="1"/>
        <v>105.575</v>
      </c>
      <c r="I7" s="227">
        <f t="shared" si="1"/>
        <v>154.5</v>
      </c>
      <c r="J7" s="227">
        <f t="shared" si="1"/>
        <v>129.78</v>
      </c>
      <c r="K7" s="227">
        <f t="shared" si="1"/>
        <v>196.73</v>
      </c>
      <c r="L7" s="227">
        <f t="shared" si="1"/>
        <v>203.94</v>
      </c>
      <c r="M7" s="227">
        <f t="shared" si="1"/>
        <v>550.10464770876251</v>
      </c>
      <c r="N7" s="227">
        <f t="shared" si="1"/>
        <v>618.8565671129079</v>
      </c>
      <c r="O7" s="227">
        <f t="shared" si="1"/>
        <v>685.91224368277778</v>
      </c>
      <c r="P7" s="227">
        <f t="shared" si="1"/>
        <v>751.0878824698799</v>
      </c>
      <c r="Q7" s="227">
        <f t="shared" si="1"/>
        <v>814.20484157863314</v>
      </c>
      <c r="R7" s="227">
        <f t="shared" si="1"/>
        <v>875.09012181129401</v>
      </c>
      <c r="S7" s="227">
        <f t="shared" si="1"/>
        <v>933.57684084681989</v>
      </c>
      <c r="T7" s="227">
        <f t="shared" si="1"/>
        <v>989.50469065374887</v>
      </c>
      <c r="U7" s="227">
        <f t="shared" si="1"/>
        <v>1042.7203768832076</v>
      </c>
      <c r="V7" s="227">
        <f t="shared" si="1"/>
        <v>1093.0780390382154</v>
      </c>
      <c r="W7" s="227">
        <f t="shared" si="1"/>
        <v>1140.4396502671777</v>
      </c>
      <c r="X7" s="227">
        <f t="shared" si="1"/>
        <v>1184.6753956857322</v>
      </c>
      <c r="Y7" s="227">
        <f t="shared" si="1"/>
        <v>1225.6640281904613</v>
      </c>
      <c r="Z7" s="227">
        <f t="shared" si="1"/>
        <v>1263.2932007888312</v>
      </c>
      <c r="AA7" s="227">
        <f t="shared" si="1"/>
        <v>1297.4597745342453</v>
      </c>
      <c r="AB7" s="227">
        <f t="shared" si="1"/>
        <v>1328.0701012229686</v>
      </c>
      <c r="AC7" s="227">
        <f t="shared" si="1"/>
        <v>1355.0402800772963</v>
      </c>
      <c r="AD7" s="227">
        <f t="shared" si="1"/>
        <v>1378.2963877116117</v>
      </c>
      <c r="AE7" s="227">
        <f t="shared" si="1"/>
        <v>1397.7746807513945</v>
      </c>
      <c r="AF7" s="227">
        <f t="shared" si="1"/>
        <v>1413.4217705494066</v>
      </c>
      <c r="AG7" s="227">
        <f t="shared" si="1"/>
        <v>1425.1947695200645</v>
      </c>
      <c r="AH7" s="227">
        <f t="shared" si="1"/>
        <v>1433.0614086915164</v>
      </c>
      <c r="AI7" s="227">
        <f t="shared" si="1"/>
        <v>1437.0001261526718</v>
      </c>
      <c r="AJ7" s="227">
        <f t="shared" si="1"/>
        <v>1437.0001261526756</v>
      </c>
      <c r="AK7" s="227">
        <f t="shared" si="1"/>
        <v>1433.0614086915125</v>
      </c>
      <c r="AL7" s="227">
        <f t="shared" si="1"/>
        <v>1425.1947695200681</v>
      </c>
      <c r="AM7" s="227">
        <f t="shared" si="1"/>
        <v>1413.4217705494066</v>
      </c>
      <c r="AN7" s="227">
        <f t="shared" si="1"/>
        <v>1397.7746807513906</v>
      </c>
      <c r="AO7" s="227">
        <f t="shared" si="1"/>
        <v>1378.2963877116154</v>
      </c>
      <c r="AP7" s="227">
        <f t="shared" si="1"/>
        <v>1355.0402800773002</v>
      </c>
      <c r="AQ7" s="227">
        <f t="shared" si="1"/>
        <v>1328.0701012229874</v>
      </c>
      <c r="AR7" s="227">
        <f t="shared" si="1"/>
        <v>1297.4597745342246</v>
      </c>
      <c r="AS7" s="227">
        <f t="shared" si="1"/>
        <v>1263.2932007888276</v>
      </c>
      <c r="AT7" s="227">
        <f t="shared" si="1"/>
        <v>1225.6640281904893</v>
      </c>
      <c r="AU7" s="227">
        <f t="shared" si="1"/>
        <v>1184.6753956857078</v>
      </c>
      <c r="AV7" s="227">
        <f t="shared" si="1"/>
        <v>1140.4396502671759</v>
      </c>
      <c r="AW7" s="227">
        <f t="shared" si="1"/>
        <v>1093.078039038234</v>
      </c>
      <c r="AX7" s="227">
        <f t="shared" si="1"/>
        <v>1042.7203768831926</v>
      </c>
      <c r="AY7" s="227">
        <f t="shared" si="1"/>
        <v>989.504690653745</v>
      </c>
      <c r="AZ7" s="227">
        <f t="shared" si="1"/>
        <v>933.57684084684058</v>
      </c>
      <c r="BA7" s="227">
        <f t="shared" si="1"/>
        <v>875.09012181127628</v>
      </c>
      <c r="BB7" s="227">
        <f t="shared" si="1"/>
        <v>814.20484157863791</v>
      </c>
      <c r="BC7" s="227">
        <f t="shared" si="1"/>
        <v>751.08788246989025</v>
      </c>
      <c r="BD7" s="227">
        <f t="shared" si="1"/>
        <v>685.91224368276653</v>
      </c>
      <c r="BE7" s="227">
        <f t="shared" si="1"/>
        <v>618.85656711290085</v>
      </c>
      <c r="BF7" s="227">
        <f t="shared" si="1"/>
        <v>537.81274710187745</v>
      </c>
      <c r="BG7" s="227">
        <f t="shared" si="1"/>
        <v>469.12295851545639</v>
      </c>
      <c r="BH7" s="227">
        <f t="shared" si="1"/>
        <v>399.14733650808944</v>
      </c>
      <c r="BI7" s="227">
        <f t="shared" si="1"/>
        <v>675.02092044941639</v>
      </c>
      <c r="BJ7" s="227">
        <f t="shared" si="1"/>
        <v>527.73076561611038</v>
      </c>
      <c r="BK7" s="227">
        <f t="shared" si="1"/>
        <v>377.98715243482741</v>
      </c>
      <c r="BL7" s="227">
        <f t="shared" si="1"/>
        <v>227.20750274230988</v>
      </c>
      <c r="BM7" s="227">
        <f t="shared" si="1"/>
        <v>75.805093077762749</v>
      </c>
    </row>
    <row r="8" spans="1:65">
      <c r="D8" s="227">
        <f>SUM(F8:BM8)</f>
        <v>51822.201686543347</v>
      </c>
      <c r="F8" s="227">
        <f>F4*0.9*1.08</f>
        <v>13.365</v>
      </c>
      <c r="G8" s="227">
        <f t="shared" ref="G8:BM8" si="2">G4*0.9*1.08</f>
        <v>97.2</v>
      </c>
      <c r="H8" s="227">
        <f t="shared" si="2"/>
        <v>99.63000000000001</v>
      </c>
      <c r="I8" s="227">
        <f t="shared" si="2"/>
        <v>145.80000000000001</v>
      </c>
      <c r="J8" s="227">
        <f t="shared" si="2"/>
        <v>122.47200000000001</v>
      </c>
      <c r="K8" s="227">
        <f t="shared" si="2"/>
        <v>185.65200000000002</v>
      </c>
      <c r="L8" s="227">
        <f t="shared" si="2"/>
        <v>192.45600000000002</v>
      </c>
      <c r="M8" s="227">
        <f t="shared" si="2"/>
        <v>519.12788113875445</v>
      </c>
      <c r="N8" s="227">
        <f t="shared" si="2"/>
        <v>584.0083332366471</v>
      </c>
      <c r="O8" s="227">
        <f t="shared" si="2"/>
        <v>647.28805908704862</v>
      </c>
      <c r="P8" s="227">
        <f t="shared" si="2"/>
        <v>708.79361335992564</v>
      </c>
      <c r="Q8" s="227">
        <f t="shared" si="2"/>
        <v>768.35641360624413</v>
      </c>
      <c r="R8" s="227">
        <f t="shared" si="2"/>
        <v>825.8132023306581</v>
      </c>
      <c r="S8" s="227">
        <f t="shared" si="2"/>
        <v>881.00649446903788</v>
      </c>
      <c r="T8" s="227">
        <f t="shared" si="2"/>
        <v>933.78500904412022</v>
      </c>
      <c r="U8" s="227">
        <f t="shared" si="2"/>
        <v>984.00408381599777</v>
      </c>
      <c r="V8" s="227">
        <f t="shared" si="2"/>
        <v>1031.5260717914032</v>
      </c>
      <c r="W8" s="227">
        <f t="shared" si="2"/>
        <v>1076.22071850456</v>
      </c>
      <c r="X8" s="227">
        <f t="shared" si="2"/>
        <v>1117.9655190354674</v>
      </c>
      <c r="Y8" s="227">
        <f t="shared" si="2"/>
        <v>1156.6460537875032</v>
      </c>
      <c r="Z8" s="227">
        <f t="shared" si="2"/>
        <v>1192.156302103635</v>
      </c>
      <c r="AA8" s="227">
        <f t="shared" si="2"/>
        <v>1224.3989328614432</v>
      </c>
      <c r="AB8" s="227">
        <f t="shared" si="2"/>
        <v>1253.2855712511896</v>
      </c>
      <c r="AC8" s="227">
        <f t="shared" si="2"/>
        <v>1278.7370410049825</v>
      </c>
      <c r="AD8" s="227">
        <f t="shared" si="2"/>
        <v>1300.6835814132878</v>
      </c>
      <c r="AE8" s="227">
        <f t="shared" si="2"/>
        <v>1319.0650385343256</v>
      </c>
      <c r="AF8" s="227">
        <f t="shared" si="2"/>
        <v>1333.8310300718674</v>
      </c>
      <c r="AG8" s="227">
        <f t="shared" si="2"/>
        <v>1344.9410834694202</v>
      </c>
      <c r="AH8" s="227">
        <f t="shared" si="2"/>
        <v>1352.3647468428678</v>
      </c>
      <c r="AI8" s="227">
        <f t="shared" si="2"/>
        <v>1356.0816724469873</v>
      </c>
      <c r="AJ8" s="227">
        <f t="shared" si="2"/>
        <v>1356.081672446991</v>
      </c>
      <c r="AK8" s="227">
        <f t="shared" si="2"/>
        <v>1352.3647468428642</v>
      </c>
      <c r="AL8" s="227">
        <f t="shared" si="2"/>
        <v>1344.9410834694236</v>
      </c>
      <c r="AM8" s="227">
        <f t="shared" si="2"/>
        <v>1333.8310300718674</v>
      </c>
      <c r="AN8" s="227">
        <f t="shared" si="2"/>
        <v>1319.0650385343222</v>
      </c>
      <c r="AO8" s="227">
        <f t="shared" si="2"/>
        <v>1300.6835814132914</v>
      </c>
      <c r="AP8" s="227">
        <f t="shared" si="2"/>
        <v>1278.7370410049864</v>
      </c>
      <c r="AQ8" s="227">
        <f t="shared" si="2"/>
        <v>1253.2855712512073</v>
      </c>
      <c r="AR8" s="227">
        <f t="shared" si="2"/>
        <v>1224.3989328614236</v>
      </c>
      <c r="AS8" s="227">
        <f t="shared" si="2"/>
        <v>1192.1563021036316</v>
      </c>
      <c r="AT8" s="227">
        <f t="shared" si="2"/>
        <v>1156.6460537875298</v>
      </c>
      <c r="AU8" s="227">
        <f t="shared" si="2"/>
        <v>1117.9655190354447</v>
      </c>
      <c r="AV8" s="227">
        <f t="shared" si="2"/>
        <v>1076.2207185045581</v>
      </c>
      <c r="AW8" s="227">
        <f t="shared" si="2"/>
        <v>1031.5260717914209</v>
      </c>
      <c r="AX8" s="227">
        <f t="shared" si="2"/>
        <v>984.00408381598368</v>
      </c>
      <c r="AY8" s="227">
        <f t="shared" si="2"/>
        <v>933.78500904411669</v>
      </c>
      <c r="AZ8" s="227">
        <f t="shared" si="2"/>
        <v>881.00649446905732</v>
      </c>
      <c r="BA8" s="227">
        <f t="shared" si="2"/>
        <v>825.81320233064127</v>
      </c>
      <c r="BB8" s="227">
        <f t="shared" si="2"/>
        <v>768.35641360624857</v>
      </c>
      <c r="BC8" s="227">
        <f t="shared" si="2"/>
        <v>708.79361335993531</v>
      </c>
      <c r="BD8" s="227">
        <f t="shared" si="2"/>
        <v>647.28805908703805</v>
      </c>
      <c r="BE8" s="227">
        <f t="shared" si="2"/>
        <v>584.00833323664051</v>
      </c>
      <c r="BF8" s="227">
        <f t="shared" si="2"/>
        <v>507.52814580876208</v>
      </c>
      <c r="BG8" s="227">
        <f t="shared" si="2"/>
        <v>442.70632590002293</v>
      </c>
      <c r="BH8" s="227">
        <f t="shared" si="2"/>
        <v>376.67107872413874</v>
      </c>
      <c r="BI8" s="227">
        <f t="shared" si="2"/>
        <v>637.01003366682789</v>
      </c>
      <c r="BJ8" s="227">
        <f t="shared" si="2"/>
        <v>498.0138875522905</v>
      </c>
      <c r="BK8" s="227">
        <f t="shared" si="2"/>
        <v>356.70243899674978</v>
      </c>
      <c r="BL8" s="227">
        <f t="shared" si="2"/>
        <v>214.41329385002447</v>
      </c>
      <c r="BM8" s="227">
        <f t="shared" si="2"/>
        <v>71.536456768529519</v>
      </c>
    </row>
    <row r="15" spans="1:65">
      <c r="BE15" s="532">
        <f>SUM(BE7:BM7)</f>
        <v>3908.6910435587506</v>
      </c>
    </row>
    <row r="16" spans="1:65">
      <c r="BE16" s="532">
        <f>SUM(BE8:BM8)</f>
        <v>3688.5899945039864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pageSetUpPr fitToPage="1"/>
  </sheetPr>
  <dimension ref="A1:BX146"/>
  <sheetViews>
    <sheetView view="pageBreakPreview" zoomScale="70" zoomScaleNormal="100" zoomScaleSheetLayoutView="70" workbookViewId="0">
      <pane xSplit="6" ySplit="15" topLeftCell="M60" activePane="bottomRight" state="frozen"/>
      <selection pane="topRight" activeCell="F1" sqref="F1"/>
      <selection pane="bottomLeft" activeCell="A9" sqref="A9"/>
      <selection pane="bottomRight" activeCell="M82" sqref="M82"/>
    </sheetView>
  </sheetViews>
  <sheetFormatPr defaultColWidth="8.75" defaultRowHeight="16.5" outlineLevelRow="1"/>
  <cols>
    <col min="1" max="1" width="6.125" customWidth="1"/>
    <col min="2" max="2" width="17.125" customWidth="1"/>
    <col min="3" max="4" width="12.375" customWidth="1"/>
    <col min="5" max="5" width="12" style="65" customWidth="1"/>
    <col min="6" max="6" width="12.375" style="66" bestFit="1" customWidth="1"/>
    <col min="7" max="12" width="8.75" hidden="1" customWidth="1"/>
    <col min="13" max="18" width="8.75" customWidth="1"/>
    <col min="19" max="19" width="8.75" style="65" customWidth="1"/>
    <col min="20" max="31" width="8.75" customWidth="1"/>
    <col min="32" max="32" width="10.25" style="65" customWidth="1"/>
    <col min="33" max="44" width="8.75" customWidth="1"/>
    <col min="45" max="45" width="10.625" style="65" customWidth="1"/>
    <col min="46" max="57" width="10.75" customWidth="1"/>
    <col min="58" max="58" width="10.25" style="65" customWidth="1"/>
    <col min="59" max="70" width="10.75" customWidth="1"/>
    <col min="71" max="71" width="10.25" style="65" customWidth="1"/>
    <col min="72" max="72" width="10.75" customWidth="1"/>
    <col min="73" max="73" width="13.875" customWidth="1"/>
    <col min="74" max="74" width="11.375" customWidth="1"/>
    <col min="75" max="75" width="9.625" bestFit="1" customWidth="1"/>
    <col min="76" max="76" width="8.875" bestFit="1" customWidth="1"/>
  </cols>
  <sheetData>
    <row r="1" spans="1:76" ht="39">
      <c r="A1" s="216" t="s">
        <v>104</v>
      </c>
      <c r="H1" s="271"/>
      <c r="I1" s="257"/>
    </row>
    <row r="2" spans="1:76">
      <c r="A2" s="252" t="s">
        <v>71</v>
      </c>
      <c r="BE2" s="57"/>
      <c r="BF2" s="57"/>
      <c r="BR2" s="57"/>
      <c r="BS2" s="57"/>
      <c r="BT2" s="57"/>
      <c r="BU2" s="564" t="s">
        <v>73</v>
      </c>
      <c r="BV2" s="564"/>
      <c r="BW2" s="564"/>
    </row>
    <row r="3" spans="1:76" s="54" customFormat="1" ht="19.899999999999999" customHeight="1">
      <c r="A3" s="565" t="s">
        <v>4</v>
      </c>
      <c r="B3" s="566"/>
      <c r="C3" s="573" t="s">
        <v>51</v>
      </c>
      <c r="D3" s="574"/>
      <c r="E3" s="76" t="s">
        <v>66</v>
      </c>
      <c r="F3" s="265" t="s">
        <v>61</v>
      </c>
      <c r="G3" s="77">
        <v>44927</v>
      </c>
      <c r="H3" s="77">
        <v>44958</v>
      </c>
      <c r="I3" s="77">
        <v>44986</v>
      </c>
      <c r="J3" s="77">
        <v>45017</v>
      </c>
      <c r="K3" s="77">
        <v>45047</v>
      </c>
      <c r="L3" s="77">
        <v>45078</v>
      </c>
      <c r="M3" s="77">
        <v>45108</v>
      </c>
      <c r="N3" s="77">
        <v>45139</v>
      </c>
      <c r="O3" s="77">
        <v>45170</v>
      </c>
      <c r="P3" s="77">
        <v>45200</v>
      </c>
      <c r="Q3" s="77">
        <v>45231</v>
      </c>
      <c r="R3" s="78">
        <v>45261</v>
      </c>
      <c r="S3" s="79" t="s">
        <v>67</v>
      </c>
      <c r="T3" s="80">
        <v>45292</v>
      </c>
      <c r="U3" s="81">
        <v>45323</v>
      </c>
      <c r="V3" s="81">
        <v>45352</v>
      </c>
      <c r="W3" s="81">
        <v>45383</v>
      </c>
      <c r="X3" s="81">
        <v>45413</v>
      </c>
      <c r="Y3" s="81">
        <v>45444</v>
      </c>
      <c r="Z3" s="81">
        <v>45474</v>
      </c>
      <c r="AA3" s="81">
        <v>45505</v>
      </c>
      <c r="AB3" s="81">
        <v>45536</v>
      </c>
      <c r="AC3" s="81">
        <v>45566</v>
      </c>
      <c r="AD3" s="81">
        <v>45597</v>
      </c>
      <c r="AE3" s="78">
        <v>45627</v>
      </c>
      <c r="AF3" s="79" t="s">
        <v>68</v>
      </c>
      <c r="AG3" s="80">
        <v>45658</v>
      </c>
      <c r="AH3" s="81">
        <v>45689</v>
      </c>
      <c r="AI3" s="81">
        <v>45717</v>
      </c>
      <c r="AJ3" s="81">
        <v>45748</v>
      </c>
      <c r="AK3" s="81">
        <v>45778</v>
      </c>
      <c r="AL3" s="81">
        <v>45809</v>
      </c>
      <c r="AM3" s="81">
        <v>45839</v>
      </c>
      <c r="AN3" s="81">
        <v>45870</v>
      </c>
      <c r="AO3" s="81">
        <v>45901</v>
      </c>
      <c r="AP3" s="81">
        <v>45931</v>
      </c>
      <c r="AQ3" s="81">
        <v>45962</v>
      </c>
      <c r="AR3" s="78">
        <v>45992</v>
      </c>
      <c r="AS3" s="79" t="s">
        <v>69</v>
      </c>
      <c r="AT3" s="80">
        <v>46023</v>
      </c>
      <c r="AU3" s="81">
        <v>46054</v>
      </c>
      <c r="AV3" s="81">
        <v>46082</v>
      </c>
      <c r="AW3" s="81">
        <v>46113</v>
      </c>
      <c r="AX3" s="81">
        <v>46143</v>
      </c>
      <c r="AY3" s="81">
        <v>46174</v>
      </c>
      <c r="AZ3" s="81">
        <v>46204</v>
      </c>
      <c r="BA3" s="81">
        <v>46235</v>
      </c>
      <c r="BB3" s="81">
        <v>46266</v>
      </c>
      <c r="BC3" s="81">
        <v>46296</v>
      </c>
      <c r="BD3" s="81">
        <v>46327</v>
      </c>
      <c r="BE3" s="78">
        <v>46357</v>
      </c>
      <c r="BF3" s="79" t="s">
        <v>70</v>
      </c>
      <c r="BG3" s="80">
        <v>46388</v>
      </c>
      <c r="BH3" s="81">
        <v>46419</v>
      </c>
      <c r="BI3" s="80">
        <v>46447</v>
      </c>
      <c r="BJ3" s="81">
        <v>46478</v>
      </c>
      <c r="BK3" s="80">
        <v>46508</v>
      </c>
      <c r="BL3" s="81">
        <v>46539</v>
      </c>
      <c r="BM3" s="80">
        <v>46569</v>
      </c>
      <c r="BN3" s="81">
        <v>46600</v>
      </c>
      <c r="BO3" s="80">
        <v>46631</v>
      </c>
      <c r="BP3" s="81">
        <v>46661</v>
      </c>
      <c r="BQ3" s="80">
        <v>46692</v>
      </c>
      <c r="BR3" s="81">
        <v>46722</v>
      </c>
      <c r="BS3" s="79" t="s">
        <v>116</v>
      </c>
      <c r="BT3" s="273" t="s">
        <v>127</v>
      </c>
      <c r="BU3" s="82" t="s">
        <v>65</v>
      </c>
      <c r="BV3" s="83" t="s">
        <v>74</v>
      </c>
      <c r="BW3" s="84" t="s">
        <v>76</v>
      </c>
    </row>
    <row r="4" spans="1:76" s="54" customFormat="1" ht="19.899999999999999" customHeight="1">
      <c r="A4" s="650" t="s">
        <v>175</v>
      </c>
      <c r="B4" s="568"/>
      <c r="C4" s="575" t="s">
        <v>62</v>
      </c>
      <c r="D4" s="576"/>
      <c r="E4" s="85">
        <f t="shared" ref="E4:R5" si="0">+E104</f>
        <v>494420.70657900115</v>
      </c>
      <c r="F4" s="86">
        <f t="shared" si="0"/>
        <v>29206.77281584169</v>
      </c>
      <c r="G4" s="87">
        <f t="shared" si="0"/>
        <v>2410.7997037403265</v>
      </c>
      <c r="H4" s="87">
        <f t="shared" si="0"/>
        <v>2585.0402174300257</v>
      </c>
      <c r="I4" s="87">
        <f t="shared" si="0"/>
        <v>1643.8650660652925</v>
      </c>
      <c r="J4" s="87">
        <f t="shared" si="0"/>
        <v>1095.5899310270734</v>
      </c>
      <c r="K4" s="87">
        <f t="shared" si="0"/>
        <v>938.78216480686694</v>
      </c>
      <c r="L4" s="87">
        <f t="shared" si="0"/>
        <v>2572.7344891643515</v>
      </c>
      <c r="M4" s="87">
        <f t="shared" si="0"/>
        <v>1109.6345537773993</v>
      </c>
      <c r="N4" s="87">
        <f t="shared" si="0"/>
        <v>987.25992968013099</v>
      </c>
      <c r="O4" s="87">
        <f t="shared" si="0"/>
        <v>1113.1959705685508</v>
      </c>
      <c r="P4" s="87">
        <f t="shared" si="0"/>
        <v>1618.7782407976811</v>
      </c>
      <c r="Q4" s="87">
        <f t="shared" si="0"/>
        <v>1762.3661175742091</v>
      </c>
      <c r="R4" s="87">
        <f t="shared" si="0"/>
        <v>2230.6440503855151</v>
      </c>
      <c r="S4" s="88">
        <f>SUM(G4:R4)</f>
        <v>20068.690435017426</v>
      </c>
      <c r="T4" s="89">
        <f>+T104</f>
        <v>24942.340098376142</v>
      </c>
      <c r="U4" s="87">
        <f t="shared" ref="U4:AE5" si="1">+U104</f>
        <v>28135.231307125727</v>
      </c>
      <c r="V4" s="87">
        <f t="shared" si="1"/>
        <v>32320.683788886563</v>
      </c>
      <c r="W4" s="87">
        <f t="shared" si="1"/>
        <v>4269.0164109598818</v>
      </c>
      <c r="X4" s="87">
        <f t="shared" si="1"/>
        <v>3791.5074626274804</v>
      </c>
      <c r="Y4" s="87">
        <f t="shared" si="1"/>
        <v>4249.5844504615297</v>
      </c>
      <c r="Z4" s="87">
        <f t="shared" si="1"/>
        <v>3543.1453029760869</v>
      </c>
      <c r="AA4" s="87">
        <f t="shared" si="1"/>
        <v>4419.2769523750376</v>
      </c>
      <c r="AB4" s="87">
        <f t="shared" si="1"/>
        <v>5169.2467105383876</v>
      </c>
      <c r="AC4" s="87">
        <f t="shared" si="1"/>
        <v>4601.2047186031896</v>
      </c>
      <c r="AD4" s="87">
        <f t="shared" si="1"/>
        <v>4569.4662492483758</v>
      </c>
      <c r="AE4" s="87">
        <f t="shared" si="1"/>
        <v>6206.6680981636255</v>
      </c>
      <c r="AF4" s="88">
        <f>SUM(T4:AE4)</f>
        <v>126217.37155034202</v>
      </c>
      <c r="AG4" s="87">
        <f>+AG104</f>
        <v>5916.2493922343392</v>
      </c>
      <c r="AH4" s="87">
        <f t="shared" ref="AH4:AR5" si="2">+AH104</f>
        <v>5183.0097242681486</v>
      </c>
      <c r="AI4" s="87">
        <f t="shared" si="2"/>
        <v>5855.9641239146868</v>
      </c>
      <c r="AJ4" s="87">
        <f t="shared" si="2"/>
        <v>6483.1223809040875</v>
      </c>
      <c r="AK4" s="87">
        <f t="shared" si="2"/>
        <v>7059.4349857144716</v>
      </c>
      <c r="AL4" s="87">
        <f t="shared" si="2"/>
        <v>8380.2618081177843</v>
      </c>
      <c r="AM4" s="87">
        <f t="shared" si="2"/>
        <v>8041.4094567816683</v>
      </c>
      <c r="AN4" s="87">
        <f t="shared" si="2"/>
        <v>8439.1650419893631</v>
      </c>
      <c r="AO4" s="87">
        <f t="shared" si="2"/>
        <v>9370.3260696451707</v>
      </c>
      <c r="AP4" s="87">
        <f t="shared" si="2"/>
        <v>9032.2262258740084</v>
      </c>
      <c r="AQ4" s="87">
        <f t="shared" si="2"/>
        <v>9436.0419693098102</v>
      </c>
      <c r="AR4" s="87">
        <f t="shared" si="2"/>
        <v>10448.52201302621</v>
      </c>
      <c r="AS4" s="88">
        <f>SUM(AG4:AR4)</f>
        <v>93645.733191779756</v>
      </c>
      <c r="AT4" s="87">
        <f>+AT104</f>
        <v>10442.013501987101</v>
      </c>
      <c r="AU4" s="87">
        <f t="shared" ref="AU4:BE5" si="3">+AU104</f>
        <v>10822.784675252335</v>
      </c>
      <c r="AV4" s="87">
        <f t="shared" si="3"/>
        <v>11117.769787224141</v>
      </c>
      <c r="AW4" s="87">
        <f t="shared" si="3"/>
        <v>11324.593791229774</v>
      </c>
      <c r="AX4" s="87">
        <f t="shared" si="3"/>
        <v>11441.591461999255</v>
      </c>
      <c r="AY4" s="87">
        <f t="shared" si="3"/>
        <v>11467.820803081109</v>
      </c>
      <c r="AZ4" s="87">
        <f t="shared" si="3"/>
        <v>11403.070631243756</v>
      </c>
      <c r="BA4" s="87">
        <f t="shared" si="3"/>
        <v>11247.862276798012</v>
      </c>
      <c r="BB4" s="87">
        <f t="shared" si="3"/>
        <v>11003.44538615306</v>
      </c>
      <c r="BC4" s="87">
        <f t="shared" si="3"/>
        <v>10671.787860397508</v>
      </c>
      <c r="BD4" s="87">
        <f t="shared" si="3"/>
        <v>10255.560010917361</v>
      </c>
      <c r="BE4" s="87">
        <f t="shared" si="3"/>
        <v>9758.1130596183903</v>
      </c>
      <c r="BF4" s="88">
        <f>SUM(AT4:BE4)</f>
        <v>130956.41324590181</v>
      </c>
      <c r="BG4" s="87">
        <f>+BG104</f>
        <v>9226.9163334070618</v>
      </c>
      <c r="BH4" s="87">
        <f t="shared" ref="BH4:BR5" si="4">+BH104</f>
        <v>8732.8840269004831</v>
      </c>
      <c r="BI4" s="87">
        <f t="shared" si="4"/>
        <v>8610.036379396528</v>
      </c>
      <c r="BJ4" s="87">
        <f t="shared" si="4"/>
        <v>8020.8287012046876</v>
      </c>
      <c r="BK4" s="87">
        <f t="shared" si="4"/>
        <v>7568.3946636991495</v>
      </c>
      <c r="BL4" s="87">
        <f t="shared" si="4"/>
        <v>7056.3769997231138</v>
      </c>
      <c r="BM4" s="87">
        <f t="shared" si="4"/>
        <v>6488.8981744454268</v>
      </c>
      <c r="BN4" s="87">
        <f t="shared" si="4"/>
        <v>5870.527193695033</v>
      </c>
      <c r="BO4" s="87">
        <f t="shared" si="4"/>
        <v>5206.2428170126923</v>
      </c>
      <c r="BP4" s="87">
        <f t="shared" si="4"/>
        <v>4846.393471606576</v>
      </c>
      <c r="BQ4" s="87">
        <f t="shared" si="4"/>
        <v>4014.0256993996386</v>
      </c>
      <c r="BR4" s="87">
        <f t="shared" si="4"/>
        <v>3848.063499126074</v>
      </c>
      <c r="BS4" s="88">
        <f>SUM(BG4:BR4)</f>
        <v>79489.58795961646</v>
      </c>
      <c r="BT4" s="274">
        <f>+BT104</f>
        <v>16958</v>
      </c>
      <c r="BU4" s="263">
        <f>+F4+S4+AF4+AS4+BF4+BS4+BT4</f>
        <v>496542.56919849914</v>
      </c>
      <c r="BV4" s="91">
        <f t="shared" ref="BV4:BV12" si="5">+E4</f>
        <v>494420.70657900115</v>
      </c>
      <c r="BW4" s="92">
        <f t="shared" ref="BW4:BW12" si="6">+BV4-BU4</f>
        <v>-2121.8626194979879</v>
      </c>
    </row>
    <row r="5" spans="1:76" s="54" customFormat="1" ht="19.899999999999999" customHeight="1">
      <c r="A5" s="651"/>
      <c r="B5" s="570"/>
      <c r="C5" s="579" t="s">
        <v>63</v>
      </c>
      <c r="D5" s="580"/>
      <c r="E5" s="93">
        <f t="shared" si="0"/>
        <v>433754.17587473558</v>
      </c>
      <c r="F5" s="94">
        <f t="shared" si="0"/>
        <v>21391.48893720295</v>
      </c>
      <c r="G5" s="95">
        <f t="shared" si="0"/>
        <v>1884.9120027515046</v>
      </c>
      <c r="H5" s="95">
        <f t="shared" si="0"/>
        <v>1585.3505390024525</v>
      </c>
      <c r="I5" s="95">
        <f t="shared" si="0"/>
        <v>2036.3751054553261</v>
      </c>
      <c r="J5" s="95">
        <f t="shared" si="0"/>
        <v>1154.8133418564673</v>
      </c>
      <c r="K5" s="95">
        <f t="shared" si="0"/>
        <v>2062.1812125751076</v>
      </c>
      <c r="L5" s="95">
        <f t="shared" si="0"/>
        <v>1125.7988690745888</v>
      </c>
      <c r="M5" s="95">
        <f t="shared" si="0"/>
        <v>1483.1628414130669</v>
      </c>
      <c r="N5" s="95">
        <f t="shared" si="0"/>
        <v>1355.1468272740842</v>
      </c>
      <c r="O5" s="95">
        <f t="shared" si="0"/>
        <v>1807.073808430654</v>
      </c>
      <c r="P5" s="95">
        <f t="shared" si="0"/>
        <v>1657.3494839552386</v>
      </c>
      <c r="Q5" s="95">
        <f t="shared" si="0"/>
        <v>1629.0055016001079</v>
      </c>
      <c r="R5" s="95">
        <f t="shared" si="0"/>
        <v>1408.2139919728197</v>
      </c>
      <c r="S5" s="88">
        <f t="shared" ref="S5:S12" si="7">SUM(G5:R5)</f>
        <v>19189.383525361416</v>
      </c>
      <c r="T5" s="97">
        <f>+T105</f>
        <v>1032.4303453814659</v>
      </c>
      <c r="U5" s="95">
        <f t="shared" si="1"/>
        <v>3582.0352405107328</v>
      </c>
      <c r="V5" s="95">
        <f t="shared" si="1"/>
        <v>1398.2115938417837</v>
      </c>
      <c r="W5" s="95">
        <f t="shared" si="1"/>
        <v>3525.669461054189</v>
      </c>
      <c r="X5" s="95">
        <f t="shared" si="1"/>
        <v>4345.7279445519434</v>
      </c>
      <c r="Y5" s="95">
        <f t="shared" si="1"/>
        <v>3958.0185137681838</v>
      </c>
      <c r="Z5" s="95">
        <f t="shared" si="1"/>
        <v>3904.4847933578344</v>
      </c>
      <c r="AA5" s="95">
        <f t="shared" si="1"/>
        <v>4212.973584799729</v>
      </c>
      <c r="AB5" s="95">
        <f t="shared" si="1"/>
        <v>4756.3656105448499</v>
      </c>
      <c r="AC5" s="95">
        <f t="shared" si="1"/>
        <v>5019.4637778412316</v>
      </c>
      <c r="AD5" s="95">
        <f t="shared" si="1"/>
        <v>5178.7022418887527</v>
      </c>
      <c r="AE5" s="95">
        <f t="shared" si="1"/>
        <v>6353.9326474891777</v>
      </c>
      <c r="AF5" s="88">
        <f t="shared" ref="AF5:AF12" si="8">SUM(T5:AE5)</f>
        <v>47268.015755029875</v>
      </c>
      <c r="AG5" s="95">
        <f>+AG105</f>
        <v>6170.1625623603695</v>
      </c>
      <c r="AH5" s="95">
        <f t="shared" si="2"/>
        <v>6200.6586495349075</v>
      </c>
      <c r="AI5" s="95">
        <f t="shared" si="2"/>
        <v>6525.672699159355</v>
      </c>
      <c r="AJ5" s="95">
        <f t="shared" si="2"/>
        <v>7582.0283472105921</v>
      </c>
      <c r="AK5" s="95">
        <f t="shared" si="2"/>
        <v>7804.3604898216263</v>
      </c>
      <c r="AL5" s="95">
        <f t="shared" si="2"/>
        <v>8357.738988625144</v>
      </c>
      <c r="AM5" s="95">
        <f t="shared" si="2"/>
        <v>9237.7083653305235</v>
      </c>
      <c r="AN5" s="95">
        <f t="shared" si="2"/>
        <v>9270.3236746136972</v>
      </c>
      <c r="AO5" s="95">
        <f t="shared" si="2"/>
        <v>9622.1822664979918</v>
      </c>
      <c r="AP5" s="95">
        <f t="shared" si="2"/>
        <v>10420.451182491131</v>
      </c>
      <c r="AQ5" s="95">
        <f t="shared" si="2"/>
        <v>10329.50540989167</v>
      </c>
      <c r="AR5" s="95">
        <f t="shared" si="2"/>
        <v>10905.890456340348</v>
      </c>
      <c r="AS5" s="88">
        <f t="shared" ref="AS5:AS12" si="9">SUM(AG5:AR5)</f>
        <v>102426.68309187736</v>
      </c>
      <c r="AT5" s="95">
        <f>+AT105</f>
        <v>11111.096749611293</v>
      </c>
      <c r="AU5" s="95">
        <f t="shared" si="3"/>
        <v>11656.185621205605</v>
      </c>
      <c r="AV5" s="95">
        <f t="shared" si="3"/>
        <v>11969.607302675648</v>
      </c>
      <c r="AW5" s="95">
        <f t="shared" si="3"/>
        <v>12189.357806931634</v>
      </c>
      <c r="AX5" s="95">
        <f t="shared" si="3"/>
        <v>12313.667832124205</v>
      </c>
      <c r="AY5" s="95">
        <f t="shared" si="3"/>
        <v>12341.536507023673</v>
      </c>
      <c r="AZ5" s="95">
        <f t="shared" si="3"/>
        <v>12272.739449446488</v>
      </c>
      <c r="BA5" s="95">
        <f t="shared" si="3"/>
        <v>12107.830572847886</v>
      </c>
      <c r="BB5" s="95">
        <f t="shared" si="3"/>
        <v>11848.137626537626</v>
      </c>
      <c r="BC5" s="95">
        <f t="shared" si="3"/>
        <v>11495.75150542235</v>
      </c>
      <c r="BD5" s="95">
        <f t="shared" si="3"/>
        <v>10845.140616774066</v>
      </c>
      <c r="BE5" s="95">
        <f t="shared" si="3"/>
        <v>10324.972029594535</v>
      </c>
      <c r="BF5" s="88">
        <f t="shared" ref="BF5:BF12" si="10">SUM(AT5:BE5)</f>
        <v>140476.02362019502</v>
      </c>
      <c r="BG5" s="95">
        <f>+BG105</f>
        <v>9773.7456816623617</v>
      </c>
      <c r="BH5" s="95">
        <f t="shared" si="4"/>
        <v>9435.5365435817621</v>
      </c>
      <c r="BI5" s="95">
        <f t="shared" si="4"/>
        <v>9092.5109181088119</v>
      </c>
      <c r="BJ5" s="95">
        <f t="shared" si="4"/>
        <v>8661.86544502998</v>
      </c>
      <c r="BK5" s="95">
        <f t="shared" si="4"/>
        <v>8181.1542801803462</v>
      </c>
      <c r="BL5" s="95">
        <f t="shared" si="4"/>
        <v>7637.1355122058076</v>
      </c>
      <c r="BM5" s="95">
        <f t="shared" si="4"/>
        <v>7034.1892603482656</v>
      </c>
      <c r="BN5" s="95">
        <f t="shared" si="4"/>
        <v>6377.1700933009724</v>
      </c>
      <c r="BO5" s="95">
        <f t="shared" si="4"/>
        <v>5671.3679430759848</v>
      </c>
      <c r="BP5" s="95">
        <f t="shared" si="4"/>
        <v>4922.4655135819876</v>
      </c>
      <c r="BQ5" s="95">
        <f t="shared" si="4"/>
        <v>4404.637255612115</v>
      </c>
      <c r="BR5" s="95">
        <f t="shared" si="4"/>
        <v>4122.0524178214564</v>
      </c>
      <c r="BS5" s="226">
        <f t="shared" ref="BS5:BS12" si="11">SUM(BG5:BR5)</f>
        <v>85313.830864509859</v>
      </c>
      <c r="BT5" s="204">
        <f>+BT105</f>
        <v>17710.154500000001</v>
      </c>
      <c r="BU5" s="98">
        <f>+F5+S5+AF5+AS5+BF5+BS5+BT5</f>
        <v>433775.58029417647</v>
      </c>
      <c r="BV5" s="99">
        <f t="shared" si="5"/>
        <v>433754.17587473558</v>
      </c>
      <c r="BW5" s="100">
        <f t="shared" si="6"/>
        <v>-21.404419440892525</v>
      </c>
      <c r="BX5" s="64">
        <f>+BU5/BU4</f>
        <v>0.87359192786705309</v>
      </c>
    </row>
    <row r="6" spans="1:76" s="54" customFormat="1" ht="19.899999999999999" customHeight="1">
      <c r="A6" s="651"/>
      <c r="B6" s="570"/>
      <c r="C6" s="577" t="s">
        <v>11</v>
      </c>
      <c r="D6" s="578"/>
      <c r="E6" s="113">
        <f>+E4-E5</f>
        <v>60666.530704265577</v>
      </c>
      <c r="F6" s="114"/>
      <c r="G6" s="115">
        <f t="shared" ref="G6:R6" si="12">+G4-G5</f>
        <v>525.88770098882196</v>
      </c>
      <c r="H6" s="115">
        <f t="shared" si="12"/>
        <v>999.6896784275732</v>
      </c>
      <c r="I6" s="115">
        <f t="shared" si="12"/>
        <v>-392.51003939003363</v>
      </c>
      <c r="J6" s="115">
        <f t="shared" si="12"/>
        <v>-59.22341082939397</v>
      </c>
      <c r="K6" s="115">
        <f t="shared" si="12"/>
        <v>-1123.3990477682405</v>
      </c>
      <c r="L6" s="115">
        <f t="shared" si="12"/>
        <v>1446.9356200897628</v>
      </c>
      <c r="M6" s="115">
        <f t="shared" si="12"/>
        <v>-373.52828763566754</v>
      </c>
      <c r="N6" s="115">
        <f t="shared" si="12"/>
        <v>-367.88689759395322</v>
      </c>
      <c r="O6" s="115">
        <f t="shared" si="12"/>
        <v>-693.87783786210321</v>
      </c>
      <c r="P6" s="115">
        <f t="shared" si="12"/>
        <v>-38.571243157557547</v>
      </c>
      <c r="Q6" s="115">
        <f t="shared" si="12"/>
        <v>133.36061597410117</v>
      </c>
      <c r="R6" s="116">
        <f t="shared" si="12"/>
        <v>822.43005841269542</v>
      </c>
      <c r="S6" s="226">
        <f t="shared" si="7"/>
        <v>879.3069096560049</v>
      </c>
      <c r="T6" s="118">
        <f t="shared" ref="T6:AE6" si="13">+T4-T5</f>
        <v>23909.909752994678</v>
      </c>
      <c r="U6" s="115">
        <f t="shared" si="13"/>
        <v>24553.196066614993</v>
      </c>
      <c r="V6" s="115">
        <f t="shared" si="13"/>
        <v>30922.472195044778</v>
      </c>
      <c r="W6" s="115">
        <f t="shared" si="13"/>
        <v>743.34694990569278</v>
      </c>
      <c r="X6" s="115">
        <f t="shared" si="13"/>
        <v>-554.220481924463</v>
      </c>
      <c r="Y6" s="115">
        <f t="shared" si="13"/>
        <v>291.56593669334598</v>
      </c>
      <c r="Z6" s="115">
        <f t="shared" si="13"/>
        <v>-361.33949038174751</v>
      </c>
      <c r="AA6" s="115">
        <f t="shared" si="13"/>
        <v>206.30336757530858</v>
      </c>
      <c r="AB6" s="115">
        <f t="shared" si="13"/>
        <v>412.88109999353765</v>
      </c>
      <c r="AC6" s="115">
        <f t="shared" si="13"/>
        <v>-418.25905923804203</v>
      </c>
      <c r="AD6" s="115">
        <f t="shared" si="13"/>
        <v>-609.23599264037694</v>
      </c>
      <c r="AE6" s="116">
        <f t="shared" si="13"/>
        <v>-147.26454932555225</v>
      </c>
      <c r="AF6" s="226">
        <f t="shared" si="8"/>
        <v>78949.355795312149</v>
      </c>
      <c r="AG6" s="118">
        <f t="shared" ref="AG6:AR6" si="14">+AG4-AG5</f>
        <v>-253.91317012603031</v>
      </c>
      <c r="AH6" s="115">
        <f t="shared" si="14"/>
        <v>-1017.6489252667589</v>
      </c>
      <c r="AI6" s="115">
        <f t="shared" si="14"/>
        <v>-669.70857524466828</v>
      </c>
      <c r="AJ6" s="115">
        <f t="shared" si="14"/>
        <v>-1098.9059663065045</v>
      </c>
      <c r="AK6" s="115">
        <f t="shared" si="14"/>
        <v>-744.92550410715467</v>
      </c>
      <c r="AL6" s="115">
        <f t="shared" si="14"/>
        <v>22.522819492640338</v>
      </c>
      <c r="AM6" s="115">
        <f t="shared" si="14"/>
        <v>-1196.2989085488553</v>
      </c>
      <c r="AN6" s="115">
        <f t="shared" si="14"/>
        <v>-831.15863262433413</v>
      </c>
      <c r="AO6" s="115">
        <f t="shared" si="14"/>
        <v>-251.85619685282109</v>
      </c>
      <c r="AP6" s="115">
        <f t="shared" si="14"/>
        <v>-1388.2249566171231</v>
      </c>
      <c r="AQ6" s="115">
        <f t="shared" si="14"/>
        <v>-893.46344058185969</v>
      </c>
      <c r="AR6" s="116">
        <f t="shared" si="14"/>
        <v>-457.36844331413886</v>
      </c>
      <c r="AS6" s="226">
        <f t="shared" si="9"/>
        <v>-8780.9499000976084</v>
      </c>
      <c r="AT6" s="118">
        <f t="shared" ref="AT6:BE6" si="15">+AT4-AT5</f>
        <v>-669.08324762419215</v>
      </c>
      <c r="AU6" s="115">
        <f t="shared" si="15"/>
        <v>-833.40094595326991</v>
      </c>
      <c r="AV6" s="115">
        <f t="shared" si="15"/>
        <v>-851.83751545150699</v>
      </c>
      <c r="AW6" s="115">
        <f t="shared" si="15"/>
        <v>-864.76401570185953</v>
      </c>
      <c r="AX6" s="115">
        <f t="shared" si="15"/>
        <v>-872.0763701249507</v>
      </c>
      <c r="AY6" s="115">
        <f t="shared" si="15"/>
        <v>-873.71570394256378</v>
      </c>
      <c r="AZ6" s="115">
        <f t="shared" si="15"/>
        <v>-869.66881820273193</v>
      </c>
      <c r="BA6" s="115">
        <f t="shared" si="15"/>
        <v>-859.96829604987397</v>
      </c>
      <c r="BB6" s="115">
        <f t="shared" si="15"/>
        <v>-844.69224038456559</v>
      </c>
      <c r="BC6" s="115">
        <f t="shared" si="15"/>
        <v>-823.96364502484175</v>
      </c>
      <c r="BD6" s="115">
        <f t="shared" si="15"/>
        <v>-589.58060585670501</v>
      </c>
      <c r="BE6" s="116">
        <f t="shared" si="15"/>
        <v>-566.85896997614509</v>
      </c>
      <c r="BF6" s="226">
        <f t="shared" si="10"/>
        <v>-9519.6103742932064</v>
      </c>
      <c r="BG6" s="118">
        <f t="shared" ref="BG6:BR6" si="16">+BG4-BG5</f>
        <v>-546.82934825529992</v>
      </c>
      <c r="BH6" s="115">
        <f t="shared" si="16"/>
        <v>-702.65251668127894</v>
      </c>
      <c r="BI6" s="115">
        <f t="shared" si="16"/>
        <v>-482.4745387122839</v>
      </c>
      <c r="BJ6" s="115">
        <f t="shared" si="16"/>
        <v>-641.03674382529243</v>
      </c>
      <c r="BK6" s="115">
        <f t="shared" si="16"/>
        <v>-612.75961648119664</v>
      </c>
      <c r="BL6" s="115">
        <f t="shared" si="16"/>
        <v>-580.75851248269373</v>
      </c>
      <c r="BM6" s="115">
        <f t="shared" si="16"/>
        <v>-545.29108590283886</v>
      </c>
      <c r="BN6" s="115">
        <f t="shared" si="16"/>
        <v>-506.64289960593942</v>
      </c>
      <c r="BO6" s="115">
        <f t="shared" si="16"/>
        <v>-465.12512606329256</v>
      </c>
      <c r="BP6" s="115">
        <f t="shared" si="16"/>
        <v>-76.072041975411594</v>
      </c>
      <c r="BQ6" s="115">
        <f t="shared" si="16"/>
        <v>-390.61155621247644</v>
      </c>
      <c r="BR6" s="116">
        <f t="shared" si="16"/>
        <v>-273.98891869538238</v>
      </c>
      <c r="BS6" s="287">
        <f t="shared" si="11"/>
        <v>-5824.2429048933864</v>
      </c>
      <c r="BT6" s="275">
        <f>+BT4-BT5</f>
        <v>-752.15450000000055</v>
      </c>
      <c r="BU6" s="98">
        <f>+BU4-BU5</f>
        <v>62766.988904322672</v>
      </c>
      <c r="BV6" s="99">
        <f t="shared" si="5"/>
        <v>60666.530704265577</v>
      </c>
      <c r="BW6" s="100">
        <f t="shared" si="6"/>
        <v>-2100.4582000570954</v>
      </c>
    </row>
    <row r="7" spans="1:76" s="54" customFormat="1" ht="19.899999999999999" customHeight="1">
      <c r="A7" s="650" t="s">
        <v>176</v>
      </c>
      <c r="B7" s="568"/>
      <c r="C7" s="575" t="s">
        <v>62</v>
      </c>
      <c r="D7" s="576"/>
      <c r="E7" s="101">
        <f t="shared" ref="E7:R8" si="17">+E129</f>
        <v>655002.57253702509</v>
      </c>
      <c r="F7" s="102">
        <f t="shared" si="17"/>
        <v>0</v>
      </c>
      <c r="G7" s="103">
        <f t="shared" si="17"/>
        <v>267</v>
      </c>
      <c r="H7" s="103">
        <f t="shared" si="17"/>
        <v>30</v>
      </c>
      <c r="I7" s="103">
        <f t="shared" si="17"/>
        <v>31.690435910652898</v>
      </c>
      <c r="J7" s="103">
        <f t="shared" si="17"/>
        <v>30.818565921787702</v>
      </c>
      <c r="K7" s="103">
        <f t="shared" si="17"/>
        <v>27.487747982832619</v>
      </c>
      <c r="L7" s="103">
        <f t="shared" si="17"/>
        <v>23.602976832656552</v>
      </c>
      <c r="M7" s="103">
        <f t="shared" si="17"/>
        <v>725.21884549904235</v>
      </c>
      <c r="N7" s="103">
        <f t="shared" si="17"/>
        <v>23.04250690810747</v>
      </c>
      <c r="O7" s="103">
        <f t="shared" si="17"/>
        <v>23.687386310788774</v>
      </c>
      <c r="P7" s="103">
        <f t="shared" si="17"/>
        <v>23.04250690810747</v>
      </c>
      <c r="Q7" s="103">
        <f t="shared" si="17"/>
        <v>23.656887530131105</v>
      </c>
      <c r="R7" s="104">
        <f t="shared" si="17"/>
        <v>23.04250690810747</v>
      </c>
      <c r="S7" s="119">
        <f t="shared" si="7"/>
        <v>1252.2903667122146</v>
      </c>
      <c r="T7" s="103">
        <f>+T129</f>
        <v>76.180337331270124</v>
      </c>
      <c r="U7" s="103">
        <f t="shared" ref="U7:AE8" si="18">+U129</f>
        <v>196.11078778289985</v>
      </c>
      <c r="V7" s="103">
        <f t="shared" si="18"/>
        <v>319.85732205488927</v>
      </c>
      <c r="W7" s="103">
        <f t="shared" si="18"/>
        <v>476.06896964038765</v>
      </c>
      <c r="X7" s="103">
        <f t="shared" si="18"/>
        <v>170.16604923811806</v>
      </c>
      <c r="Y7" s="103">
        <f t="shared" si="18"/>
        <v>168.24577707468634</v>
      </c>
      <c r="Z7" s="103">
        <f t="shared" si="18"/>
        <v>131.54483564352648</v>
      </c>
      <c r="AA7" s="103">
        <f t="shared" si="18"/>
        <v>130.39586236983538</v>
      </c>
      <c r="AB7" s="103">
        <f t="shared" si="18"/>
        <v>132.07935851956111</v>
      </c>
      <c r="AC7" s="103">
        <f t="shared" si="18"/>
        <v>134.80416081212661</v>
      </c>
      <c r="AD7" s="103">
        <f t="shared" si="18"/>
        <v>133.38688631999702</v>
      </c>
      <c r="AE7" s="104">
        <f t="shared" si="18"/>
        <v>30131.007640788393</v>
      </c>
      <c r="AF7" s="119">
        <f t="shared" si="8"/>
        <v>32199.847987575693</v>
      </c>
      <c r="AG7" s="103">
        <f>+AG129</f>
        <v>280.92635624570931</v>
      </c>
      <c r="AH7" s="103">
        <f t="shared" ref="AH7:AR8" si="19">+AH129</f>
        <v>279.5614221763077</v>
      </c>
      <c r="AI7" s="103">
        <f t="shared" si="19"/>
        <v>274.37098466085547</v>
      </c>
      <c r="AJ7" s="103">
        <f t="shared" si="19"/>
        <v>270.89429670793641</v>
      </c>
      <c r="AK7" s="103">
        <f t="shared" si="19"/>
        <v>265.25423835994354</v>
      </c>
      <c r="AL7" s="103">
        <f t="shared" si="19"/>
        <v>261.3558820312075</v>
      </c>
      <c r="AM7" s="103">
        <f t="shared" si="19"/>
        <v>261.27527553882675</v>
      </c>
      <c r="AN7" s="103">
        <f t="shared" si="19"/>
        <v>255.1001573737766</v>
      </c>
      <c r="AO7" s="103">
        <f t="shared" si="19"/>
        <v>250.71986499752379</v>
      </c>
      <c r="AP7" s="103">
        <f t="shared" si="19"/>
        <v>249.2141833382473</v>
      </c>
      <c r="AQ7" s="103">
        <f t="shared" si="19"/>
        <v>242.01912947185292</v>
      </c>
      <c r="AR7" s="104">
        <f t="shared" si="19"/>
        <v>50237.261907916305</v>
      </c>
      <c r="AS7" s="119">
        <f t="shared" si="9"/>
        <v>53127.953698818492</v>
      </c>
      <c r="AT7" s="103">
        <f>+AT129</f>
        <v>367.76387523931379</v>
      </c>
      <c r="AU7" s="103">
        <f t="shared" ref="AU7:BE8" si="20">+AU129</f>
        <v>362.25727837738935</v>
      </c>
      <c r="AV7" s="103">
        <f t="shared" si="20"/>
        <v>353.40156003950989</v>
      </c>
      <c r="AW7" s="103">
        <f t="shared" si="20"/>
        <v>344.40938026244993</v>
      </c>
      <c r="AX7" s="103">
        <f t="shared" si="20"/>
        <v>100335.30760708525</v>
      </c>
      <c r="AY7" s="103">
        <f t="shared" si="20"/>
        <v>30826.123763270054</v>
      </c>
      <c r="AZ7" s="103">
        <f t="shared" si="20"/>
        <v>412.88580356669189</v>
      </c>
      <c r="BA7" s="103">
        <f t="shared" si="20"/>
        <v>397.60188849351169</v>
      </c>
      <c r="BB7" s="103">
        <f t="shared" si="20"/>
        <v>382.29005645572994</v>
      </c>
      <c r="BC7" s="103">
        <f t="shared" si="20"/>
        <v>20366.978045536085</v>
      </c>
      <c r="BD7" s="103">
        <f t="shared" si="20"/>
        <v>450.69311753864196</v>
      </c>
      <c r="BE7" s="104">
        <f t="shared" si="20"/>
        <v>435.99868009705159</v>
      </c>
      <c r="BF7" s="119">
        <f t="shared" si="10"/>
        <v>155035.7110559617</v>
      </c>
      <c r="BG7" s="103">
        <f>+BG129</f>
        <v>421.34437864765613</v>
      </c>
      <c r="BH7" s="103">
        <f t="shared" ref="BH7:BR8" si="21">+BH129</f>
        <v>409.2169537996179</v>
      </c>
      <c r="BI7" s="103">
        <f t="shared" si="21"/>
        <v>393.74977598520962</v>
      </c>
      <c r="BJ7" s="103">
        <f t="shared" si="21"/>
        <v>379.30615217157424</v>
      </c>
      <c r="BK7" s="103">
        <f t="shared" si="21"/>
        <v>363.99749921330567</v>
      </c>
      <c r="BL7" s="103">
        <f t="shared" si="21"/>
        <v>348.75368862696627</v>
      </c>
      <c r="BM7" s="103">
        <f t="shared" si="21"/>
        <v>333.59366450768761</v>
      </c>
      <c r="BN7" s="103">
        <f t="shared" si="21"/>
        <v>318.53517740071186</v>
      </c>
      <c r="BO7" s="103">
        <f t="shared" si="21"/>
        <v>303.59463878968575</v>
      </c>
      <c r="BP7" s="103">
        <f t="shared" si="21"/>
        <v>288.78698635331767</v>
      </c>
      <c r="BQ7" s="103">
        <f t="shared" si="21"/>
        <v>275.85056107520722</v>
      </c>
      <c r="BR7" s="104">
        <f t="shared" si="21"/>
        <v>78771.276756099527</v>
      </c>
      <c r="BS7" s="119">
        <f t="shared" si="11"/>
        <v>82608.006232670465</v>
      </c>
      <c r="BT7" s="276">
        <f>+BT129</f>
        <v>330778.76319528656</v>
      </c>
      <c r="BU7" s="159">
        <f t="shared" ref="BU7:BU12" si="22">+F7+S7+AF7+AS7+BF7+BS7+BT7</f>
        <v>655002.5725370252</v>
      </c>
      <c r="BV7" s="160">
        <f t="shared" si="5"/>
        <v>655002.57253702509</v>
      </c>
      <c r="BW7" s="161">
        <f t="shared" si="6"/>
        <v>0</v>
      </c>
    </row>
    <row r="8" spans="1:76" s="54" customFormat="1" ht="19.899999999999999" customHeight="1">
      <c r="A8" s="651"/>
      <c r="B8" s="570"/>
      <c r="C8" s="579" t="s">
        <v>63</v>
      </c>
      <c r="D8" s="580"/>
      <c r="E8" s="93">
        <f t="shared" si="17"/>
        <v>506354.02981011418</v>
      </c>
      <c r="F8" s="94">
        <f t="shared" si="17"/>
        <v>0</v>
      </c>
      <c r="G8" s="95">
        <f t="shared" si="17"/>
        <v>-120.045915808814</v>
      </c>
      <c r="H8" s="95">
        <f t="shared" si="17"/>
        <v>303.87641176887001</v>
      </c>
      <c r="I8" s="95">
        <f t="shared" si="17"/>
        <v>-297.896571884053</v>
      </c>
      <c r="J8" s="95">
        <f t="shared" si="17"/>
        <v>-9.9071555421560298</v>
      </c>
      <c r="K8" s="95">
        <f t="shared" si="17"/>
        <v>30.4</v>
      </c>
      <c r="L8" s="95">
        <f t="shared" si="17"/>
        <v>88.969388530892999</v>
      </c>
      <c r="M8" s="95">
        <f t="shared" si="17"/>
        <v>99.133653049455859</v>
      </c>
      <c r="N8" s="95">
        <f t="shared" si="17"/>
        <v>0</v>
      </c>
      <c r="O8" s="95">
        <f t="shared" si="17"/>
        <v>510</v>
      </c>
      <c r="P8" s="95">
        <f t="shared" si="17"/>
        <v>3900</v>
      </c>
      <c r="Q8" s="95">
        <f t="shared" si="17"/>
        <v>3900</v>
      </c>
      <c r="R8" s="96">
        <f t="shared" si="17"/>
        <v>70</v>
      </c>
      <c r="S8" s="112">
        <f t="shared" si="7"/>
        <v>8474.5298101141962</v>
      </c>
      <c r="T8" s="95">
        <f>+T130</f>
        <v>0</v>
      </c>
      <c r="U8" s="95">
        <f t="shared" si="18"/>
        <v>0</v>
      </c>
      <c r="V8" s="95">
        <f t="shared" si="18"/>
        <v>0</v>
      </c>
      <c r="W8" s="95">
        <f t="shared" si="18"/>
        <v>62400</v>
      </c>
      <c r="X8" s="95">
        <f t="shared" si="18"/>
        <v>0</v>
      </c>
      <c r="Y8" s="95">
        <f t="shared" si="18"/>
        <v>7800</v>
      </c>
      <c r="Z8" s="95">
        <f t="shared" si="18"/>
        <v>0</v>
      </c>
      <c r="AA8" s="95">
        <f t="shared" si="18"/>
        <v>0</v>
      </c>
      <c r="AB8" s="95">
        <f t="shared" si="18"/>
        <v>0</v>
      </c>
      <c r="AC8" s="95">
        <f t="shared" si="18"/>
        <v>0</v>
      </c>
      <c r="AD8" s="95">
        <f t="shared" si="18"/>
        <v>0</v>
      </c>
      <c r="AE8" s="96">
        <f t="shared" si="18"/>
        <v>0</v>
      </c>
      <c r="AF8" s="112">
        <f t="shared" si="8"/>
        <v>70200</v>
      </c>
      <c r="AG8" s="95">
        <f>+AG130</f>
        <v>300</v>
      </c>
      <c r="AH8" s="95">
        <f t="shared" si="19"/>
        <v>300</v>
      </c>
      <c r="AI8" s="95">
        <f t="shared" si="19"/>
        <v>300</v>
      </c>
      <c r="AJ8" s="95">
        <f t="shared" si="19"/>
        <v>300</v>
      </c>
      <c r="AK8" s="95">
        <f t="shared" si="19"/>
        <v>300</v>
      </c>
      <c r="AL8" s="95">
        <f t="shared" si="19"/>
        <v>300</v>
      </c>
      <c r="AM8" s="95">
        <f t="shared" si="19"/>
        <v>300</v>
      </c>
      <c r="AN8" s="95">
        <f t="shared" si="19"/>
        <v>300</v>
      </c>
      <c r="AO8" s="95">
        <f t="shared" si="19"/>
        <v>300</v>
      </c>
      <c r="AP8" s="95">
        <f t="shared" si="19"/>
        <v>300</v>
      </c>
      <c r="AQ8" s="95">
        <f t="shared" si="19"/>
        <v>300</v>
      </c>
      <c r="AR8" s="96">
        <f t="shared" si="19"/>
        <v>23679.5</v>
      </c>
      <c r="AS8" s="112">
        <f t="shared" si="9"/>
        <v>26979.5</v>
      </c>
      <c r="AT8" s="95">
        <f>+AT130</f>
        <v>800</v>
      </c>
      <c r="AU8" s="95">
        <f t="shared" si="20"/>
        <v>1300</v>
      </c>
      <c r="AV8" s="95">
        <f t="shared" si="20"/>
        <v>1300</v>
      </c>
      <c r="AW8" s="95">
        <f t="shared" si="20"/>
        <v>1300</v>
      </c>
      <c r="AX8" s="95">
        <f t="shared" si="20"/>
        <v>1300</v>
      </c>
      <c r="AY8" s="95">
        <f t="shared" si="20"/>
        <v>112600</v>
      </c>
      <c r="AZ8" s="95">
        <f t="shared" si="20"/>
        <v>2600</v>
      </c>
      <c r="BA8" s="95">
        <f t="shared" si="20"/>
        <v>2600</v>
      </c>
      <c r="BB8" s="95">
        <f t="shared" si="20"/>
        <v>2600</v>
      </c>
      <c r="BC8" s="95">
        <f t="shared" si="20"/>
        <v>2800</v>
      </c>
      <c r="BD8" s="95">
        <f t="shared" si="20"/>
        <v>2800</v>
      </c>
      <c r="BE8" s="96">
        <f t="shared" si="20"/>
        <v>2800</v>
      </c>
      <c r="BF8" s="112">
        <f t="shared" si="10"/>
        <v>134800</v>
      </c>
      <c r="BG8" s="95">
        <f>+BG130</f>
        <v>2300</v>
      </c>
      <c r="BH8" s="95">
        <f t="shared" si="21"/>
        <v>2800</v>
      </c>
      <c r="BI8" s="95">
        <f t="shared" si="21"/>
        <v>2800</v>
      </c>
      <c r="BJ8" s="95">
        <f t="shared" si="21"/>
        <v>2800</v>
      </c>
      <c r="BK8" s="95">
        <f t="shared" si="21"/>
        <v>2800</v>
      </c>
      <c r="BL8" s="95">
        <f t="shared" si="21"/>
        <v>2800</v>
      </c>
      <c r="BM8" s="95">
        <f t="shared" si="21"/>
        <v>2800</v>
      </c>
      <c r="BN8" s="95">
        <f t="shared" si="21"/>
        <v>2800</v>
      </c>
      <c r="BO8" s="95">
        <f t="shared" si="21"/>
        <v>2800</v>
      </c>
      <c r="BP8" s="95">
        <f t="shared" si="21"/>
        <v>2800</v>
      </c>
      <c r="BQ8" s="95">
        <f t="shared" si="21"/>
        <v>2800</v>
      </c>
      <c r="BR8" s="96">
        <f t="shared" si="21"/>
        <v>2800</v>
      </c>
      <c r="BS8" s="112">
        <f t="shared" si="11"/>
        <v>33100</v>
      </c>
      <c r="BT8" s="205">
        <f>+BT130</f>
        <v>232800</v>
      </c>
      <c r="BU8" s="98">
        <f t="shared" si="22"/>
        <v>506354.02981011418</v>
      </c>
      <c r="BV8" s="99">
        <f t="shared" si="5"/>
        <v>506354.02981011418</v>
      </c>
      <c r="BW8" s="100">
        <f t="shared" si="6"/>
        <v>0</v>
      </c>
      <c r="BX8" s="64">
        <f>+BU8/BU7</f>
        <v>0.7730565512878067</v>
      </c>
    </row>
    <row r="9" spans="1:76" s="54" customFormat="1" ht="19.899999999999999" customHeight="1">
      <c r="A9" s="651"/>
      <c r="B9" s="570"/>
      <c r="C9" s="577" t="s">
        <v>11</v>
      </c>
      <c r="D9" s="578"/>
      <c r="E9" s="113">
        <f>+E7-E8</f>
        <v>148648.54272691091</v>
      </c>
      <c r="F9" s="114"/>
      <c r="G9" s="115">
        <f t="shared" ref="G9:R9" si="23">+G7-G8</f>
        <v>387.04591580881402</v>
      </c>
      <c r="H9" s="115">
        <f t="shared" si="23"/>
        <v>-273.87641176887001</v>
      </c>
      <c r="I9" s="115">
        <f t="shared" si="23"/>
        <v>329.58700779470593</v>
      </c>
      <c r="J9" s="115">
        <f t="shared" si="23"/>
        <v>40.725721463943728</v>
      </c>
      <c r="K9" s="115">
        <f t="shared" si="23"/>
        <v>-2.9122520171673791</v>
      </c>
      <c r="L9" s="115">
        <f t="shared" si="23"/>
        <v>-65.366411698236448</v>
      </c>
      <c r="M9" s="115">
        <f t="shared" si="23"/>
        <v>626.08519244958643</v>
      </c>
      <c r="N9" s="115">
        <f t="shared" si="23"/>
        <v>23.04250690810747</v>
      </c>
      <c r="O9" s="115">
        <f t="shared" si="23"/>
        <v>-486.31261368921122</v>
      </c>
      <c r="P9" s="115">
        <f t="shared" si="23"/>
        <v>-3876.9574930918925</v>
      </c>
      <c r="Q9" s="115">
        <f t="shared" si="23"/>
        <v>-3876.3431124698691</v>
      </c>
      <c r="R9" s="116">
        <f t="shared" si="23"/>
        <v>-46.95749309189253</v>
      </c>
      <c r="S9" s="117">
        <f t="shared" si="7"/>
        <v>-7222.2394434019816</v>
      </c>
      <c r="T9" s="118">
        <f t="shared" ref="T9:AE9" si="24">+T7-T8</f>
        <v>76.180337331270124</v>
      </c>
      <c r="U9" s="115">
        <f t="shared" si="24"/>
        <v>196.11078778289985</v>
      </c>
      <c r="V9" s="115">
        <f t="shared" si="24"/>
        <v>319.85732205488927</v>
      </c>
      <c r="W9" s="115">
        <f t="shared" si="24"/>
        <v>-61923.931030359614</v>
      </c>
      <c r="X9" s="115">
        <f t="shared" si="24"/>
        <v>170.16604923811806</v>
      </c>
      <c r="Y9" s="115">
        <f t="shared" si="24"/>
        <v>-7631.754222925314</v>
      </c>
      <c r="Z9" s="115">
        <f t="shared" si="24"/>
        <v>131.54483564352648</v>
      </c>
      <c r="AA9" s="115">
        <f t="shared" si="24"/>
        <v>130.39586236983538</v>
      </c>
      <c r="AB9" s="115">
        <f t="shared" si="24"/>
        <v>132.07935851956111</v>
      </c>
      <c r="AC9" s="115">
        <f t="shared" si="24"/>
        <v>134.80416081212661</v>
      </c>
      <c r="AD9" s="115">
        <f t="shared" si="24"/>
        <v>133.38688631999702</v>
      </c>
      <c r="AE9" s="116">
        <f t="shared" si="24"/>
        <v>30131.007640788393</v>
      </c>
      <c r="AF9" s="117">
        <f t="shared" si="8"/>
        <v>-38000.152012424296</v>
      </c>
      <c r="AG9" s="118">
        <f t="shared" ref="AG9:AR9" si="25">+AG7-AG8</f>
        <v>-19.073643754290686</v>
      </c>
      <c r="AH9" s="115">
        <f t="shared" si="25"/>
        <v>-20.438577823692299</v>
      </c>
      <c r="AI9" s="115">
        <f t="shared" si="25"/>
        <v>-25.62901533914453</v>
      </c>
      <c r="AJ9" s="115">
        <f t="shared" si="25"/>
        <v>-29.105703292063595</v>
      </c>
      <c r="AK9" s="115">
        <f t="shared" si="25"/>
        <v>-34.745761640056458</v>
      </c>
      <c r="AL9" s="115">
        <f t="shared" si="25"/>
        <v>-38.6441179687925</v>
      </c>
      <c r="AM9" s="115">
        <f t="shared" si="25"/>
        <v>-38.724724461173253</v>
      </c>
      <c r="AN9" s="115">
        <f t="shared" si="25"/>
        <v>-44.899842626223403</v>
      </c>
      <c r="AO9" s="115">
        <f t="shared" si="25"/>
        <v>-49.280135002476214</v>
      </c>
      <c r="AP9" s="115">
        <f t="shared" si="25"/>
        <v>-50.785816661752705</v>
      </c>
      <c r="AQ9" s="115">
        <f t="shared" si="25"/>
        <v>-57.980870528147079</v>
      </c>
      <c r="AR9" s="116">
        <f t="shared" si="25"/>
        <v>26557.761907916305</v>
      </c>
      <c r="AS9" s="117">
        <f t="shared" si="9"/>
        <v>26148.453698818492</v>
      </c>
      <c r="AT9" s="118">
        <f t="shared" ref="AT9:BE9" si="26">+AT7-AT8</f>
        <v>-432.23612476068621</v>
      </c>
      <c r="AU9" s="115">
        <f t="shared" si="26"/>
        <v>-937.74272162261059</v>
      </c>
      <c r="AV9" s="115">
        <f t="shared" si="26"/>
        <v>-946.59843996049017</v>
      </c>
      <c r="AW9" s="115">
        <f t="shared" si="26"/>
        <v>-955.59061973755001</v>
      </c>
      <c r="AX9" s="115">
        <f t="shared" si="26"/>
        <v>99035.307607085255</v>
      </c>
      <c r="AY9" s="115">
        <f t="shared" si="26"/>
        <v>-81773.87623672995</v>
      </c>
      <c r="AZ9" s="115">
        <f t="shared" si="26"/>
        <v>-2187.1141964333083</v>
      </c>
      <c r="BA9" s="115">
        <f t="shared" si="26"/>
        <v>-2202.3981115064885</v>
      </c>
      <c r="BB9" s="115">
        <f t="shared" si="26"/>
        <v>-2217.7099435442701</v>
      </c>
      <c r="BC9" s="115">
        <f t="shared" si="26"/>
        <v>17566.978045536085</v>
      </c>
      <c r="BD9" s="115">
        <f t="shared" si="26"/>
        <v>-2349.3068824613579</v>
      </c>
      <c r="BE9" s="116">
        <f t="shared" si="26"/>
        <v>-2364.0013199029486</v>
      </c>
      <c r="BF9" s="117">
        <f t="shared" si="10"/>
        <v>20235.711055961685</v>
      </c>
      <c r="BG9" s="118">
        <f t="shared" ref="BG9:BR9" si="27">+BG7-BG8</f>
        <v>-1878.6556213523438</v>
      </c>
      <c r="BH9" s="115">
        <f t="shared" si="27"/>
        <v>-2390.7830462003822</v>
      </c>
      <c r="BI9" s="115">
        <f t="shared" si="27"/>
        <v>-2406.2502240147905</v>
      </c>
      <c r="BJ9" s="115">
        <f t="shared" si="27"/>
        <v>-2420.6938478284255</v>
      </c>
      <c r="BK9" s="115">
        <f t="shared" si="27"/>
        <v>-2436.0025007866943</v>
      </c>
      <c r="BL9" s="115">
        <f t="shared" si="27"/>
        <v>-2451.2463113730337</v>
      </c>
      <c r="BM9" s="115">
        <f t="shared" si="27"/>
        <v>-2466.4063354923123</v>
      </c>
      <c r="BN9" s="115">
        <f t="shared" si="27"/>
        <v>-2481.4648225992883</v>
      </c>
      <c r="BO9" s="115">
        <f t="shared" si="27"/>
        <v>-2496.4053612103144</v>
      </c>
      <c r="BP9" s="115">
        <f t="shared" si="27"/>
        <v>-2511.2130136466822</v>
      </c>
      <c r="BQ9" s="115">
        <f t="shared" si="27"/>
        <v>-2524.1494389247928</v>
      </c>
      <c r="BR9" s="116">
        <f t="shared" si="27"/>
        <v>75971.276756099527</v>
      </c>
      <c r="BS9" s="117">
        <f t="shared" si="11"/>
        <v>49508.006232670465</v>
      </c>
      <c r="BT9" s="275">
        <f>+BT7-BT8</f>
        <v>97978.763195286563</v>
      </c>
      <c r="BU9" s="98">
        <f t="shared" si="22"/>
        <v>148648.54272691094</v>
      </c>
      <c r="BV9" s="99">
        <f t="shared" si="5"/>
        <v>148648.54272691091</v>
      </c>
      <c r="BW9" s="100">
        <f t="shared" si="6"/>
        <v>0</v>
      </c>
    </row>
    <row r="10" spans="1:76" s="54" customFormat="1" ht="19.899999999999999" customHeight="1">
      <c r="A10" s="650" t="s">
        <v>103</v>
      </c>
      <c r="B10" s="652"/>
      <c r="C10" s="575" t="s">
        <v>62</v>
      </c>
      <c r="D10" s="576"/>
      <c r="E10" s="101">
        <f t="shared" ref="E10:R11" si="28">+E4+E7</f>
        <v>1149423.2791160261</v>
      </c>
      <c r="F10" s="102">
        <f t="shared" si="28"/>
        <v>29206.77281584169</v>
      </c>
      <c r="G10" s="103">
        <f t="shared" si="28"/>
        <v>2677.7997037403265</v>
      </c>
      <c r="H10" s="103">
        <f t="shared" si="28"/>
        <v>2615.0402174300257</v>
      </c>
      <c r="I10" s="103">
        <f t="shared" si="28"/>
        <v>1675.5555019759454</v>
      </c>
      <c r="J10" s="103">
        <f t="shared" si="28"/>
        <v>1126.4084969488611</v>
      </c>
      <c r="K10" s="103">
        <f t="shared" si="28"/>
        <v>966.26991278969956</v>
      </c>
      <c r="L10" s="103">
        <f t="shared" si="28"/>
        <v>2596.3374659970082</v>
      </c>
      <c r="M10" s="103">
        <f t="shared" si="28"/>
        <v>1834.8533992764417</v>
      </c>
      <c r="N10" s="103">
        <f t="shared" si="28"/>
        <v>1010.3024365882385</v>
      </c>
      <c r="O10" s="103">
        <f t="shared" si="28"/>
        <v>1136.8833568793395</v>
      </c>
      <c r="P10" s="103">
        <f t="shared" si="28"/>
        <v>1641.8207477057886</v>
      </c>
      <c r="Q10" s="103">
        <f t="shared" si="28"/>
        <v>1786.0230051043402</v>
      </c>
      <c r="R10" s="104">
        <f t="shared" si="28"/>
        <v>2253.6865572936226</v>
      </c>
      <c r="S10" s="119">
        <f t="shared" si="7"/>
        <v>21320.980801729638</v>
      </c>
      <c r="T10" s="103">
        <f t="shared" ref="T10:AE11" si="29">+T4+T7</f>
        <v>25018.520435707411</v>
      </c>
      <c r="U10" s="103">
        <f t="shared" si="29"/>
        <v>28331.342094908625</v>
      </c>
      <c r="V10" s="103">
        <f t="shared" si="29"/>
        <v>32640.541110941453</v>
      </c>
      <c r="W10" s="103">
        <f t="shared" si="29"/>
        <v>4745.0853806002697</v>
      </c>
      <c r="X10" s="103">
        <f t="shared" si="29"/>
        <v>3961.6735118655984</v>
      </c>
      <c r="Y10" s="103">
        <f t="shared" si="29"/>
        <v>4417.8302275362157</v>
      </c>
      <c r="Z10" s="103">
        <f t="shared" si="29"/>
        <v>3674.6901386196132</v>
      </c>
      <c r="AA10" s="103">
        <f t="shared" si="29"/>
        <v>4549.672814744873</v>
      </c>
      <c r="AB10" s="103">
        <f t="shared" si="29"/>
        <v>5301.3260690579491</v>
      </c>
      <c r="AC10" s="103">
        <f t="shared" si="29"/>
        <v>4736.0088794153162</v>
      </c>
      <c r="AD10" s="103">
        <f t="shared" si="29"/>
        <v>4702.8531355683726</v>
      </c>
      <c r="AE10" s="104">
        <f t="shared" si="29"/>
        <v>36337.675738952021</v>
      </c>
      <c r="AF10" s="119">
        <f t="shared" si="8"/>
        <v>158417.2195379177</v>
      </c>
      <c r="AG10" s="103">
        <f t="shared" ref="AG10:AR11" si="30">+AG4+AG7</f>
        <v>6197.1757484800482</v>
      </c>
      <c r="AH10" s="103">
        <f t="shared" si="30"/>
        <v>5462.5711464444566</v>
      </c>
      <c r="AI10" s="103">
        <f t="shared" si="30"/>
        <v>6130.3351085755421</v>
      </c>
      <c r="AJ10" s="103">
        <f t="shared" si="30"/>
        <v>6754.0166776120241</v>
      </c>
      <c r="AK10" s="103">
        <f t="shared" si="30"/>
        <v>7324.6892240744155</v>
      </c>
      <c r="AL10" s="103">
        <f t="shared" si="30"/>
        <v>8641.6176901489926</v>
      </c>
      <c r="AM10" s="103">
        <f t="shared" si="30"/>
        <v>8302.6847323204947</v>
      </c>
      <c r="AN10" s="103">
        <f t="shared" si="30"/>
        <v>8694.2651993631389</v>
      </c>
      <c r="AO10" s="103">
        <f t="shared" si="30"/>
        <v>9621.0459346426942</v>
      </c>
      <c r="AP10" s="103">
        <f t="shared" si="30"/>
        <v>9281.440409212255</v>
      </c>
      <c r="AQ10" s="103">
        <f t="shared" si="30"/>
        <v>9678.0610987816635</v>
      </c>
      <c r="AR10" s="104">
        <f t="shared" si="30"/>
        <v>60685.783920942515</v>
      </c>
      <c r="AS10" s="119">
        <f t="shared" si="9"/>
        <v>146773.68689059824</v>
      </c>
      <c r="AT10" s="103">
        <f t="shared" ref="AT10:BE11" si="31">+AT4+AT7</f>
        <v>10809.777377226415</v>
      </c>
      <c r="AU10" s="103">
        <f t="shared" si="31"/>
        <v>11185.041953629723</v>
      </c>
      <c r="AV10" s="103">
        <f t="shared" si="31"/>
        <v>11471.171347263651</v>
      </c>
      <c r="AW10" s="103">
        <f t="shared" si="31"/>
        <v>11669.003171492224</v>
      </c>
      <c r="AX10" s="103">
        <f t="shared" si="31"/>
        <v>111776.89906908451</v>
      </c>
      <c r="AY10" s="103">
        <f t="shared" si="31"/>
        <v>42293.944566351165</v>
      </c>
      <c r="AZ10" s="103">
        <f t="shared" si="31"/>
        <v>11815.956434810449</v>
      </c>
      <c r="BA10" s="103">
        <f t="shared" si="31"/>
        <v>11645.464165291523</v>
      </c>
      <c r="BB10" s="103">
        <f t="shared" si="31"/>
        <v>11385.73544260879</v>
      </c>
      <c r="BC10" s="103">
        <f t="shared" si="31"/>
        <v>31038.765905933593</v>
      </c>
      <c r="BD10" s="103">
        <f t="shared" si="31"/>
        <v>10706.253128456003</v>
      </c>
      <c r="BE10" s="104">
        <f t="shared" si="31"/>
        <v>10194.111739715441</v>
      </c>
      <c r="BF10" s="119">
        <f t="shared" si="10"/>
        <v>285992.12430186349</v>
      </c>
      <c r="BG10" s="103">
        <f t="shared" ref="BG10:BR11" si="32">+BG4+BG7</f>
        <v>9648.2607120547182</v>
      </c>
      <c r="BH10" s="103">
        <f t="shared" si="32"/>
        <v>9142.100980700101</v>
      </c>
      <c r="BI10" s="103">
        <f t="shared" si="32"/>
        <v>9003.7861553817384</v>
      </c>
      <c r="BJ10" s="103">
        <f t="shared" si="32"/>
        <v>8400.1348533762612</v>
      </c>
      <c r="BK10" s="103">
        <f t="shared" si="32"/>
        <v>7932.3921629124552</v>
      </c>
      <c r="BL10" s="103">
        <f t="shared" si="32"/>
        <v>7405.1306883500802</v>
      </c>
      <c r="BM10" s="103">
        <f t="shared" si="32"/>
        <v>6822.491838953114</v>
      </c>
      <c r="BN10" s="103">
        <f t="shared" si="32"/>
        <v>6189.0623710957452</v>
      </c>
      <c r="BO10" s="103">
        <f t="shared" si="32"/>
        <v>5509.8374558023779</v>
      </c>
      <c r="BP10" s="103">
        <f t="shared" si="32"/>
        <v>5135.1804579598938</v>
      </c>
      <c r="BQ10" s="103">
        <f t="shared" si="32"/>
        <v>4289.8762604748463</v>
      </c>
      <c r="BR10" s="104">
        <f t="shared" si="32"/>
        <v>82619.340255225601</v>
      </c>
      <c r="BS10" s="119">
        <f t="shared" si="11"/>
        <v>162097.59419228695</v>
      </c>
      <c r="BT10" s="276">
        <f>+BT4+BT7</f>
        <v>347736.76319528656</v>
      </c>
      <c r="BU10" s="90">
        <f t="shared" si="22"/>
        <v>1151545.1417355242</v>
      </c>
      <c r="BV10" s="91">
        <f t="shared" si="5"/>
        <v>1149423.2791160261</v>
      </c>
      <c r="BW10" s="92">
        <f t="shared" si="6"/>
        <v>-2121.8626194980461</v>
      </c>
    </row>
    <row r="11" spans="1:76" s="54" customFormat="1" ht="19.899999999999999" customHeight="1">
      <c r="A11" s="651"/>
      <c r="B11" s="651"/>
      <c r="C11" s="579" t="s">
        <v>63</v>
      </c>
      <c r="D11" s="580"/>
      <c r="E11" s="93">
        <f t="shared" si="28"/>
        <v>940108.20568484976</v>
      </c>
      <c r="F11" s="94">
        <f t="shared" si="28"/>
        <v>21391.48893720295</v>
      </c>
      <c r="G11" s="95">
        <f t="shared" si="28"/>
        <v>1764.8660869426906</v>
      </c>
      <c r="H11" s="95">
        <f t="shared" si="28"/>
        <v>1889.2269507713224</v>
      </c>
      <c r="I11" s="95">
        <f t="shared" si="28"/>
        <v>1738.4785335712731</v>
      </c>
      <c r="J11" s="95">
        <f t="shared" si="28"/>
        <v>1144.9061863143113</v>
      </c>
      <c r="K11" s="95">
        <f t="shared" si="28"/>
        <v>2092.5812125751077</v>
      </c>
      <c r="L11" s="95">
        <f t="shared" si="28"/>
        <v>1214.7682576054817</v>
      </c>
      <c r="M11" s="95">
        <f t="shared" si="28"/>
        <v>1582.2964944625228</v>
      </c>
      <c r="N11" s="95">
        <f t="shared" si="28"/>
        <v>1355.1468272740842</v>
      </c>
      <c r="O11" s="95">
        <f t="shared" si="28"/>
        <v>2317.073808430654</v>
      </c>
      <c r="P11" s="95">
        <f t="shared" si="28"/>
        <v>5557.3494839552386</v>
      </c>
      <c r="Q11" s="95">
        <f t="shared" si="28"/>
        <v>5529.0055016001079</v>
      </c>
      <c r="R11" s="96">
        <f t="shared" si="28"/>
        <v>1478.2139919728197</v>
      </c>
      <c r="S11" s="112">
        <f t="shared" si="7"/>
        <v>27663.913335475612</v>
      </c>
      <c r="T11" s="95">
        <f t="shared" si="29"/>
        <v>1032.4303453814659</v>
      </c>
      <c r="U11" s="95">
        <f t="shared" si="29"/>
        <v>3582.0352405107328</v>
      </c>
      <c r="V11" s="95">
        <f t="shared" si="29"/>
        <v>1398.2115938417837</v>
      </c>
      <c r="W11" s="95">
        <f t="shared" si="29"/>
        <v>65925.669461054189</v>
      </c>
      <c r="X11" s="95">
        <f t="shared" si="29"/>
        <v>4345.7279445519434</v>
      </c>
      <c r="Y11" s="95">
        <f t="shared" si="29"/>
        <v>11758.018513768184</v>
      </c>
      <c r="Z11" s="95">
        <f t="shared" si="29"/>
        <v>3904.4847933578344</v>
      </c>
      <c r="AA11" s="95">
        <f t="shared" si="29"/>
        <v>4212.973584799729</v>
      </c>
      <c r="AB11" s="95">
        <f t="shared" si="29"/>
        <v>4756.3656105448499</v>
      </c>
      <c r="AC11" s="95">
        <f t="shared" si="29"/>
        <v>5019.4637778412316</v>
      </c>
      <c r="AD11" s="95">
        <f t="shared" si="29"/>
        <v>5178.7022418887527</v>
      </c>
      <c r="AE11" s="96">
        <f t="shared" si="29"/>
        <v>6353.9326474891777</v>
      </c>
      <c r="AF11" s="112">
        <f t="shared" si="8"/>
        <v>117468.01575502983</v>
      </c>
      <c r="AG11" s="95">
        <f t="shared" si="30"/>
        <v>6470.1625623603695</v>
      </c>
      <c r="AH11" s="95">
        <f t="shared" si="30"/>
        <v>6500.6586495349075</v>
      </c>
      <c r="AI11" s="95">
        <f t="shared" si="30"/>
        <v>6825.672699159355</v>
      </c>
      <c r="AJ11" s="95">
        <f t="shared" si="30"/>
        <v>7882.0283472105921</v>
      </c>
      <c r="AK11" s="95">
        <f t="shared" si="30"/>
        <v>8104.3604898216263</v>
      </c>
      <c r="AL11" s="95">
        <f t="shared" si="30"/>
        <v>8657.738988625144</v>
      </c>
      <c r="AM11" s="95">
        <f t="shared" si="30"/>
        <v>9537.7083653305235</v>
      </c>
      <c r="AN11" s="95">
        <f t="shared" si="30"/>
        <v>9570.3236746136972</v>
      </c>
      <c r="AO11" s="95">
        <f t="shared" si="30"/>
        <v>9922.1822664979918</v>
      </c>
      <c r="AP11" s="95">
        <f t="shared" si="30"/>
        <v>10720.451182491131</v>
      </c>
      <c r="AQ11" s="95">
        <f t="shared" si="30"/>
        <v>10629.50540989167</v>
      </c>
      <c r="AR11" s="96">
        <f t="shared" si="30"/>
        <v>34585.390456340348</v>
      </c>
      <c r="AS11" s="112">
        <f t="shared" si="9"/>
        <v>129406.18309187736</v>
      </c>
      <c r="AT11" s="95">
        <f t="shared" si="31"/>
        <v>11911.096749611293</v>
      </c>
      <c r="AU11" s="95">
        <f t="shared" si="31"/>
        <v>12956.185621205605</v>
      </c>
      <c r="AV11" s="95">
        <f t="shared" si="31"/>
        <v>13269.607302675648</v>
      </c>
      <c r="AW11" s="95">
        <f t="shared" si="31"/>
        <v>13489.357806931634</v>
      </c>
      <c r="AX11" s="95">
        <f t="shared" si="31"/>
        <v>13613.667832124205</v>
      </c>
      <c r="AY11" s="95">
        <f t="shared" si="31"/>
        <v>124941.53650702367</v>
      </c>
      <c r="AZ11" s="95">
        <f t="shared" si="31"/>
        <v>14872.739449446488</v>
      </c>
      <c r="BA11" s="95">
        <f t="shared" si="31"/>
        <v>14707.830572847886</v>
      </c>
      <c r="BB11" s="95">
        <f t="shared" si="31"/>
        <v>14448.137626537626</v>
      </c>
      <c r="BC11" s="95">
        <f t="shared" si="31"/>
        <v>14295.75150542235</v>
      </c>
      <c r="BD11" s="95">
        <f t="shared" si="31"/>
        <v>13645.140616774066</v>
      </c>
      <c r="BE11" s="96">
        <f t="shared" si="31"/>
        <v>13124.972029594535</v>
      </c>
      <c r="BF11" s="112">
        <f t="shared" si="10"/>
        <v>275276.02362019505</v>
      </c>
      <c r="BG11" s="95">
        <f t="shared" si="32"/>
        <v>12073.745681662362</v>
      </c>
      <c r="BH11" s="95">
        <f t="shared" si="32"/>
        <v>12235.536543581762</v>
      </c>
      <c r="BI11" s="95">
        <f t="shared" si="32"/>
        <v>11892.510918108812</v>
      </c>
      <c r="BJ11" s="95">
        <f t="shared" si="32"/>
        <v>11461.86544502998</v>
      </c>
      <c r="BK11" s="95">
        <f t="shared" si="32"/>
        <v>10981.154280180346</v>
      </c>
      <c r="BL11" s="95">
        <f t="shared" si="32"/>
        <v>10437.135512205808</v>
      </c>
      <c r="BM11" s="95">
        <f t="shared" si="32"/>
        <v>9834.1892603482665</v>
      </c>
      <c r="BN11" s="95">
        <f t="shared" si="32"/>
        <v>9177.1700933009724</v>
      </c>
      <c r="BO11" s="95">
        <f t="shared" si="32"/>
        <v>8471.3679430759839</v>
      </c>
      <c r="BP11" s="95">
        <f t="shared" si="32"/>
        <v>7722.4655135819876</v>
      </c>
      <c r="BQ11" s="95">
        <f t="shared" si="32"/>
        <v>7204.637255612115</v>
      </c>
      <c r="BR11" s="96">
        <f t="shared" si="32"/>
        <v>6922.0524178214564</v>
      </c>
      <c r="BS11" s="112">
        <f t="shared" si="11"/>
        <v>118413.83086450986</v>
      </c>
      <c r="BT11" s="205">
        <f>+BT5+BT8</f>
        <v>250510.1545</v>
      </c>
      <c r="BU11" s="98">
        <f t="shared" si="22"/>
        <v>940129.61010429054</v>
      </c>
      <c r="BV11" s="99">
        <f t="shared" si="5"/>
        <v>940108.20568484976</v>
      </c>
      <c r="BW11" s="100">
        <f t="shared" si="6"/>
        <v>-21.40441944077611</v>
      </c>
      <c r="BX11" s="64">
        <f>+BU11/BU10</f>
        <v>0.81640708299754217</v>
      </c>
    </row>
    <row r="12" spans="1:76" s="54" customFormat="1" ht="19.899999999999999" customHeight="1">
      <c r="A12" s="651"/>
      <c r="B12" s="651"/>
      <c r="C12" s="575" t="s">
        <v>11</v>
      </c>
      <c r="D12" s="576"/>
      <c r="E12" s="101">
        <f>+E10-E11</f>
        <v>209315.07343117637</v>
      </c>
      <c r="F12" s="102"/>
      <c r="G12" s="103">
        <f t="shared" ref="G12:R12" si="33">+G10-G11</f>
        <v>912.93361679763598</v>
      </c>
      <c r="H12" s="103">
        <f t="shared" si="33"/>
        <v>725.81326665870324</v>
      </c>
      <c r="I12" s="103">
        <f t="shared" si="33"/>
        <v>-62.923031595327757</v>
      </c>
      <c r="J12" s="103">
        <f t="shared" si="33"/>
        <v>-18.497689365450242</v>
      </c>
      <c r="K12" s="103">
        <f t="shared" si="33"/>
        <v>-1126.3112997854082</v>
      </c>
      <c r="L12" s="103">
        <f t="shared" si="33"/>
        <v>1381.5692083915264</v>
      </c>
      <c r="M12" s="103">
        <f t="shared" si="33"/>
        <v>252.55690481391889</v>
      </c>
      <c r="N12" s="103">
        <f t="shared" si="33"/>
        <v>-344.84439068584572</v>
      </c>
      <c r="O12" s="103">
        <f t="shared" si="33"/>
        <v>-1180.1904515513145</v>
      </c>
      <c r="P12" s="103">
        <f t="shared" si="33"/>
        <v>-3915.52873624945</v>
      </c>
      <c r="Q12" s="103">
        <f t="shared" si="33"/>
        <v>-3742.9824964957679</v>
      </c>
      <c r="R12" s="104">
        <f t="shared" si="33"/>
        <v>775.47256532080291</v>
      </c>
      <c r="S12" s="119">
        <f t="shared" si="7"/>
        <v>-6342.9325337459759</v>
      </c>
      <c r="T12" s="105">
        <f t="shared" ref="T12:AE12" si="34">+T10-T11</f>
        <v>23986.090090325946</v>
      </c>
      <c r="U12" s="103">
        <f t="shared" si="34"/>
        <v>24749.306854397892</v>
      </c>
      <c r="V12" s="103">
        <f t="shared" si="34"/>
        <v>31242.329517099668</v>
      </c>
      <c r="W12" s="103">
        <f t="shared" si="34"/>
        <v>-61180.584080453918</v>
      </c>
      <c r="X12" s="103">
        <f t="shared" si="34"/>
        <v>-384.05443268634508</v>
      </c>
      <c r="Y12" s="103">
        <f t="shared" si="34"/>
        <v>-7340.188286231968</v>
      </c>
      <c r="Z12" s="103">
        <f t="shared" si="34"/>
        <v>-229.7946547382212</v>
      </c>
      <c r="AA12" s="103">
        <f t="shared" si="34"/>
        <v>336.699229945144</v>
      </c>
      <c r="AB12" s="103">
        <f t="shared" si="34"/>
        <v>544.96045851309918</v>
      </c>
      <c r="AC12" s="103">
        <f t="shared" si="34"/>
        <v>-283.45489842591542</v>
      </c>
      <c r="AD12" s="103">
        <f t="shared" si="34"/>
        <v>-475.84910632038009</v>
      </c>
      <c r="AE12" s="104">
        <f t="shared" si="34"/>
        <v>29983.743091462842</v>
      </c>
      <c r="AF12" s="119">
        <f t="shared" si="8"/>
        <v>40949.203782887838</v>
      </c>
      <c r="AG12" s="105">
        <f t="shared" ref="AG12:AR12" si="35">+AG10-AG11</f>
        <v>-272.98681388032128</v>
      </c>
      <c r="AH12" s="103">
        <f t="shared" si="35"/>
        <v>-1038.0875030904508</v>
      </c>
      <c r="AI12" s="103">
        <f t="shared" si="35"/>
        <v>-695.33759058381293</v>
      </c>
      <c r="AJ12" s="103">
        <f t="shared" si="35"/>
        <v>-1128.011669598568</v>
      </c>
      <c r="AK12" s="103">
        <f t="shared" si="35"/>
        <v>-779.67126574721078</v>
      </c>
      <c r="AL12" s="103">
        <f t="shared" si="35"/>
        <v>-16.121298476151424</v>
      </c>
      <c r="AM12" s="103">
        <f t="shared" si="35"/>
        <v>-1235.0236330100288</v>
      </c>
      <c r="AN12" s="103">
        <f t="shared" si="35"/>
        <v>-876.05847525055833</v>
      </c>
      <c r="AO12" s="103">
        <f t="shared" si="35"/>
        <v>-301.13633185529761</v>
      </c>
      <c r="AP12" s="103">
        <f t="shared" si="35"/>
        <v>-1439.0107732788765</v>
      </c>
      <c r="AQ12" s="103">
        <f t="shared" si="35"/>
        <v>-951.44431111000631</v>
      </c>
      <c r="AR12" s="104">
        <f t="shared" si="35"/>
        <v>26100.393464602166</v>
      </c>
      <c r="AS12" s="119">
        <f t="shared" si="9"/>
        <v>17367.503798720885</v>
      </c>
      <c r="AT12" s="105">
        <f t="shared" ref="AT12:BE12" si="36">+AT10-AT11</f>
        <v>-1101.3193723848781</v>
      </c>
      <c r="AU12" s="103">
        <f t="shared" si="36"/>
        <v>-1771.1436675758814</v>
      </c>
      <c r="AV12" s="103">
        <f t="shared" si="36"/>
        <v>-1798.4359554119965</v>
      </c>
      <c r="AW12" s="103">
        <f t="shared" si="36"/>
        <v>-1820.3546354394093</v>
      </c>
      <c r="AX12" s="103">
        <f t="shared" si="36"/>
        <v>98163.231236960302</v>
      </c>
      <c r="AY12" s="103">
        <f t="shared" si="36"/>
        <v>-82647.591940672515</v>
      </c>
      <c r="AZ12" s="103">
        <f t="shared" si="36"/>
        <v>-3056.7830146360393</v>
      </c>
      <c r="BA12" s="103">
        <f t="shared" si="36"/>
        <v>-3062.3664075563629</v>
      </c>
      <c r="BB12" s="103">
        <f t="shared" si="36"/>
        <v>-3062.4021839288362</v>
      </c>
      <c r="BC12" s="103">
        <f t="shared" si="36"/>
        <v>16743.014400511245</v>
      </c>
      <c r="BD12" s="103">
        <f t="shared" si="36"/>
        <v>-2938.8874883180633</v>
      </c>
      <c r="BE12" s="104">
        <f t="shared" si="36"/>
        <v>-2930.8602898790941</v>
      </c>
      <c r="BF12" s="119">
        <f t="shared" si="10"/>
        <v>10716.100681668471</v>
      </c>
      <c r="BG12" s="105">
        <f t="shared" ref="BG12:BR12" si="37">+BG10-BG11</f>
        <v>-2425.4849696076435</v>
      </c>
      <c r="BH12" s="103">
        <f t="shared" si="37"/>
        <v>-3093.4355628816611</v>
      </c>
      <c r="BI12" s="103">
        <f t="shared" si="37"/>
        <v>-2888.7247627270735</v>
      </c>
      <c r="BJ12" s="103">
        <f t="shared" si="37"/>
        <v>-3061.7305916537189</v>
      </c>
      <c r="BK12" s="103">
        <f t="shared" si="37"/>
        <v>-3048.762117267891</v>
      </c>
      <c r="BL12" s="103">
        <f t="shared" si="37"/>
        <v>-3032.0048238557283</v>
      </c>
      <c r="BM12" s="103">
        <f t="shared" si="37"/>
        <v>-3011.6974213951526</v>
      </c>
      <c r="BN12" s="103">
        <f t="shared" si="37"/>
        <v>-2988.1077222052272</v>
      </c>
      <c r="BO12" s="103">
        <f t="shared" si="37"/>
        <v>-2961.530487273606</v>
      </c>
      <c r="BP12" s="103">
        <f t="shared" si="37"/>
        <v>-2587.2850556220938</v>
      </c>
      <c r="BQ12" s="103">
        <f t="shared" si="37"/>
        <v>-2914.7609951372688</v>
      </c>
      <c r="BR12" s="104">
        <f t="shared" si="37"/>
        <v>75697.287837404147</v>
      </c>
      <c r="BS12" s="119">
        <f t="shared" si="11"/>
        <v>43683.76332777708</v>
      </c>
      <c r="BT12" s="276">
        <f>+BT10-BT11</f>
        <v>97226.608695286559</v>
      </c>
      <c r="BU12" s="98">
        <f t="shared" si="22"/>
        <v>203600.24775259488</v>
      </c>
      <c r="BV12" s="99">
        <f t="shared" si="5"/>
        <v>209315.07343117637</v>
      </c>
      <c r="BW12" s="100">
        <f t="shared" si="6"/>
        <v>5714.8256785814883</v>
      </c>
    </row>
    <row r="13" spans="1:76" s="54" customFormat="1" ht="19.899999999999999" customHeight="1">
      <c r="A13" s="653"/>
      <c r="B13" s="572"/>
      <c r="C13" s="581" t="s">
        <v>12</v>
      </c>
      <c r="D13" s="582"/>
      <c r="E13" s="243"/>
      <c r="F13" s="106">
        <v>21579</v>
      </c>
      <c r="G13" s="107">
        <f t="shared" ref="G13:R13" si="38">+F13+G12</f>
        <v>22491.933616797636</v>
      </c>
      <c r="H13" s="107">
        <f t="shared" si="38"/>
        <v>23217.746883456341</v>
      </c>
      <c r="I13" s="107">
        <f t="shared" si="38"/>
        <v>23154.823851861012</v>
      </c>
      <c r="J13" s="107">
        <f t="shared" si="38"/>
        <v>23136.326162495563</v>
      </c>
      <c r="K13" s="107">
        <f t="shared" si="38"/>
        <v>22010.014862710155</v>
      </c>
      <c r="L13" s="107">
        <f t="shared" si="38"/>
        <v>23391.584071101683</v>
      </c>
      <c r="M13" s="107">
        <f t="shared" si="38"/>
        <v>23644.140975915601</v>
      </c>
      <c r="N13" s="107">
        <f t="shared" si="38"/>
        <v>23299.296585229757</v>
      </c>
      <c r="O13" s="107">
        <f t="shared" si="38"/>
        <v>22119.106133678441</v>
      </c>
      <c r="P13" s="107">
        <f t="shared" si="38"/>
        <v>18203.577397428991</v>
      </c>
      <c r="Q13" s="107">
        <f t="shared" si="38"/>
        <v>14460.594900933223</v>
      </c>
      <c r="R13" s="108">
        <f t="shared" si="38"/>
        <v>15236.067466254026</v>
      </c>
      <c r="S13" s="109">
        <f>+R13</f>
        <v>15236.067466254026</v>
      </c>
      <c r="T13" s="110">
        <f t="shared" ref="T13:AE13" si="39">+S13+T12</f>
        <v>39222.157556579972</v>
      </c>
      <c r="U13" s="107">
        <f t="shared" si="39"/>
        <v>63971.46441097786</v>
      </c>
      <c r="V13" s="107">
        <f t="shared" si="39"/>
        <v>95213.793928077532</v>
      </c>
      <c r="W13" s="107">
        <f t="shared" si="39"/>
        <v>34033.209847623613</v>
      </c>
      <c r="X13" s="107">
        <f t="shared" si="39"/>
        <v>33649.155414937268</v>
      </c>
      <c r="Y13" s="107">
        <f t="shared" si="39"/>
        <v>26308.967128705299</v>
      </c>
      <c r="Z13" s="107">
        <f t="shared" si="39"/>
        <v>26079.172473967079</v>
      </c>
      <c r="AA13" s="107">
        <f t="shared" si="39"/>
        <v>26415.871703912224</v>
      </c>
      <c r="AB13" s="107">
        <f t="shared" si="39"/>
        <v>26960.832162425322</v>
      </c>
      <c r="AC13" s="107">
        <f t="shared" si="39"/>
        <v>26677.377263999406</v>
      </c>
      <c r="AD13" s="107">
        <f t="shared" si="39"/>
        <v>26201.528157679026</v>
      </c>
      <c r="AE13" s="108">
        <f t="shared" si="39"/>
        <v>56185.271249141864</v>
      </c>
      <c r="AF13" s="109">
        <f>+AE13</f>
        <v>56185.271249141864</v>
      </c>
      <c r="AG13" s="110">
        <f t="shared" ref="AG13:AR13" si="40">+AF13+AG12</f>
        <v>55912.284435261543</v>
      </c>
      <c r="AH13" s="107">
        <f t="shared" si="40"/>
        <v>54874.196932171093</v>
      </c>
      <c r="AI13" s="107">
        <f t="shared" si="40"/>
        <v>54178.859341587282</v>
      </c>
      <c r="AJ13" s="107">
        <f t="shared" si="40"/>
        <v>53050.847671988711</v>
      </c>
      <c r="AK13" s="107">
        <f t="shared" si="40"/>
        <v>52271.176406241502</v>
      </c>
      <c r="AL13" s="107">
        <f t="shared" si="40"/>
        <v>52255.055107765351</v>
      </c>
      <c r="AM13" s="107">
        <f t="shared" si="40"/>
        <v>51020.03147475532</v>
      </c>
      <c r="AN13" s="107">
        <f t="shared" si="40"/>
        <v>50143.97299950476</v>
      </c>
      <c r="AO13" s="107">
        <f t="shared" si="40"/>
        <v>49842.836667649462</v>
      </c>
      <c r="AP13" s="107">
        <f t="shared" si="40"/>
        <v>48403.825894370588</v>
      </c>
      <c r="AQ13" s="107">
        <f t="shared" si="40"/>
        <v>47452.381583260583</v>
      </c>
      <c r="AR13" s="108">
        <f t="shared" si="40"/>
        <v>73552.775047862757</v>
      </c>
      <c r="AS13" s="109">
        <f>+AR13</f>
        <v>73552.775047862757</v>
      </c>
      <c r="AT13" s="110">
        <f t="shared" ref="AT13:BE13" si="41">+AS13+AT12</f>
        <v>72451.455675477875</v>
      </c>
      <c r="AU13" s="107">
        <f t="shared" si="41"/>
        <v>70680.312007901986</v>
      </c>
      <c r="AV13" s="107">
        <f t="shared" si="41"/>
        <v>68881.876052489984</v>
      </c>
      <c r="AW13" s="107">
        <f t="shared" si="41"/>
        <v>67061.521417050579</v>
      </c>
      <c r="AX13" s="107">
        <f t="shared" si="41"/>
        <v>165224.7526540109</v>
      </c>
      <c r="AY13" s="107">
        <f t="shared" si="41"/>
        <v>82577.16071333838</v>
      </c>
      <c r="AZ13" s="107">
        <f t="shared" si="41"/>
        <v>79520.377698702345</v>
      </c>
      <c r="BA13" s="107">
        <f t="shared" si="41"/>
        <v>76458.011291145987</v>
      </c>
      <c r="BB13" s="107">
        <f t="shared" si="41"/>
        <v>73395.609107217155</v>
      </c>
      <c r="BC13" s="107">
        <f t="shared" si="41"/>
        <v>90138.623507728393</v>
      </c>
      <c r="BD13" s="107">
        <f t="shared" si="41"/>
        <v>87199.736019410324</v>
      </c>
      <c r="BE13" s="107">
        <f t="shared" si="41"/>
        <v>84268.875729531224</v>
      </c>
      <c r="BF13" s="109">
        <f>+BE13</f>
        <v>84268.875729531224</v>
      </c>
      <c r="BG13" s="110">
        <f t="shared" ref="BG13:BT13" si="42">+BF13+BG12</f>
        <v>81843.390759923583</v>
      </c>
      <c r="BH13" s="107">
        <f t="shared" si="42"/>
        <v>78749.955197041927</v>
      </c>
      <c r="BI13" s="107">
        <f t="shared" si="42"/>
        <v>75861.230434314857</v>
      </c>
      <c r="BJ13" s="107">
        <f t="shared" si="42"/>
        <v>72799.499842661142</v>
      </c>
      <c r="BK13" s="107">
        <f t="shared" si="42"/>
        <v>69750.73772539325</v>
      </c>
      <c r="BL13" s="107">
        <f t="shared" si="42"/>
        <v>66718.732901537529</v>
      </c>
      <c r="BM13" s="107">
        <f t="shared" si="42"/>
        <v>63707.035480142375</v>
      </c>
      <c r="BN13" s="107">
        <f t="shared" si="42"/>
        <v>60718.927757937148</v>
      </c>
      <c r="BO13" s="107">
        <f t="shared" si="42"/>
        <v>57757.39727066354</v>
      </c>
      <c r="BP13" s="107">
        <f t="shared" si="42"/>
        <v>55170.112215041445</v>
      </c>
      <c r="BQ13" s="107">
        <f t="shared" si="42"/>
        <v>52255.351219904172</v>
      </c>
      <c r="BR13" s="107">
        <f t="shared" si="42"/>
        <v>127952.63905730832</v>
      </c>
      <c r="BS13" s="109">
        <f>+BR13</f>
        <v>127952.63905730832</v>
      </c>
      <c r="BT13" s="107">
        <f t="shared" si="42"/>
        <v>225179.24775259488</v>
      </c>
      <c r="BU13" s="111"/>
      <c r="BV13" s="111"/>
      <c r="BW13" s="111"/>
    </row>
    <row r="14" spans="1:76" ht="6" customHeight="1">
      <c r="BU14" s="120"/>
      <c r="BV14" s="120"/>
      <c r="BW14" s="120"/>
    </row>
    <row r="15" spans="1:76" s="65" customFormat="1" ht="15" customHeight="1" outlineLevel="1">
      <c r="A15" s="562" t="s">
        <v>4</v>
      </c>
      <c r="B15" s="563"/>
      <c r="C15" s="121" t="s">
        <v>51</v>
      </c>
      <c r="D15" s="228"/>
      <c r="E15" s="122" t="s">
        <v>66</v>
      </c>
      <c r="F15" s="122" t="s">
        <v>61</v>
      </c>
      <c r="G15" s="123">
        <v>44927</v>
      </c>
      <c r="H15" s="77">
        <v>44958</v>
      </c>
      <c r="I15" s="77">
        <v>44986</v>
      </c>
      <c r="J15" s="77">
        <v>45017</v>
      </c>
      <c r="K15" s="77">
        <v>45047</v>
      </c>
      <c r="L15" s="77">
        <v>45078</v>
      </c>
      <c r="M15" s="77">
        <v>45108</v>
      </c>
      <c r="N15" s="77">
        <v>45139</v>
      </c>
      <c r="O15" s="77">
        <v>45170</v>
      </c>
      <c r="P15" s="77">
        <v>45200</v>
      </c>
      <c r="Q15" s="77">
        <v>45231</v>
      </c>
      <c r="R15" s="78">
        <v>45261</v>
      </c>
      <c r="S15" s="124" t="s">
        <v>67</v>
      </c>
      <c r="T15" s="80">
        <v>45292</v>
      </c>
      <c r="U15" s="81">
        <v>45323</v>
      </c>
      <c r="V15" s="81">
        <v>45352</v>
      </c>
      <c r="W15" s="81">
        <v>45383</v>
      </c>
      <c r="X15" s="81">
        <v>45413</v>
      </c>
      <c r="Y15" s="81">
        <v>45444</v>
      </c>
      <c r="Z15" s="81">
        <v>45474</v>
      </c>
      <c r="AA15" s="81">
        <v>45505</v>
      </c>
      <c r="AB15" s="81">
        <v>45536</v>
      </c>
      <c r="AC15" s="81">
        <v>45566</v>
      </c>
      <c r="AD15" s="81">
        <v>45597</v>
      </c>
      <c r="AE15" s="78">
        <v>45627</v>
      </c>
      <c r="AF15" s="124" t="s">
        <v>68</v>
      </c>
      <c r="AG15" s="123">
        <v>45658</v>
      </c>
      <c r="AH15" s="81">
        <v>45689</v>
      </c>
      <c r="AI15" s="81">
        <v>45717</v>
      </c>
      <c r="AJ15" s="81">
        <v>45748</v>
      </c>
      <c r="AK15" s="81">
        <v>45778</v>
      </c>
      <c r="AL15" s="81">
        <v>45809</v>
      </c>
      <c r="AM15" s="81">
        <v>45839</v>
      </c>
      <c r="AN15" s="81">
        <v>45870</v>
      </c>
      <c r="AO15" s="81">
        <v>45901</v>
      </c>
      <c r="AP15" s="81">
        <v>45931</v>
      </c>
      <c r="AQ15" s="81">
        <v>45962</v>
      </c>
      <c r="AR15" s="78">
        <v>45992</v>
      </c>
      <c r="AS15" s="124" t="s">
        <v>69</v>
      </c>
      <c r="AT15" s="80">
        <v>46023</v>
      </c>
      <c r="AU15" s="81">
        <v>46054</v>
      </c>
      <c r="AV15" s="81">
        <v>46082</v>
      </c>
      <c r="AW15" s="81">
        <v>46113</v>
      </c>
      <c r="AX15" s="81">
        <v>46143</v>
      </c>
      <c r="AY15" s="81">
        <v>46174</v>
      </c>
      <c r="AZ15" s="81">
        <v>46204</v>
      </c>
      <c r="BA15" s="81">
        <v>46235</v>
      </c>
      <c r="BB15" s="81">
        <v>46266</v>
      </c>
      <c r="BC15" s="81">
        <v>46296</v>
      </c>
      <c r="BD15" s="81">
        <v>46327</v>
      </c>
      <c r="BE15" s="78">
        <v>46357</v>
      </c>
      <c r="BF15" s="124" t="s">
        <v>70</v>
      </c>
      <c r="BG15" s="80">
        <v>46388</v>
      </c>
      <c r="BH15" s="81">
        <v>46419</v>
      </c>
      <c r="BI15" s="80">
        <v>46447</v>
      </c>
      <c r="BJ15" s="81">
        <v>46478</v>
      </c>
      <c r="BK15" s="80">
        <v>46508</v>
      </c>
      <c r="BL15" s="81">
        <v>46539</v>
      </c>
      <c r="BM15" s="80">
        <v>46569</v>
      </c>
      <c r="BN15" s="81">
        <v>46600</v>
      </c>
      <c r="BO15" s="80">
        <v>46631</v>
      </c>
      <c r="BP15" s="81">
        <v>46661</v>
      </c>
      <c r="BQ15" s="80">
        <v>46692</v>
      </c>
      <c r="BR15" s="81">
        <v>46722</v>
      </c>
      <c r="BS15" s="124" t="s">
        <v>116</v>
      </c>
      <c r="BT15" s="277" t="s">
        <v>127</v>
      </c>
      <c r="BU15" s="125" t="s">
        <v>75</v>
      </c>
      <c r="BV15" s="126" t="s">
        <v>74</v>
      </c>
      <c r="BW15" s="127" t="s">
        <v>76</v>
      </c>
    </row>
    <row r="16" spans="1:76" ht="15" customHeight="1" outlineLevel="1">
      <c r="A16" s="601" t="s">
        <v>181</v>
      </c>
      <c r="B16" s="609" t="s">
        <v>93</v>
      </c>
      <c r="C16" s="244" t="s">
        <v>62</v>
      </c>
      <c r="D16" s="183" t="s">
        <v>122</v>
      </c>
      <c r="E16" s="128">
        <f>+BU16</f>
        <v>29579.936631614721</v>
      </c>
      <c r="F16" s="128"/>
      <c r="G16" s="129">
        <v>561.48783572656919</v>
      </c>
      <c r="H16" s="130">
        <v>579.77475860899074</v>
      </c>
      <c r="I16" s="130">
        <v>725.61530115979383</v>
      </c>
      <c r="J16" s="130">
        <v>690.1574975504941</v>
      </c>
      <c r="K16" s="130">
        <v>607.67523871244634</v>
      </c>
      <c r="L16" s="130">
        <v>811.6274367599915</v>
      </c>
      <c r="M16" s="130">
        <v>907.1002998935943</v>
      </c>
      <c r="N16" s="130">
        <v>749.25992968013099</v>
      </c>
      <c r="O16" s="130">
        <v>805.19597056855093</v>
      </c>
      <c r="P16" s="130">
        <v>840.77824079768106</v>
      </c>
      <c r="Q16" s="130">
        <v>854.36611757420894</v>
      </c>
      <c r="R16" s="131">
        <v>662.64405038551502</v>
      </c>
      <c r="S16" s="132">
        <f>SUM(G16:R16)</f>
        <v>8795.6826774179681</v>
      </c>
      <c r="T16" s="133">
        <v>542.34009837614292</v>
      </c>
      <c r="U16" s="130">
        <v>1967.2313071257281</v>
      </c>
      <c r="V16" s="130">
        <v>531.08378888656478</v>
      </c>
      <c r="W16" s="130">
        <v>2439.4164109598819</v>
      </c>
      <c r="X16" s="130">
        <v>2327.5074626274804</v>
      </c>
      <c r="Y16" s="130">
        <v>1960.9394669848896</v>
      </c>
      <c r="Z16" s="130">
        <v>1652.1894732416758</v>
      </c>
      <c r="AA16" s="130">
        <v>1573.9162023471963</v>
      </c>
      <c r="AB16" s="130">
        <v>1786.2067275080717</v>
      </c>
      <c r="AC16" s="130">
        <v>1699.9299844932018</v>
      </c>
      <c r="AD16" s="130">
        <v>1371.963485078197</v>
      </c>
      <c r="AE16" s="131">
        <v>1484.9575694331793</v>
      </c>
      <c r="AF16" s="132">
        <f>SUM(T16:AE16)</f>
        <v>19337.681977062213</v>
      </c>
      <c r="AG16" s="129">
        <v>1446.57197713454</v>
      </c>
      <c r="AH16" s="130"/>
      <c r="AI16" s="130"/>
      <c r="AJ16" s="130"/>
      <c r="AK16" s="130"/>
      <c r="AL16" s="130"/>
      <c r="AM16" s="130"/>
      <c r="AN16" s="130"/>
      <c r="AO16" s="130"/>
      <c r="AP16" s="130"/>
      <c r="AQ16" s="130"/>
      <c r="AR16" s="131"/>
      <c r="AS16" s="132">
        <f>SUM(AG16:AR16)</f>
        <v>1446.57197713454</v>
      </c>
      <c r="AT16" s="133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1"/>
      <c r="BF16" s="132">
        <f>SUM(AT16:BE16)</f>
        <v>0</v>
      </c>
      <c r="BG16" s="133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1"/>
      <c r="BS16" s="132">
        <f>SUM(BG16:BR16)</f>
        <v>0</v>
      </c>
      <c r="BT16" s="278"/>
      <c r="BU16" s="90">
        <f t="shared" ref="BU16:BU33" si="43">+F16+S16+AF16+AS16+BF16+BS16+BT16</f>
        <v>29579.936631614721</v>
      </c>
      <c r="BV16" s="91">
        <f t="shared" ref="BV16:BV33" si="44">+E16</f>
        <v>29579.936631614721</v>
      </c>
      <c r="BW16" s="92">
        <f>+BV16-BU16</f>
        <v>0</v>
      </c>
    </row>
    <row r="17" spans="1:76" ht="15" customHeight="1" outlineLevel="1">
      <c r="A17" s="607"/>
      <c r="B17" s="548"/>
      <c r="C17" s="245" t="s">
        <v>63</v>
      </c>
      <c r="D17" s="184" t="s">
        <v>119</v>
      </c>
      <c r="E17" s="136">
        <f>+BU17</f>
        <v>25443.766271545865</v>
      </c>
      <c r="F17" s="136"/>
      <c r="G17" s="137">
        <v>452.81246057609633</v>
      </c>
      <c r="H17" s="138">
        <v>460.59095983884646</v>
      </c>
      <c r="I17" s="138">
        <v>603.28428921821308</v>
      </c>
      <c r="J17" s="138">
        <v>549.24509088955733</v>
      </c>
      <c r="K17" s="138">
        <v>512.96447386266095</v>
      </c>
      <c r="L17" s="138">
        <v>673.2195201111349</v>
      </c>
      <c r="M17" s="138">
        <v>715.57458735901298</v>
      </c>
      <c r="N17" s="138">
        <v>651.55643484984182</v>
      </c>
      <c r="O17" s="138">
        <v>700.19841600641189</v>
      </c>
      <c r="P17" s="138">
        <v>731.14075819766344</v>
      </c>
      <c r="Q17" s="138">
        <v>742.95677584253201</v>
      </c>
      <c r="R17" s="139">
        <v>576.23526621524388</v>
      </c>
      <c r="S17" s="140">
        <f t="shared" ref="S17:S101" si="45">SUM(G17:R17)</f>
        <v>7369.7790329672152</v>
      </c>
      <c r="T17" s="141">
        <v>471.61894954813278</v>
      </c>
      <c r="U17" s="138">
        <v>1710.7043446773996</v>
      </c>
      <c r="V17" s="138">
        <v>461.83046281599064</v>
      </c>
      <c r="W17" s="138">
        <v>2121.3165109717879</v>
      </c>
      <c r="X17" s="138">
        <v>2024.0004895018822</v>
      </c>
      <c r="Y17" s="138">
        <v>1705.2329604909237</v>
      </c>
      <c r="Z17" s="138">
        <v>1436.743965931689</v>
      </c>
      <c r="AA17" s="138">
        <v>1368.6775295618152</v>
      </c>
      <c r="AB17" s="138">
        <v>1553.2853702418058</v>
      </c>
      <c r="AC17" s="138">
        <v>1478.259114516037</v>
      </c>
      <c r="AD17" s="138">
        <v>1193.0594466246043</v>
      </c>
      <c r="AE17" s="139">
        <v>1291.3191023797467</v>
      </c>
      <c r="AF17" s="140">
        <f t="shared" ref="AF17:AF96" si="46">SUM(T17:AE17)</f>
        <v>16816.048247261813</v>
      </c>
      <c r="AG17" s="137">
        <v>1257.9389913168334</v>
      </c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9"/>
      <c r="AS17" s="140">
        <f t="shared" ref="AS17:AS96" si="47">SUM(AG17:AR17)</f>
        <v>1257.9389913168334</v>
      </c>
      <c r="AT17" s="141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9"/>
      <c r="BF17" s="140">
        <f t="shared" ref="BF17:BF96" si="48">SUM(AT17:BE17)</f>
        <v>0</v>
      </c>
      <c r="BG17" s="141"/>
      <c r="BH17" s="138"/>
      <c r="BI17" s="138"/>
      <c r="BJ17" s="138"/>
      <c r="BK17" s="138"/>
      <c r="BL17" s="138"/>
      <c r="BM17" s="138"/>
      <c r="BN17" s="138"/>
      <c r="BO17" s="138"/>
      <c r="BP17" s="138"/>
      <c r="BQ17" s="138"/>
      <c r="BR17" s="139"/>
      <c r="BS17" s="140">
        <f t="shared" ref="BS17:BS33" si="49">SUM(BG17:BR17)</f>
        <v>0</v>
      </c>
      <c r="BT17" s="279"/>
      <c r="BU17" s="90">
        <f t="shared" si="43"/>
        <v>25443.766271545865</v>
      </c>
      <c r="BV17" s="91">
        <f t="shared" si="44"/>
        <v>25443.766271545865</v>
      </c>
      <c r="BW17" s="92">
        <f t="shared" ref="BW17:BW70" si="50">+BV17-BU17</f>
        <v>0</v>
      </c>
      <c r="BX17" s="64">
        <f>+BU17/BU16</f>
        <v>0.8601697356022</v>
      </c>
    </row>
    <row r="18" spans="1:76" ht="15" customHeight="1" outlineLevel="1">
      <c r="A18" s="607"/>
      <c r="B18" s="556"/>
      <c r="C18" s="554" t="s">
        <v>11</v>
      </c>
      <c r="D18" s="555"/>
      <c r="E18" s="143">
        <f t="shared" ref="E18:R18" si="51">+E16-E17</f>
        <v>4136.1703600688561</v>
      </c>
      <c r="F18" s="144">
        <f t="shared" si="51"/>
        <v>0</v>
      </c>
      <c r="G18" s="145">
        <f t="shared" si="51"/>
        <v>108.67537515047286</v>
      </c>
      <c r="H18" s="145">
        <f t="shared" si="51"/>
        <v>119.18379877014428</v>
      </c>
      <c r="I18" s="145">
        <f t="shared" si="51"/>
        <v>122.33101194158075</v>
      </c>
      <c r="J18" s="145">
        <f t="shared" si="51"/>
        <v>140.91240666093677</v>
      </c>
      <c r="K18" s="145">
        <f t="shared" si="51"/>
        <v>94.710764849785392</v>
      </c>
      <c r="L18" s="145">
        <f t="shared" si="51"/>
        <v>138.4079166488566</v>
      </c>
      <c r="M18" s="145">
        <f t="shared" si="51"/>
        <v>191.52571253458132</v>
      </c>
      <c r="N18" s="145">
        <f t="shared" si="51"/>
        <v>97.703494830289173</v>
      </c>
      <c r="O18" s="145">
        <f t="shared" si="51"/>
        <v>104.99755456213904</v>
      </c>
      <c r="P18" s="145">
        <f t="shared" si="51"/>
        <v>109.63748260001762</v>
      </c>
      <c r="Q18" s="145">
        <f t="shared" si="51"/>
        <v>111.40934173167693</v>
      </c>
      <c r="R18" s="146">
        <f t="shared" si="51"/>
        <v>86.408784170271133</v>
      </c>
      <c r="S18" s="147">
        <f t="shared" si="45"/>
        <v>1425.9036444507519</v>
      </c>
      <c r="T18" s="148">
        <f t="shared" ref="T18:AE18" si="52">+T16-T17</f>
        <v>70.721148828010143</v>
      </c>
      <c r="U18" s="145">
        <f t="shared" si="52"/>
        <v>256.5269624483285</v>
      </c>
      <c r="V18" s="145">
        <f t="shared" si="52"/>
        <v>69.253326070574133</v>
      </c>
      <c r="W18" s="145">
        <f t="shared" si="52"/>
        <v>318.09989998809397</v>
      </c>
      <c r="X18" s="145">
        <f t="shared" si="52"/>
        <v>303.50697312559828</v>
      </c>
      <c r="Y18" s="145">
        <f t="shared" si="52"/>
        <v>255.70650649396589</v>
      </c>
      <c r="Z18" s="145">
        <f t="shared" si="52"/>
        <v>215.44550730998685</v>
      </c>
      <c r="AA18" s="145">
        <f t="shared" si="52"/>
        <v>205.23867278538114</v>
      </c>
      <c r="AB18" s="145">
        <f t="shared" si="52"/>
        <v>232.92135726626589</v>
      </c>
      <c r="AC18" s="145">
        <f t="shared" si="52"/>
        <v>221.67086997716478</v>
      </c>
      <c r="AD18" s="145">
        <f t="shared" si="52"/>
        <v>178.90403845359265</v>
      </c>
      <c r="AE18" s="146">
        <f t="shared" si="52"/>
        <v>193.63846705343258</v>
      </c>
      <c r="AF18" s="147">
        <f t="shared" si="46"/>
        <v>2521.6337298003946</v>
      </c>
      <c r="AG18" s="148">
        <f t="shared" ref="AG18:AR18" si="53">+AG16-AG17</f>
        <v>188.63298581770664</v>
      </c>
      <c r="AH18" s="145">
        <f t="shared" si="53"/>
        <v>0</v>
      </c>
      <c r="AI18" s="145">
        <f t="shared" si="53"/>
        <v>0</v>
      </c>
      <c r="AJ18" s="145">
        <f t="shared" si="53"/>
        <v>0</v>
      </c>
      <c r="AK18" s="145">
        <f t="shared" si="53"/>
        <v>0</v>
      </c>
      <c r="AL18" s="145">
        <f t="shared" si="53"/>
        <v>0</v>
      </c>
      <c r="AM18" s="145">
        <f t="shared" si="53"/>
        <v>0</v>
      </c>
      <c r="AN18" s="145">
        <f t="shared" si="53"/>
        <v>0</v>
      </c>
      <c r="AO18" s="145">
        <f t="shared" si="53"/>
        <v>0</v>
      </c>
      <c r="AP18" s="145">
        <f t="shared" si="53"/>
        <v>0</v>
      </c>
      <c r="AQ18" s="145">
        <f t="shared" si="53"/>
        <v>0</v>
      </c>
      <c r="AR18" s="146">
        <f t="shared" si="53"/>
        <v>0</v>
      </c>
      <c r="AS18" s="147">
        <f t="shared" si="47"/>
        <v>188.63298581770664</v>
      </c>
      <c r="AT18" s="148">
        <f t="shared" ref="AT18:BE18" si="54">+AT16-AT17</f>
        <v>0</v>
      </c>
      <c r="AU18" s="145">
        <f t="shared" si="54"/>
        <v>0</v>
      </c>
      <c r="AV18" s="145">
        <f t="shared" si="54"/>
        <v>0</v>
      </c>
      <c r="AW18" s="145">
        <f t="shared" si="54"/>
        <v>0</v>
      </c>
      <c r="AX18" s="145">
        <f t="shared" si="54"/>
        <v>0</v>
      </c>
      <c r="AY18" s="145">
        <f t="shared" si="54"/>
        <v>0</v>
      </c>
      <c r="AZ18" s="145">
        <f t="shared" si="54"/>
        <v>0</v>
      </c>
      <c r="BA18" s="145">
        <f t="shared" si="54"/>
        <v>0</v>
      </c>
      <c r="BB18" s="145">
        <f t="shared" si="54"/>
        <v>0</v>
      </c>
      <c r="BC18" s="145">
        <f t="shared" si="54"/>
        <v>0</v>
      </c>
      <c r="BD18" s="145">
        <f t="shared" si="54"/>
        <v>0</v>
      </c>
      <c r="BE18" s="146">
        <f t="shared" si="54"/>
        <v>0</v>
      </c>
      <c r="BF18" s="147">
        <f t="shared" si="48"/>
        <v>0</v>
      </c>
      <c r="BG18" s="148">
        <f t="shared" ref="BG18:BR18" si="55">+BG16-BG17</f>
        <v>0</v>
      </c>
      <c r="BH18" s="145">
        <f t="shared" si="55"/>
        <v>0</v>
      </c>
      <c r="BI18" s="145">
        <f t="shared" si="55"/>
        <v>0</v>
      </c>
      <c r="BJ18" s="145">
        <f t="shared" si="55"/>
        <v>0</v>
      </c>
      <c r="BK18" s="145">
        <f t="shared" si="55"/>
        <v>0</v>
      </c>
      <c r="BL18" s="145">
        <f t="shared" si="55"/>
        <v>0</v>
      </c>
      <c r="BM18" s="145">
        <f t="shared" si="55"/>
        <v>0</v>
      </c>
      <c r="BN18" s="145">
        <f t="shared" si="55"/>
        <v>0</v>
      </c>
      <c r="BO18" s="145">
        <f t="shared" si="55"/>
        <v>0</v>
      </c>
      <c r="BP18" s="145">
        <f t="shared" si="55"/>
        <v>0</v>
      </c>
      <c r="BQ18" s="145">
        <f t="shared" si="55"/>
        <v>0</v>
      </c>
      <c r="BR18" s="146">
        <f t="shared" si="55"/>
        <v>0</v>
      </c>
      <c r="BS18" s="147">
        <f t="shared" si="49"/>
        <v>0</v>
      </c>
      <c r="BT18" s="146">
        <f>+BT16-BT17</f>
        <v>0</v>
      </c>
      <c r="BU18" s="149">
        <f t="shared" si="43"/>
        <v>4136.1703600688534</v>
      </c>
      <c r="BV18" s="150">
        <f t="shared" si="44"/>
        <v>4136.1703600688561</v>
      </c>
      <c r="BW18" s="151">
        <f t="shared" si="50"/>
        <v>0</v>
      </c>
    </row>
    <row r="19" spans="1:76" ht="15" customHeight="1" outlineLevel="1">
      <c r="A19" s="607"/>
      <c r="B19" s="593" t="s">
        <v>94</v>
      </c>
      <c r="C19" s="246" t="s">
        <v>62</v>
      </c>
      <c r="D19" s="183" t="s">
        <v>122</v>
      </c>
      <c r="E19" s="153">
        <v>26544.993999999999</v>
      </c>
      <c r="F19" s="153">
        <f>+E19-S19</f>
        <v>24687.972815841691</v>
      </c>
      <c r="G19" s="154">
        <v>402.32578267411867</v>
      </c>
      <c r="H19" s="155">
        <v>404.69328905852416</v>
      </c>
      <c r="I19" s="155">
        <v>720.74988470790402</v>
      </c>
      <c r="J19" s="155">
        <v>201.67002746024926</v>
      </c>
      <c r="K19" s="155">
        <v>127.58220025751073</v>
      </c>
      <c r="L19" s="155"/>
      <c r="M19" s="155"/>
      <c r="N19" s="155"/>
      <c r="O19" s="155"/>
      <c r="P19" s="155"/>
      <c r="Q19" s="155"/>
      <c r="R19" s="156"/>
      <c r="S19" s="157">
        <f t="shared" si="45"/>
        <v>1857.0211841583068</v>
      </c>
      <c r="T19" s="158"/>
      <c r="U19" s="155"/>
      <c r="V19" s="155"/>
      <c r="W19" s="155"/>
      <c r="X19" s="155"/>
      <c r="Y19" s="155"/>
      <c r="Z19" s="155"/>
      <c r="AA19" s="155"/>
      <c r="AB19" s="155"/>
      <c r="AC19" s="155"/>
      <c r="AD19" s="155"/>
      <c r="AE19" s="156"/>
      <c r="AF19" s="157">
        <f t="shared" si="46"/>
        <v>0</v>
      </c>
      <c r="AG19" s="154"/>
      <c r="AH19" s="155"/>
      <c r="AI19" s="155"/>
      <c r="AJ19" s="155"/>
      <c r="AK19" s="155"/>
      <c r="AL19" s="155"/>
      <c r="AM19" s="155"/>
      <c r="AN19" s="155"/>
      <c r="AO19" s="155"/>
      <c r="AP19" s="155"/>
      <c r="AQ19" s="155"/>
      <c r="AR19" s="156"/>
      <c r="AS19" s="157">
        <f t="shared" si="47"/>
        <v>0</v>
      </c>
      <c r="AT19" s="158"/>
      <c r="AU19" s="155"/>
      <c r="AV19" s="155"/>
      <c r="AW19" s="155"/>
      <c r="AX19" s="155"/>
      <c r="AY19" s="155"/>
      <c r="AZ19" s="155"/>
      <c r="BA19" s="155"/>
      <c r="BB19" s="155"/>
      <c r="BC19" s="155"/>
      <c r="BD19" s="155"/>
      <c r="BE19" s="156"/>
      <c r="BF19" s="157">
        <f t="shared" si="48"/>
        <v>0</v>
      </c>
      <c r="BG19" s="158"/>
      <c r="BH19" s="155"/>
      <c r="BI19" s="155"/>
      <c r="BJ19" s="155"/>
      <c r="BK19" s="155"/>
      <c r="BL19" s="155"/>
      <c r="BM19" s="155"/>
      <c r="BN19" s="155"/>
      <c r="BO19" s="155"/>
      <c r="BP19" s="155"/>
      <c r="BQ19" s="155"/>
      <c r="BR19" s="156"/>
      <c r="BS19" s="157">
        <f t="shared" si="49"/>
        <v>0</v>
      </c>
      <c r="BT19" s="280"/>
      <c r="BU19" s="159">
        <f t="shared" si="43"/>
        <v>26544.993999999999</v>
      </c>
      <c r="BV19" s="160">
        <f t="shared" si="44"/>
        <v>26544.993999999999</v>
      </c>
      <c r="BW19" s="161">
        <f t="shared" si="50"/>
        <v>0</v>
      </c>
    </row>
    <row r="20" spans="1:76" ht="15" customHeight="1" outlineLevel="1">
      <c r="A20" s="607"/>
      <c r="B20" s="548"/>
      <c r="C20" s="245" t="s">
        <v>63</v>
      </c>
      <c r="D20" s="184" t="s">
        <v>119</v>
      </c>
      <c r="E20" s="136">
        <v>23094.145</v>
      </c>
      <c r="F20" s="136">
        <f>+E20-S20</f>
        <v>20626.925937202952</v>
      </c>
      <c r="G20" s="137">
        <v>360.01183116938955</v>
      </c>
      <c r="H20" s="138">
        <v>329.90570377438507</v>
      </c>
      <c r="I20" s="138">
        <v>587.21147521477656</v>
      </c>
      <c r="J20" s="138">
        <v>152.5324159003008</v>
      </c>
      <c r="K20" s="138">
        <v>1037.5576367381975</v>
      </c>
      <c r="L20" s="138"/>
      <c r="M20" s="138"/>
      <c r="N20" s="138"/>
      <c r="O20" s="138"/>
      <c r="P20" s="138"/>
      <c r="Q20" s="138"/>
      <c r="R20" s="139"/>
      <c r="S20" s="162">
        <f t="shared" si="45"/>
        <v>2467.2190627970494</v>
      </c>
      <c r="T20" s="141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9"/>
      <c r="AF20" s="162">
        <f t="shared" si="46"/>
        <v>0</v>
      </c>
      <c r="AG20" s="137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9"/>
      <c r="AS20" s="162">
        <f t="shared" si="47"/>
        <v>0</v>
      </c>
      <c r="AT20" s="141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9"/>
      <c r="BF20" s="162">
        <f t="shared" si="48"/>
        <v>0</v>
      </c>
      <c r="BG20" s="141"/>
      <c r="BH20" s="138"/>
      <c r="BI20" s="138"/>
      <c r="BJ20" s="138"/>
      <c r="BK20" s="138"/>
      <c r="BL20" s="138"/>
      <c r="BM20" s="138"/>
      <c r="BN20" s="138"/>
      <c r="BO20" s="138"/>
      <c r="BP20" s="138"/>
      <c r="BQ20" s="138"/>
      <c r="BR20" s="139"/>
      <c r="BS20" s="162">
        <f t="shared" si="49"/>
        <v>0</v>
      </c>
      <c r="BT20" s="279"/>
      <c r="BU20" s="90">
        <f t="shared" si="43"/>
        <v>23094.145</v>
      </c>
      <c r="BV20" s="91">
        <f t="shared" si="44"/>
        <v>23094.145</v>
      </c>
      <c r="BW20" s="92">
        <f t="shared" si="50"/>
        <v>0</v>
      </c>
      <c r="BX20" s="64">
        <f>+BU20/BU19</f>
        <v>0.8700000082878151</v>
      </c>
    </row>
    <row r="21" spans="1:76" ht="15" customHeight="1" outlineLevel="1">
      <c r="A21" s="607"/>
      <c r="B21" s="549"/>
      <c r="C21" s="554" t="s">
        <v>11</v>
      </c>
      <c r="D21" s="555"/>
      <c r="E21" s="143">
        <f t="shared" ref="E21:R21" si="56">+E19-E20</f>
        <v>3450.8489999999983</v>
      </c>
      <c r="F21" s="144">
        <f t="shared" si="56"/>
        <v>4061.0468786387391</v>
      </c>
      <c r="G21" s="145">
        <f t="shared" si="56"/>
        <v>42.313951504729118</v>
      </c>
      <c r="H21" s="145">
        <f t="shared" si="56"/>
        <v>74.787585284139084</v>
      </c>
      <c r="I21" s="145">
        <f t="shared" si="56"/>
        <v>133.53840949312746</v>
      </c>
      <c r="J21" s="145">
        <f t="shared" si="56"/>
        <v>49.137611559948454</v>
      </c>
      <c r="K21" s="145">
        <f t="shared" si="56"/>
        <v>-909.97543648068677</v>
      </c>
      <c r="L21" s="145">
        <f t="shared" si="56"/>
        <v>0</v>
      </c>
      <c r="M21" s="145">
        <f t="shared" si="56"/>
        <v>0</v>
      </c>
      <c r="N21" s="145">
        <f t="shared" si="56"/>
        <v>0</v>
      </c>
      <c r="O21" s="145">
        <f t="shared" si="56"/>
        <v>0</v>
      </c>
      <c r="P21" s="145">
        <f t="shared" si="56"/>
        <v>0</v>
      </c>
      <c r="Q21" s="145">
        <f t="shared" si="56"/>
        <v>0</v>
      </c>
      <c r="R21" s="146">
        <f t="shared" si="56"/>
        <v>0</v>
      </c>
      <c r="S21" s="147">
        <f t="shared" si="45"/>
        <v>-610.19787863874262</v>
      </c>
      <c r="T21" s="148">
        <f t="shared" ref="T21:AE21" si="57">+T19-T20</f>
        <v>0</v>
      </c>
      <c r="U21" s="145">
        <f t="shared" si="57"/>
        <v>0</v>
      </c>
      <c r="V21" s="145">
        <f t="shared" si="57"/>
        <v>0</v>
      </c>
      <c r="W21" s="145">
        <f t="shared" si="57"/>
        <v>0</v>
      </c>
      <c r="X21" s="145">
        <f t="shared" si="57"/>
        <v>0</v>
      </c>
      <c r="Y21" s="145">
        <f t="shared" si="57"/>
        <v>0</v>
      </c>
      <c r="Z21" s="145">
        <f t="shared" si="57"/>
        <v>0</v>
      </c>
      <c r="AA21" s="145">
        <f t="shared" si="57"/>
        <v>0</v>
      </c>
      <c r="AB21" s="145">
        <f t="shared" si="57"/>
        <v>0</v>
      </c>
      <c r="AC21" s="145">
        <f t="shared" si="57"/>
        <v>0</v>
      </c>
      <c r="AD21" s="145">
        <f t="shared" si="57"/>
        <v>0</v>
      </c>
      <c r="AE21" s="146">
        <f t="shared" si="57"/>
        <v>0</v>
      </c>
      <c r="AF21" s="147">
        <f t="shared" si="46"/>
        <v>0</v>
      </c>
      <c r="AG21" s="148">
        <f t="shared" ref="AG21:AR21" si="58">+AG19-AG20</f>
        <v>0</v>
      </c>
      <c r="AH21" s="145">
        <f t="shared" si="58"/>
        <v>0</v>
      </c>
      <c r="AI21" s="145">
        <f t="shared" si="58"/>
        <v>0</v>
      </c>
      <c r="AJ21" s="145">
        <f t="shared" si="58"/>
        <v>0</v>
      </c>
      <c r="AK21" s="145">
        <f t="shared" si="58"/>
        <v>0</v>
      </c>
      <c r="AL21" s="145">
        <f t="shared" si="58"/>
        <v>0</v>
      </c>
      <c r="AM21" s="145">
        <f t="shared" si="58"/>
        <v>0</v>
      </c>
      <c r="AN21" s="145">
        <f t="shared" si="58"/>
        <v>0</v>
      </c>
      <c r="AO21" s="145">
        <f t="shared" si="58"/>
        <v>0</v>
      </c>
      <c r="AP21" s="145">
        <f t="shared" si="58"/>
        <v>0</v>
      </c>
      <c r="AQ21" s="145">
        <f t="shared" si="58"/>
        <v>0</v>
      </c>
      <c r="AR21" s="146">
        <f t="shared" si="58"/>
        <v>0</v>
      </c>
      <c r="AS21" s="147">
        <f t="shared" si="47"/>
        <v>0</v>
      </c>
      <c r="AT21" s="148">
        <f t="shared" ref="AT21:BE21" si="59">+AT19-AT20</f>
        <v>0</v>
      </c>
      <c r="AU21" s="145">
        <f t="shared" si="59"/>
        <v>0</v>
      </c>
      <c r="AV21" s="145">
        <f t="shared" si="59"/>
        <v>0</v>
      </c>
      <c r="AW21" s="145">
        <f t="shared" si="59"/>
        <v>0</v>
      </c>
      <c r="AX21" s="145">
        <f t="shared" si="59"/>
        <v>0</v>
      </c>
      <c r="AY21" s="145">
        <f t="shared" si="59"/>
        <v>0</v>
      </c>
      <c r="AZ21" s="145">
        <f t="shared" si="59"/>
        <v>0</v>
      </c>
      <c r="BA21" s="145">
        <f t="shared" si="59"/>
        <v>0</v>
      </c>
      <c r="BB21" s="145">
        <f t="shared" si="59"/>
        <v>0</v>
      </c>
      <c r="BC21" s="145">
        <f t="shared" si="59"/>
        <v>0</v>
      </c>
      <c r="BD21" s="145">
        <f t="shared" si="59"/>
        <v>0</v>
      </c>
      <c r="BE21" s="146">
        <f t="shared" si="59"/>
        <v>0</v>
      </c>
      <c r="BF21" s="147">
        <f t="shared" si="48"/>
        <v>0</v>
      </c>
      <c r="BG21" s="148">
        <f t="shared" ref="BG21:BR21" si="60">+BG19-BG20</f>
        <v>0</v>
      </c>
      <c r="BH21" s="145">
        <f t="shared" si="60"/>
        <v>0</v>
      </c>
      <c r="BI21" s="145">
        <f t="shared" si="60"/>
        <v>0</v>
      </c>
      <c r="BJ21" s="145">
        <f t="shared" si="60"/>
        <v>0</v>
      </c>
      <c r="BK21" s="145">
        <f t="shared" si="60"/>
        <v>0</v>
      </c>
      <c r="BL21" s="145">
        <f t="shared" si="60"/>
        <v>0</v>
      </c>
      <c r="BM21" s="145">
        <f t="shared" si="60"/>
        <v>0</v>
      </c>
      <c r="BN21" s="145">
        <f t="shared" si="60"/>
        <v>0</v>
      </c>
      <c r="BO21" s="145">
        <f t="shared" si="60"/>
        <v>0</v>
      </c>
      <c r="BP21" s="145">
        <f t="shared" si="60"/>
        <v>0</v>
      </c>
      <c r="BQ21" s="145">
        <f t="shared" si="60"/>
        <v>0</v>
      </c>
      <c r="BR21" s="146">
        <f t="shared" si="60"/>
        <v>0</v>
      </c>
      <c r="BS21" s="147">
        <f t="shared" si="49"/>
        <v>0</v>
      </c>
      <c r="BT21" s="146">
        <f>+BT19-BT20</f>
        <v>0</v>
      </c>
      <c r="BU21" s="98">
        <f t="shared" si="43"/>
        <v>3450.8489999999965</v>
      </c>
      <c r="BV21" s="99">
        <f t="shared" si="44"/>
        <v>3450.8489999999983</v>
      </c>
      <c r="BW21" s="100">
        <f t="shared" si="50"/>
        <v>0</v>
      </c>
    </row>
    <row r="22" spans="1:76" ht="15" customHeight="1" outlineLevel="1">
      <c r="A22" s="607"/>
      <c r="B22" s="547" t="s">
        <v>59</v>
      </c>
      <c r="C22" s="244" t="s">
        <v>62</v>
      </c>
      <c r="D22" s="183" t="s">
        <v>122</v>
      </c>
      <c r="E22" s="128">
        <v>122140</v>
      </c>
      <c r="F22" s="128"/>
      <c r="G22" s="129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1"/>
      <c r="S22" s="163">
        <f t="shared" si="45"/>
        <v>0</v>
      </c>
      <c r="T22" s="339">
        <v>24000</v>
      </c>
      <c r="U22" s="130"/>
      <c r="V22" s="130">
        <v>221.6</v>
      </c>
      <c r="W22" s="130">
        <v>661.6</v>
      </c>
      <c r="X22" s="130">
        <v>1096</v>
      </c>
      <c r="Y22" s="130">
        <v>1520.6449834766399</v>
      </c>
      <c r="Z22" s="130">
        <v>1722.9558297344111</v>
      </c>
      <c r="AA22" s="130">
        <v>2077.3607500278413</v>
      </c>
      <c r="AB22" s="130">
        <v>2415.0399830303163</v>
      </c>
      <c r="AC22" s="130">
        <v>2733.2747341099875</v>
      </c>
      <c r="AD22" s="130">
        <v>3029.502764170179</v>
      </c>
      <c r="AE22" s="131">
        <v>3301.3390192919765</v>
      </c>
      <c r="AF22" s="163">
        <f t="shared" si="46"/>
        <v>42779.318063841354</v>
      </c>
      <c r="AG22" s="129">
        <v>3546.5948337863629</v>
      </c>
      <c r="AH22" s="130">
        <v>3763.2955520431015</v>
      </c>
      <c r="AI22" s="130">
        <v>3949.6964272967725</v>
      </c>
      <c r="AJ22" s="130">
        <v>4104.2966693016178</v>
      </c>
      <c r="AK22" s="130">
        <v>4225.8515278127734</v>
      </c>
      <c r="AL22" s="130">
        <v>4313.3823145822826</v>
      </c>
      <c r="AM22" s="130">
        <v>4366.1842831826207</v>
      </c>
      <c r="AN22" s="130">
        <v>4383.8323032095077</v>
      </c>
      <c r="AO22" s="130">
        <v>4366.184283182628</v>
      </c>
      <c r="AP22" s="130">
        <v>4313.3823145823126</v>
      </c>
      <c r="AQ22" s="130">
        <v>4225.8515278127434</v>
      </c>
      <c r="AR22" s="131">
        <v>4104.2966693016651</v>
      </c>
      <c r="AS22" s="163">
        <f t="shared" si="47"/>
        <v>49662.848706094388</v>
      </c>
      <c r="AT22" s="133">
        <v>3949.6964272967225</v>
      </c>
      <c r="AU22" s="130">
        <v>3763.2955520431046</v>
      </c>
      <c r="AV22" s="130">
        <v>3546.5948337863683</v>
      </c>
      <c r="AW22" s="130">
        <v>3301.3390192919614</v>
      </c>
      <c r="AX22" s="130">
        <v>3029.502764170194</v>
      </c>
      <c r="AY22" s="130">
        <v>2733.2747341099862</v>
      </c>
      <c r="AZ22" s="130">
        <v>2415.0399830303672</v>
      </c>
      <c r="BA22" s="130">
        <v>2077.3607500278117</v>
      </c>
      <c r="BB22" s="130">
        <v>1722.955829734409</v>
      </c>
      <c r="BC22" s="130">
        <v>1354.6786821815967</v>
      </c>
      <c r="BD22" s="130">
        <v>975.49445841803549</v>
      </c>
      <c r="BE22" s="131">
        <v>588.45612685675633</v>
      </c>
      <c r="BF22" s="163">
        <f>SUM(AT22:BE22)</f>
        <v>29457.68916094731</v>
      </c>
      <c r="BG22" s="133">
        <v>240.14406911696798</v>
      </c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1"/>
      <c r="BS22" s="163">
        <f t="shared" si="49"/>
        <v>240.14406911696798</v>
      </c>
      <c r="BT22" s="278"/>
      <c r="BU22" s="164">
        <f t="shared" si="43"/>
        <v>122140.00000000003</v>
      </c>
      <c r="BV22" s="165">
        <f t="shared" si="44"/>
        <v>122140</v>
      </c>
      <c r="BW22" s="166">
        <f t="shared" si="50"/>
        <v>0</v>
      </c>
    </row>
    <row r="23" spans="1:76" ht="15" customHeight="1" outlineLevel="1">
      <c r="A23" s="607"/>
      <c r="B23" s="548"/>
      <c r="C23" s="245" t="s">
        <v>63</v>
      </c>
      <c r="D23" s="184" t="s">
        <v>119</v>
      </c>
      <c r="E23" s="136">
        <v>103819</v>
      </c>
      <c r="F23" s="136"/>
      <c r="G23" s="137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9"/>
      <c r="S23" s="162">
        <f t="shared" si="45"/>
        <v>0</v>
      </c>
      <c r="T23" s="141"/>
      <c r="U23" s="138"/>
      <c r="V23" s="138">
        <v>235.05023519245978</v>
      </c>
      <c r="W23" s="138">
        <v>703.0220542490664</v>
      </c>
      <c r="X23" s="138">
        <v>1164.6271967167283</v>
      </c>
      <c r="Y23" s="138">
        <v>1615.6852949439267</v>
      </c>
      <c r="Z23" s="138">
        <v>1830.6405690928118</v>
      </c>
      <c r="AA23" s="138">
        <v>2207.1957969045811</v>
      </c>
      <c r="AB23" s="138">
        <v>2565.9799819697109</v>
      </c>
      <c r="AC23" s="138">
        <v>2904.1044049918614</v>
      </c>
      <c r="AD23" s="138">
        <v>3218.8466869308149</v>
      </c>
      <c r="AE23" s="139">
        <v>3507.6727079977245</v>
      </c>
      <c r="AF23" s="162">
        <f t="shared" si="46"/>
        <v>19952.824928989685</v>
      </c>
      <c r="AG23" s="137">
        <v>3768.2570108980099</v>
      </c>
      <c r="AH23" s="138">
        <v>3998.5015240457947</v>
      </c>
      <c r="AI23" s="138">
        <v>4196.5524540028209</v>
      </c>
      <c r="AJ23" s="138">
        <v>4360.8152111329682</v>
      </c>
      <c r="AK23" s="138">
        <v>4489.9672483010709</v>
      </c>
      <c r="AL23" s="138">
        <v>4582.9687092436743</v>
      </c>
      <c r="AM23" s="138">
        <v>4639.0708008815345</v>
      </c>
      <c r="AN23" s="138">
        <v>4657.8218221601019</v>
      </c>
      <c r="AO23" s="138">
        <v>4639.0708008815409</v>
      </c>
      <c r="AP23" s="138">
        <v>4582.9687092437061</v>
      </c>
      <c r="AQ23" s="138">
        <v>4489.967248301039</v>
      </c>
      <c r="AR23" s="139">
        <v>4360.8152111330191</v>
      </c>
      <c r="AS23" s="162">
        <f t="shared" si="47"/>
        <v>52766.776750225275</v>
      </c>
      <c r="AT23" s="141">
        <v>4196.5524540027673</v>
      </c>
      <c r="AU23" s="138">
        <v>3998.5015240457979</v>
      </c>
      <c r="AV23" s="138">
        <v>3768.2570108980162</v>
      </c>
      <c r="AW23" s="138">
        <v>3507.6727079977086</v>
      </c>
      <c r="AX23" s="138">
        <v>3218.8466869308304</v>
      </c>
      <c r="AY23" s="138">
        <v>2904.1044049918601</v>
      </c>
      <c r="AZ23" s="138">
        <v>2565.979981969765</v>
      </c>
      <c r="BA23" s="138">
        <v>2207.1957969045493</v>
      </c>
      <c r="BB23" s="138">
        <v>1830.6405690928095</v>
      </c>
      <c r="BC23" s="138">
        <v>1439.3460998179467</v>
      </c>
      <c r="BD23" s="138">
        <v>828.09406349353515</v>
      </c>
      <c r="BE23" s="139">
        <v>425.234634785303</v>
      </c>
      <c r="BF23" s="162">
        <f>SUM(AT23:BE23)</f>
        <v>30890.425934930892</v>
      </c>
      <c r="BG23" s="141">
        <v>208.97238585413768</v>
      </c>
      <c r="BH23" s="138"/>
      <c r="BI23" s="138"/>
      <c r="BJ23" s="138"/>
      <c r="BK23" s="138"/>
      <c r="BL23" s="138"/>
      <c r="BM23" s="138"/>
      <c r="BN23" s="138"/>
      <c r="BO23" s="138"/>
      <c r="BP23" s="138"/>
      <c r="BQ23" s="138"/>
      <c r="BR23" s="139"/>
      <c r="BS23" s="162">
        <f t="shared" si="49"/>
        <v>208.97238585413768</v>
      </c>
      <c r="BT23" s="279"/>
      <c r="BU23" s="90">
        <f t="shared" si="43"/>
        <v>103819</v>
      </c>
      <c r="BV23" s="91">
        <f t="shared" si="44"/>
        <v>103819</v>
      </c>
      <c r="BW23" s="92">
        <f t="shared" si="50"/>
        <v>0</v>
      </c>
      <c r="BX23" s="64">
        <f>+BU23/BU22</f>
        <v>0.84999999999999976</v>
      </c>
    </row>
    <row r="24" spans="1:76" ht="15" customHeight="1" outlineLevel="1">
      <c r="A24" s="607"/>
      <c r="B24" s="556"/>
      <c r="C24" s="554" t="s">
        <v>11</v>
      </c>
      <c r="D24" s="555"/>
      <c r="E24" s="143">
        <f t="shared" ref="E24:R24" si="61">+E22-E23</f>
        <v>18321</v>
      </c>
      <c r="F24" s="144">
        <f t="shared" si="61"/>
        <v>0</v>
      </c>
      <c r="G24" s="145">
        <f t="shared" si="61"/>
        <v>0</v>
      </c>
      <c r="H24" s="145">
        <f t="shared" si="61"/>
        <v>0</v>
      </c>
      <c r="I24" s="145">
        <f t="shared" si="61"/>
        <v>0</v>
      </c>
      <c r="J24" s="145">
        <f t="shared" si="61"/>
        <v>0</v>
      </c>
      <c r="K24" s="145">
        <f t="shared" si="61"/>
        <v>0</v>
      </c>
      <c r="L24" s="145">
        <f t="shared" si="61"/>
        <v>0</v>
      </c>
      <c r="M24" s="145">
        <f t="shared" si="61"/>
        <v>0</v>
      </c>
      <c r="N24" s="145">
        <f t="shared" si="61"/>
        <v>0</v>
      </c>
      <c r="O24" s="145">
        <f t="shared" si="61"/>
        <v>0</v>
      </c>
      <c r="P24" s="145">
        <f t="shared" si="61"/>
        <v>0</v>
      </c>
      <c r="Q24" s="145">
        <f t="shared" si="61"/>
        <v>0</v>
      </c>
      <c r="R24" s="146">
        <f t="shared" si="61"/>
        <v>0</v>
      </c>
      <c r="S24" s="147">
        <f t="shared" si="45"/>
        <v>0</v>
      </c>
      <c r="T24" s="148">
        <f t="shared" ref="T24:AE24" si="62">+T22-T23</f>
        <v>24000</v>
      </c>
      <c r="U24" s="145">
        <f t="shared" si="62"/>
        <v>0</v>
      </c>
      <c r="V24" s="145">
        <f t="shared" si="62"/>
        <v>-13.450235192459786</v>
      </c>
      <c r="W24" s="145">
        <f t="shared" si="62"/>
        <v>-41.422054249066377</v>
      </c>
      <c r="X24" s="145">
        <f t="shared" si="62"/>
        <v>-68.627196716728349</v>
      </c>
      <c r="Y24" s="145">
        <f t="shared" si="62"/>
        <v>-95.040311467286756</v>
      </c>
      <c r="Z24" s="145">
        <f t="shared" si="62"/>
        <v>-107.68473935840075</v>
      </c>
      <c r="AA24" s="145">
        <f t="shared" si="62"/>
        <v>-129.83504687673985</v>
      </c>
      <c r="AB24" s="145">
        <f t="shared" si="62"/>
        <v>-150.93999893939463</v>
      </c>
      <c r="AC24" s="145">
        <f t="shared" si="62"/>
        <v>-170.82967088187388</v>
      </c>
      <c r="AD24" s="145">
        <f t="shared" si="62"/>
        <v>-189.34392276063591</v>
      </c>
      <c r="AE24" s="146">
        <f t="shared" si="62"/>
        <v>-206.33368870574805</v>
      </c>
      <c r="AF24" s="147">
        <f t="shared" si="46"/>
        <v>22826.493134851669</v>
      </c>
      <c r="AG24" s="148">
        <f t="shared" ref="AG24:AR24" si="63">+AG22-AG23</f>
        <v>-221.662177111647</v>
      </c>
      <c r="AH24" s="145">
        <f t="shared" si="63"/>
        <v>-235.20597200269322</v>
      </c>
      <c r="AI24" s="145">
        <f t="shared" si="63"/>
        <v>-246.8560267060484</v>
      </c>
      <c r="AJ24" s="145">
        <f t="shared" si="63"/>
        <v>-256.51854183135038</v>
      </c>
      <c r="AK24" s="145">
        <f t="shared" si="63"/>
        <v>-264.11572048829748</v>
      </c>
      <c r="AL24" s="145">
        <f t="shared" si="63"/>
        <v>-269.58639466139175</v>
      </c>
      <c r="AM24" s="145">
        <f t="shared" si="63"/>
        <v>-272.88651769891385</v>
      </c>
      <c r="AN24" s="145">
        <f t="shared" si="63"/>
        <v>-273.98951895059417</v>
      </c>
      <c r="AO24" s="145">
        <f t="shared" si="63"/>
        <v>-272.88651769891294</v>
      </c>
      <c r="AP24" s="145">
        <f t="shared" si="63"/>
        <v>-269.58639466139357</v>
      </c>
      <c r="AQ24" s="145">
        <f t="shared" si="63"/>
        <v>-264.11572048829566</v>
      </c>
      <c r="AR24" s="146">
        <f t="shared" si="63"/>
        <v>-256.51854183135401</v>
      </c>
      <c r="AS24" s="147">
        <f t="shared" si="47"/>
        <v>-3103.9280441308924</v>
      </c>
      <c r="AT24" s="148">
        <f t="shared" ref="AT24:BE24" si="64">+AT22-AT23</f>
        <v>-246.85602670604476</v>
      </c>
      <c r="AU24" s="145">
        <f t="shared" si="64"/>
        <v>-235.20597200269322</v>
      </c>
      <c r="AV24" s="145">
        <f t="shared" si="64"/>
        <v>-221.66217711164791</v>
      </c>
      <c r="AW24" s="145">
        <f t="shared" si="64"/>
        <v>-206.33368870574714</v>
      </c>
      <c r="AX24" s="145">
        <f t="shared" si="64"/>
        <v>-189.34392276063636</v>
      </c>
      <c r="AY24" s="145">
        <f t="shared" si="64"/>
        <v>-170.82967088187388</v>
      </c>
      <c r="AZ24" s="145">
        <f t="shared" si="64"/>
        <v>-150.93999893939781</v>
      </c>
      <c r="BA24" s="145">
        <f t="shared" si="64"/>
        <v>-129.83504687673758</v>
      </c>
      <c r="BB24" s="145">
        <f t="shared" si="64"/>
        <v>-107.68473935840052</v>
      </c>
      <c r="BC24" s="145">
        <f t="shared" si="64"/>
        <v>-84.66741763634991</v>
      </c>
      <c r="BD24" s="145">
        <f t="shared" si="64"/>
        <v>147.40039492450035</v>
      </c>
      <c r="BE24" s="146">
        <f t="shared" si="64"/>
        <v>163.22149207145333</v>
      </c>
      <c r="BF24" s="147">
        <f t="shared" si="48"/>
        <v>-1432.7367739835754</v>
      </c>
      <c r="BG24" s="148">
        <f t="shared" ref="BG24:BR24" si="65">+BG22-BG23</f>
        <v>31.1716832628303</v>
      </c>
      <c r="BH24" s="145">
        <f t="shared" si="65"/>
        <v>0</v>
      </c>
      <c r="BI24" s="145">
        <f t="shared" si="65"/>
        <v>0</v>
      </c>
      <c r="BJ24" s="145">
        <f t="shared" si="65"/>
        <v>0</v>
      </c>
      <c r="BK24" s="145">
        <f t="shared" si="65"/>
        <v>0</v>
      </c>
      <c r="BL24" s="145">
        <f t="shared" si="65"/>
        <v>0</v>
      </c>
      <c r="BM24" s="145">
        <f t="shared" si="65"/>
        <v>0</v>
      </c>
      <c r="BN24" s="145">
        <f t="shared" si="65"/>
        <v>0</v>
      </c>
      <c r="BO24" s="145">
        <f t="shared" si="65"/>
        <v>0</v>
      </c>
      <c r="BP24" s="145">
        <f t="shared" si="65"/>
        <v>0</v>
      </c>
      <c r="BQ24" s="145">
        <f t="shared" si="65"/>
        <v>0</v>
      </c>
      <c r="BR24" s="146">
        <f t="shared" si="65"/>
        <v>0</v>
      </c>
      <c r="BS24" s="147">
        <f t="shared" si="49"/>
        <v>31.1716832628303</v>
      </c>
      <c r="BT24" s="146">
        <f>+BT22-BT23</f>
        <v>0</v>
      </c>
      <c r="BU24" s="149">
        <f t="shared" si="43"/>
        <v>18321.000000000033</v>
      </c>
      <c r="BV24" s="150">
        <f t="shared" si="44"/>
        <v>18321</v>
      </c>
      <c r="BW24" s="151">
        <f t="shared" si="50"/>
        <v>-3.2741809263825417E-11</v>
      </c>
    </row>
    <row r="25" spans="1:76" ht="15" customHeight="1" outlineLevel="1">
      <c r="A25" s="607"/>
      <c r="B25" s="546" t="s">
        <v>58</v>
      </c>
      <c r="C25" s="246" t="s">
        <v>62</v>
      </c>
      <c r="D25" s="183" t="s">
        <v>122</v>
      </c>
      <c r="E25" s="153">
        <v>132451.6</v>
      </c>
      <c r="F25" s="153"/>
      <c r="G25" s="154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6"/>
      <c r="S25" s="157">
        <f t="shared" si="45"/>
        <v>0</v>
      </c>
      <c r="T25" s="158"/>
      <c r="U25" s="340">
        <v>26000</v>
      </c>
      <c r="V25" s="155"/>
      <c r="W25" s="155"/>
      <c r="X25" s="155"/>
      <c r="Y25" s="155"/>
      <c r="Z25" s="155"/>
      <c r="AA25" s="155"/>
      <c r="AB25" s="155"/>
      <c r="AC25" s="155"/>
      <c r="AD25" s="155"/>
      <c r="AE25" s="156"/>
      <c r="AF25" s="157">
        <f t="shared" si="46"/>
        <v>26000</v>
      </c>
      <c r="AG25" s="154"/>
      <c r="AH25" s="155"/>
      <c r="AI25" s="155"/>
      <c r="AJ25" s="155"/>
      <c r="AK25" s="155"/>
      <c r="AL25" s="155"/>
      <c r="AM25" s="155"/>
      <c r="AN25" s="155"/>
      <c r="AO25" s="155"/>
      <c r="AP25" s="155"/>
      <c r="AQ25" s="155">
        <v>213.28512469704384</v>
      </c>
      <c r="AR25" s="156">
        <v>638.13812767667741</v>
      </c>
      <c r="AS25" s="157">
        <f t="shared" si="47"/>
        <v>851.4232523737212</v>
      </c>
      <c r="AT25" s="158">
        <v>1057.8532176714114</v>
      </c>
      <c r="AU25" s="155">
        <v>1469.051095565073</v>
      </c>
      <c r="AV25" s="155">
        <v>1868.4210378253006</v>
      </c>
      <c r="AW25" s="155">
        <v>2252.7475525027648</v>
      </c>
      <c r="AX25" s="155">
        <v>2618.9362684815078</v>
      </c>
      <c r="AY25" s="155">
        <v>2964.0388495360748</v>
      </c>
      <c r="AZ25" s="155">
        <v>3285.2767326008575</v>
      </c>
      <c r="BA25" s="155">
        <v>3580.0634991260918</v>
      </c>
      <c r="BB25" s="155">
        <v>3846.0256993996322</v>
      </c>
      <c r="BC25" s="155">
        <v>4081.0219621681094</v>
      </c>
      <c r="BD25" s="155">
        <v>4283.1602356992908</v>
      </c>
      <c r="BE25" s="156">
        <v>4450.8130214699386</v>
      </c>
      <c r="BF25" s="157">
        <f t="shared" si="48"/>
        <v>35757.409172046056</v>
      </c>
      <c r="BG25" s="158">
        <v>4582.6304778275608</v>
      </c>
      <c r="BH25" s="155">
        <v>4677.551288120615</v>
      </c>
      <c r="BI25" s="155">
        <v>4734.8112057974758</v>
      </c>
      <c r="BJ25" s="155">
        <v>4753.9492076691213</v>
      </c>
      <c r="BK25" s="155">
        <v>4734.8112057974813</v>
      </c>
      <c r="BL25" s="155">
        <v>4677.5512881206641</v>
      </c>
      <c r="BM25" s="155">
        <v>4582.6304778275135</v>
      </c>
      <c r="BN25" s="158">
        <v>4450.8130214699868</v>
      </c>
      <c r="BO25" s="155">
        <v>4283.1602356992489</v>
      </c>
      <c r="BP25" s="155">
        <v>4081.0219621681094</v>
      </c>
      <c r="BQ25" s="155">
        <v>3846.0256993996386</v>
      </c>
      <c r="BR25" s="155">
        <v>3580.0634991260767</v>
      </c>
      <c r="BS25" s="157">
        <f t="shared" si="49"/>
        <v>52985.019569023483</v>
      </c>
      <c r="BT25" s="280">
        <v>16858</v>
      </c>
      <c r="BU25" s="159">
        <f t="shared" si="43"/>
        <v>132451.85199344327</v>
      </c>
      <c r="BV25" s="160">
        <f t="shared" si="44"/>
        <v>132451.6</v>
      </c>
      <c r="BW25" s="161">
        <f t="shared" si="50"/>
        <v>-0.25199344326392747</v>
      </c>
    </row>
    <row r="26" spans="1:76" ht="15" customHeight="1" outlineLevel="1">
      <c r="A26" s="607"/>
      <c r="B26" s="548"/>
      <c r="C26" s="245" t="s">
        <v>63</v>
      </c>
      <c r="D26" s="184" t="s">
        <v>119</v>
      </c>
      <c r="E26" s="136">
        <v>112584.2</v>
      </c>
      <c r="F26" s="136"/>
      <c r="G26" s="137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9"/>
      <c r="S26" s="162">
        <f t="shared" si="45"/>
        <v>0</v>
      </c>
      <c r="T26" s="141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9"/>
      <c r="AF26" s="162">
        <f t="shared" si="46"/>
        <v>0</v>
      </c>
      <c r="AG26" s="137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>
        <v>226.61544499060906</v>
      </c>
      <c r="AR26" s="139">
        <v>678.02176065646972</v>
      </c>
      <c r="AS26" s="162">
        <f t="shared" si="47"/>
        <v>904.63720564707876</v>
      </c>
      <c r="AT26" s="141">
        <v>1123.9690437758743</v>
      </c>
      <c r="AU26" s="138">
        <v>1560.8667890378899</v>
      </c>
      <c r="AV26" s="138">
        <v>1985.1973526893819</v>
      </c>
      <c r="AW26" s="138">
        <v>2393.5442745341875</v>
      </c>
      <c r="AX26" s="138">
        <v>2782.6197852616019</v>
      </c>
      <c r="AY26" s="138">
        <v>3149.2912776320795</v>
      </c>
      <c r="AZ26" s="138">
        <v>3490.6065283884109</v>
      </c>
      <c r="BA26" s="138">
        <v>3803.8174678214723</v>
      </c>
      <c r="BB26" s="138">
        <v>4086.4023056121091</v>
      </c>
      <c r="BC26" s="138">
        <v>4336.0858348036163</v>
      </c>
      <c r="BD26" s="138">
        <v>4550.8577504304958</v>
      </c>
      <c r="BE26" s="139">
        <v>4728.9888353118095</v>
      </c>
      <c r="BF26" s="162">
        <f t="shared" si="48"/>
        <v>37992.247245298924</v>
      </c>
      <c r="BG26" s="141">
        <v>4869.0448826917836</v>
      </c>
      <c r="BH26" s="138">
        <v>4969.898243628154</v>
      </c>
      <c r="BI26" s="138">
        <v>5030.7369061598183</v>
      </c>
      <c r="BJ26" s="138">
        <v>5051.0710331484406</v>
      </c>
      <c r="BK26" s="138">
        <v>5030.7369061598238</v>
      </c>
      <c r="BL26" s="138">
        <v>4969.8982436282049</v>
      </c>
      <c r="BM26" s="138">
        <v>4869.0448826917327</v>
      </c>
      <c r="BN26" s="141">
        <v>4728.9888353118604</v>
      </c>
      <c r="BO26" s="138">
        <v>4550.8577504304512</v>
      </c>
      <c r="BP26" s="138">
        <v>4336.0858348036163</v>
      </c>
      <c r="BQ26" s="138">
        <v>4086.402305612115</v>
      </c>
      <c r="BR26" s="138">
        <v>3803.8174678214568</v>
      </c>
      <c r="BS26" s="162">
        <f t="shared" si="49"/>
        <v>56296.583292087445</v>
      </c>
      <c r="BT26" s="279">
        <v>17391</v>
      </c>
      <c r="BU26" s="90">
        <f t="shared" si="43"/>
        <v>112584.46774303346</v>
      </c>
      <c r="BV26" s="91">
        <f t="shared" si="44"/>
        <v>112584.2</v>
      </c>
      <c r="BW26" s="92">
        <f t="shared" si="50"/>
        <v>-0.26774303345882799</v>
      </c>
      <c r="BX26" s="64">
        <f>+BU26/BU25</f>
        <v>0.85000297125786284</v>
      </c>
    </row>
    <row r="27" spans="1:76" ht="15" customHeight="1" outlineLevel="1">
      <c r="A27" s="607"/>
      <c r="B27" s="549"/>
      <c r="C27" s="554" t="s">
        <v>11</v>
      </c>
      <c r="D27" s="555"/>
      <c r="E27" s="143">
        <f t="shared" ref="E27:R27" si="66">+E25-E26</f>
        <v>19867.400000000009</v>
      </c>
      <c r="F27" s="144">
        <f t="shared" si="66"/>
        <v>0</v>
      </c>
      <c r="G27" s="145">
        <f t="shared" si="66"/>
        <v>0</v>
      </c>
      <c r="H27" s="145">
        <f t="shared" si="66"/>
        <v>0</v>
      </c>
      <c r="I27" s="145">
        <f t="shared" si="66"/>
        <v>0</v>
      </c>
      <c r="J27" s="145">
        <f t="shared" si="66"/>
        <v>0</v>
      </c>
      <c r="K27" s="145">
        <f t="shared" si="66"/>
        <v>0</v>
      </c>
      <c r="L27" s="145">
        <f t="shared" si="66"/>
        <v>0</v>
      </c>
      <c r="M27" s="145">
        <f t="shared" si="66"/>
        <v>0</v>
      </c>
      <c r="N27" s="145">
        <f t="shared" si="66"/>
        <v>0</v>
      </c>
      <c r="O27" s="145">
        <f t="shared" si="66"/>
        <v>0</v>
      </c>
      <c r="P27" s="145">
        <f t="shared" si="66"/>
        <v>0</v>
      </c>
      <c r="Q27" s="145">
        <f t="shared" si="66"/>
        <v>0</v>
      </c>
      <c r="R27" s="146">
        <f t="shared" si="66"/>
        <v>0</v>
      </c>
      <c r="S27" s="147">
        <f t="shared" si="45"/>
        <v>0</v>
      </c>
      <c r="T27" s="148">
        <f t="shared" ref="T27:AE27" si="67">+T25-T26</f>
        <v>0</v>
      </c>
      <c r="U27" s="145">
        <f t="shared" si="67"/>
        <v>26000</v>
      </c>
      <c r="V27" s="145">
        <f t="shared" si="67"/>
        <v>0</v>
      </c>
      <c r="W27" s="145">
        <f t="shared" si="67"/>
        <v>0</v>
      </c>
      <c r="X27" s="145">
        <f t="shared" si="67"/>
        <v>0</v>
      </c>
      <c r="Y27" s="145">
        <f t="shared" si="67"/>
        <v>0</v>
      </c>
      <c r="Z27" s="145">
        <f t="shared" si="67"/>
        <v>0</v>
      </c>
      <c r="AA27" s="145">
        <f t="shared" si="67"/>
        <v>0</v>
      </c>
      <c r="AB27" s="145">
        <f t="shared" si="67"/>
        <v>0</v>
      </c>
      <c r="AC27" s="145">
        <f t="shared" si="67"/>
        <v>0</v>
      </c>
      <c r="AD27" s="145">
        <f t="shared" si="67"/>
        <v>0</v>
      </c>
      <c r="AE27" s="146">
        <f t="shared" si="67"/>
        <v>0</v>
      </c>
      <c r="AF27" s="147">
        <f t="shared" si="46"/>
        <v>26000</v>
      </c>
      <c r="AG27" s="148">
        <f t="shared" ref="AG27:AR27" si="68">+AG25-AG26</f>
        <v>0</v>
      </c>
      <c r="AH27" s="145">
        <f t="shared" si="68"/>
        <v>0</v>
      </c>
      <c r="AI27" s="145">
        <f t="shared" si="68"/>
        <v>0</v>
      </c>
      <c r="AJ27" s="145">
        <f t="shared" si="68"/>
        <v>0</v>
      </c>
      <c r="AK27" s="145">
        <f t="shared" si="68"/>
        <v>0</v>
      </c>
      <c r="AL27" s="145">
        <f t="shared" si="68"/>
        <v>0</v>
      </c>
      <c r="AM27" s="145">
        <f t="shared" si="68"/>
        <v>0</v>
      </c>
      <c r="AN27" s="145">
        <f t="shared" si="68"/>
        <v>0</v>
      </c>
      <c r="AO27" s="145">
        <f t="shared" si="68"/>
        <v>0</v>
      </c>
      <c r="AP27" s="145">
        <f t="shared" si="68"/>
        <v>0</v>
      </c>
      <c r="AQ27" s="145">
        <f t="shared" si="68"/>
        <v>-13.330320293565222</v>
      </c>
      <c r="AR27" s="146">
        <f t="shared" si="68"/>
        <v>-39.88363297979231</v>
      </c>
      <c r="AS27" s="147">
        <f t="shared" si="47"/>
        <v>-53.213953273357532</v>
      </c>
      <c r="AT27" s="148">
        <f t="shared" ref="AT27:BE27" si="69">+AT25-AT26</f>
        <v>-66.11582610446294</v>
      </c>
      <c r="AU27" s="145">
        <f t="shared" si="69"/>
        <v>-91.815693472816974</v>
      </c>
      <c r="AV27" s="145">
        <f t="shared" si="69"/>
        <v>-116.77631486408131</v>
      </c>
      <c r="AW27" s="145">
        <f t="shared" si="69"/>
        <v>-140.79672203142263</v>
      </c>
      <c r="AX27" s="145">
        <f t="shared" si="69"/>
        <v>-163.68351678009412</v>
      </c>
      <c r="AY27" s="145">
        <f t="shared" si="69"/>
        <v>-185.25242809600468</v>
      </c>
      <c r="AZ27" s="145">
        <f t="shared" si="69"/>
        <v>-205.32979578755339</v>
      </c>
      <c r="BA27" s="145">
        <f t="shared" si="69"/>
        <v>-223.75396869538054</v>
      </c>
      <c r="BB27" s="145">
        <f t="shared" si="69"/>
        <v>-240.37660621247687</v>
      </c>
      <c r="BC27" s="145">
        <f t="shared" si="69"/>
        <v>-255.06387263550687</v>
      </c>
      <c r="BD27" s="145">
        <f t="shared" si="69"/>
        <v>-267.69751473120505</v>
      </c>
      <c r="BE27" s="146">
        <f t="shared" si="69"/>
        <v>-278.17581384187088</v>
      </c>
      <c r="BF27" s="147">
        <f t="shared" si="48"/>
        <v>-2234.8380732528763</v>
      </c>
      <c r="BG27" s="148">
        <f t="shared" ref="BG27:BR27" si="70">+BG25-BG26</f>
        <v>-286.41440486422289</v>
      </c>
      <c r="BH27" s="145">
        <f t="shared" si="70"/>
        <v>-292.34695550753895</v>
      </c>
      <c r="BI27" s="145">
        <f t="shared" si="70"/>
        <v>-295.92570036234247</v>
      </c>
      <c r="BJ27" s="145">
        <f t="shared" si="70"/>
        <v>-297.12182547931934</v>
      </c>
      <c r="BK27" s="145">
        <f t="shared" si="70"/>
        <v>-295.92570036234247</v>
      </c>
      <c r="BL27" s="145">
        <f t="shared" si="70"/>
        <v>-292.34695550754077</v>
      </c>
      <c r="BM27" s="145">
        <f t="shared" si="70"/>
        <v>-286.41440486421925</v>
      </c>
      <c r="BN27" s="145">
        <f t="shared" si="70"/>
        <v>-278.17581384187361</v>
      </c>
      <c r="BO27" s="145">
        <f t="shared" si="70"/>
        <v>-267.69751473120232</v>
      </c>
      <c r="BP27" s="145">
        <f t="shared" si="70"/>
        <v>-255.06387263550687</v>
      </c>
      <c r="BQ27" s="145">
        <f t="shared" si="70"/>
        <v>-240.37660621247642</v>
      </c>
      <c r="BR27" s="146">
        <f t="shared" si="70"/>
        <v>-223.75396869538008</v>
      </c>
      <c r="BS27" s="147">
        <f t="shared" si="49"/>
        <v>-3311.5637230639654</v>
      </c>
      <c r="BT27" s="146">
        <f>+BT25-BT26</f>
        <v>-533</v>
      </c>
      <c r="BU27" s="98">
        <f t="shared" si="43"/>
        <v>19867.384250409803</v>
      </c>
      <c r="BV27" s="99">
        <f t="shared" si="44"/>
        <v>19867.400000000009</v>
      </c>
      <c r="BW27" s="100">
        <f t="shared" si="50"/>
        <v>1.5749590205814457E-2</v>
      </c>
    </row>
    <row r="28" spans="1:76" ht="15" customHeight="1" outlineLevel="1">
      <c r="A28" s="607"/>
      <c r="B28" s="547" t="s">
        <v>60</v>
      </c>
      <c r="C28" s="244" t="s">
        <v>62</v>
      </c>
      <c r="D28" s="183" t="s">
        <v>122</v>
      </c>
      <c r="E28" s="128">
        <v>156725</v>
      </c>
      <c r="F28" s="128"/>
      <c r="G28" s="129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1"/>
      <c r="S28" s="163">
        <f t="shared" si="45"/>
        <v>0</v>
      </c>
      <c r="T28" s="141"/>
      <c r="U28" s="138"/>
      <c r="V28" s="341">
        <v>31000</v>
      </c>
      <c r="W28" s="138"/>
      <c r="X28" s="138"/>
      <c r="Y28" s="138"/>
      <c r="Z28" s="138"/>
      <c r="AA28" s="138"/>
      <c r="AB28" s="138"/>
      <c r="AC28" s="138"/>
      <c r="AD28" s="138"/>
      <c r="AE28" s="139">
        <v>252.37150943846979</v>
      </c>
      <c r="AF28" s="163">
        <f t="shared" si="46"/>
        <v>31252.371509438472</v>
      </c>
      <c r="AG28" s="137">
        <v>755.08258131343644</v>
      </c>
      <c r="AH28" s="138">
        <v>1251.7141722250474</v>
      </c>
      <c r="AI28" s="138">
        <v>1738.2676966179142</v>
      </c>
      <c r="AJ28" s="138">
        <v>2210.8257116024693</v>
      </c>
      <c r="AK28" s="138">
        <v>2665.5834579016987</v>
      </c>
      <c r="AL28" s="138">
        <v>3098.8794935355022</v>
      </c>
      <c r="AM28" s="138">
        <v>3507.225173599048</v>
      </c>
      <c r="AN28" s="138">
        <v>3887.3327387798549</v>
      </c>
      <c r="AO28" s="138">
        <v>4236.1417864625428</v>
      </c>
      <c r="AP28" s="138">
        <v>4550.8439112916949</v>
      </c>
      <c r="AQ28" s="138">
        <v>4828.9053168000228</v>
      </c>
      <c r="AR28" s="139">
        <v>5068.0872160478657</v>
      </c>
      <c r="AS28" s="163">
        <f t="shared" si="47"/>
        <v>37798.889256177106</v>
      </c>
      <c r="AT28" s="141">
        <v>5266.4638570189663</v>
      </c>
      <c r="AU28" s="138">
        <v>5422.438027644157</v>
      </c>
      <c r="AV28" s="138">
        <v>5534.7539156124712</v>
      </c>
      <c r="AW28" s="138">
        <v>5602.5072194350487</v>
      </c>
      <c r="AX28" s="138">
        <v>5625.1524293475513</v>
      </c>
      <c r="AY28" s="138">
        <v>5602.5072194350487</v>
      </c>
      <c r="AZ28" s="138">
        <v>5534.7539156125313</v>
      </c>
      <c r="BA28" s="138">
        <v>5422.4380276441098</v>
      </c>
      <c r="BB28" s="138">
        <v>5266.4638570190191</v>
      </c>
      <c r="BC28" s="138">
        <v>5068.0872160478002</v>
      </c>
      <c r="BD28" s="138">
        <v>4828.9053168000346</v>
      </c>
      <c r="BE28" s="139">
        <v>4550.8439112916949</v>
      </c>
      <c r="BF28" s="163">
        <f t="shared" si="48"/>
        <v>63725.314912908434</v>
      </c>
      <c r="BG28" s="141">
        <v>4236.1417864625337</v>
      </c>
      <c r="BH28" s="138">
        <v>3887.3327387798672</v>
      </c>
      <c r="BI28" s="138">
        <v>3507.2251735990526</v>
      </c>
      <c r="BJ28" s="138">
        <v>3098.8794935355668</v>
      </c>
      <c r="BK28" s="138">
        <v>2665.5834579016687</v>
      </c>
      <c r="BL28" s="138">
        <v>2210.8257116024492</v>
      </c>
      <c r="BM28" s="138">
        <v>1738.2676966179135</v>
      </c>
      <c r="BN28" s="138">
        <v>1251.7141722250462</v>
      </c>
      <c r="BO28" s="138">
        <v>755.08258131344326</v>
      </c>
      <c r="BP28" s="138">
        <v>597.371509438467</v>
      </c>
      <c r="BQ28" s="138"/>
      <c r="BR28" s="139"/>
      <c r="BS28" s="163">
        <f t="shared" si="49"/>
        <v>23948.42432147601</v>
      </c>
      <c r="BT28" s="279"/>
      <c r="BU28" s="159">
        <f t="shared" si="43"/>
        <v>156725.00000000003</v>
      </c>
      <c r="BV28" s="165">
        <f t="shared" si="44"/>
        <v>156725</v>
      </c>
      <c r="BW28" s="166">
        <f t="shared" si="50"/>
        <v>0</v>
      </c>
    </row>
    <row r="29" spans="1:76" ht="15" customHeight="1" outlineLevel="1">
      <c r="A29" s="607"/>
      <c r="B29" s="548"/>
      <c r="C29" s="245" t="s">
        <v>63</v>
      </c>
      <c r="D29" s="184" t="s">
        <v>119</v>
      </c>
      <c r="E29" s="136">
        <v>133216.24999999997</v>
      </c>
      <c r="F29" s="136"/>
      <c r="G29" s="137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9"/>
      <c r="S29" s="162">
        <f t="shared" si="45"/>
        <v>0</v>
      </c>
      <c r="T29" s="141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9">
        <v>268.14472877837414</v>
      </c>
      <c r="AF29" s="162">
        <f t="shared" si="46"/>
        <v>268.14472877837414</v>
      </c>
      <c r="AG29" s="137">
        <v>802.27524264552608</v>
      </c>
      <c r="AH29" s="138">
        <v>1329.9463079891127</v>
      </c>
      <c r="AI29" s="138">
        <v>1846.9094276565336</v>
      </c>
      <c r="AJ29" s="138">
        <v>2349.002318577624</v>
      </c>
      <c r="AK29" s="138">
        <v>2832.1824240205547</v>
      </c>
      <c r="AL29" s="138">
        <v>3292.5594618814707</v>
      </c>
      <c r="AM29" s="138">
        <v>3726.4267469489887</v>
      </c>
      <c r="AN29" s="138">
        <v>4130.291034953596</v>
      </c>
      <c r="AO29" s="138">
        <v>4500.9006481164506</v>
      </c>
      <c r="AP29" s="138">
        <v>4835.271655747425</v>
      </c>
      <c r="AQ29" s="138">
        <v>5130.7118991000234</v>
      </c>
      <c r="AR29" s="139">
        <v>5384.842667050857</v>
      </c>
      <c r="AS29" s="162">
        <f t="shared" si="47"/>
        <v>40161.319834688162</v>
      </c>
      <c r="AT29" s="141">
        <v>5595.6178480826511</v>
      </c>
      <c r="AU29" s="138">
        <v>5761.3404043719174</v>
      </c>
      <c r="AV29" s="138">
        <v>5880.6760353382506</v>
      </c>
      <c r="AW29" s="138">
        <v>5952.6639206497384</v>
      </c>
      <c r="AX29" s="138">
        <v>5976.7244561817724</v>
      </c>
      <c r="AY29" s="138">
        <v>5952.6639206497384</v>
      </c>
      <c r="AZ29" s="138">
        <v>5880.6760353383133</v>
      </c>
      <c r="BA29" s="138">
        <v>5761.3404043718665</v>
      </c>
      <c r="BB29" s="138">
        <v>5595.6178480827075</v>
      </c>
      <c r="BC29" s="138">
        <v>5384.842667050787</v>
      </c>
      <c r="BD29" s="138">
        <v>5130.7118991000361</v>
      </c>
      <c r="BE29" s="139">
        <v>4835.271655747425</v>
      </c>
      <c r="BF29" s="162">
        <f t="shared" si="48"/>
        <v>67708.147094965214</v>
      </c>
      <c r="BG29" s="141">
        <v>4500.9006481164415</v>
      </c>
      <c r="BH29" s="138">
        <v>4130.2910349536078</v>
      </c>
      <c r="BI29" s="138">
        <v>3726.4267469489932</v>
      </c>
      <c r="BJ29" s="138">
        <v>3292.5594618815394</v>
      </c>
      <c r="BK29" s="138">
        <v>2832.1824240205228</v>
      </c>
      <c r="BL29" s="138">
        <v>2349.0023185776026</v>
      </c>
      <c r="BM29" s="138">
        <v>1846.9094276565329</v>
      </c>
      <c r="BN29" s="138">
        <v>1329.9463079891116</v>
      </c>
      <c r="BO29" s="138">
        <v>802.27524264553335</v>
      </c>
      <c r="BP29" s="138">
        <v>268.14472877837125</v>
      </c>
      <c r="BQ29" s="138"/>
      <c r="BR29" s="139"/>
      <c r="BS29" s="162">
        <f t="shared" si="49"/>
        <v>25078.638341568254</v>
      </c>
      <c r="BT29" s="279"/>
      <c r="BU29" s="90">
        <f t="shared" si="43"/>
        <v>133216.25</v>
      </c>
      <c r="BV29" s="91">
        <f t="shared" si="44"/>
        <v>133216.24999999997</v>
      </c>
      <c r="BW29" s="92">
        <f t="shared" si="50"/>
        <v>0</v>
      </c>
      <c r="BX29" s="64">
        <f>+BU29/BU28</f>
        <v>0.84999999999999987</v>
      </c>
    </row>
    <row r="30" spans="1:76" ht="15" customHeight="1" outlineLevel="1">
      <c r="A30" s="607"/>
      <c r="B30" s="556"/>
      <c r="C30" s="554" t="s">
        <v>11</v>
      </c>
      <c r="D30" s="555"/>
      <c r="E30" s="143">
        <f t="shared" ref="E30:R30" si="71">+E28-E29</f>
        <v>23508.750000000029</v>
      </c>
      <c r="F30" s="144">
        <f t="shared" si="71"/>
        <v>0</v>
      </c>
      <c r="G30" s="145">
        <f t="shared" si="71"/>
        <v>0</v>
      </c>
      <c r="H30" s="145">
        <f t="shared" si="71"/>
        <v>0</v>
      </c>
      <c r="I30" s="145">
        <f t="shared" si="71"/>
        <v>0</v>
      </c>
      <c r="J30" s="145">
        <f t="shared" si="71"/>
        <v>0</v>
      </c>
      <c r="K30" s="145">
        <f t="shared" si="71"/>
        <v>0</v>
      </c>
      <c r="L30" s="145">
        <f t="shared" si="71"/>
        <v>0</v>
      </c>
      <c r="M30" s="145">
        <f t="shared" si="71"/>
        <v>0</v>
      </c>
      <c r="N30" s="145">
        <f t="shared" si="71"/>
        <v>0</v>
      </c>
      <c r="O30" s="145">
        <f t="shared" si="71"/>
        <v>0</v>
      </c>
      <c r="P30" s="145">
        <f t="shared" si="71"/>
        <v>0</v>
      </c>
      <c r="Q30" s="145">
        <f t="shared" si="71"/>
        <v>0</v>
      </c>
      <c r="R30" s="146">
        <f t="shared" si="71"/>
        <v>0</v>
      </c>
      <c r="S30" s="147">
        <f t="shared" si="45"/>
        <v>0</v>
      </c>
      <c r="T30" s="148">
        <f t="shared" ref="T30:AE30" si="72">+T28-T29</f>
        <v>0</v>
      </c>
      <c r="U30" s="145">
        <f t="shared" si="72"/>
        <v>0</v>
      </c>
      <c r="V30" s="145">
        <f t="shared" si="72"/>
        <v>31000</v>
      </c>
      <c r="W30" s="145">
        <f t="shared" si="72"/>
        <v>0</v>
      </c>
      <c r="X30" s="145">
        <f t="shared" si="72"/>
        <v>0</v>
      </c>
      <c r="Y30" s="145">
        <f t="shared" si="72"/>
        <v>0</v>
      </c>
      <c r="Z30" s="145">
        <f t="shared" si="72"/>
        <v>0</v>
      </c>
      <c r="AA30" s="145">
        <f t="shared" si="72"/>
        <v>0</v>
      </c>
      <c r="AB30" s="145">
        <f t="shared" si="72"/>
        <v>0</v>
      </c>
      <c r="AC30" s="145">
        <f t="shared" si="72"/>
        <v>0</v>
      </c>
      <c r="AD30" s="145">
        <f t="shared" si="72"/>
        <v>0</v>
      </c>
      <c r="AE30" s="146">
        <f t="shared" si="72"/>
        <v>-15.773219339904358</v>
      </c>
      <c r="AF30" s="147">
        <f t="shared" si="46"/>
        <v>30984.226780660094</v>
      </c>
      <c r="AG30" s="148">
        <f t="shared" ref="AG30:AR30" si="73">+AG28-AG29</f>
        <v>-47.192661332089642</v>
      </c>
      <c r="AH30" s="145">
        <f t="shared" si="73"/>
        <v>-78.232135764065333</v>
      </c>
      <c r="AI30" s="145">
        <f t="shared" si="73"/>
        <v>-108.64173103861935</v>
      </c>
      <c r="AJ30" s="145">
        <f t="shared" si="73"/>
        <v>-138.17660697515475</v>
      </c>
      <c r="AK30" s="145">
        <f t="shared" si="73"/>
        <v>-166.59896611885597</v>
      </c>
      <c r="AL30" s="145">
        <f t="shared" si="73"/>
        <v>-193.67996834596852</v>
      </c>
      <c r="AM30" s="145">
        <f t="shared" si="73"/>
        <v>-219.20157334994065</v>
      </c>
      <c r="AN30" s="145">
        <f t="shared" si="73"/>
        <v>-242.95829617374102</v>
      </c>
      <c r="AO30" s="145">
        <f t="shared" si="73"/>
        <v>-264.75886165390784</v>
      </c>
      <c r="AP30" s="145">
        <f t="shared" si="73"/>
        <v>-284.42774445573014</v>
      </c>
      <c r="AQ30" s="145">
        <f t="shared" si="73"/>
        <v>-301.80658230000063</v>
      </c>
      <c r="AR30" s="146">
        <f t="shared" si="73"/>
        <v>-316.75545100299132</v>
      </c>
      <c r="AS30" s="147">
        <f t="shared" si="47"/>
        <v>-2362.4305785110651</v>
      </c>
      <c r="AT30" s="148">
        <f t="shared" ref="AT30:BE30" si="74">+AT28-AT29</f>
        <v>-329.15399106368477</v>
      </c>
      <c r="AU30" s="145">
        <f t="shared" si="74"/>
        <v>-338.90237672776038</v>
      </c>
      <c r="AV30" s="145">
        <f t="shared" si="74"/>
        <v>-345.92211972577934</v>
      </c>
      <c r="AW30" s="145">
        <f t="shared" si="74"/>
        <v>-350.15670121468975</v>
      </c>
      <c r="AX30" s="145">
        <f t="shared" si="74"/>
        <v>-351.57202683422111</v>
      </c>
      <c r="AY30" s="145">
        <f t="shared" si="74"/>
        <v>-350.15670121468975</v>
      </c>
      <c r="AZ30" s="145">
        <f t="shared" si="74"/>
        <v>-345.92211972578207</v>
      </c>
      <c r="BA30" s="145">
        <f t="shared" si="74"/>
        <v>-338.90237672775675</v>
      </c>
      <c r="BB30" s="145">
        <f t="shared" si="74"/>
        <v>-329.15399106368841</v>
      </c>
      <c r="BC30" s="145">
        <f t="shared" si="74"/>
        <v>-316.75545100298677</v>
      </c>
      <c r="BD30" s="145">
        <f t="shared" si="74"/>
        <v>-301.80658230000154</v>
      </c>
      <c r="BE30" s="146">
        <f t="shared" si="74"/>
        <v>-284.42774445573014</v>
      </c>
      <c r="BF30" s="147">
        <f t="shared" si="48"/>
        <v>-3982.8321820567708</v>
      </c>
      <c r="BG30" s="148">
        <f t="shared" ref="BG30:BR30" si="75">+BG28-BG29</f>
        <v>-264.75886165390784</v>
      </c>
      <c r="BH30" s="145">
        <f t="shared" si="75"/>
        <v>-242.95829617374056</v>
      </c>
      <c r="BI30" s="145">
        <f t="shared" si="75"/>
        <v>-219.20157334994065</v>
      </c>
      <c r="BJ30" s="145">
        <f t="shared" si="75"/>
        <v>-193.67996834597261</v>
      </c>
      <c r="BK30" s="145">
        <f t="shared" si="75"/>
        <v>-166.59896611885415</v>
      </c>
      <c r="BL30" s="145">
        <f t="shared" si="75"/>
        <v>-138.17660697515339</v>
      </c>
      <c r="BM30" s="145">
        <f t="shared" si="75"/>
        <v>-108.64173103861935</v>
      </c>
      <c r="BN30" s="145">
        <f t="shared" si="75"/>
        <v>-78.232135764065333</v>
      </c>
      <c r="BO30" s="145">
        <f t="shared" si="75"/>
        <v>-47.192661332090097</v>
      </c>
      <c r="BP30" s="145">
        <f t="shared" si="75"/>
        <v>329.22678066009576</v>
      </c>
      <c r="BQ30" s="145">
        <f t="shared" si="75"/>
        <v>0</v>
      </c>
      <c r="BR30" s="146">
        <f t="shared" si="75"/>
        <v>0</v>
      </c>
      <c r="BS30" s="147">
        <f t="shared" si="49"/>
        <v>-1130.2140200922481</v>
      </c>
      <c r="BT30" s="146">
        <f>+BT28-BT29</f>
        <v>0</v>
      </c>
      <c r="BU30" s="98">
        <f t="shared" si="43"/>
        <v>23508.750000000011</v>
      </c>
      <c r="BV30" s="150">
        <f t="shared" si="44"/>
        <v>23508.750000000029</v>
      </c>
      <c r="BW30" s="151">
        <f t="shared" si="50"/>
        <v>0</v>
      </c>
    </row>
    <row r="31" spans="1:76" ht="15" customHeight="1" outlineLevel="1">
      <c r="A31" s="607"/>
      <c r="B31" s="611" t="s">
        <v>64</v>
      </c>
      <c r="C31" s="249" t="s">
        <v>62</v>
      </c>
      <c r="D31" s="267" t="s">
        <v>121</v>
      </c>
      <c r="E31" s="153">
        <f t="shared" ref="E31:R32" si="76">+E16+E19+E22+E25+E28</f>
        <v>467441.53063161473</v>
      </c>
      <c r="F31" s="153">
        <f t="shared" si="76"/>
        <v>24687.972815841691</v>
      </c>
      <c r="G31" s="154">
        <f t="shared" si="76"/>
        <v>963.8136184006878</v>
      </c>
      <c r="H31" s="155">
        <f t="shared" si="76"/>
        <v>984.46804766751484</v>
      </c>
      <c r="I31" s="155">
        <f t="shared" si="76"/>
        <v>1446.3651858676978</v>
      </c>
      <c r="J31" s="155">
        <f t="shared" si="76"/>
        <v>891.82752501074333</v>
      </c>
      <c r="K31" s="155">
        <f t="shared" si="76"/>
        <v>735.25743896995709</v>
      </c>
      <c r="L31" s="155">
        <f t="shared" si="76"/>
        <v>811.6274367599915</v>
      </c>
      <c r="M31" s="155">
        <f t="shared" si="76"/>
        <v>907.1002998935943</v>
      </c>
      <c r="N31" s="155">
        <f t="shared" si="76"/>
        <v>749.25992968013099</v>
      </c>
      <c r="O31" s="155">
        <f t="shared" si="76"/>
        <v>805.19597056855093</v>
      </c>
      <c r="P31" s="155">
        <f t="shared" si="76"/>
        <v>840.77824079768106</v>
      </c>
      <c r="Q31" s="155">
        <f t="shared" si="76"/>
        <v>854.36611757420894</v>
      </c>
      <c r="R31" s="156">
        <f t="shared" si="76"/>
        <v>662.64405038551502</v>
      </c>
      <c r="S31" s="157">
        <f t="shared" si="45"/>
        <v>10652.703861576274</v>
      </c>
      <c r="T31" s="154">
        <f>+T16+T19+T22+T25+T28</f>
        <v>24542.340098376142</v>
      </c>
      <c r="U31" s="155">
        <f>+U16+U19+U22+U25+U28</f>
        <v>27967.231307125727</v>
      </c>
      <c r="V31" s="155">
        <f t="shared" ref="V31:AE32" si="77">+V16+V19+V22+V25+V28</f>
        <v>31752.683788886563</v>
      </c>
      <c r="W31" s="155">
        <f t="shared" si="77"/>
        <v>3101.0164109598818</v>
      </c>
      <c r="X31" s="155">
        <f t="shared" si="77"/>
        <v>3423.5074626274804</v>
      </c>
      <c r="Y31" s="155">
        <f t="shared" si="77"/>
        <v>3481.5844504615297</v>
      </c>
      <c r="Z31" s="155">
        <f t="shared" si="77"/>
        <v>3375.1453029760869</v>
      </c>
      <c r="AA31" s="155">
        <f t="shared" si="77"/>
        <v>3651.2769523750376</v>
      </c>
      <c r="AB31" s="155">
        <f t="shared" si="77"/>
        <v>4201.2467105383876</v>
      </c>
      <c r="AC31" s="155">
        <f t="shared" si="77"/>
        <v>4433.2047186031896</v>
      </c>
      <c r="AD31" s="155">
        <f t="shared" si="77"/>
        <v>4401.4662492483758</v>
      </c>
      <c r="AE31" s="167">
        <f t="shared" si="77"/>
        <v>5038.6680981636255</v>
      </c>
      <c r="AF31" s="157">
        <f t="shared" si="46"/>
        <v>119369.37155034202</v>
      </c>
      <c r="AG31" s="154">
        <f>+AG16+AG19+AG22+AG25+AG28</f>
        <v>5748.2493922343392</v>
      </c>
      <c r="AH31" s="155">
        <f>+AH16+AH19+AH22+AH25+AH28</f>
        <v>5015.0097242681486</v>
      </c>
      <c r="AI31" s="155">
        <f t="shared" ref="AI31:AR32" si="78">+AI16+AI19+AI22+AI25+AI28</f>
        <v>5687.9641239146868</v>
      </c>
      <c r="AJ31" s="155">
        <f t="shared" si="78"/>
        <v>6315.1223809040875</v>
      </c>
      <c r="AK31" s="155">
        <f t="shared" si="78"/>
        <v>6891.4349857144716</v>
      </c>
      <c r="AL31" s="155">
        <f t="shared" si="78"/>
        <v>7412.2618081177843</v>
      </c>
      <c r="AM31" s="155">
        <f t="shared" si="78"/>
        <v>7873.4094567816683</v>
      </c>
      <c r="AN31" s="155">
        <f t="shared" si="78"/>
        <v>8271.1650419893631</v>
      </c>
      <c r="AO31" s="155">
        <f t="shared" si="78"/>
        <v>8602.3260696451707</v>
      </c>
      <c r="AP31" s="155">
        <f t="shared" si="78"/>
        <v>8864.2262258740084</v>
      </c>
      <c r="AQ31" s="155">
        <f t="shared" si="78"/>
        <v>9268.0419693098102</v>
      </c>
      <c r="AR31" s="156">
        <f t="shared" si="78"/>
        <v>9810.5220130262096</v>
      </c>
      <c r="AS31" s="157">
        <f t="shared" si="47"/>
        <v>89759.733191779756</v>
      </c>
      <c r="AT31" s="154">
        <f t="shared" ref="AT31:BE31" si="79">+AT16+AT19+AT22+AT25+AT28</f>
        <v>10274.013501987101</v>
      </c>
      <c r="AU31" s="155">
        <f t="shared" si="79"/>
        <v>10654.784675252335</v>
      </c>
      <c r="AV31" s="155">
        <f t="shared" si="79"/>
        <v>10949.769787224141</v>
      </c>
      <c r="AW31" s="155">
        <f t="shared" si="79"/>
        <v>11156.593791229774</v>
      </c>
      <c r="AX31" s="155">
        <f t="shared" si="79"/>
        <v>11273.591461999255</v>
      </c>
      <c r="AY31" s="155">
        <f t="shared" si="79"/>
        <v>11299.820803081109</v>
      </c>
      <c r="AZ31" s="155">
        <f t="shared" si="79"/>
        <v>11235.070631243756</v>
      </c>
      <c r="BA31" s="155">
        <f t="shared" si="79"/>
        <v>11079.862276798012</v>
      </c>
      <c r="BB31" s="155">
        <f t="shared" si="79"/>
        <v>10835.44538615306</v>
      </c>
      <c r="BC31" s="155">
        <f t="shared" si="79"/>
        <v>10503.787860397508</v>
      </c>
      <c r="BD31" s="155">
        <f t="shared" si="79"/>
        <v>10087.560010917361</v>
      </c>
      <c r="BE31" s="156">
        <f t="shared" si="79"/>
        <v>9590.1130596183903</v>
      </c>
      <c r="BF31" s="157">
        <f t="shared" si="48"/>
        <v>128940.41324590181</v>
      </c>
      <c r="BG31" s="154">
        <f>+BG16+BG19+BG22+BG25+BG28</f>
        <v>9058.9163334070618</v>
      </c>
      <c r="BH31" s="155">
        <f>+BH16+BH19+BH22+BH25+BH28</f>
        <v>8564.8840269004831</v>
      </c>
      <c r="BI31" s="155">
        <f t="shared" ref="BI31:BR32" si="80">+BI16+BI19+BI22+BI25+BI28</f>
        <v>8242.036379396528</v>
      </c>
      <c r="BJ31" s="155">
        <f t="shared" si="80"/>
        <v>7852.8287012046876</v>
      </c>
      <c r="BK31" s="155">
        <f t="shared" si="80"/>
        <v>7400.3946636991495</v>
      </c>
      <c r="BL31" s="155">
        <f t="shared" si="80"/>
        <v>6888.3769997231138</v>
      </c>
      <c r="BM31" s="155">
        <f t="shared" si="80"/>
        <v>6320.8981744454268</v>
      </c>
      <c r="BN31" s="155">
        <f t="shared" si="80"/>
        <v>5702.527193695033</v>
      </c>
      <c r="BO31" s="155">
        <f t="shared" si="80"/>
        <v>5038.2428170126923</v>
      </c>
      <c r="BP31" s="155">
        <f t="shared" si="80"/>
        <v>4678.393471606576</v>
      </c>
      <c r="BQ31" s="155">
        <f t="shared" si="80"/>
        <v>3846.0256993996386</v>
      </c>
      <c r="BR31" s="156">
        <f t="shared" si="80"/>
        <v>3580.0634991260767</v>
      </c>
      <c r="BS31" s="157">
        <f t="shared" si="49"/>
        <v>77173.587959616474</v>
      </c>
      <c r="BT31" s="280">
        <f>+BT16+BT19+BT22+BT25+BT28</f>
        <v>16858</v>
      </c>
      <c r="BU31" s="159">
        <f t="shared" si="43"/>
        <v>467441.78262505797</v>
      </c>
      <c r="BV31" s="160">
        <f t="shared" si="44"/>
        <v>467441.53063161473</v>
      </c>
      <c r="BW31" s="161">
        <f t="shared" si="50"/>
        <v>-0.25199344323482364</v>
      </c>
    </row>
    <row r="32" spans="1:76" ht="15" customHeight="1" outlineLevel="1">
      <c r="A32" s="607"/>
      <c r="B32" s="612"/>
      <c r="C32" s="248" t="s">
        <v>63</v>
      </c>
      <c r="D32" s="268" t="s">
        <v>118</v>
      </c>
      <c r="E32" s="136">
        <f t="shared" si="76"/>
        <v>398157.36127154587</v>
      </c>
      <c r="F32" s="136">
        <f t="shared" si="76"/>
        <v>20626.925937202952</v>
      </c>
      <c r="G32" s="137">
        <f t="shared" si="76"/>
        <v>812.82429174548588</v>
      </c>
      <c r="H32" s="138">
        <f t="shared" si="76"/>
        <v>790.49666361323148</v>
      </c>
      <c r="I32" s="138">
        <f t="shared" si="76"/>
        <v>1190.4957644329897</v>
      </c>
      <c r="J32" s="138">
        <f t="shared" si="76"/>
        <v>701.77750678985808</v>
      </c>
      <c r="K32" s="138">
        <f t="shared" si="76"/>
        <v>1550.5221106008585</v>
      </c>
      <c r="L32" s="138">
        <f t="shared" si="76"/>
        <v>673.2195201111349</v>
      </c>
      <c r="M32" s="138">
        <f t="shared" si="76"/>
        <v>715.57458735901298</v>
      </c>
      <c r="N32" s="138">
        <f t="shared" si="76"/>
        <v>651.55643484984182</v>
      </c>
      <c r="O32" s="138">
        <f t="shared" si="76"/>
        <v>700.19841600641189</v>
      </c>
      <c r="P32" s="138">
        <f t="shared" si="76"/>
        <v>731.14075819766344</v>
      </c>
      <c r="Q32" s="138">
        <f t="shared" si="76"/>
        <v>742.95677584253201</v>
      </c>
      <c r="R32" s="139">
        <f t="shared" si="76"/>
        <v>576.23526621524388</v>
      </c>
      <c r="S32" s="162">
        <f t="shared" si="45"/>
        <v>9836.9980957642674</v>
      </c>
      <c r="T32" s="137">
        <f>+T17+T20+T23+T26+T29</f>
        <v>471.61894954813278</v>
      </c>
      <c r="U32" s="138">
        <f>+U17+U20+U23+U26+U29</f>
        <v>1710.7043446773996</v>
      </c>
      <c r="V32" s="138">
        <f t="shared" si="77"/>
        <v>696.88069800845039</v>
      </c>
      <c r="W32" s="138">
        <f t="shared" si="77"/>
        <v>2824.3385652208544</v>
      </c>
      <c r="X32" s="138">
        <f t="shared" si="77"/>
        <v>3188.6276862186105</v>
      </c>
      <c r="Y32" s="138">
        <f t="shared" si="77"/>
        <v>3320.9182554348504</v>
      </c>
      <c r="Z32" s="138">
        <f t="shared" si="77"/>
        <v>3267.384535024501</v>
      </c>
      <c r="AA32" s="138">
        <f t="shared" si="77"/>
        <v>3575.8733264663961</v>
      </c>
      <c r="AB32" s="138">
        <f t="shared" si="77"/>
        <v>4119.265352211517</v>
      </c>
      <c r="AC32" s="138">
        <f t="shared" si="77"/>
        <v>4382.3635195078987</v>
      </c>
      <c r="AD32" s="138">
        <f t="shared" si="77"/>
        <v>4411.9061335554197</v>
      </c>
      <c r="AE32" s="168">
        <f t="shared" si="77"/>
        <v>5067.1365391558447</v>
      </c>
      <c r="AF32" s="162">
        <f t="shared" si="46"/>
        <v>37037.017905029876</v>
      </c>
      <c r="AG32" s="137">
        <f>+AG17+AG20+AG23+AG26+AG29</f>
        <v>5828.4712448603696</v>
      </c>
      <c r="AH32" s="138">
        <f>+AH17+AH20+AH23+AH26+AH29</f>
        <v>5328.4478320349072</v>
      </c>
      <c r="AI32" s="138">
        <f t="shared" si="78"/>
        <v>6043.4618816593547</v>
      </c>
      <c r="AJ32" s="138">
        <f t="shared" si="78"/>
        <v>6709.8175297105918</v>
      </c>
      <c r="AK32" s="138">
        <f t="shared" si="78"/>
        <v>7322.149672321626</v>
      </c>
      <c r="AL32" s="138">
        <f t="shared" si="78"/>
        <v>7875.5281711251446</v>
      </c>
      <c r="AM32" s="138">
        <f t="shared" si="78"/>
        <v>8365.4975478305241</v>
      </c>
      <c r="AN32" s="138">
        <f t="shared" si="78"/>
        <v>8788.1128571136978</v>
      </c>
      <c r="AO32" s="138">
        <f t="shared" si="78"/>
        <v>9139.9714489979924</v>
      </c>
      <c r="AP32" s="138">
        <f t="shared" si="78"/>
        <v>9418.2403649911321</v>
      </c>
      <c r="AQ32" s="138">
        <f t="shared" si="78"/>
        <v>9847.2945923916704</v>
      </c>
      <c r="AR32" s="139">
        <f t="shared" si="78"/>
        <v>10423.679638840345</v>
      </c>
      <c r="AS32" s="162">
        <f t="shared" si="47"/>
        <v>95090.672781877351</v>
      </c>
      <c r="AT32" s="137">
        <f t="shared" ref="AT32:BE32" si="81">+AT17+AT20+AT23+AT26+AT29</f>
        <v>10916.139345861293</v>
      </c>
      <c r="AU32" s="138">
        <f t="shared" si="81"/>
        <v>11320.708717455605</v>
      </c>
      <c r="AV32" s="138">
        <f t="shared" si="81"/>
        <v>11634.130398925648</v>
      </c>
      <c r="AW32" s="138">
        <f t="shared" si="81"/>
        <v>11853.880903181634</v>
      </c>
      <c r="AX32" s="138">
        <f t="shared" si="81"/>
        <v>11978.190928374206</v>
      </c>
      <c r="AY32" s="138">
        <f t="shared" si="81"/>
        <v>12006.059603273678</v>
      </c>
      <c r="AZ32" s="138">
        <f t="shared" si="81"/>
        <v>11937.262545696489</v>
      </c>
      <c r="BA32" s="138">
        <f t="shared" si="81"/>
        <v>11772.353669097887</v>
      </c>
      <c r="BB32" s="138">
        <f t="shared" si="81"/>
        <v>11512.660722787627</v>
      </c>
      <c r="BC32" s="138">
        <f t="shared" si="81"/>
        <v>11160.27460167235</v>
      </c>
      <c r="BD32" s="138">
        <f t="shared" si="81"/>
        <v>10509.663713024067</v>
      </c>
      <c r="BE32" s="139">
        <f t="shared" si="81"/>
        <v>9989.4951258445362</v>
      </c>
      <c r="BF32" s="162">
        <f t="shared" si="48"/>
        <v>136590.82027519503</v>
      </c>
      <c r="BG32" s="137">
        <f>+BG17+BG20+BG23+BG26+BG29</f>
        <v>9578.9179166623617</v>
      </c>
      <c r="BH32" s="138">
        <f>+BH17+BH20+BH23+BH26+BH29</f>
        <v>9100.1892785817618</v>
      </c>
      <c r="BI32" s="138">
        <f t="shared" si="80"/>
        <v>8757.1636531088116</v>
      </c>
      <c r="BJ32" s="138">
        <f t="shared" si="80"/>
        <v>8343.63049502998</v>
      </c>
      <c r="BK32" s="138">
        <f t="shared" si="80"/>
        <v>7862.9193301803462</v>
      </c>
      <c r="BL32" s="138">
        <f t="shared" si="80"/>
        <v>7318.9005622058075</v>
      </c>
      <c r="BM32" s="138">
        <f t="shared" si="80"/>
        <v>6715.9543103482656</v>
      </c>
      <c r="BN32" s="138">
        <f t="shared" si="80"/>
        <v>6058.9351433009724</v>
      </c>
      <c r="BO32" s="138">
        <f t="shared" si="80"/>
        <v>5353.1329930759848</v>
      </c>
      <c r="BP32" s="138">
        <f t="shared" si="80"/>
        <v>4604.2305635819876</v>
      </c>
      <c r="BQ32" s="138">
        <f t="shared" si="80"/>
        <v>4086.402305612115</v>
      </c>
      <c r="BR32" s="139">
        <f t="shared" si="80"/>
        <v>3803.8174678214568</v>
      </c>
      <c r="BS32" s="162">
        <f t="shared" si="49"/>
        <v>81584.194019509872</v>
      </c>
      <c r="BT32" s="279">
        <f>+BT17+BT20+BT23+BT26+BT29</f>
        <v>17391</v>
      </c>
      <c r="BU32" s="90">
        <f t="shared" si="43"/>
        <v>398157.6290145794</v>
      </c>
      <c r="BV32" s="91">
        <f t="shared" si="44"/>
        <v>398157.36127154587</v>
      </c>
      <c r="BW32" s="92">
        <f t="shared" si="50"/>
        <v>-0.26774303353158757</v>
      </c>
      <c r="BX32" s="64">
        <f>+BU32/BU31</f>
        <v>0.85178014421091575</v>
      </c>
    </row>
    <row r="33" spans="1:76" ht="15" customHeight="1" outlineLevel="1">
      <c r="A33" s="607"/>
      <c r="B33" s="613"/>
      <c r="C33" s="617" t="s">
        <v>11</v>
      </c>
      <c r="D33" s="618"/>
      <c r="E33" s="169">
        <f t="shared" ref="E33:R33" si="82">+E31-E32</f>
        <v>69284.16936006886</v>
      </c>
      <c r="F33" s="170">
        <f t="shared" si="82"/>
        <v>4061.0468786387391</v>
      </c>
      <c r="G33" s="171">
        <f t="shared" si="82"/>
        <v>150.98932665520192</v>
      </c>
      <c r="H33" s="171">
        <f t="shared" si="82"/>
        <v>193.97138405428336</v>
      </c>
      <c r="I33" s="171">
        <f t="shared" si="82"/>
        <v>255.8694214347081</v>
      </c>
      <c r="J33" s="171">
        <f t="shared" si="82"/>
        <v>190.05001822088525</v>
      </c>
      <c r="K33" s="171">
        <f t="shared" si="82"/>
        <v>-815.26467163090138</v>
      </c>
      <c r="L33" s="171">
        <f t="shared" si="82"/>
        <v>138.4079166488566</v>
      </c>
      <c r="M33" s="171">
        <f t="shared" si="82"/>
        <v>191.52571253458132</v>
      </c>
      <c r="N33" s="171">
        <f t="shared" si="82"/>
        <v>97.703494830289173</v>
      </c>
      <c r="O33" s="171">
        <f t="shared" si="82"/>
        <v>104.99755456213904</v>
      </c>
      <c r="P33" s="171">
        <f t="shared" si="82"/>
        <v>109.63748260001762</v>
      </c>
      <c r="Q33" s="171">
        <f t="shared" si="82"/>
        <v>111.40934173167693</v>
      </c>
      <c r="R33" s="172">
        <f t="shared" si="82"/>
        <v>86.408784170271133</v>
      </c>
      <c r="S33" s="173">
        <f t="shared" si="45"/>
        <v>815.70576581200908</v>
      </c>
      <c r="T33" s="174">
        <f t="shared" ref="T33:AE33" si="83">+T31-T32</f>
        <v>24070.721148828008</v>
      </c>
      <c r="U33" s="171">
        <f t="shared" si="83"/>
        <v>26256.526962448326</v>
      </c>
      <c r="V33" s="171">
        <f t="shared" si="83"/>
        <v>31055.803090878111</v>
      </c>
      <c r="W33" s="171">
        <f t="shared" si="83"/>
        <v>276.67784573902736</v>
      </c>
      <c r="X33" s="171">
        <f t="shared" si="83"/>
        <v>234.87977640886993</v>
      </c>
      <c r="Y33" s="171">
        <f t="shared" si="83"/>
        <v>160.66619502667936</v>
      </c>
      <c r="Z33" s="171">
        <f t="shared" si="83"/>
        <v>107.76076795158588</v>
      </c>
      <c r="AA33" s="171">
        <f t="shared" si="83"/>
        <v>75.403625908641516</v>
      </c>
      <c r="AB33" s="171">
        <f t="shared" si="83"/>
        <v>81.981358326870577</v>
      </c>
      <c r="AC33" s="171">
        <f t="shared" si="83"/>
        <v>50.841199095290904</v>
      </c>
      <c r="AD33" s="171">
        <f t="shared" si="83"/>
        <v>-10.43988430704394</v>
      </c>
      <c r="AE33" s="172">
        <f t="shared" si="83"/>
        <v>-28.468440992219257</v>
      </c>
      <c r="AF33" s="173">
        <f t="shared" si="46"/>
        <v>82332.353645312163</v>
      </c>
      <c r="AG33" s="174">
        <f t="shared" ref="AG33:AR33" si="84">+AG31-AG32</f>
        <v>-80.221852626030341</v>
      </c>
      <c r="AH33" s="171">
        <f t="shared" si="84"/>
        <v>-313.43810776675855</v>
      </c>
      <c r="AI33" s="171">
        <f t="shared" si="84"/>
        <v>-355.49775774466798</v>
      </c>
      <c r="AJ33" s="171">
        <f t="shared" si="84"/>
        <v>-394.69514880650422</v>
      </c>
      <c r="AK33" s="171">
        <f t="shared" si="84"/>
        <v>-430.71468660715436</v>
      </c>
      <c r="AL33" s="171">
        <f t="shared" si="84"/>
        <v>-463.26636300736027</v>
      </c>
      <c r="AM33" s="171">
        <f t="shared" si="84"/>
        <v>-492.08809104885586</v>
      </c>
      <c r="AN33" s="171">
        <f t="shared" si="84"/>
        <v>-516.94781512433474</v>
      </c>
      <c r="AO33" s="171">
        <f t="shared" si="84"/>
        <v>-537.64537935282169</v>
      </c>
      <c r="AP33" s="171">
        <f t="shared" si="84"/>
        <v>-554.0141391171237</v>
      </c>
      <c r="AQ33" s="171">
        <f t="shared" si="84"/>
        <v>-579.25262308186029</v>
      </c>
      <c r="AR33" s="172">
        <f t="shared" si="84"/>
        <v>-613.15762581413583</v>
      </c>
      <c r="AS33" s="173">
        <f t="shared" si="47"/>
        <v>-5330.9395900976078</v>
      </c>
      <c r="AT33" s="174">
        <f t="shared" ref="AT33:BE33" si="85">+AT31-AT32</f>
        <v>-642.12584387419156</v>
      </c>
      <c r="AU33" s="171">
        <f t="shared" si="85"/>
        <v>-665.9240422032708</v>
      </c>
      <c r="AV33" s="171">
        <f t="shared" si="85"/>
        <v>-684.36061170150788</v>
      </c>
      <c r="AW33" s="171">
        <f t="shared" si="85"/>
        <v>-697.28711195186042</v>
      </c>
      <c r="AX33" s="171">
        <f t="shared" si="85"/>
        <v>-704.59946637495159</v>
      </c>
      <c r="AY33" s="171">
        <f t="shared" si="85"/>
        <v>-706.23880019256831</v>
      </c>
      <c r="AZ33" s="171">
        <f t="shared" si="85"/>
        <v>-702.19191445273282</v>
      </c>
      <c r="BA33" s="171">
        <f t="shared" si="85"/>
        <v>-692.49139229987486</v>
      </c>
      <c r="BB33" s="171">
        <f t="shared" si="85"/>
        <v>-677.21533663456648</v>
      </c>
      <c r="BC33" s="171">
        <f t="shared" si="85"/>
        <v>-656.48674127484264</v>
      </c>
      <c r="BD33" s="171">
        <f t="shared" si="85"/>
        <v>-422.1037021067059</v>
      </c>
      <c r="BE33" s="172">
        <f t="shared" si="85"/>
        <v>-399.38206622614598</v>
      </c>
      <c r="BF33" s="173">
        <f t="shared" si="48"/>
        <v>-7650.4070292932192</v>
      </c>
      <c r="BG33" s="174">
        <f t="shared" ref="BG33:BR33" si="86">+BG31-BG32</f>
        <v>-520.00158325529992</v>
      </c>
      <c r="BH33" s="171">
        <f t="shared" si="86"/>
        <v>-535.30525168127861</v>
      </c>
      <c r="BI33" s="171">
        <f t="shared" si="86"/>
        <v>-515.12727371228357</v>
      </c>
      <c r="BJ33" s="171">
        <f t="shared" si="86"/>
        <v>-490.80179382529241</v>
      </c>
      <c r="BK33" s="171">
        <f t="shared" si="86"/>
        <v>-462.52466648119662</v>
      </c>
      <c r="BL33" s="171">
        <f t="shared" si="86"/>
        <v>-430.52356248269371</v>
      </c>
      <c r="BM33" s="171">
        <f t="shared" si="86"/>
        <v>-395.05613590283883</v>
      </c>
      <c r="BN33" s="171">
        <f t="shared" si="86"/>
        <v>-356.40794960593939</v>
      </c>
      <c r="BO33" s="171">
        <f t="shared" si="86"/>
        <v>-314.89017606329253</v>
      </c>
      <c r="BP33" s="171">
        <f t="shared" si="86"/>
        <v>74.162908024588432</v>
      </c>
      <c r="BQ33" s="171">
        <f t="shared" si="86"/>
        <v>-240.37660621247642</v>
      </c>
      <c r="BR33" s="172">
        <f t="shared" si="86"/>
        <v>-223.75396869538008</v>
      </c>
      <c r="BS33" s="173">
        <f t="shared" si="49"/>
        <v>-4410.6060598933836</v>
      </c>
      <c r="BT33" s="146">
        <f>+BT31-BT32</f>
        <v>-533</v>
      </c>
      <c r="BU33" s="98">
        <f t="shared" si="43"/>
        <v>69284.153610478708</v>
      </c>
      <c r="BV33" s="99">
        <f t="shared" si="44"/>
        <v>69284.16936006886</v>
      </c>
      <c r="BW33" s="100">
        <f t="shared" si="50"/>
        <v>1.5749590151244774E-2</v>
      </c>
    </row>
    <row r="34" spans="1:76" ht="6" customHeight="1">
      <c r="A34" s="175"/>
      <c r="B34" s="176"/>
      <c r="C34" s="269"/>
      <c r="D34" s="266"/>
      <c r="E34" s="177"/>
      <c r="F34" s="177"/>
      <c r="G34" s="178"/>
      <c r="H34" s="178"/>
      <c r="I34" s="178"/>
      <c r="J34" s="178"/>
      <c r="K34" s="178"/>
      <c r="L34" s="178"/>
      <c r="M34" s="178"/>
      <c r="N34" s="178"/>
      <c r="O34" s="178"/>
      <c r="P34" s="178"/>
      <c r="Q34" s="178"/>
      <c r="R34" s="178"/>
      <c r="S34" s="177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178"/>
      <c r="AE34" s="178"/>
      <c r="AF34" s="177"/>
      <c r="AG34" s="178"/>
      <c r="AH34" s="178"/>
      <c r="AI34" s="178"/>
      <c r="AJ34" s="178"/>
      <c r="AK34" s="178"/>
      <c r="AL34" s="178"/>
      <c r="AM34" s="178"/>
      <c r="AN34" s="178"/>
      <c r="AO34" s="178"/>
      <c r="AP34" s="178"/>
      <c r="AQ34" s="178"/>
      <c r="AR34" s="178"/>
      <c r="AS34" s="177"/>
      <c r="AT34" s="178"/>
      <c r="AU34" s="178"/>
      <c r="AV34" s="178"/>
      <c r="AW34" s="178"/>
      <c r="AX34" s="178"/>
      <c r="AY34" s="178"/>
      <c r="AZ34" s="178"/>
      <c r="BA34" s="178"/>
      <c r="BB34" s="178"/>
      <c r="BC34" s="178"/>
      <c r="BD34" s="178"/>
      <c r="BE34" s="178"/>
      <c r="BF34" s="177"/>
      <c r="BG34" s="178"/>
      <c r="BH34" s="178"/>
      <c r="BI34" s="178"/>
      <c r="BJ34" s="178"/>
      <c r="BK34" s="178"/>
      <c r="BL34" s="178"/>
      <c r="BM34" s="178"/>
      <c r="BN34" s="178"/>
      <c r="BO34" s="178"/>
      <c r="BP34" s="178"/>
      <c r="BQ34" s="178"/>
      <c r="BR34" s="178"/>
      <c r="BS34" s="177"/>
      <c r="BT34" s="281"/>
      <c r="BU34" s="179"/>
      <c r="BV34" s="179"/>
      <c r="BW34" s="179"/>
    </row>
    <row r="35" spans="1:76" ht="15" customHeight="1" outlineLevel="1">
      <c r="A35" s="647" t="s">
        <v>79</v>
      </c>
      <c r="B35" s="593" t="s">
        <v>72</v>
      </c>
      <c r="C35" s="246" t="s">
        <v>62</v>
      </c>
      <c r="D35" s="183" t="s">
        <v>122</v>
      </c>
      <c r="E35" s="153">
        <f>+BU35</f>
        <v>10160.775947386468</v>
      </c>
      <c r="F35" s="153"/>
      <c r="G35" s="154">
        <v>198.795040627687</v>
      </c>
      <c r="H35" s="155">
        <v>213.49922659033081</v>
      </c>
      <c r="I35" s="155">
        <v>197.49988019759451</v>
      </c>
      <c r="J35" s="155">
        <v>203.76240601633</v>
      </c>
      <c r="K35" s="155">
        <v>203.52472583690988</v>
      </c>
      <c r="L35" s="155">
        <v>205.16041423381066</v>
      </c>
      <c r="M35" s="155">
        <v>202.53425388380506</v>
      </c>
      <c r="N35" s="155">
        <v>168</v>
      </c>
      <c r="O35" s="155">
        <v>168</v>
      </c>
      <c r="P35" s="155">
        <v>168</v>
      </c>
      <c r="Q35" s="155">
        <v>168</v>
      </c>
      <c r="R35" s="156">
        <v>168</v>
      </c>
      <c r="S35" s="180">
        <f t="shared" si="45"/>
        <v>2264.775947386468</v>
      </c>
      <c r="T35" s="158">
        <v>0</v>
      </c>
      <c r="U35" s="155">
        <v>168</v>
      </c>
      <c r="V35" s="155">
        <v>168</v>
      </c>
      <c r="W35" s="155">
        <v>168</v>
      </c>
      <c r="X35" s="155">
        <v>168</v>
      </c>
      <c r="Y35" s="155">
        <v>168</v>
      </c>
      <c r="Z35" s="155">
        <v>168</v>
      </c>
      <c r="AA35" s="155">
        <v>168</v>
      </c>
      <c r="AB35" s="155">
        <v>168</v>
      </c>
      <c r="AC35" s="155">
        <v>168</v>
      </c>
      <c r="AD35" s="155">
        <v>168</v>
      </c>
      <c r="AE35" s="156">
        <v>168</v>
      </c>
      <c r="AF35" s="180">
        <f t="shared" si="46"/>
        <v>1848</v>
      </c>
      <c r="AG35" s="154">
        <v>168</v>
      </c>
      <c r="AH35" s="155">
        <v>168</v>
      </c>
      <c r="AI35" s="155">
        <v>168</v>
      </c>
      <c r="AJ35" s="155">
        <v>168</v>
      </c>
      <c r="AK35" s="155">
        <v>168</v>
      </c>
      <c r="AL35" s="155">
        <v>168</v>
      </c>
      <c r="AM35" s="155">
        <v>168</v>
      </c>
      <c r="AN35" s="155">
        <v>168</v>
      </c>
      <c r="AO35" s="155">
        <v>168</v>
      </c>
      <c r="AP35" s="155">
        <v>168</v>
      </c>
      <c r="AQ35" s="155">
        <v>168</v>
      </c>
      <c r="AR35" s="156">
        <v>168</v>
      </c>
      <c r="AS35" s="180">
        <f t="shared" si="47"/>
        <v>2016</v>
      </c>
      <c r="AT35" s="158">
        <v>168</v>
      </c>
      <c r="AU35" s="155">
        <v>168</v>
      </c>
      <c r="AV35" s="155">
        <v>168</v>
      </c>
      <c r="AW35" s="155">
        <v>168</v>
      </c>
      <c r="AX35" s="155">
        <v>168</v>
      </c>
      <c r="AY35" s="155">
        <v>168</v>
      </c>
      <c r="AZ35" s="155">
        <v>168</v>
      </c>
      <c r="BA35" s="155">
        <v>168</v>
      </c>
      <c r="BB35" s="155">
        <v>168</v>
      </c>
      <c r="BC35" s="155">
        <v>168</v>
      </c>
      <c r="BD35" s="155">
        <v>168</v>
      </c>
      <c r="BE35" s="156">
        <v>168</v>
      </c>
      <c r="BF35" s="180">
        <f t="shared" si="48"/>
        <v>2016</v>
      </c>
      <c r="BG35" s="158">
        <v>168</v>
      </c>
      <c r="BH35" s="155">
        <v>168</v>
      </c>
      <c r="BI35" s="155">
        <v>168</v>
      </c>
      <c r="BJ35" s="155">
        <v>168</v>
      </c>
      <c r="BK35" s="155">
        <v>168</v>
      </c>
      <c r="BL35" s="155">
        <v>168</v>
      </c>
      <c r="BM35" s="155">
        <v>168</v>
      </c>
      <c r="BN35" s="155">
        <v>168</v>
      </c>
      <c r="BO35" s="155">
        <v>168</v>
      </c>
      <c r="BP35" s="155">
        <v>168</v>
      </c>
      <c r="BQ35" s="155">
        <v>168</v>
      </c>
      <c r="BR35" s="156">
        <v>168</v>
      </c>
      <c r="BS35" s="180">
        <f t="shared" ref="BS35:BS70" si="87">SUM(BG35:BR35)</f>
        <v>2016</v>
      </c>
      <c r="BT35" s="280"/>
      <c r="BU35" s="159">
        <f t="shared" ref="BU35:BU70" si="88">+F35+S35+AF35+AS35+BF35+BS35+BT35</f>
        <v>10160.775947386468</v>
      </c>
      <c r="BV35" s="160">
        <f t="shared" ref="BV35:BV70" si="89">+E35</f>
        <v>10160.775947386468</v>
      </c>
      <c r="BW35" s="161">
        <f t="shared" si="50"/>
        <v>0</v>
      </c>
    </row>
    <row r="36" spans="1:76" ht="15" customHeight="1" outlineLevel="1">
      <c r="A36" s="648"/>
      <c r="B36" s="548"/>
      <c r="C36" s="245" t="s">
        <v>63</v>
      </c>
      <c r="D36" s="184" t="s">
        <v>124</v>
      </c>
      <c r="E36" s="136">
        <f>+BU36</f>
        <v>8150.7461043562707</v>
      </c>
      <c r="F36" s="136"/>
      <c r="G36" s="137">
        <f>189.847176827171+0.279576010318143</f>
        <v>190.12675283748916</v>
      </c>
      <c r="H36" s="138">
        <v>179.735022985581</v>
      </c>
      <c r="I36" s="138">
        <v>176.01765932130584</v>
      </c>
      <c r="J36" s="138">
        <v>181.77808865492048</v>
      </c>
      <c r="K36" s="138">
        <v>181.3165566523605</v>
      </c>
      <c r="L36" s="138">
        <v>183.4303013891857</v>
      </c>
      <c r="M36" s="138">
        <v>172.88622251542881</v>
      </c>
      <c r="N36" s="138">
        <v>140.51949999999999</v>
      </c>
      <c r="O36" s="138">
        <v>140.51949999999999</v>
      </c>
      <c r="P36" s="138">
        <v>140.51949999999999</v>
      </c>
      <c r="Q36" s="138">
        <v>140.51949999999999</v>
      </c>
      <c r="R36" s="139">
        <v>140.51949999999999</v>
      </c>
      <c r="S36" s="140">
        <f t="shared" si="45"/>
        <v>1967.888104356271</v>
      </c>
      <c r="T36" s="141">
        <v>0</v>
      </c>
      <c r="U36" s="138">
        <v>140.51949999999999</v>
      </c>
      <c r="V36" s="138">
        <v>140.51949999999999</v>
      </c>
      <c r="W36" s="138">
        <v>140.51949999999999</v>
      </c>
      <c r="X36" s="138">
        <v>140.51949999999999</v>
      </c>
      <c r="Y36" s="138">
        <v>140.51949999999999</v>
      </c>
      <c r="Z36" s="138">
        <v>140.51949999999999</v>
      </c>
      <c r="AA36" s="138">
        <v>140.51949999999999</v>
      </c>
      <c r="AB36" s="138">
        <v>140.51949999999999</v>
      </c>
      <c r="AC36" s="138">
        <v>140.51949999999999</v>
      </c>
      <c r="AD36" s="138">
        <v>140.51949999999999</v>
      </c>
      <c r="AE36" s="139">
        <v>140.51949999999999</v>
      </c>
      <c r="AF36" s="140">
        <f t="shared" si="46"/>
        <v>1545.7144999999996</v>
      </c>
      <c r="AG36" s="137">
        <v>0</v>
      </c>
      <c r="AH36" s="138">
        <v>140.51949999999999</v>
      </c>
      <c r="AI36" s="138">
        <v>140.51949999999999</v>
      </c>
      <c r="AJ36" s="138">
        <v>140.51949999999999</v>
      </c>
      <c r="AK36" s="138">
        <v>140.51949999999999</v>
      </c>
      <c r="AL36" s="138">
        <v>140.51949999999999</v>
      </c>
      <c r="AM36" s="138">
        <v>140.51949999999999</v>
      </c>
      <c r="AN36" s="138">
        <v>140.51949999999999</v>
      </c>
      <c r="AO36" s="138">
        <v>140.51949999999999</v>
      </c>
      <c r="AP36" s="138">
        <v>140.51949999999999</v>
      </c>
      <c r="AQ36" s="138">
        <v>140.51949999999999</v>
      </c>
      <c r="AR36" s="139">
        <v>140.51949999999999</v>
      </c>
      <c r="AS36" s="140">
        <f t="shared" si="47"/>
        <v>1545.7144999999996</v>
      </c>
      <c r="AT36" s="141">
        <v>0</v>
      </c>
      <c r="AU36" s="138">
        <v>140.51949999999999</v>
      </c>
      <c r="AV36" s="138">
        <v>140.51949999999999</v>
      </c>
      <c r="AW36" s="138">
        <v>140.51949999999999</v>
      </c>
      <c r="AX36" s="138">
        <v>140.51949999999999</v>
      </c>
      <c r="AY36" s="138">
        <v>140.51949999999999</v>
      </c>
      <c r="AZ36" s="138">
        <v>140.51949999999999</v>
      </c>
      <c r="BA36" s="138">
        <v>140.51949999999999</v>
      </c>
      <c r="BB36" s="138">
        <v>140.51949999999999</v>
      </c>
      <c r="BC36" s="138">
        <v>140.51949999999999</v>
      </c>
      <c r="BD36" s="138">
        <v>140.51949999999999</v>
      </c>
      <c r="BE36" s="139">
        <v>140.51949999999999</v>
      </c>
      <c r="BF36" s="140">
        <f t="shared" si="48"/>
        <v>1545.7144999999996</v>
      </c>
      <c r="BG36" s="141">
        <v>0</v>
      </c>
      <c r="BH36" s="138">
        <v>140.51949999999999</v>
      </c>
      <c r="BI36" s="138">
        <v>140.51949999999999</v>
      </c>
      <c r="BJ36" s="138">
        <v>140.51949999999999</v>
      </c>
      <c r="BK36" s="138">
        <v>140.51949999999999</v>
      </c>
      <c r="BL36" s="138">
        <v>140.51949999999999</v>
      </c>
      <c r="BM36" s="138">
        <v>140.51949999999999</v>
      </c>
      <c r="BN36" s="138">
        <v>140.51949999999999</v>
      </c>
      <c r="BO36" s="138">
        <v>140.51949999999999</v>
      </c>
      <c r="BP36" s="138">
        <v>140.51949999999999</v>
      </c>
      <c r="BQ36" s="138">
        <v>140.51949999999999</v>
      </c>
      <c r="BR36" s="139">
        <v>140.51949999999999</v>
      </c>
      <c r="BS36" s="140">
        <f t="shared" si="87"/>
        <v>1545.7144999999996</v>
      </c>
      <c r="BT36" s="279"/>
      <c r="BU36" s="90">
        <f t="shared" si="88"/>
        <v>8150.7461043562707</v>
      </c>
      <c r="BV36" s="91">
        <f t="shared" si="89"/>
        <v>8150.7461043562707</v>
      </c>
      <c r="BW36" s="92">
        <f t="shared" si="50"/>
        <v>0</v>
      </c>
      <c r="BX36" s="64">
        <f>+BU36/BU35</f>
        <v>0.80217752527579234</v>
      </c>
    </row>
    <row r="37" spans="1:76" ht="15" customHeight="1" outlineLevel="1">
      <c r="A37" s="648"/>
      <c r="B37" s="549"/>
      <c r="C37" s="554" t="s">
        <v>11</v>
      </c>
      <c r="D37" s="555"/>
      <c r="E37" s="143">
        <f t="shared" ref="E37:R37" si="90">+E35-E36</f>
        <v>2010.0298430301973</v>
      </c>
      <c r="F37" s="144">
        <f t="shared" si="90"/>
        <v>0</v>
      </c>
      <c r="G37" s="145">
        <f t="shared" si="90"/>
        <v>8.6682877901978372</v>
      </c>
      <c r="H37" s="145">
        <f t="shared" si="90"/>
        <v>33.76420360474981</v>
      </c>
      <c r="I37" s="145">
        <f t="shared" si="90"/>
        <v>21.482220876288665</v>
      </c>
      <c r="J37" s="145">
        <f t="shared" si="90"/>
        <v>21.984317361409524</v>
      </c>
      <c r="K37" s="145">
        <f t="shared" si="90"/>
        <v>22.208169184549376</v>
      </c>
      <c r="L37" s="145">
        <f t="shared" si="90"/>
        <v>21.730112844624955</v>
      </c>
      <c r="M37" s="145">
        <f t="shared" si="90"/>
        <v>29.648031368376252</v>
      </c>
      <c r="N37" s="145">
        <f t="shared" si="90"/>
        <v>27.480500000000006</v>
      </c>
      <c r="O37" s="145">
        <f t="shared" si="90"/>
        <v>27.480500000000006</v>
      </c>
      <c r="P37" s="145">
        <f t="shared" si="90"/>
        <v>27.480500000000006</v>
      </c>
      <c r="Q37" s="145">
        <f t="shared" si="90"/>
        <v>27.480500000000006</v>
      </c>
      <c r="R37" s="146">
        <f t="shared" si="90"/>
        <v>27.480500000000006</v>
      </c>
      <c r="S37" s="147">
        <f t="shared" si="45"/>
        <v>296.88784303019645</v>
      </c>
      <c r="T37" s="148">
        <f t="shared" ref="T37:AE37" si="91">+T35-T36</f>
        <v>0</v>
      </c>
      <c r="U37" s="145">
        <f t="shared" si="91"/>
        <v>27.480500000000006</v>
      </c>
      <c r="V37" s="145">
        <f t="shared" si="91"/>
        <v>27.480500000000006</v>
      </c>
      <c r="W37" s="145">
        <f t="shared" si="91"/>
        <v>27.480500000000006</v>
      </c>
      <c r="X37" s="145">
        <f t="shared" si="91"/>
        <v>27.480500000000006</v>
      </c>
      <c r="Y37" s="145">
        <f t="shared" si="91"/>
        <v>27.480500000000006</v>
      </c>
      <c r="Z37" s="145">
        <f t="shared" si="91"/>
        <v>27.480500000000006</v>
      </c>
      <c r="AA37" s="145">
        <f t="shared" si="91"/>
        <v>27.480500000000006</v>
      </c>
      <c r="AB37" s="145">
        <f t="shared" si="91"/>
        <v>27.480500000000006</v>
      </c>
      <c r="AC37" s="145">
        <f t="shared" si="91"/>
        <v>27.480500000000006</v>
      </c>
      <c r="AD37" s="145">
        <f t="shared" si="91"/>
        <v>27.480500000000006</v>
      </c>
      <c r="AE37" s="146">
        <f t="shared" si="91"/>
        <v>27.480500000000006</v>
      </c>
      <c r="AF37" s="147">
        <f t="shared" si="46"/>
        <v>302.28550000000007</v>
      </c>
      <c r="AG37" s="148">
        <f t="shared" ref="AG37:AR37" si="92">+AG35-AG36</f>
        <v>168</v>
      </c>
      <c r="AH37" s="145">
        <f t="shared" si="92"/>
        <v>27.480500000000006</v>
      </c>
      <c r="AI37" s="145">
        <f t="shared" si="92"/>
        <v>27.480500000000006</v>
      </c>
      <c r="AJ37" s="145">
        <f t="shared" si="92"/>
        <v>27.480500000000006</v>
      </c>
      <c r="AK37" s="145">
        <f t="shared" si="92"/>
        <v>27.480500000000006</v>
      </c>
      <c r="AL37" s="145">
        <f t="shared" si="92"/>
        <v>27.480500000000006</v>
      </c>
      <c r="AM37" s="145">
        <f t="shared" si="92"/>
        <v>27.480500000000006</v>
      </c>
      <c r="AN37" s="145">
        <f t="shared" si="92"/>
        <v>27.480500000000006</v>
      </c>
      <c r="AO37" s="145">
        <f t="shared" si="92"/>
        <v>27.480500000000006</v>
      </c>
      <c r="AP37" s="145">
        <f t="shared" si="92"/>
        <v>27.480500000000006</v>
      </c>
      <c r="AQ37" s="145">
        <f t="shared" si="92"/>
        <v>27.480500000000006</v>
      </c>
      <c r="AR37" s="146">
        <f t="shared" si="92"/>
        <v>27.480500000000006</v>
      </c>
      <c r="AS37" s="147">
        <f t="shared" si="47"/>
        <v>470.28550000000007</v>
      </c>
      <c r="AT37" s="148">
        <f t="shared" ref="AT37:BE37" si="93">+AT35-AT36</f>
        <v>168</v>
      </c>
      <c r="AU37" s="145">
        <f t="shared" si="93"/>
        <v>27.480500000000006</v>
      </c>
      <c r="AV37" s="145">
        <f t="shared" si="93"/>
        <v>27.480500000000006</v>
      </c>
      <c r="AW37" s="145">
        <f t="shared" si="93"/>
        <v>27.480500000000006</v>
      </c>
      <c r="AX37" s="145">
        <f t="shared" si="93"/>
        <v>27.480500000000006</v>
      </c>
      <c r="AY37" s="145">
        <f t="shared" si="93"/>
        <v>27.480500000000006</v>
      </c>
      <c r="AZ37" s="145">
        <f t="shared" si="93"/>
        <v>27.480500000000006</v>
      </c>
      <c r="BA37" s="145">
        <f t="shared" si="93"/>
        <v>27.480500000000006</v>
      </c>
      <c r="BB37" s="145">
        <f t="shared" si="93"/>
        <v>27.480500000000006</v>
      </c>
      <c r="BC37" s="145">
        <f t="shared" si="93"/>
        <v>27.480500000000006</v>
      </c>
      <c r="BD37" s="145">
        <f t="shared" si="93"/>
        <v>27.480500000000006</v>
      </c>
      <c r="BE37" s="146">
        <f t="shared" si="93"/>
        <v>27.480500000000006</v>
      </c>
      <c r="BF37" s="147">
        <f t="shared" si="48"/>
        <v>470.28550000000007</v>
      </c>
      <c r="BG37" s="148">
        <f t="shared" ref="BG37:BR37" si="94">+BG35-BG36</f>
        <v>168</v>
      </c>
      <c r="BH37" s="145">
        <f t="shared" si="94"/>
        <v>27.480500000000006</v>
      </c>
      <c r="BI37" s="145">
        <f t="shared" si="94"/>
        <v>27.480500000000006</v>
      </c>
      <c r="BJ37" s="145">
        <f t="shared" si="94"/>
        <v>27.480500000000006</v>
      </c>
      <c r="BK37" s="145">
        <f t="shared" si="94"/>
        <v>27.480500000000006</v>
      </c>
      <c r="BL37" s="145">
        <f t="shared" si="94"/>
        <v>27.480500000000006</v>
      </c>
      <c r="BM37" s="145">
        <f t="shared" si="94"/>
        <v>27.480500000000006</v>
      </c>
      <c r="BN37" s="145">
        <f t="shared" si="94"/>
        <v>27.480500000000006</v>
      </c>
      <c r="BO37" s="145">
        <f t="shared" si="94"/>
        <v>27.480500000000006</v>
      </c>
      <c r="BP37" s="145">
        <f t="shared" si="94"/>
        <v>27.480500000000006</v>
      </c>
      <c r="BQ37" s="145">
        <f t="shared" si="94"/>
        <v>27.480500000000006</v>
      </c>
      <c r="BR37" s="146">
        <f t="shared" si="94"/>
        <v>27.480500000000006</v>
      </c>
      <c r="BS37" s="147">
        <f t="shared" si="87"/>
        <v>470.28550000000007</v>
      </c>
      <c r="BT37" s="146">
        <f>+BT35-BT36</f>
        <v>0</v>
      </c>
      <c r="BU37" s="98">
        <f t="shared" si="88"/>
        <v>2010.0298430301964</v>
      </c>
      <c r="BV37" s="99">
        <f t="shared" si="89"/>
        <v>2010.0298430301973</v>
      </c>
      <c r="BW37" s="100">
        <f t="shared" si="50"/>
        <v>0</v>
      </c>
    </row>
    <row r="38" spans="1:76" ht="15" customHeight="1" outlineLevel="1">
      <c r="A38" s="648"/>
      <c r="B38" s="609" t="s">
        <v>95</v>
      </c>
      <c r="C38" s="246" t="s">
        <v>62</v>
      </c>
      <c r="D38" s="183" t="s">
        <v>122</v>
      </c>
      <c r="E38" s="128">
        <f>3500+1000</f>
        <v>4500</v>
      </c>
      <c r="F38" s="128">
        <v>4080</v>
      </c>
      <c r="G38" s="129"/>
      <c r="H38" s="130">
        <v>1387.07294317218</v>
      </c>
      <c r="I38" s="130"/>
      <c r="J38" s="130"/>
      <c r="K38" s="130"/>
      <c r="L38" s="130">
        <v>153.08313742252616</v>
      </c>
      <c r="M38" s="130"/>
      <c r="N38" s="130"/>
      <c r="O38" s="130"/>
      <c r="P38" s="130">
        <v>210</v>
      </c>
      <c r="Q38" s="130"/>
      <c r="R38" s="131"/>
      <c r="S38" s="132">
        <f t="shared" si="45"/>
        <v>1750.1560805947061</v>
      </c>
      <c r="T38" s="133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1"/>
      <c r="AF38" s="132">
        <f t="shared" si="46"/>
        <v>0</v>
      </c>
      <c r="AG38" s="129"/>
      <c r="AH38" s="130"/>
      <c r="AI38" s="130"/>
      <c r="AJ38" s="130"/>
      <c r="AK38" s="130"/>
      <c r="AL38" s="130"/>
      <c r="AM38" s="130"/>
      <c r="AN38" s="130"/>
      <c r="AO38" s="130"/>
      <c r="AP38" s="130"/>
      <c r="AQ38" s="130"/>
      <c r="AR38" s="131">
        <v>70</v>
      </c>
      <c r="AS38" s="132">
        <f t="shared" si="47"/>
        <v>70</v>
      </c>
      <c r="AT38" s="133"/>
      <c r="AU38" s="130"/>
      <c r="AV38" s="130"/>
      <c r="AW38" s="130"/>
      <c r="AX38" s="130"/>
      <c r="AY38" s="130"/>
      <c r="AZ38" s="130"/>
      <c r="BA38" s="130"/>
      <c r="BB38" s="130"/>
      <c r="BC38" s="130"/>
      <c r="BD38" s="130"/>
      <c r="BE38" s="131"/>
      <c r="BF38" s="132">
        <f t="shared" si="48"/>
        <v>0</v>
      </c>
      <c r="BG38" s="133"/>
      <c r="BH38" s="130"/>
      <c r="BI38" s="130"/>
      <c r="BJ38" s="130"/>
      <c r="BK38" s="130"/>
      <c r="BL38" s="130"/>
      <c r="BM38" s="130"/>
      <c r="BN38" s="130"/>
      <c r="BO38" s="130"/>
      <c r="BP38" s="130"/>
      <c r="BQ38" s="130"/>
      <c r="BR38" s="131"/>
      <c r="BS38" s="132">
        <f t="shared" si="87"/>
        <v>0</v>
      </c>
      <c r="BT38" s="278"/>
      <c r="BU38" s="159">
        <f t="shared" si="88"/>
        <v>5900.1560805947065</v>
      </c>
      <c r="BV38" s="165">
        <f t="shared" si="89"/>
        <v>4500</v>
      </c>
      <c r="BW38" s="166">
        <f t="shared" si="50"/>
        <v>-1400.1560805947065</v>
      </c>
    </row>
    <row r="39" spans="1:76" ht="15" customHeight="1" outlineLevel="1">
      <c r="A39" s="648"/>
      <c r="B39" s="548"/>
      <c r="C39" s="245" t="s">
        <v>63</v>
      </c>
      <c r="D39" s="184" t="s">
        <v>124</v>
      </c>
      <c r="E39" s="136">
        <v>1729.31</v>
      </c>
      <c r="F39" s="136">
        <v>561.58299999999997</v>
      </c>
      <c r="G39" s="137">
        <v>20.211385253654342</v>
      </c>
      <c r="H39" s="138">
        <v>20.869140542832909</v>
      </c>
      <c r="I39" s="138">
        <v>15.071784278350515</v>
      </c>
      <c r="J39" s="138">
        <v>13.490045724108294</v>
      </c>
      <c r="K39" s="138">
        <v>12.055576824034334</v>
      </c>
      <c r="L39" s="138">
        <v>11.539856849754219</v>
      </c>
      <c r="M39" s="138">
        <v>16.63790789529687</v>
      </c>
      <c r="N39" s="138">
        <v>35.783583333333333</v>
      </c>
      <c r="O39" s="138">
        <v>35.783583333333333</v>
      </c>
      <c r="P39" s="138">
        <v>35.783583333333333</v>
      </c>
      <c r="Q39" s="138">
        <v>35.783583333333333</v>
      </c>
      <c r="R39" s="139">
        <v>35.783583333333333</v>
      </c>
      <c r="S39" s="140">
        <f t="shared" si="45"/>
        <v>288.79361403469812</v>
      </c>
      <c r="T39" s="141">
        <v>37.413249999999998</v>
      </c>
      <c r="U39" s="138">
        <v>37.413249999999998</v>
      </c>
      <c r="V39" s="138">
        <v>37.413249999999998</v>
      </c>
      <c r="W39" s="138">
        <v>37.413249999999998</v>
      </c>
      <c r="X39" s="138">
        <v>37.413249999999998</v>
      </c>
      <c r="Y39" s="138">
        <v>37.413249999999998</v>
      </c>
      <c r="Z39" s="138">
        <v>37.413249999999998</v>
      </c>
      <c r="AA39" s="138">
        <v>37.413249999999998</v>
      </c>
      <c r="AB39" s="138">
        <v>37.413249999999998</v>
      </c>
      <c r="AC39" s="138">
        <v>37.413249999999998</v>
      </c>
      <c r="AD39" s="138">
        <v>37.413249999999998</v>
      </c>
      <c r="AE39" s="139">
        <v>37.413249999999998</v>
      </c>
      <c r="AF39" s="140">
        <f t="shared" si="46"/>
        <v>448.959</v>
      </c>
      <c r="AG39" s="137">
        <v>24.11375</v>
      </c>
      <c r="AH39" s="138">
        <v>24.11375</v>
      </c>
      <c r="AI39" s="138">
        <v>24.11375</v>
      </c>
      <c r="AJ39" s="138">
        <v>24.11375</v>
      </c>
      <c r="AK39" s="138">
        <v>24.11375</v>
      </c>
      <c r="AL39" s="138">
        <v>24.11375</v>
      </c>
      <c r="AM39" s="138">
        <v>24.11375</v>
      </c>
      <c r="AN39" s="138">
        <v>24.11375</v>
      </c>
      <c r="AO39" s="138">
        <v>24.11375</v>
      </c>
      <c r="AP39" s="138">
        <v>24.11375</v>
      </c>
      <c r="AQ39" s="138">
        <v>24.11375</v>
      </c>
      <c r="AR39" s="139">
        <v>24.11375</v>
      </c>
      <c r="AS39" s="140">
        <f t="shared" si="47"/>
        <v>289.36500000000001</v>
      </c>
      <c r="AT39" s="141"/>
      <c r="AU39" s="138"/>
      <c r="AV39" s="138"/>
      <c r="AW39" s="138"/>
      <c r="AX39" s="138"/>
      <c r="AY39" s="138"/>
      <c r="AZ39" s="138"/>
      <c r="BA39" s="138"/>
      <c r="BB39" s="138"/>
      <c r="BC39" s="138"/>
      <c r="BD39" s="138"/>
      <c r="BE39" s="139"/>
      <c r="BF39" s="140">
        <f t="shared" si="48"/>
        <v>0</v>
      </c>
      <c r="BG39" s="141"/>
      <c r="BH39" s="138"/>
      <c r="BI39" s="138"/>
      <c r="BJ39" s="138"/>
      <c r="BK39" s="138"/>
      <c r="BL39" s="138"/>
      <c r="BM39" s="138"/>
      <c r="BN39" s="138"/>
      <c r="BO39" s="138"/>
      <c r="BP39" s="138"/>
      <c r="BQ39" s="138"/>
      <c r="BR39" s="139"/>
      <c r="BS39" s="140">
        <f t="shared" si="87"/>
        <v>0</v>
      </c>
      <c r="BT39" s="279"/>
      <c r="BU39" s="90">
        <f t="shared" si="88"/>
        <v>1588.7006140346982</v>
      </c>
      <c r="BV39" s="91">
        <f t="shared" si="89"/>
        <v>1729.31</v>
      </c>
      <c r="BW39" s="92">
        <f t="shared" si="50"/>
        <v>140.60938596530173</v>
      </c>
      <c r="BX39" s="64">
        <f>+BU39/BU38</f>
        <v>0.26926416730903924</v>
      </c>
    </row>
    <row r="40" spans="1:76" ht="15" customHeight="1" outlineLevel="1">
      <c r="A40" s="648"/>
      <c r="B40" s="556"/>
      <c r="C40" s="554" t="s">
        <v>11</v>
      </c>
      <c r="D40" s="555"/>
      <c r="E40" s="143">
        <f t="shared" ref="E40:R40" si="95">+E38-E39</f>
        <v>2770.69</v>
      </c>
      <c r="F40" s="144">
        <f t="shared" si="95"/>
        <v>3518.4169999999999</v>
      </c>
      <c r="G40" s="145">
        <f t="shared" si="95"/>
        <v>-20.211385253654342</v>
      </c>
      <c r="H40" s="145">
        <f t="shared" si="95"/>
        <v>1366.2038026293471</v>
      </c>
      <c r="I40" s="145">
        <f t="shared" si="95"/>
        <v>-15.071784278350515</v>
      </c>
      <c r="J40" s="145">
        <f t="shared" si="95"/>
        <v>-13.490045724108294</v>
      </c>
      <c r="K40" s="145">
        <f t="shared" si="95"/>
        <v>-12.055576824034334</v>
      </c>
      <c r="L40" s="145">
        <f t="shared" si="95"/>
        <v>141.54328057277195</v>
      </c>
      <c r="M40" s="145">
        <f t="shared" si="95"/>
        <v>-16.63790789529687</v>
      </c>
      <c r="N40" s="145">
        <f t="shared" si="95"/>
        <v>-35.783583333333333</v>
      </c>
      <c r="O40" s="145">
        <f t="shared" si="95"/>
        <v>-35.783583333333333</v>
      </c>
      <c r="P40" s="145">
        <f t="shared" si="95"/>
        <v>174.21641666666667</v>
      </c>
      <c r="Q40" s="145">
        <f t="shared" si="95"/>
        <v>-35.783583333333333</v>
      </c>
      <c r="R40" s="146">
        <f t="shared" si="95"/>
        <v>-35.783583333333333</v>
      </c>
      <c r="S40" s="147">
        <f t="shared" si="45"/>
        <v>1461.362466560008</v>
      </c>
      <c r="T40" s="148">
        <f t="shared" ref="T40:AE40" si="96">+T38-T39</f>
        <v>-37.413249999999998</v>
      </c>
      <c r="U40" s="145">
        <f t="shared" si="96"/>
        <v>-37.413249999999998</v>
      </c>
      <c r="V40" s="145">
        <f t="shared" si="96"/>
        <v>-37.413249999999998</v>
      </c>
      <c r="W40" s="145">
        <f t="shared" si="96"/>
        <v>-37.413249999999998</v>
      </c>
      <c r="X40" s="145">
        <f t="shared" si="96"/>
        <v>-37.413249999999998</v>
      </c>
      <c r="Y40" s="145">
        <f t="shared" si="96"/>
        <v>-37.413249999999998</v>
      </c>
      <c r="Z40" s="145">
        <f t="shared" si="96"/>
        <v>-37.413249999999998</v>
      </c>
      <c r="AA40" s="145">
        <f t="shared" si="96"/>
        <v>-37.413249999999998</v>
      </c>
      <c r="AB40" s="145">
        <f t="shared" si="96"/>
        <v>-37.413249999999998</v>
      </c>
      <c r="AC40" s="145">
        <f t="shared" si="96"/>
        <v>-37.413249999999998</v>
      </c>
      <c r="AD40" s="145">
        <f t="shared" si="96"/>
        <v>-37.413249999999998</v>
      </c>
      <c r="AE40" s="146">
        <f t="shared" si="96"/>
        <v>-37.413249999999998</v>
      </c>
      <c r="AF40" s="147">
        <f t="shared" si="46"/>
        <v>-448.959</v>
      </c>
      <c r="AG40" s="148">
        <f t="shared" ref="AG40:AR40" si="97">+AG38-AG39</f>
        <v>-24.11375</v>
      </c>
      <c r="AH40" s="145">
        <f t="shared" si="97"/>
        <v>-24.11375</v>
      </c>
      <c r="AI40" s="145">
        <f t="shared" si="97"/>
        <v>-24.11375</v>
      </c>
      <c r="AJ40" s="145">
        <f t="shared" si="97"/>
        <v>-24.11375</v>
      </c>
      <c r="AK40" s="145">
        <f t="shared" si="97"/>
        <v>-24.11375</v>
      </c>
      <c r="AL40" s="145">
        <f t="shared" si="97"/>
        <v>-24.11375</v>
      </c>
      <c r="AM40" s="145">
        <f t="shared" si="97"/>
        <v>-24.11375</v>
      </c>
      <c r="AN40" s="145">
        <f t="shared" si="97"/>
        <v>-24.11375</v>
      </c>
      <c r="AO40" s="145">
        <f t="shared" si="97"/>
        <v>-24.11375</v>
      </c>
      <c r="AP40" s="145">
        <f t="shared" si="97"/>
        <v>-24.11375</v>
      </c>
      <c r="AQ40" s="145">
        <f t="shared" si="97"/>
        <v>-24.11375</v>
      </c>
      <c r="AR40" s="146">
        <f t="shared" si="97"/>
        <v>45.886250000000004</v>
      </c>
      <c r="AS40" s="147">
        <f t="shared" si="47"/>
        <v>-219.36500000000001</v>
      </c>
      <c r="AT40" s="148">
        <f t="shared" ref="AT40:BE40" si="98">+AT38-AT39</f>
        <v>0</v>
      </c>
      <c r="AU40" s="145">
        <f t="shared" si="98"/>
        <v>0</v>
      </c>
      <c r="AV40" s="145">
        <f t="shared" si="98"/>
        <v>0</v>
      </c>
      <c r="AW40" s="145">
        <f t="shared" si="98"/>
        <v>0</v>
      </c>
      <c r="AX40" s="145">
        <f t="shared" si="98"/>
        <v>0</v>
      </c>
      <c r="AY40" s="145">
        <f t="shared" si="98"/>
        <v>0</v>
      </c>
      <c r="AZ40" s="145">
        <f t="shared" si="98"/>
        <v>0</v>
      </c>
      <c r="BA40" s="145">
        <f t="shared" si="98"/>
        <v>0</v>
      </c>
      <c r="BB40" s="145">
        <f t="shared" si="98"/>
        <v>0</v>
      </c>
      <c r="BC40" s="145">
        <f t="shared" si="98"/>
        <v>0</v>
      </c>
      <c r="BD40" s="145">
        <f t="shared" si="98"/>
        <v>0</v>
      </c>
      <c r="BE40" s="146">
        <f t="shared" si="98"/>
        <v>0</v>
      </c>
      <c r="BF40" s="147">
        <f t="shared" si="48"/>
        <v>0</v>
      </c>
      <c r="BG40" s="148">
        <f t="shared" ref="BG40:BR40" si="99">+BG38-BG39</f>
        <v>0</v>
      </c>
      <c r="BH40" s="145">
        <f t="shared" si="99"/>
        <v>0</v>
      </c>
      <c r="BI40" s="145">
        <f t="shared" si="99"/>
        <v>0</v>
      </c>
      <c r="BJ40" s="145">
        <f t="shared" si="99"/>
        <v>0</v>
      </c>
      <c r="BK40" s="145">
        <f t="shared" si="99"/>
        <v>0</v>
      </c>
      <c r="BL40" s="145">
        <f t="shared" si="99"/>
        <v>0</v>
      </c>
      <c r="BM40" s="145">
        <f t="shared" si="99"/>
        <v>0</v>
      </c>
      <c r="BN40" s="145">
        <f t="shared" si="99"/>
        <v>0</v>
      </c>
      <c r="BO40" s="145">
        <f t="shared" si="99"/>
        <v>0</v>
      </c>
      <c r="BP40" s="145">
        <f t="shared" si="99"/>
        <v>0</v>
      </c>
      <c r="BQ40" s="145">
        <f t="shared" si="99"/>
        <v>0</v>
      </c>
      <c r="BR40" s="146">
        <f t="shared" si="99"/>
        <v>0</v>
      </c>
      <c r="BS40" s="147">
        <f t="shared" si="87"/>
        <v>0</v>
      </c>
      <c r="BT40" s="146">
        <f>+BT38-BT39</f>
        <v>0</v>
      </c>
      <c r="BU40" s="98">
        <f t="shared" si="88"/>
        <v>4311.4554665600081</v>
      </c>
      <c r="BV40" s="150">
        <f t="shared" si="89"/>
        <v>2770.69</v>
      </c>
      <c r="BW40" s="151">
        <f t="shared" si="50"/>
        <v>-1540.765466560008</v>
      </c>
    </row>
    <row r="41" spans="1:76" ht="15" customHeight="1" outlineLevel="1">
      <c r="A41" s="648"/>
      <c r="B41" s="593" t="s">
        <v>96</v>
      </c>
      <c r="C41" s="246" t="s">
        <v>62</v>
      </c>
      <c r="D41" s="183" t="s">
        <v>122</v>
      </c>
      <c r="E41" s="153">
        <f>79.6*4</f>
        <v>318.39999999999998</v>
      </c>
      <c r="F41" s="153">
        <v>238.79999999999998</v>
      </c>
      <c r="G41" s="154">
        <v>87.560189165950121</v>
      </c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6"/>
      <c r="S41" s="157">
        <f t="shared" si="45"/>
        <v>87.560189165950121</v>
      </c>
      <c r="T41" s="158"/>
      <c r="U41" s="155"/>
      <c r="V41" s="155"/>
      <c r="W41" s="155"/>
      <c r="X41" s="155"/>
      <c r="Y41" s="155"/>
      <c r="Z41" s="155"/>
      <c r="AA41" s="155"/>
      <c r="AB41" s="155"/>
      <c r="AC41" s="155"/>
      <c r="AD41" s="155"/>
      <c r="AE41" s="156"/>
      <c r="AF41" s="157">
        <f t="shared" si="46"/>
        <v>0</v>
      </c>
      <c r="AG41" s="154"/>
      <c r="AH41" s="155"/>
      <c r="AI41" s="155"/>
      <c r="AJ41" s="155"/>
      <c r="AK41" s="155"/>
      <c r="AL41" s="155"/>
      <c r="AM41" s="155"/>
      <c r="AN41" s="155"/>
      <c r="AO41" s="155"/>
      <c r="AP41" s="155"/>
      <c r="AQ41" s="155"/>
      <c r="AR41" s="156"/>
      <c r="AS41" s="157">
        <f t="shared" si="47"/>
        <v>0</v>
      </c>
      <c r="AT41" s="158"/>
      <c r="AU41" s="155"/>
      <c r="AV41" s="155"/>
      <c r="AW41" s="155"/>
      <c r="AX41" s="155"/>
      <c r="AY41" s="155"/>
      <c r="AZ41" s="155"/>
      <c r="BA41" s="155"/>
      <c r="BB41" s="155"/>
      <c r="BC41" s="155"/>
      <c r="BD41" s="155"/>
      <c r="BE41" s="156"/>
      <c r="BF41" s="157">
        <f t="shared" si="48"/>
        <v>0</v>
      </c>
      <c r="BG41" s="158"/>
      <c r="BH41" s="155"/>
      <c r="BI41" s="155"/>
      <c r="BJ41" s="155"/>
      <c r="BK41" s="155"/>
      <c r="BL41" s="155"/>
      <c r="BM41" s="155"/>
      <c r="BN41" s="155"/>
      <c r="BO41" s="155"/>
      <c r="BP41" s="155"/>
      <c r="BQ41" s="155"/>
      <c r="BR41" s="156"/>
      <c r="BS41" s="157">
        <f t="shared" si="87"/>
        <v>0</v>
      </c>
      <c r="BT41" s="280"/>
      <c r="BU41" s="159">
        <f t="shared" si="88"/>
        <v>326.36018916595009</v>
      </c>
      <c r="BV41" s="160">
        <f t="shared" si="89"/>
        <v>318.39999999999998</v>
      </c>
      <c r="BW41" s="161">
        <f t="shared" si="50"/>
        <v>-7.9601891659501121</v>
      </c>
    </row>
    <row r="42" spans="1:76" ht="15" customHeight="1" outlineLevel="1">
      <c r="A42" s="648"/>
      <c r="B42" s="548"/>
      <c r="C42" s="245" t="s">
        <v>63</v>
      </c>
      <c r="D42" s="184" t="s">
        <v>124</v>
      </c>
      <c r="E42" s="136">
        <f>+E41*85%</f>
        <v>270.64</v>
      </c>
      <c r="F42" s="136">
        <v>202.98</v>
      </c>
      <c r="G42" s="137">
        <v>10.049526354256233</v>
      </c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9"/>
      <c r="S42" s="162">
        <f t="shared" si="45"/>
        <v>10.049526354256233</v>
      </c>
      <c r="T42" s="141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  <c r="AE42" s="139"/>
      <c r="AF42" s="162">
        <f t="shared" si="46"/>
        <v>0</v>
      </c>
      <c r="AG42" s="137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9"/>
      <c r="AS42" s="162">
        <f t="shared" si="47"/>
        <v>0</v>
      </c>
      <c r="AT42" s="141"/>
      <c r="AU42" s="138"/>
      <c r="AV42" s="138"/>
      <c r="AW42" s="138"/>
      <c r="AX42" s="138"/>
      <c r="AY42" s="138"/>
      <c r="AZ42" s="138"/>
      <c r="BA42" s="138"/>
      <c r="BB42" s="138"/>
      <c r="BC42" s="138"/>
      <c r="BD42" s="138"/>
      <c r="BE42" s="139"/>
      <c r="BF42" s="162">
        <f t="shared" si="48"/>
        <v>0</v>
      </c>
      <c r="BG42" s="141"/>
      <c r="BH42" s="138"/>
      <c r="BI42" s="138"/>
      <c r="BJ42" s="138"/>
      <c r="BK42" s="138"/>
      <c r="BL42" s="138"/>
      <c r="BM42" s="138"/>
      <c r="BN42" s="138"/>
      <c r="BO42" s="138"/>
      <c r="BP42" s="138"/>
      <c r="BQ42" s="138"/>
      <c r="BR42" s="139"/>
      <c r="BS42" s="162">
        <f t="shared" si="87"/>
        <v>0</v>
      </c>
      <c r="BT42" s="279"/>
      <c r="BU42" s="90">
        <f t="shared" si="88"/>
        <v>213.02952635425623</v>
      </c>
      <c r="BV42" s="91">
        <f t="shared" si="89"/>
        <v>270.64</v>
      </c>
      <c r="BW42" s="92">
        <f t="shared" si="50"/>
        <v>57.610473645743753</v>
      </c>
      <c r="BX42" s="64">
        <f>+BU42/BU41</f>
        <v>0.65274360484554494</v>
      </c>
    </row>
    <row r="43" spans="1:76" ht="15" customHeight="1" outlineLevel="1">
      <c r="A43" s="648"/>
      <c r="B43" s="549"/>
      <c r="C43" s="554" t="s">
        <v>11</v>
      </c>
      <c r="D43" s="555"/>
      <c r="E43" s="143">
        <f t="shared" ref="E43:R43" si="100">+E41-E42</f>
        <v>47.759999999999991</v>
      </c>
      <c r="F43" s="144">
        <f t="shared" si="100"/>
        <v>35.819999999999993</v>
      </c>
      <c r="G43" s="145">
        <f t="shared" si="100"/>
        <v>77.510662811693891</v>
      </c>
      <c r="H43" s="145">
        <f t="shared" si="100"/>
        <v>0</v>
      </c>
      <c r="I43" s="145">
        <f t="shared" si="100"/>
        <v>0</v>
      </c>
      <c r="J43" s="145">
        <f t="shared" si="100"/>
        <v>0</v>
      </c>
      <c r="K43" s="145">
        <f t="shared" si="100"/>
        <v>0</v>
      </c>
      <c r="L43" s="145">
        <f t="shared" si="100"/>
        <v>0</v>
      </c>
      <c r="M43" s="145">
        <f t="shared" si="100"/>
        <v>0</v>
      </c>
      <c r="N43" s="145">
        <f t="shared" si="100"/>
        <v>0</v>
      </c>
      <c r="O43" s="145">
        <f t="shared" si="100"/>
        <v>0</v>
      </c>
      <c r="P43" s="145">
        <f t="shared" si="100"/>
        <v>0</v>
      </c>
      <c r="Q43" s="145">
        <f t="shared" si="100"/>
        <v>0</v>
      </c>
      <c r="R43" s="146">
        <f t="shared" si="100"/>
        <v>0</v>
      </c>
      <c r="S43" s="147">
        <f t="shared" si="45"/>
        <v>77.510662811693891</v>
      </c>
      <c r="T43" s="148">
        <f t="shared" ref="T43:AE43" si="101">+T41-T42</f>
        <v>0</v>
      </c>
      <c r="U43" s="145">
        <f t="shared" si="101"/>
        <v>0</v>
      </c>
      <c r="V43" s="145">
        <f t="shared" si="101"/>
        <v>0</v>
      </c>
      <c r="W43" s="145">
        <f t="shared" si="101"/>
        <v>0</v>
      </c>
      <c r="X43" s="145">
        <f t="shared" si="101"/>
        <v>0</v>
      </c>
      <c r="Y43" s="145">
        <f t="shared" si="101"/>
        <v>0</v>
      </c>
      <c r="Z43" s="145">
        <f t="shared" si="101"/>
        <v>0</v>
      </c>
      <c r="AA43" s="145">
        <f t="shared" si="101"/>
        <v>0</v>
      </c>
      <c r="AB43" s="145">
        <f t="shared" si="101"/>
        <v>0</v>
      </c>
      <c r="AC43" s="145">
        <f t="shared" si="101"/>
        <v>0</v>
      </c>
      <c r="AD43" s="145">
        <f t="shared" si="101"/>
        <v>0</v>
      </c>
      <c r="AE43" s="146">
        <f t="shared" si="101"/>
        <v>0</v>
      </c>
      <c r="AF43" s="147">
        <f t="shared" si="46"/>
        <v>0</v>
      </c>
      <c r="AG43" s="148">
        <f t="shared" ref="AG43:AR43" si="102">+AG41-AG42</f>
        <v>0</v>
      </c>
      <c r="AH43" s="145">
        <f t="shared" si="102"/>
        <v>0</v>
      </c>
      <c r="AI43" s="145">
        <f t="shared" si="102"/>
        <v>0</v>
      </c>
      <c r="AJ43" s="145">
        <f t="shared" si="102"/>
        <v>0</v>
      </c>
      <c r="AK43" s="145">
        <f t="shared" si="102"/>
        <v>0</v>
      </c>
      <c r="AL43" s="145">
        <f t="shared" si="102"/>
        <v>0</v>
      </c>
      <c r="AM43" s="145">
        <f t="shared" si="102"/>
        <v>0</v>
      </c>
      <c r="AN43" s="145">
        <f t="shared" si="102"/>
        <v>0</v>
      </c>
      <c r="AO43" s="145">
        <f t="shared" si="102"/>
        <v>0</v>
      </c>
      <c r="AP43" s="145">
        <f t="shared" si="102"/>
        <v>0</v>
      </c>
      <c r="AQ43" s="145">
        <f t="shared" si="102"/>
        <v>0</v>
      </c>
      <c r="AR43" s="146">
        <f t="shared" si="102"/>
        <v>0</v>
      </c>
      <c r="AS43" s="147">
        <f t="shared" si="47"/>
        <v>0</v>
      </c>
      <c r="AT43" s="148">
        <f t="shared" ref="AT43:BE43" si="103">+AT41-AT42</f>
        <v>0</v>
      </c>
      <c r="AU43" s="145">
        <f t="shared" si="103"/>
        <v>0</v>
      </c>
      <c r="AV43" s="145">
        <f t="shared" si="103"/>
        <v>0</v>
      </c>
      <c r="AW43" s="145">
        <f t="shared" si="103"/>
        <v>0</v>
      </c>
      <c r="AX43" s="145">
        <f t="shared" si="103"/>
        <v>0</v>
      </c>
      <c r="AY43" s="145">
        <f t="shared" si="103"/>
        <v>0</v>
      </c>
      <c r="AZ43" s="145">
        <f t="shared" si="103"/>
        <v>0</v>
      </c>
      <c r="BA43" s="145">
        <f t="shared" si="103"/>
        <v>0</v>
      </c>
      <c r="BB43" s="145">
        <f t="shared" si="103"/>
        <v>0</v>
      </c>
      <c r="BC43" s="145">
        <f t="shared" si="103"/>
        <v>0</v>
      </c>
      <c r="BD43" s="145">
        <f t="shared" si="103"/>
        <v>0</v>
      </c>
      <c r="BE43" s="146">
        <f t="shared" si="103"/>
        <v>0</v>
      </c>
      <c r="BF43" s="147">
        <f t="shared" si="48"/>
        <v>0</v>
      </c>
      <c r="BG43" s="148">
        <f t="shared" ref="BG43:BR43" si="104">+BG41-BG42</f>
        <v>0</v>
      </c>
      <c r="BH43" s="145">
        <f t="shared" si="104"/>
        <v>0</v>
      </c>
      <c r="BI43" s="145">
        <f t="shared" si="104"/>
        <v>0</v>
      </c>
      <c r="BJ43" s="145">
        <f t="shared" si="104"/>
        <v>0</v>
      </c>
      <c r="BK43" s="145">
        <f t="shared" si="104"/>
        <v>0</v>
      </c>
      <c r="BL43" s="145">
        <f t="shared" si="104"/>
        <v>0</v>
      </c>
      <c r="BM43" s="145">
        <f t="shared" si="104"/>
        <v>0</v>
      </c>
      <c r="BN43" s="145">
        <f t="shared" si="104"/>
        <v>0</v>
      </c>
      <c r="BO43" s="145">
        <f t="shared" si="104"/>
        <v>0</v>
      </c>
      <c r="BP43" s="145">
        <f t="shared" si="104"/>
        <v>0</v>
      </c>
      <c r="BQ43" s="145">
        <f t="shared" si="104"/>
        <v>0</v>
      </c>
      <c r="BR43" s="146">
        <f t="shared" si="104"/>
        <v>0</v>
      </c>
      <c r="BS43" s="147">
        <f t="shared" si="87"/>
        <v>0</v>
      </c>
      <c r="BT43" s="146">
        <f>+BT41-BT42</f>
        <v>0</v>
      </c>
      <c r="BU43" s="98">
        <f t="shared" si="88"/>
        <v>113.33066281169388</v>
      </c>
      <c r="BV43" s="99">
        <f t="shared" si="89"/>
        <v>47.759999999999991</v>
      </c>
      <c r="BW43" s="100">
        <f t="shared" si="50"/>
        <v>-65.570662811693893</v>
      </c>
    </row>
    <row r="44" spans="1:76" ht="15" customHeight="1" outlineLevel="1">
      <c r="A44" s="648"/>
      <c r="B44" s="609" t="s">
        <v>97</v>
      </c>
      <c r="C44" s="246" t="s">
        <v>62</v>
      </c>
      <c r="D44" s="183" t="s">
        <v>122</v>
      </c>
      <c r="E44" s="128">
        <v>2000</v>
      </c>
      <c r="F44" s="128">
        <v>200</v>
      </c>
      <c r="G44" s="129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282">
        <v>400</v>
      </c>
      <c r="S44" s="163">
        <f t="shared" si="45"/>
        <v>400</v>
      </c>
      <c r="T44" s="133">
        <v>400</v>
      </c>
      <c r="U44" s="130"/>
      <c r="V44" s="130"/>
      <c r="W44" s="130"/>
      <c r="X44" s="130">
        <v>200</v>
      </c>
      <c r="Y44" s="130">
        <v>200</v>
      </c>
      <c r="Z44" s="130"/>
      <c r="AA44" s="130"/>
      <c r="AB44" s="130">
        <v>200</v>
      </c>
      <c r="AC44" s="130"/>
      <c r="AD44" s="130"/>
      <c r="AE44" s="131">
        <v>200</v>
      </c>
      <c r="AF44" s="163">
        <f t="shared" si="46"/>
        <v>1200</v>
      </c>
      <c r="AG44" s="129"/>
      <c r="AH44" s="130"/>
      <c r="AI44" s="130"/>
      <c r="AJ44" s="130"/>
      <c r="AK44" s="130"/>
      <c r="AL44" s="130"/>
      <c r="AM44" s="130"/>
      <c r="AN44" s="130"/>
      <c r="AO44" s="130"/>
      <c r="AP44" s="130"/>
      <c r="AQ44" s="130"/>
      <c r="AR44" s="131"/>
      <c r="AS44" s="163">
        <f t="shared" si="47"/>
        <v>0</v>
      </c>
      <c r="AT44" s="133"/>
      <c r="AU44" s="130"/>
      <c r="AV44" s="130"/>
      <c r="AW44" s="130"/>
      <c r="AX44" s="130"/>
      <c r="AY44" s="130"/>
      <c r="AZ44" s="130"/>
      <c r="BA44" s="130"/>
      <c r="BB44" s="130"/>
      <c r="BC44" s="130"/>
      <c r="BD44" s="130"/>
      <c r="BE44" s="131"/>
      <c r="BF44" s="163">
        <f t="shared" si="48"/>
        <v>0</v>
      </c>
      <c r="BG44" s="133"/>
      <c r="BH44" s="130"/>
      <c r="BI44" s="130"/>
      <c r="BJ44" s="130"/>
      <c r="BK44" s="130"/>
      <c r="BL44" s="130"/>
      <c r="BM44" s="130"/>
      <c r="BN44" s="130"/>
      <c r="BO44" s="130"/>
      <c r="BP44" s="130"/>
      <c r="BQ44" s="130"/>
      <c r="BR44" s="131">
        <v>100</v>
      </c>
      <c r="BS44" s="163">
        <f t="shared" si="87"/>
        <v>100</v>
      </c>
      <c r="BT44" s="278">
        <v>100</v>
      </c>
      <c r="BU44" s="159">
        <f t="shared" si="88"/>
        <v>2000</v>
      </c>
      <c r="BV44" s="165">
        <f t="shared" si="89"/>
        <v>2000</v>
      </c>
      <c r="BW44" s="166">
        <f t="shared" si="50"/>
        <v>0</v>
      </c>
    </row>
    <row r="45" spans="1:76" ht="15" customHeight="1" outlineLevel="1">
      <c r="A45" s="648"/>
      <c r="B45" s="548"/>
      <c r="C45" s="245" t="s">
        <v>63</v>
      </c>
      <c r="D45" s="184" t="s">
        <v>124</v>
      </c>
      <c r="E45" s="136">
        <v>1571.5450000000001</v>
      </c>
      <c r="F45" s="136"/>
      <c r="G45" s="137">
        <v>27.272379105760962</v>
      </c>
      <c r="H45" s="138">
        <v>25.005415592783507</v>
      </c>
      <c r="I45" s="138">
        <v>25.005415592783507</v>
      </c>
      <c r="J45" s="138">
        <v>25.130148689299528</v>
      </c>
      <c r="K45" s="138">
        <v>25.930276051502148</v>
      </c>
      <c r="L45" s="138">
        <v>24.229837016456511</v>
      </c>
      <c r="M45" s="138">
        <v>28.149459714832943</v>
      </c>
      <c r="N45" s="138">
        <v>51.432381818181824</v>
      </c>
      <c r="O45" s="138">
        <v>51.432381818181824</v>
      </c>
      <c r="P45" s="138">
        <v>51.432381818181824</v>
      </c>
      <c r="Q45" s="138">
        <v>51.432381818181824</v>
      </c>
      <c r="R45" s="139">
        <v>51.432381818181824</v>
      </c>
      <c r="S45" s="162">
        <f t="shared" si="45"/>
        <v>437.88484085432833</v>
      </c>
      <c r="T45" s="141">
        <v>23.573175000000003</v>
      </c>
      <c r="U45" s="138">
        <v>23.573175000000003</v>
      </c>
      <c r="V45" s="138">
        <v>23.573175000000003</v>
      </c>
      <c r="W45" s="138">
        <v>23.573175000000003</v>
      </c>
      <c r="X45" s="138">
        <v>23.573175000000003</v>
      </c>
      <c r="Y45" s="138">
        <v>23.573175000000003</v>
      </c>
      <c r="Z45" s="138">
        <v>23.573175000000003</v>
      </c>
      <c r="AA45" s="138">
        <v>23.573175000000003</v>
      </c>
      <c r="AB45" s="138">
        <v>23.573175000000003</v>
      </c>
      <c r="AC45" s="138">
        <v>23.573175000000003</v>
      </c>
      <c r="AD45" s="138">
        <v>23.573175000000003</v>
      </c>
      <c r="AE45" s="139">
        <v>23.573175000000003</v>
      </c>
      <c r="AF45" s="162">
        <f t="shared" si="46"/>
        <v>282.87809999999996</v>
      </c>
      <c r="AG45" s="137">
        <v>15.715449999999999</v>
      </c>
      <c r="AH45" s="138">
        <v>15.715449999999999</v>
      </c>
      <c r="AI45" s="138">
        <v>15.715449999999999</v>
      </c>
      <c r="AJ45" s="138">
        <v>15.715449999999999</v>
      </c>
      <c r="AK45" s="138">
        <v>15.715449999999999</v>
      </c>
      <c r="AL45" s="138">
        <v>15.715449999999999</v>
      </c>
      <c r="AM45" s="138">
        <v>15.715449999999999</v>
      </c>
      <c r="AN45" s="138">
        <v>15.715449999999999</v>
      </c>
      <c r="AO45" s="138">
        <v>15.715449999999999</v>
      </c>
      <c r="AP45" s="138">
        <v>15.715449999999999</v>
      </c>
      <c r="AQ45" s="138">
        <v>15.715449999999999</v>
      </c>
      <c r="AR45" s="139">
        <v>15.715449999999999</v>
      </c>
      <c r="AS45" s="162">
        <f t="shared" si="47"/>
        <v>188.58540000000002</v>
      </c>
      <c r="AT45" s="141">
        <v>15.715449999999999</v>
      </c>
      <c r="AU45" s="138">
        <v>15.715449999999999</v>
      </c>
      <c r="AV45" s="138">
        <v>15.715449999999999</v>
      </c>
      <c r="AW45" s="138">
        <v>15.715449999999999</v>
      </c>
      <c r="AX45" s="138">
        <v>15.715449999999999</v>
      </c>
      <c r="AY45" s="138">
        <v>15.715449999999999</v>
      </c>
      <c r="AZ45" s="138">
        <v>15.715449999999999</v>
      </c>
      <c r="BA45" s="138">
        <v>15.715449999999999</v>
      </c>
      <c r="BB45" s="138">
        <v>15.715449999999999</v>
      </c>
      <c r="BC45" s="138">
        <v>15.715449999999999</v>
      </c>
      <c r="BD45" s="138">
        <v>15.715449999999999</v>
      </c>
      <c r="BE45" s="139">
        <v>15.715449999999999</v>
      </c>
      <c r="BF45" s="162">
        <f t="shared" si="48"/>
        <v>188.58540000000002</v>
      </c>
      <c r="BG45" s="141">
        <v>15.715449999999999</v>
      </c>
      <c r="BH45" s="138">
        <v>15.715449999999999</v>
      </c>
      <c r="BI45" s="138">
        <v>15.715449999999999</v>
      </c>
      <c r="BJ45" s="138">
        <v>15.715449999999999</v>
      </c>
      <c r="BK45" s="138">
        <v>15.715449999999999</v>
      </c>
      <c r="BL45" s="138">
        <v>15.715449999999999</v>
      </c>
      <c r="BM45" s="138">
        <v>15.715449999999999</v>
      </c>
      <c r="BN45" s="138">
        <v>15.715449999999999</v>
      </c>
      <c r="BO45" s="138">
        <v>15.715449999999999</v>
      </c>
      <c r="BP45" s="138">
        <v>15.715449999999999</v>
      </c>
      <c r="BQ45" s="138">
        <v>15.715449999999999</v>
      </c>
      <c r="BR45" s="139">
        <v>15.715449999999999</v>
      </c>
      <c r="BS45" s="162">
        <f t="shared" si="87"/>
        <v>188.58540000000002</v>
      </c>
      <c r="BT45" s="279">
        <v>157.15450000000001</v>
      </c>
      <c r="BU45" s="90">
        <f t="shared" si="88"/>
        <v>1443.6736408543284</v>
      </c>
      <c r="BV45" s="91">
        <f t="shared" si="89"/>
        <v>1571.5450000000001</v>
      </c>
      <c r="BW45" s="92">
        <f t="shared" si="50"/>
        <v>127.8713591456717</v>
      </c>
      <c r="BX45" s="64">
        <f>+BU45/BU44</f>
        <v>0.72183682042716424</v>
      </c>
    </row>
    <row r="46" spans="1:76" ht="15" customHeight="1" outlineLevel="1">
      <c r="A46" s="648"/>
      <c r="B46" s="556"/>
      <c r="C46" s="554" t="s">
        <v>11</v>
      </c>
      <c r="D46" s="555"/>
      <c r="E46" s="143">
        <f t="shared" ref="E46:R46" si="105">+E44-E45</f>
        <v>428.45499999999993</v>
      </c>
      <c r="F46" s="144">
        <f t="shared" si="105"/>
        <v>200</v>
      </c>
      <c r="G46" s="145">
        <f t="shared" si="105"/>
        <v>-27.272379105760962</v>
      </c>
      <c r="H46" s="145">
        <f t="shared" si="105"/>
        <v>-25.005415592783507</v>
      </c>
      <c r="I46" s="145">
        <f t="shared" si="105"/>
        <v>-25.005415592783507</v>
      </c>
      <c r="J46" s="145">
        <f t="shared" si="105"/>
        <v>-25.130148689299528</v>
      </c>
      <c r="K46" s="145">
        <f t="shared" si="105"/>
        <v>-25.930276051502148</v>
      </c>
      <c r="L46" s="145">
        <f t="shared" si="105"/>
        <v>-24.229837016456511</v>
      </c>
      <c r="M46" s="145">
        <f t="shared" si="105"/>
        <v>-28.149459714832943</v>
      </c>
      <c r="N46" s="145">
        <f t="shared" si="105"/>
        <v>-51.432381818181824</v>
      </c>
      <c r="O46" s="145">
        <f t="shared" si="105"/>
        <v>-51.432381818181824</v>
      </c>
      <c r="P46" s="145">
        <f t="shared" si="105"/>
        <v>-51.432381818181824</v>
      </c>
      <c r="Q46" s="145">
        <f t="shared" si="105"/>
        <v>-51.432381818181824</v>
      </c>
      <c r="R46" s="146">
        <f t="shared" si="105"/>
        <v>348.56761818181815</v>
      </c>
      <c r="S46" s="147">
        <f t="shared" si="45"/>
        <v>-37.884840854328331</v>
      </c>
      <c r="T46" s="148">
        <f t="shared" ref="T46:AE46" si="106">+T44-T45</f>
        <v>376.42682500000001</v>
      </c>
      <c r="U46" s="145">
        <f t="shared" si="106"/>
        <v>-23.573175000000003</v>
      </c>
      <c r="V46" s="145">
        <f t="shared" si="106"/>
        <v>-23.573175000000003</v>
      </c>
      <c r="W46" s="145">
        <f t="shared" si="106"/>
        <v>-23.573175000000003</v>
      </c>
      <c r="X46" s="145">
        <f t="shared" si="106"/>
        <v>176.42682500000001</v>
      </c>
      <c r="Y46" s="145">
        <f t="shared" si="106"/>
        <v>176.42682500000001</v>
      </c>
      <c r="Z46" s="145">
        <f t="shared" si="106"/>
        <v>-23.573175000000003</v>
      </c>
      <c r="AA46" s="145">
        <f t="shared" si="106"/>
        <v>-23.573175000000003</v>
      </c>
      <c r="AB46" s="145">
        <f t="shared" si="106"/>
        <v>176.42682500000001</v>
      </c>
      <c r="AC46" s="145">
        <f t="shared" si="106"/>
        <v>-23.573175000000003</v>
      </c>
      <c r="AD46" s="145">
        <f t="shared" si="106"/>
        <v>-23.573175000000003</v>
      </c>
      <c r="AE46" s="146">
        <f t="shared" si="106"/>
        <v>176.42682500000001</v>
      </c>
      <c r="AF46" s="147">
        <f t="shared" si="46"/>
        <v>917.1219000000001</v>
      </c>
      <c r="AG46" s="148">
        <f t="shared" ref="AG46:AR46" si="107">+AG44-AG45</f>
        <v>-15.715449999999999</v>
      </c>
      <c r="AH46" s="145">
        <f t="shared" si="107"/>
        <v>-15.715449999999999</v>
      </c>
      <c r="AI46" s="145">
        <f t="shared" si="107"/>
        <v>-15.715449999999999</v>
      </c>
      <c r="AJ46" s="145">
        <f t="shared" si="107"/>
        <v>-15.715449999999999</v>
      </c>
      <c r="AK46" s="145">
        <f t="shared" si="107"/>
        <v>-15.715449999999999</v>
      </c>
      <c r="AL46" s="145">
        <f t="shared" si="107"/>
        <v>-15.715449999999999</v>
      </c>
      <c r="AM46" s="145">
        <f t="shared" si="107"/>
        <v>-15.715449999999999</v>
      </c>
      <c r="AN46" s="145">
        <f t="shared" si="107"/>
        <v>-15.715449999999999</v>
      </c>
      <c r="AO46" s="145">
        <f t="shared" si="107"/>
        <v>-15.715449999999999</v>
      </c>
      <c r="AP46" s="145">
        <f t="shared" si="107"/>
        <v>-15.715449999999999</v>
      </c>
      <c r="AQ46" s="145">
        <f t="shared" si="107"/>
        <v>-15.715449999999999</v>
      </c>
      <c r="AR46" s="146">
        <f t="shared" si="107"/>
        <v>-15.715449999999999</v>
      </c>
      <c r="AS46" s="147">
        <f t="shared" si="47"/>
        <v>-188.58540000000002</v>
      </c>
      <c r="AT46" s="148">
        <f t="shared" ref="AT46:BE46" si="108">+AT44-AT45</f>
        <v>-15.715449999999999</v>
      </c>
      <c r="AU46" s="145">
        <f t="shared" si="108"/>
        <v>-15.715449999999999</v>
      </c>
      <c r="AV46" s="145">
        <f t="shared" si="108"/>
        <v>-15.715449999999999</v>
      </c>
      <c r="AW46" s="145">
        <f t="shared" si="108"/>
        <v>-15.715449999999999</v>
      </c>
      <c r="AX46" s="145">
        <f t="shared" si="108"/>
        <v>-15.715449999999999</v>
      </c>
      <c r="AY46" s="145">
        <f t="shared" si="108"/>
        <v>-15.715449999999999</v>
      </c>
      <c r="AZ46" s="145">
        <f t="shared" si="108"/>
        <v>-15.715449999999999</v>
      </c>
      <c r="BA46" s="145">
        <f t="shared" si="108"/>
        <v>-15.715449999999999</v>
      </c>
      <c r="BB46" s="145">
        <f t="shared" si="108"/>
        <v>-15.715449999999999</v>
      </c>
      <c r="BC46" s="145">
        <f t="shared" si="108"/>
        <v>-15.715449999999999</v>
      </c>
      <c r="BD46" s="145">
        <f t="shared" si="108"/>
        <v>-15.715449999999999</v>
      </c>
      <c r="BE46" s="146">
        <f t="shared" si="108"/>
        <v>-15.715449999999999</v>
      </c>
      <c r="BF46" s="147">
        <f t="shared" si="48"/>
        <v>-188.58540000000002</v>
      </c>
      <c r="BG46" s="148">
        <f t="shared" ref="BG46:BR46" si="109">+BG44-BG45</f>
        <v>-15.715449999999999</v>
      </c>
      <c r="BH46" s="145">
        <f t="shared" si="109"/>
        <v>-15.715449999999999</v>
      </c>
      <c r="BI46" s="145">
        <f t="shared" si="109"/>
        <v>-15.715449999999999</v>
      </c>
      <c r="BJ46" s="145">
        <f t="shared" si="109"/>
        <v>-15.715449999999999</v>
      </c>
      <c r="BK46" s="145">
        <f t="shared" si="109"/>
        <v>-15.715449999999999</v>
      </c>
      <c r="BL46" s="145">
        <f t="shared" si="109"/>
        <v>-15.715449999999999</v>
      </c>
      <c r="BM46" s="145">
        <f t="shared" si="109"/>
        <v>-15.715449999999999</v>
      </c>
      <c r="BN46" s="145">
        <f t="shared" si="109"/>
        <v>-15.715449999999999</v>
      </c>
      <c r="BO46" s="145">
        <f t="shared" si="109"/>
        <v>-15.715449999999999</v>
      </c>
      <c r="BP46" s="145">
        <f t="shared" si="109"/>
        <v>-15.715449999999999</v>
      </c>
      <c r="BQ46" s="145">
        <f t="shared" si="109"/>
        <v>-15.715449999999999</v>
      </c>
      <c r="BR46" s="146">
        <f t="shared" si="109"/>
        <v>84.284549999999996</v>
      </c>
      <c r="BS46" s="147">
        <f t="shared" si="87"/>
        <v>-88.585400000000021</v>
      </c>
      <c r="BT46" s="146">
        <f>+BT44-BT45</f>
        <v>-57.154500000000013</v>
      </c>
      <c r="BU46" s="98">
        <f t="shared" si="88"/>
        <v>556.32635914567163</v>
      </c>
      <c r="BV46" s="150">
        <f t="shared" si="89"/>
        <v>428.45499999999993</v>
      </c>
      <c r="BW46" s="151">
        <f t="shared" si="50"/>
        <v>-127.8713591456717</v>
      </c>
    </row>
    <row r="47" spans="1:76" ht="15" customHeight="1" outlineLevel="1">
      <c r="A47" s="648"/>
      <c r="B47" s="593" t="s">
        <v>98</v>
      </c>
      <c r="C47" s="246" t="s">
        <v>62</v>
      </c>
      <c r="D47" s="183" t="s">
        <v>122</v>
      </c>
      <c r="E47" s="153">
        <v>2000</v>
      </c>
      <c r="F47" s="153"/>
      <c r="G47" s="154">
        <v>219.96041702493551</v>
      </c>
      <c r="H47" s="155"/>
      <c r="I47" s="155"/>
      <c r="J47" s="155"/>
      <c r="K47" s="155"/>
      <c r="L47" s="155"/>
      <c r="M47" s="155"/>
      <c r="N47" s="155"/>
      <c r="O47" s="155"/>
      <c r="P47" s="155"/>
      <c r="Q47" s="283">
        <f>+$E$47*30%</f>
        <v>600</v>
      </c>
      <c r="R47" s="156"/>
      <c r="S47" s="157">
        <f t="shared" si="45"/>
        <v>819.96041702493551</v>
      </c>
      <c r="T47" s="158"/>
      <c r="U47" s="155"/>
      <c r="V47" s="285">
        <v>400</v>
      </c>
      <c r="W47" s="155"/>
      <c r="X47" s="155"/>
      <c r="Y47" s="283">
        <v>400</v>
      </c>
      <c r="Z47" s="155"/>
      <c r="AA47" s="155"/>
      <c r="AB47" s="155"/>
      <c r="AC47" s="155"/>
      <c r="AD47" s="155"/>
      <c r="AE47" s="156"/>
      <c r="AF47" s="157">
        <f t="shared" si="46"/>
        <v>800</v>
      </c>
      <c r="AG47" s="154"/>
      <c r="AH47" s="155"/>
      <c r="AI47" s="155"/>
      <c r="AJ47" s="155"/>
      <c r="AK47" s="155"/>
      <c r="AL47" s="155">
        <v>200</v>
      </c>
      <c r="AM47" s="155"/>
      <c r="AN47" s="155"/>
      <c r="AO47" s="155"/>
      <c r="AP47" s="155"/>
      <c r="AQ47" s="155"/>
      <c r="AR47" s="156"/>
      <c r="AS47" s="157">
        <f t="shared" si="47"/>
        <v>200</v>
      </c>
      <c r="AT47" s="158"/>
      <c r="AU47" s="155"/>
      <c r="AV47" s="155"/>
      <c r="AW47" s="155"/>
      <c r="AX47" s="155"/>
      <c r="AY47" s="155"/>
      <c r="AZ47" s="155"/>
      <c r="BA47" s="155"/>
      <c r="BB47" s="155"/>
      <c r="BC47" s="155"/>
      <c r="BD47" s="155"/>
      <c r="BE47" s="156"/>
      <c r="BF47" s="157">
        <f t="shared" si="48"/>
        <v>0</v>
      </c>
      <c r="BG47" s="158"/>
      <c r="BH47" s="155"/>
      <c r="BI47" s="155">
        <v>200</v>
      </c>
      <c r="BJ47" s="155"/>
      <c r="BK47" s="155"/>
      <c r="BL47" s="155"/>
      <c r="BM47" s="155"/>
      <c r="BN47" s="155"/>
      <c r="BO47" s="155"/>
      <c r="BP47" s="155"/>
      <c r="BQ47" s="155"/>
      <c r="BR47" s="156"/>
      <c r="BS47" s="157">
        <f t="shared" si="87"/>
        <v>200</v>
      </c>
      <c r="BT47" s="280"/>
      <c r="BU47" s="159">
        <f t="shared" si="88"/>
        <v>2019.9604170249354</v>
      </c>
      <c r="BV47" s="160">
        <f t="shared" si="89"/>
        <v>2000</v>
      </c>
      <c r="BW47" s="161">
        <f t="shared" si="50"/>
        <v>-19.960417024935396</v>
      </c>
    </row>
    <row r="48" spans="1:76" ht="15" customHeight="1" outlineLevel="1">
      <c r="A48" s="648"/>
      <c r="B48" s="548"/>
      <c r="C48" s="245" t="s">
        <v>63</v>
      </c>
      <c r="D48" s="184" t="s">
        <v>124</v>
      </c>
      <c r="E48" s="136">
        <v>1555.665</v>
      </c>
      <c r="F48" s="136"/>
      <c r="G48" s="137">
        <v>11.79975674978504</v>
      </c>
      <c r="H48" s="138">
        <v>22.590401908396949</v>
      </c>
      <c r="I48" s="138">
        <v>20.066855369415808</v>
      </c>
      <c r="J48" s="138">
        <v>17.881765921787707</v>
      </c>
      <c r="K48" s="138">
        <v>18.869788755364809</v>
      </c>
      <c r="L48" s="138">
        <v>18.614331566574055</v>
      </c>
      <c r="M48" s="138">
        <v>21.573417705894869</v>
      </c>
      <c r="N48" s="138">
        <v>56.56963636363637</v>
      </c>
      <c r="O48" s="138">
        <v>56.56963636363637</v>
      </c>
      <c r="P48" s="138">
        <v>56.56963636363637</v>
      </c>
      <c r="Q48" s="138">
        <v>56.56963636363637</v>
      </c>
      <c r="R48" s="139">
        <v>56.56963636363637</v>
      </c>
      <c r="S48" s="162">
        <f t="shared" si="45"/>
        <v>414.24449979540111</v>
      </c>
      <c r="T48" s="141">
        <v>38.891624999999998</v>
      </c>
      <c r="U48" s="138">
        <v>38.891624999999998</v>
      </c>
      <c r="V48" s="138">
        <v>38.891624999999998</v>
      </c>
      <c r="W48" s="138">
        <v>38.891624999999998</v>
      </c>
      <c r="X48" s="138">
        <v>38.891624999999998</v>
      </c>
      <c r="Y48" s="138">
        <v>38.891624999999998</v>
      </c>
      <c r="Z48" s="138">
        <v>38.891624999999998</v>
      </c>
      <c r="AA48" s="138">
        <v>38.891624999999998</v>
      </c>
      <c r="AB48" s="138">
        <v>38.891624999999998</v>
      </c>
      <c r="AC48" s="138">
        <v>38.891624999999998</v>
      </c>
      <c r="AD48" s="138">
        <v>38.891624999999998</v>
      </c>
      <c r="AE48" s="139">
        <v>38.891624999999998</v>
      </c>
      <c r="AF48" s="162">
        <f t="shared" si="46"/>
        <v>466.69949999999989</v>
      </c>
      <c r="AG48" s="137">
        <v>17.371592500000002</v>
      </c>
      <c r="AH48" s="138">
        <v>17.371592500000002</v>
      </c>
      <c r="AI48" s="138">
        <v>17.371592500000002</v>
      </c>
      <c r="AJ48" s="138">
        <v>17.371592500000002</v>
      </c>
      <c r="AK48" s="138">
        <v>17.371592500000002</v>
      </c>
      <c r="AL48" s="138">
        <v>17.371592500000002</v>
      </c>
      <c r="AM48" s="138">
        <v>17.371592500000002</v>
      </c>
      <c r="AN48" s="138">
        <v>17.371592500000002</v>
      </c>
      <c r="AO48" s="138">
        <v>17.371592500000002</v>
      </c>
      <c r="AP48" s="138">
        <v>17.371592500000002</v>
      </c>
      <c r="AQ48" s="138">
        <v>17.371592500000002</v>
      </c>
      <c r="AR48" s="139">
        <v>17.371592500000002</v>
      </c>
      <c r="AS48" s="162">
        <f t="shared" si="47"/>
        <v>208.45910999999998</v>
      </c>
      <c r="AT48" s="141">
        <v>17.24195375</v>
      </c>
      <c r="AU48" s="138">
        <v>17.24195375</v>
      </c>
      <c r="AV48" s="138">
        <v>17.24195375</v>
      </c>
      <c r="AW48" s="138">
        <v>17.24195375</v>
      </c>
      <c r="AX48" s="138">
        <v>17.24195375</v>
      </c>
      <c r="AY48" s="138">
        <v>17.24195375</v>
      </c>
      <c r="AZ48" s="138">
        <v>17.24195375</v>
      </c>
      <c r="BA48" s="138">
        <v>17.24195375</v>
      </c>
      <c r="BB48" s="138">
        <v>17.24195375</v>
      </c>
      <c r="BC48" s="138">
        <v>17.24195375</v>
      </c>
      <c r="BD48" s="138">
        <v>17.24195375</v>
      </c>
      <c r="BE48" s="139">
        <v>17.24195375</v>
      </c>
      <c r="BF48" s="162">
        <f t="shared" si="48"/>
        <v>206.90344499999995</v>
      </c>
      <c r="BG48" s="141">
        <v>17.112314999999999</v>
      </c>
      <c r="BH48" s="138">
        <v>17.112314999999999</v>
      </c>
      <c r="BI48" s="138">
        <v>17.112314999999999</v>
      </c>
      <c r="BJ48" s="138"/>
      <c r="BK48" s="138"/>
      <c r="BL48" s="138"/>
      <c r="BM48" s="138"/>
      <c r="BN48" s="138"/>
      <c r="BO48" s="138"/>
      <c r="BP48" s="138"/>
      <c r="BQ48" s="138"/>
      <c r="BR48" s="139"/>
      <c r="BS48" s="162">
        <f t="shared" si="87"/>
        <v>51.336945</v>
      </c>
      <c r="BT48" s="279"/>
      <c r="BU48" s="90">
        <f t="shared" si="88"/>
        <v>1347.6434997954009</v>
      </c>
      <c r="BV48" s="91">
        <f t="shared" si="89"/>
        <v>1555.665</v>
      </c>
      <c r="BW48" s="92">
        <f t="shared" si="50"/>
        <v>208.02150020459908</v>
      </c>
      <c r="BX48" s="64">
        <f>+BU48/BU47</f>
        <v>0.6671633208438088</v>
      </c>
    </row>
    <row r="49" spans="1:76" ht="15" customHeight="1" outlineLevel="1">
      <c r="A49" s="648"/>
      <c r="B49" s="549"/>
      <c r="C49" s="554" t="s">
        <v>11</v>
      </c>
      <c r="D49" s="555"/>
      <c r="E49" s="143">
        <f t="shared" ref="E49:R49" si="110">+E47-E48</f>
        <v>444.33500000000004</v>
      </c>
      <c r="F49" s="144">
        <f t="shared" si="110"/>
        <v>0</v>
      </c>
      <c r="G49" s="145">
        <f t="shared" si="110"/>
        <v>208.16066027515046</v>
      </c>
      <c r="H49" s="145">
        <f t="shared" si="110"/>
        <v>-22.590401908396949</v>
      </c>
      <c r="I49" s="145">
        <f t="shared" si="110"/>
        <v>-20.066855369415808</v>
      </c>
      <c r="J49" s="145">
        <f t="shared" si="110"/>
        <v>-17.881765921787707</v>
      </c>
      <c r="K49" s="145">
        <f t="shared" si="110"/>
        <v>-18.869788755364809</v>
      </c>
      <c r="L49" s="145">
        <f t="shared" si="110"/>
        <v>-18.614331566574055</v>
      </c>
      <c r="M49" s="145">
        <f t="shared" si="110"/>
        <v>-21.573417705894869</v>
      </c>
      <c r="N49" s="145">
        <f t="shared" si="110"/>
        <v>-56.56963636363637</v>
      </c>
      <c r="O49" s="145">
        <f t="shared" si="110"/>
        <v>-56.56963636363637</v>
      </c>
      <c r="P49" s="145">
        <f t="shared" si="110"/>
        <v>-56.56963636363637</v>
      </c>
      <c r="Q49" s="145">
        <f t="shared" si="110"/>
        <v>543.43036363636361</v>
      </c>
      <c r="R49" s="146">
        <f t="shared" si="110"/>
        <v>-56.56963636363637</v>
      </c>
      <c r="S49" s="147">
        <f t="shared" si="45"/>
        <v>405.71591722953434</v>
      </c>
      <c r="T49" s="148">
        <f t="shared" ref="T49:AE49" si="111">+T47-T48</f>
        <v>-38.891624999999998</v>
      </c>
      <c r="U49" s="145">
        <f t="shared" si="111"/>
        <v>-38.891624999999998</v>
      </c>
      <c r="V49" s="145">
        <f t="shared" si="111"/>
        <v>361.10837500000002</v>
      </c>
      <c r="W49" s="145">
        <f t="shared" si="111"/>
        <v>-38.891624999999998</v>
      </c>
      <c r="X49" s="145">
        <f t="shared" si="111"/>
        <v>-38.891624999999998</v>
      </c>
      <c r="Y49" s="145">
        <f t="shared" si="111"/>
        <v>361.10837500000002</v>
      </c>
      <c r="Z49" s="145">
        <f t="shared" si="111"/>
        <v>-38.891624999999998</v>
      </c>
      <c r="AA49" s="145">
        <f t="shared" si="111"/>
        <v>-38.891624999999998</v>
      </c>
      <c r="AB49" s="145">
        <f t="shared" si="111"/>
        <v>-38.891624999999998</v>
      </c>
      <c r="AC49" s="145">
        <f t="shared" si="111"/>
        <v>-38.891624999999998</v>
      </c>
      <c r="AD49" s="145">
        <f t="shared" si="111"/>
        <v>-38.891624999999998</v>
      </c>
      <c r="AE49" s="146">
        <f t="shared" si="111"/>
        <v>-38.891624999999998</v>
      </c>
      <c r="AF49" s="147">
        <f t="shared" si="46"/>
        <v>333.30050000000017</v>
      </c>
      <c r="AG49" s="148">
        <f t="shared" ref="AG49:AR49" si="112">+AG47-AG48</f>
        <v>-17.371592500000002</v>
      </c>
      <c r="AH49" s="145">
        <f t="shared" si="112"/>
        <v>-17.371592500000002</v>
      </c>
      <c r="AI49" s="145">
        <f t="shared" si="112"/>
        <v>-17.371592500000002</v>
      </c>
      <c r="AJ49" s="145">
        <f t="shared" si="112"/>
        <v>-17.371592500000002</v>
      </c>
      <c r="AK49" s="145">
        <f t="shared" si="112"/>
        <v>-17.371592500000002</v>
      </c>
      <c r="AL49" s="145">
        <f t="shared" si="112"/>
        <v>182.62840750000001</v>
      </c>
      <c r="AM49" s="145">
        <f t="shared" si="112"/>
        <v>-17.371592500000002</v>
      </c>
      <c r="AN49" s="145">
        <f t="shared" si="112"/>
        <v>-17.371592500000002</v>
      </c>
      <c r="AO49" s="145">
        <f t="shared" si="112"/>
        <v>-17.371592500000002</v>
      </c>
      <c r="AP49" s="145">
        <f t="shared" si="112"/>
        <v>-17.371592500000002</v>
      </c>
      <c r="AQ49" s="145">
        <f t="shared" si="112"/>
        <v>-17.371592500000002</v>
      </c>
      <c r="AR49" s="146">
        <f t="shared" si="112"/>
        <v>-17.371592500000002</v>
      </c>
      <c r="AS49" s="147">
        <f t="shared" si="47"/>
        <v>-8.4591100000000274</v>
      </c>
      <c r="AT49" s="148">
        <f t="shared" ref="AT49:BE49" si="113">+AT47-AT48</f>
        <v>-17.24195375</v>
      </c>
      <c r="AU49" s="145">
        <f t="shared" si="113"/>
        <v>-17.24195375</v>
      </c>
      <c r="AV49" s="145">
        <f t="shared" si="113"/>
        <v>-17.24195375</v>
      </c>
      <c r="AW49" s="145">
        <f t="shared" si="113"/>
        <v>-17.24195375</v>
      </c>
      <c r="AX49" s="145">
        <f t="shared" si="113"/>
        <v>-17.24195375</v>
      </c>
      <c r="AY49" s="145">
        <f t="shared" si="113"/>
        <v>-17.24195375</v>
      </c>
      <c r="AZ49" s="145">
        <f t="shared" si="113"/>
        <v>-17.24195375</v>
      </c>
      <c r="BA49" s="145">
        <f t="shared" si="113"/>
        <v>-17.24195375</v>
      </c>
      <c r="BB49" s="145">
        <f t="shared" si="113"/>
        <v>-17.24195375</v>
      </c>
      <c r="BC49" s="145">
        <f t="shared" si="113"/>
        <v>-17.24195375</v>
      </c>
      <c r="BD49" s="145">
        <f t="shared" si="113"/>
        <v>-17.24195375</v>
      </c>
      <c r="BE49" s="146">
        <f t="shared" si="113"/>
        <v>-17.24195375</v>
      </c>
      <c r="BF49" s="147">
        <f t="shared" si="48"/>
        <v>-206.90344499999995</v>
      </c>
      <c r="BG49" s="148">
        <f t="shared" ref="BG49:BR49" si="114">+BG47-BG48</f>
        <v>-17.112314999999999</v>
      </c>
      <c r="BH49" s="145">
        <f t="shared" si="114"/>
        <v>-17.112314999999999</v>
      </c>
      <c r="BI49" s="145">
        <f t="shared" si="114"/>
        <v>182.887685</v>
      </c>
      <c r="BJ49" s="145">
        <f t="shared" si="114"/>
        <v>0</v>
      </c>
      <c r="BK49" s="145">
        <f t="shared" si="114"/>
        <v>0</v>
      </c>
      <c r="BL49" s="145">
        <f t="shared" si="114"/>
        <v>0</v>
      </c>
      <c r="BM49" s="145">
        <f t="shared" si="114"/>
        <v>0</v>
      </c>
      <c r="BN49" s="145">
        <f t="shared" si="114"/>
        <v>0</v>
      </c>
      <c r="BO49" s="145">
        <f t="shared" si="114"/>
        <v>0</v>
      </c>
      <c r="BP49" s="145">
        <f t="shared" si="114"/>
        <v>0</v>
      </c>
      <c r="BQ49" s="145">
        <f t="shared" si="114"/>
        <v>0</v>
      </c>
      <c r="BR49" s="146">
        <f t="shared" si="114"/>
        <v>0</v>
      </c>
      <c r="BS49" s="147">
        <f t="shared" si="87"/>
        <v>148.66305500000001</v>
      </c>
      <c r="BT49" s="146">
        <f>+BT47-BT48</f>
        <v>0</v>
      </c>
      <c r="BU49" s="98">
        <f t="shared" si="88"/>
        <v>672.31691722953451</v>
      </c>
      <c r="BV49" s="99">
        <f t="shared" si="89"/>
        <v>444.33500000000004</v>
      </c>
      <c r="BW49" s="100">
        <f t="shared" si="50"/>
        <v>-227.98191722953447</v>
      </c>
    </row>
    <row r="50" spans="1:76" ht="15" customHeight="1" outlineLevel="1">
      <c r="A50" s="648"/>
      <c r="B50" s="609" t="s">
        <v>99</v>
      </c>
      <c r="C50" s="246" t="s">
        <v>62</v>
      </c>
      <c r="D50" s="183" t="s">
        <v>122</v>
      </c>
      <c r="E50" s="128">
        <v>2000</v>
      </c>
      <c r="F50" s="128"/>
      <c r="G50" s="284">
        <v>470.33521926053299</v>
      </c>
      <c r="H50" s="130"/>
      <c r="I50" s="130"/>
      <c r="J50" s="130"/>
      <c r="K50" s="130"/>
      <c r="L50" s="130">
        <v>701.43175037401159</v>
      </c>
      <c r="M50" s="130"/>
      <c r="N50" s="130"/>
      <c r="O50" s="282"/>
      <c r="P50" s="130"/>
      <c r="Q50" s="130"/>
      <c r="R50" s="282">
        <v>600</v>
      </c>
      <c r="S50" s="163">
        <f t="shared" si="45"/>
        <v>1771.7669696345447</v>
      </c>
      <c r="T50" s="133"/>
      <c r="U50" s="130"/>
      <c r="V50" s="130"/>
      <c r="W50" s="282">
        <v>400</v>
      </c>
      <c r="X50" s="130"/>
      <c r="Y50" s="130"/>
      <c r="Z50" s="130"/>
      <c r="AA50" s="130"/>
      <c r="AB50" s="130"/>
      <c r="AC50" s="130"/>
      <c r="AD50" s="130"/>
      <c r="AE50" s="131"/>
      <c r="AF50" s="163">
        <f t="shared" si="46"/>
        <v>400</v>
      </c>
      <c r="AG50" s="129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1"/>
      <c r="AS50" s="163">
        <f t="shared" si="47"/>
        <v>0</v>
      </c>
      <c r="AT50" s="133"/>
      <c r="AU50" s="130"/>
      <c r="AV50" s="130"/>
      <c r="AW50" s="130"/>
      <c r="AX50" s="130"/>
      <c r="AY50" s="130"/>
      <c r="AZ50" s="130"/>
      <c r="BA50" s="130"/>
      <c r="BB50" s="130"/>
      <c r="BC50" s="130"/>
      <c r="BD50" s="130"/>
      <c r="BE50" s="131"/>
      <c r="BF50" s="163">
        <f t="shared" si="48"/>
        <v>0</v>
      </c>
      <c r="BG50" s="133"/>
      <c r="BH50" s="130"/>
      <c r="BI50" s="130"/>
      <c r="BJ50" s="130"/>
      <c r="BK50" s="130"/>
      <c r="BL50" s="130"/>
      <c r="BM50" s="130"/>
      <c r="BN50" s="130"/>
      <c r="BO50" s="130"/>
      <c r="BP50" s="130"/>
      <c r="BQ50" s="130"/>
      <c r="BR50" s="131"/>
      <c r="BS50" s="163">
        <f t="shared" si="87"/>
        <v>0</v>
      </c>
      <c r="BT50" s="278"/>
      <c r="BU50" s="159">
        <f t="shared" si="88"/>
        <v>2171.7669696345447</v>
      </c>
      <c r="BV50" s="165">
        <f t="shared" si="89"/>
        <v>2000</v>
      </c>
      <c r="BW50" s="166">
        <f t="shared" si="50"/>
        <v>-171.76696963454469</v>
      </c>
    </row>
    <row r="51" spans="1:76" ht="15" customHeight="1" outlineLevel="1">
      <c r="A51" s="648"/>
      <c r="B51" s="548"/>
      <c r="C51" s="245" t="s">
        <v>63</v>
      </c>
      <c r="D51" s="184" t="s">
        <v>124</v>
      </c>
      <c r="E51" s="136">
        <v>1712.817</v>
      </c>
      <c r="F51" s="136"/>
      <c r="G51" s="137">
        <v>46.141832631126398</v>
      </c>
      <c r="H51" s="138">
        <v>198.31040555555558</v>
      </c>
      <c r="I51" s="138">
        <v>19.612089046391752</v>
      </c>
      <c r="J51" s="138">
        <v>38.435390201976794</v>
      </c>
      <c r="K51" s="138">
        <v>73.418847467811148</v>
      </c>
      <c r="L51" s="138">
        <v>53.928126052575337</v>
      </c>
      <c r="M51" s="138">
        <v>122.09420795914025</v>
      </c>
      <c r="N51" s="138">
        <v>132.35404090909091</v>
      </c>
      <c r="O51" s="138">
        <v>132.35404090909091</v>
      </c>
      <c r="P51" s="138">
        <v>132.35404090909091</v>
      </c>
      <c r="Q51" s="138">
        <v>132.35404090909091</v>
      </c>
      <c r="R51" s="139">
        <v>132.35404090909091</v>
      </c>
      <c r="S51" s="162">
        <f t="shared" si="45"/>
        <v>1213.7111034600318</v>
      </c>
      <c r="T51" s="141">
        <v>64.2306375</v>
      </c>
      <c r="U51" s="138">
        <v>64.2306375</v>
      </c>
      <c r="V51" s="138">
        <v>64.2306375</v>
      </c>
      <c r="W51" s="138">
        <v>64.2306375</v>
      </c>
      <c r="X51" s="138"/>
      <c r="Y51" s="138"/>
      <c r="Z51" s="138"/>
      <c r="AA51" s="138"/>
      <c r="AB51" s="138"/>
      <c r="AC51" s="138"/>
      <c r="AD51" s="138"/>
      <c r="AE51" s="139"/>
      <c r="AF51" s="162">
        <f t="shared" si="46"/>
        <v>256.92255</v>
      </c>
      <c r="AG51" s="137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9"/>
      <c r="AS51" s="162">
        <f t="shared" si="47"/>
        <v>0</v>
      </c>
      <c r="AT51" s="141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9"/>
      <c r="BF51" s="162">
        <f t="shared" si="48"/>
        <v>0</v>
      </c>
      <c r="BG51" s="141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9"/>
      <c r="BS51" s="162">
        <f t="shared" si="87"/>
        <v>0</v>
      </c>
      <c r="BT51" s="279"/>
      <c r="BU51" s="90">
        <f t="shared" si="88"/>
        <v>1470.6336534600318</v>
      </c>
      <c r="BV51" s="91">
        <f t="shared" si="89"/>
        <v>1712.817</v>
      </c>
      <c r="BW51" s="92">
        <f t="shared" si="50"/>
        <v>242.18334653996817</v>
      </c>
      <c r="BX51" s="64">
        <f>+BU51/BU50</f>
        <v>0.67715996882828711</v>
      </c>
    </row>
    <row r="52" spans="1:76" ht="15" customHeight="1" outlineLevel="1">
      <c r="A52" s="648"/>
      <c r="B52" s="556"/>
      <c r="C52" s="554" t="s">
        <v>11</v>
      </c>
      <c r="D52" s="555"/>
      <c r="E52" s="143">
        <f t="shared" ref="E52:R52" si="115">+E50-E51</f>
        <v>287.18299999999999</v>
      </c>
      <c r="F52" s="144">
        <f t="shared" si="115"/>
        <v>0</v>
      </c>
      <c r="G52" s="145">
        <f t="shared" si="115"/>
        <v>424.19338662940658</v>
      </c>
      <c r="H52" s="145">
        <f t="shared" si="115"/>
        <v>-198.31040555555558</v>
      </c>
      <c r="I52" s="145">
        <f t="shared" si="115"/>
        <v>-19.612089046391752</v>
      </c>
      <c r="J52" s="145">
        <f t="shared" si="115"/>
        <v>-38.435390201976794</v>
      </c>
      <c r="K52" s="145">
        <f t="shared" si="115"/>
        <v>-73.418847467811148</v>
      </c>
      <c r="L52" s="145">
        <f t="shared" si="115"/>
        <v>647.50362432143629</v>
      </c>
      <c r="M52" s="145">
        <f t="shared" si="115"/>
        <v>-122.09420795914025</v>
      </c>
      <c r="N52" s="145">
        <f t="shared" si="115"/>
        <v>-132.35404090909091</v>
      </c>
      <c r="O52" s="145">
        <f t="shared" si="115"/>
        <v>-132.35404090909091</v>
      </c>
      <c r="P52" s="145">
        <f t="shared" si="115"/>
        <v>-132.35404090909091</v>
      </c>
      <c r="Q52" s="145">
        <f t="shared" si="115"/>
        <v>-132.35404090909091</v>
      </c>
      <c r="R52" s="146">
        <f t="shared" si="115"/>
        <v>467.64595909090906</v>
      </c>
      <c r="S52" s="147">
        <f t="shared" si="45"/>
        <v>558.05586617451263</v>
      </c>
      <c r="T52" s="148">
        <f t="shared" ref="T52:AE52" si="116">+T50-T51</f>
        <v>-64.2306375</v>
      </c>
      <c r="U52" s="145">
        <f t="shared" si="116"/>
        <v>-64.2306375</v>
      </c>
      <c r="V52" s="145">
        <f t="shared" si="116"/>
        <v>-64.2306375</v>
      </c>
      <c r="W52" s="145">
        <f t="shared" si="116"/>
        <v>335.7693625</v>
      </c>
      <c r="X52" s="145">
        <f t="shared" si="116"/>
        <v>0</v>
      </c>
      <c r="Y52" s="145">
        <f t="shared" si="116"/>
        <v>0</v>
      </c>
      <c r="Z52" s="145">
        <f t="shared" si="116"/>
        <v>0</v>
      </c>
      <c r="AA52" s="145">
        <f t="shared" si="116"/>
        <v>0</v>
      </c>
      <c r="AB52" s="145">
        <f t="shared" si="116"/>
        <v>0</v>
      </c>
      <c r="AC52" s="145">
        <f t="shared" si="116"/>
        <v>0</v>
      </c>
      <c r="AD52" s="145">
        <f t="shared" si="116"/>
        <v>0</v>
      </c>
      <c r="AE52" s="146">
        <f t="shared" si="116"/>
        <v>0</v>
      </c>
      <c r="AF52" s="147">
        <f t="shared" si="46"/>
        <v>143.07745</v>
      </c>
      <c r="AG52" s="148">
        <f t="shared" ref="AG52:AR52" si="117">+AG50-AG51</f>
        <v>0</v>
      </c>
      <c r="AH52" s="145">
        <f t="shared" si="117"/>
        <v>0</v>
      </c>
      <c r="AI52" s="145">
        <f t="shared" si="117"/>
        <v>0</v>
      </c>
      <c r="AJ52" s="145">
        <f t="shared" si="117"/>
        <v>0</v>
      </c>
      <c r="AK52" s="145">
        <f t="shared" si="117"/>
        <v>0</v>
      </c>
      <c r="AL52" s="145">
        <f t="shared" si="117"/>
        <v>0</v>
      </c>
      <c r="AM52" s="145">
        <f t="shared" si="117"/>
        <v>0</v>
      </c>
      <c r="AN52" s="145">
        <f t="shared" si="117"/>
        <v>0</v>
      </c>
      <c r="AO52" s="145">
        <f t="shared" si="117"/>
        <v>0</v>
      </c>
      <c r="AP52" s="145">
        <f t="shared" si="117"/>
        <v>0</v>
      </c>
      <c r="AQ52" s="145">
        <f t="shared" si="117"/>
        <v>0</v>
      </c>
      <c r="AR52" s="146">
        <f t="shared" si="117"/>
        <v>0</v>
      </c>
      <c r="AS52" s="147">
        <f t="shared" si="47"/>
        <v>0</v>
      </c>
      <c r="AT52" s="148">
        <f t="shared" ref="AT52:BE52" si="118">+AT50-AT51</f>
        <v>0</v>
      </c>
      <c r="AU52" s="145">
        <f t="shared" si="118"/>
        <v>0</v>
      </c>
      <c r="AV52" s="145">
        <f t="shared" si="118"/>
        <v>0</v>
      </c>
      <c r="AW52" s="145">
        <f t="shared" si="118"/>
        <v>0</v>
      </c>
      <c r="AX52" s="145">
        <f t="shared" si="118"/>
        <v>0</v>
      </c>
      <c r="AY52" s="145">
        <f t="shared" si="118"/>
        <v>0</v>
      </c>
      <c r="AZ52" s="145">
        <f t="shared" si="118"/>
        <v>0</v>
      </c>
      <c r="BA52" s="145">
        <f t="shared" si="118"/>
        <v>0</v>
      </c>
      <c r="BB52" s="145">
        <f t="shared" si="118"/>
        <v>0</v>
      </c>
      <c r="BC52" s="145">
        <f t="shared" si="118"/>
        <v>0</v>
      </c>
      <c r="BD52" s="145">
        <f t="shared" si="118"/>
        <v>0</v>
      </c>
      <c r="BE52" s="146">
        <f t="shared" si="118"/>
        <v>0</v>
      </c>
      <c r="BF52" s="147">
        <f t="shared" si="48"/>
        <v>0</v>
      </c>
      <c r="BG52" s="148">
        <f t="shared" ref="BG52:BR52" si="119">+BG50-BG51</f>
        <v>0</v>
      </c>
      <c r="BH52" s="145">
        <f t="shared" si="119"/>
        <v>0</v>
      </c>
      <c r="BI52" s="145">
        <f t="shared" si="119"/>
        <v>0</v>
      </c>
      <c r="BJ52" s="145">
        <f t="shared" si="119"/>
        <v>0</v>
      </c>
      <c r="BK52" s="145">
        <f t="shared" si="119"/>
        <v>0</v>
      </c>
      <c r="BL52" s="145">
        <f t="shared" si="119"/>
        <v>0</v>
      </c>
      <c r="BM52" s="145">
        <f t="shared" si="119"/>
        <v>0</v>
      </c>
      <c r="BN52" s="145">
        <f t="shared" si="119"/>
        <v>0</v>
      </c>
      <c r="BO52" s="145">
        <f t="shared" si="119"/>
        <v>0</v>
      </c>
      <c r="BP52" s="145">
        <f t="shared" si="119"/>
        <v>0</v>
      </c>
      <c r="BQ52" s="145">
        <f t="shared" si="119"/>
        <v>0</v>
      </c>
      <c r="BR52" s="146">
        <f t="shared" si="119"/>
        <v>0</v>
      </c>
      <c r="BS52" s="147">
        <f t="shared" si="87"/>
        <v>0</v>
      </c>
      <c r="BT52" s="146">
        <f>+BT50-BT51</f>
        <v>0</v>
      </c>
      <c r="BU52" s="98">
        <f t="shared" si="88"/>
        <v>701.13331617451263</v>
      </c>
      <c r="BV52" s="150">
        <f t="shared" si="89"/>
        <v>287.18299999999999</v>
      </c>
      <c r="BW52" s="151">
        <f t="shared" si="50"/>
        <v>-413.95031617451264</v>
      </c>
    </row>
    <row r="53" spans="1:76" ht="15" customHeight="1" outlineLevel="1">
      <c r="A53" s="648"/>
      <c r="B53" s="593" t="s">
        <v>100</v>
      </c>
      <c r="C53" s="246" t="s">
        <v>62</v>
      </c>
      <c r="D53" s="183" t="s">
        <v>122</v>
      </c>
      <c r="E53" s="153">
        <v>2000</v>
      </c>
      <c r="F53" s="153"/>
      <c r="G53" s="284">
        <v>470.33521926053299</v>
      </c>
      <c r="H53" s="155"/>
      <c r="I53" s="155"/>
      <c r="J53" s="155"/>
      <c r="K53" s="155"/>
      <c r="L53" s="155">
        <v>701.43175037401159</v>
      </c>
      <c r="M53" s="155"/>
      <c r="N53" s="155"/>
      <c r="O53" s="155"/>
      <c r="P53" s="155"/>
      <c r="Q53" s="155"/>
      <c r="R53" s="282"/>
      <c r="S53" s="157">
        <f t="shared" si="45"/>
        <v>1171.7669696345447</v>
      </c>
      <c r="T53" s="158"/>
      <c r="U53" s="155"/>
      <c r="V53" s="155"/>
      <c r="W53" s="155"/>
      <c r="X53" s="155"/>
      <c r="Y53" s="155"/>
      <c r="Z53" s="155"/>
      <c r="AA53" s="282">
        <v>600</v>
      </c>
      <c r="AB53" s="155"/>
      <c r="AC53" s="155"/>
      <c r="AD53" s="155"/>
      <c r="AE53" s="282">
        <v>400</v>
      </c>
      <c r="AF53" s="157">
        <f t="shared" si="46"/>
        <v>1000</v>
      </c>
      <c r="AG53" s="154"/>
      <c r="AH53" s="155"/>
      <c r="AI53" s="155"/>
      <c r="AJ53" s="155"/>
      <c r="AK53" s="155"/>
      <c r="AL53" s="155"/>
      <c r="AM53" s="155"/>
      <c r="AN53" s="155"/>
      <c r="AO53" s="155"/>
      <c r="AP53" s="155"/>
      <c r="AQ53" s="155"/>
      <c r="AR53" s="156"/>
      <c r="AS53" s="157">
        <f t="shared" si="47"/>
        <v>0</v>
      </c>
      <c r="AT53" s="158"/>
      <c r="AU53" s="155"/>
      <c r="AV53" s="155"/>
      <c r="AW53" s="155"/>
      <c r="AX53" s="155"/>
      <c r="AY53" s="155"/>
      <c r="AZ53" s="155"/>
      <c r="BA53" s="155"/>
      <c r="BB53" s="155"/>
      <c r="BC53" s="155"/>
      <c r="BD53" s="155"/>
      <c r="BE53" s="156"/>
      <c r="BF53" s="157">
        <f t="shared" si="48"/>
        <v>0</v>
      </c>
      <c r="BG53" s="158"/>
      <c r="BH53" s="155"/>
      <c r="BI53" s="155"/>
      <c r="BJ53" s="155"/>
      <c r="BK53" s="155"/>
      <c r="BL53" s="155"/>
      <c r="BM53" s="155"/>
      <c r="BN53" s="155"/>
      <c r="BO53" s="155"/>
      <c r="BP53" s="155"/>
      <c r="BQ53" s="155"/>
      <c r="BR53" s="156"/>
      <c r="BS53" s="157">
        <f t="shared" si="87"/>
        <v>0</v>
      </c>
      <c r="BT53" s="280"/>
      <c r="BU53" s="159">
        <f t="shared" si="88"/>
        <v>2171.7669696345447</v>
      </c>
      <c r="BV53" s="160">
        <f t="shared" si="89"/>
        <v>2000</v>
      </c>
      <c r="BW53" s="161">
        <f t="shared" si="50"/>
        <v>-171.76696963454469</v>
      </c>
    </row>
    <row r="54" spans="1:76" ht="15" customHeight="1" outlineLevel="1">
      <c r="A54" s="648"/>
      <c r="B54" s="548"/>
      <c r="C54" s="245" t="s">
        <v>63</v>
      </c>
      <c r="D54" s="184" t="s">
        <v>124</v>
      </c>
      <c r="E54" s="136">
        <v>1713.45</v>
      </c>
      <c r="F54" s="136"/>
      <c r="G54" s="137">
        <v>39.241300687876183</v>
      </c>
      <c r="H54" s="138">
        <v>126.40433477523325</v>
      </c>
      <c r="I54" s="138">
        <v>87.092030412371145</v>
      </c>
      <c r="J54" s="138">
        <v>24.179475118177912</v>
      </c>
      <c r="K54" s="138">
        <v>54.475679570815451</v>
      </c>
      <c r="L54" s="138">
        <v>28.459148365035265</v>
      </c>
      <c r="M54" s="138">
        <v>51.876596509895727</v>
      </c>
      <c r="N54" s="138">
        <v>42.83625</v>
      </c>
      <c r="O54" s="138">
        <v>42.83625</v>
      </c>
      <c r="P54" s="138">
        <v>42.83625</v>
      </c>
      <c r="Q54" s="138">
        <v>42.83625</v>
      </c>
      <c r="R54" s="139">
        <v>42.83625</v>
      </c>
      <c r="S54" s="162">
        <f t="shared" si="45"/>
        <v>625.90981543940484</v>
      </c>
      <c r="T54" s="141">
        <v>121.36937499999999</v>
      </c>
      <c r="U54" s="138">
        <v>121.36937499999999</v>
      </c>
      <c r="V54" s="138">
        <v>121.36937499999999</v>
      </c>
      <c r="W54" s="138">
        <v>121.36937499999999</v>
      </c>
      <c r="X54" s="138">
        <v>121.36937499999999</v>
      </c>
      <c r="Y54" s="138">
        <v>121.36937499999999</v>
      </c>
      <c r="Z54" s="138">
        <v>121.36937499999999</v>
      </c>
      <c r="AA54" s="138">
        <v>121.36937499999999</v>
      </c>
      <c r="AB54" s="138">
        <v>121.36937499999999</v>
      </c>
      <c r="AC54" s="138">
        <v>121.36937499999999</v>
      </c>
      <c r="AD54" s="138">
        <v>121.36937499999999</v>
      </c>
      <c r="AE54" s="139">
        <v>121.36937499999999</v>
      </c>
      <c r="AF54" s="162">
        <f t="shared" si="46"/>
        <v>1456.4324999999999</v>
      </c>
      <c r="AG54" s="137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9"/>
      <c r="AS54" s="162">
        <f t="shared" si="47"/>
        <v>0</v>
      </c>
      <c r="AT54" s="141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39"/>
      <c r="BF54" s="162">
        <f t="shared" si="48"/>
        <v>0</v>
      </c>
      <c r="BG54" s="141"/>
      <c r="BH54" s="138"/>
      <c r="BI54" s="138"/>
      <c r="BJ54" s="138"/>
      <c r="BK54" s="138"/>
      <c r="BL54" s="138"/>
      <c r="BM54" s="138"/>
      <c r="BN54" s="138"/>
      <c r="BO54" s="138"/>
      <c r="BP54" s="138"/>
      <c r="BQ54" s="138"/>
      <c r="BR54" s="139"/>
      <c r="BS54" s="162">
        <f t="shared" si="87"/>
        <v>0</v>
      </c>
      <c r="BT54" s="279"/>
      <c r="BU54" s="90">
        <f t="shared" si="88"/>
        <v>2082.342315439405</v>
      </c>
      <c r="BV54" s="91">
        <f t="shared" si="89"/>
        <v>1713.45</v>
      </c>
      <c r="BW54" s="92">
        <f t="shared" si="50"/>
        <v>-368.89231543940491</v>
      </c>
      <c r="BX54" s="64">
        <f>+BU54/BU53</f>
        <v>0.95882401038165355</v>
      </c>
    </row>
    <row r="55" spans="1:76" ht="15" customHeight="1" outlineLevel="1">
      <c r="A55" s="648"/>
      <c r="B55" s="549"/>
      <c r="C55" s="554" t="s">
        <v>11</v>
      </c>
      <c r="D55" s="555"/>
      <c r="E55" s="143">
        <f t="shared" ref="E55:R55" si="120">+E53-E54</f>
        <v>286.54999999999995</v>
      </c>
      <c r="F55" s="144">
        <f t="shared" si="120"/>
        <v>0</v>
      </c>
      <c r="G55" s="145">
        <f t="shared" si="120"/>
        <v>431.09391857265683</v>
      </c>
      <c r="H55" s="145">
        <f t="shared" si="120"/>
        <v>-126.40433477523325</v>
      </c>
      <c r="I55" s="145">
        <f t="shared" si="120"/>
        <v>-87.092030412371145</v>
      </c>
      <c r="J55" s="145">
        <f t="shared" si="120"/>
        <v>-24.179475118177912</v>
      </c>
      <c r="K55" s="145">
        <f t="shared" si="120"/>
        <v>-54.475679570815451</v>
      </c>
      <c r="L55" s="145">
        <f t="shared" si="120"/>
        <v>672.97260200897631</v>
      </c>
      <c r="M55" s="145">
        <f t="shared" si="120"/>
        <v>-51.876596509895727</v>
      </c>
      <c r="N55" s="145">
        <f t="shared" si="120"/>
        <v>-42.83625</v>
      </c>
      <c r="O55" s="145">
        <f t="shared" si="120"/>
        <v>-42.83625</v>
      </c>
      <c r="P55" s="145">
        <f t="shared" si="120"/>
        <v>-42.83625</v>
      </c>
      <c r="Q55" s="145">
        <f t="shared" si="120"/>
        <v>-42.83625</v>
      </c>
      <c r="R55" s="146">
        <f t="shared" si="120"/>
        <v>-42.83625</v>
      </c>
      <c r="S55" s="147">
        <f t="shared" si="45"/>
        <v>545.85715419513986</v>
      </c>
      <c r="T55" s="148">
        <f t="shared" ref="T55:AE55" si="121">+T53-T54</f>
        <v>-121.36937499999999</v>
      </c>
      <c r="U55" s="145">
        <f t="shared" si="121"/>
        <v>-121.36937499999999</v>
      </c>
      <c r="V55" s="145">
        <f t="shared" si="121"/>
        <v>-121.36937499999999</v>
      </c>
      <c r="W55" s="145">
        <f t="shared" si="121"/>
        <v>-121.36937499999999</v>
      </c>
      <c r="X55" s="145">
        <f t="shared" si="121"/>
        <v>-121.36937499999999</v>
      </c>
      <c r="Y55" s="145">
        <f t="shared" si="121"/>
        <v>-121.36937499999999</v>
      </c>
      <c r="Z55" s="145">
        <f t="shared" si="121"/>
        <v>-121.36937499999999</v>
      </c>
      <c r="AA55" s="145">
        <f t="shared" si="121"/>
        <v>478.63062500000001</v>
      </c>
      <c r="AB55" s="145">
        <f t="shared" si="121"/>
        <v>-121.36937499999999</v>
      </c>
      <c r="AC55" s="145">
        <f t="shared" si="121"/>
        <v>-121.36937499999999</v>
      </c>
      <c r="AD55" s="145">
        <f t="shared" si="121"/>
        <v>-121.36937499999999</v>
      </c>
      <c r="AE55" s="146">
        <f t="shared" si="121"/>
        <v>278.63062500000001</v>
      </c>
      <c r="AF55" s="147">
        <f t="shared" si="46"/>
        <v>-456.43249999999989</v>
      </c>
      <c r="AG55" s="148">
        <f t="shared" ref="AG55:AR55" si="122">+AG53-AG54</f>
        <v>0</v>
      </c>
      <c r="AH55" s="145">
        <f t="shared" si="122"/>
        <v>0</v>
      </c>
      <c r="AI55" s="145">
        <f t="shared" si="122"/>
        <v>0</v>
      </c>
      <c r="AJ55" s="145">
        <f t="shared" si="122"/>
        <v>0</v>
      </c>
      <c r="AK55" s="145">
        <f t="shared" si="122"/>
        <v>0</v>
      </c>
      <c r="AL55" s="145">
        <f t="shared" si="122"/>
        <v>0</v>
      </c>
      <c r="AM55" s="145">
        <f t="shared" si="122"/>
        <v>0</v>
      </c>
      <c r="AN55" s="145">
        <f t="shared" si="122"/>
        <v>0</v>
      </c>
      <c r="AO55" s="145">
        <f t="shared" si="122"/>
        <v>0</v>
      </c>
      <c r="AP55" s="145">
        <f t="shared" si="122"/>
        <v>0</v>
      </c>
      <c r="AQ55" s="145">
        <f t="shared" si="122"/>
        <v>0</v>
      </c>
      <c r="AR55" s="146">
        <f t="shared" si="122"/>
        <v>0</v>
      </c>
      <c r="AS55" s="147">
        <f t="shared" si="47"/>
        <v>0</v>
      </c>
      <c r="AT55" s="148">
        <f t="shared" ref="AT55:BE55" si="123">+AT53-AT54</f>
        <v>0</v>
      </c>
      <c r="AU55" s="145">
        <f t="shared" si="123"/>
        <v>0</v>
      </c>
      <c r="AV55" s="145">
        <f t="shared" si="123"/>
        <v>0</v>
      </c>
      <c r="AW55" s="145">
        <f t="shared" si="123"/>
        <v>0</v>
      </c>
      <c r="AX55" s="145">
        <f t="shared" si="123"/>
        <v>0</v>
      </c>
      <c r="AY55" s="145">
        <f t="shared" si="123"/>
        <v>0</v>
      </c>
      <c r="AZ55" s="145">
        <f t="shared" si="123"/>
        <v>0</v>
      </c>
      <c r="BA55" s="145">
        <f t="shared" si="123"/>
        <v>0</v>
      </c>
      <c r="BB55" s="145">
        <f t="shared" si="123"/>
        <v>0</v>
      </c>
      <c r="BC55" s="145">
        <f t="shared" si="123"/>
        <v>0</v>
      </c>
      <c r="BD55" s="145">
        <f t="shared" si="123"/>
        <v>0</v>
      </c>
      <c r="BE55" s="146">
        <f t="shared" si="123"/>
        <v>0</v>
      </c>
      <c r="BF55" s="147">
        <f t="shared" si="48"/>
        <v>0</v>
      </c>
      <c r="BG55" s="148">
        <f t="shared" ref="BG55:BR55" si="124">+BG53-BG54</f>
        <v>0</v>
      </c>
      <c r="BH55" s="145">
        <f t="shared" si="124"/>
        <v>0</v>
      </c>
      <c r="BI55" s="145">
        <f t="shared" si="124"/>
        <v>0</v>
      </c>
      <c r="BJ55" s="145">
        <f t="shared" si="124"/>
        <v>0</v>
      </c>
      <c r="BK55" s="145">
        <f t="shared" si="124"/>
        <v>0</v>
      </c>
      <c r="BL55" s="145">
        <f t="shared" si="124"/>
        <v>0</v>
      </c>
      <c r="BM55" s="145">
        <f t="shared" si="124"/>
        <v>0</v>
      </c>
      <c r="BN55" s="145">
        <f t="shared" si="124"/>
        <v>0</v>
      </c>
      <c r="BO55" s="145">
        <f t="shared" si="124"/>
        <v>0</v>
      </c>
      <c r="BP55" s="145">
        <f t="shared" si="124"/>
        <v>0</v>
      </c>
      <c r="BQ55" s="145">
        <f t="shared" si="124"/>
        <v>0</v>
      </c>
      <c r="BR55" s="146">
        <f t="shared" si="124"/>
        <v>0</v>
      </c>
      <c r="BS55" s="147">
        <f t="shared" si="87"/>
        <v>0</v>
      </c>
      <c r="BT55" s="146">
        <f>+BT53-BT54</f>
        <v>0</v>
      </c>
      <c r="BU55" s="98">
        <f t="shared" si="88"/>
        <v>89.424654195139965</v>
      </c>
      <c r="BV55" s="99">
        <f t="shared" si="89"/>
        <v>286.54999999999995</v>
      </c>
      <c r="BW55" s="100">
        <f t="shared" si="50"/>
        <v>197.12534580485999</v>
      </c>
    </row>
    <row r="56" spans="1:76" ht="15" customHeight="1" outlineLevel="1">
      <c r="A56" s="648"/>
      <c r="B56" s="609" t="s">
        <v>101</v>
      </c>
      <c r="C56" s="246" t="s">
        <v>62</v>
      </c>
      <c r="D56" s="183" t="s">
        <v>122</v>
      </c>
      <c r="E56" s="128">
        <v>2000</v>
      </c>
      <c r="F56" s="128"/>
      <c r="G56" s="129"/>
      <c r="H56" s="130"/>
      <c r="I56" s="130"/>
      <c r="J56" s="130"/>
      <c r="K56" s="130"/>
      <c r="L56" s="130"/>
      <c r="M56" s="130"/>
      <c r="N56" s="130"/>
      <c r="O56" s="130"/>
      <c r="P56" s="284">
        <v>400</v>
      </c>
      <c r="Q56" s="282"/>
      <c r="R56" s="284"/>
      <c r="S56" s="163">
        <f t="shared" si="45"/>
        <v>400</v>
      </c>
      <c r="T56" s="352"/>
      <c r="U56" s="282"/>
      <c r="V56" s="282"/>
      <c r="W56" s="282">
        <v>600</v>
      </c>
      <c r="X56" s="282"/>
      <c r="Y56" s="282"/>
      <c r="Z56" s="282"/>
      <c r="AA56" s="282"/>
      <c r="AB56" s="282">
        <v>600</v>
      </c>
      <c r="AC56" s="282"/>
      <c r="AD56" s="282"/>
      <c r="AE56" s="282">
        <v>400</v>
      </c>
      <c r="AF56" s="163">
        <f t="shared" si="46"/>
        <v>1600</v>
      </c>
      <c r="AG56" s="129"/>
      <c r="AH56" s="130"/>
      <c r="AI56" s="130"/>
      <c r="AJ56" s="282"/>
      <c r="AK56" s="130"/>
      <c r="AL56" s="130"/>
      <c r="AM56" s="282"/>
      <c r="AN56" s="130"/>
      <c r="AO56" s="130"/>
      <c r="AP56" s="130"/>
      <c r="AQ56" s="130"/>
      <c r="AR56" s="131"/>
      <c r="AS56" s="163">
        <f t="shared" si="47"/>
        <v>0</v>
      </c>
      <c r="AT56" s="133"/>
      <c r="AU56" s="130"/>
      <c r="AV56" s="130"/>
      <c r="AW56" s="130"/>
      <c r="AX56" s="130"/>
      <c r="AY56" s="130"/>
      <c r="AZ56" s="130"/>
      <c r="BA56" s="130"/>
      <c r="BB56" s="130"/>
      <c r="BC56" s="130"/>
      <c r="BD56" s="130"/>
      <c r="BE56" s="131"/>
      <c r="BF56" s="163">
        <f t="shared" si="48"/>
        <v>0</v>
      </c>
      <c r="BG56" s="133"/>
      <c r="BH56" s="130"/>
      <c r="BI56" s="130"/>
      <c r="BJ56" s="130"/>
      <c r="BK56" s="130"/>
      <c r="BL56" s="130"/>
      <c r="BM56" s="130"/>
      <c r="BN56" s="130"/>
      <c r="BO56" s="130"/>
      <c r="BP56" s="130"/>
      <c r="BQ56" s="130"/>
      <c r="BR56" s="131"/>
      <c r="BS56" s="163">
        <f t="shared" si="87"/>
        <v>0</v>
      </c>
      <c r="BT56" s="278"/>
      <c r="BU56" s="159">
        <f t="shared" si="88"/>
        <v>2000</v>
      </c>
      <c r="BV56" s="165">
        <f t="shared" si="89"/>
        <v>2000</v>
      </c>
      <c r="BW56" s="166">
        <f t="shared" si="50"/>
        <v>0</v>
      </c>
    </row>
    <row r="57" spans="1:76" ht="15" customHeight="1" outlineLevel="1">
      <c r="A57" s="648"/>
      <c r="B57" s="548"/>
      <c r="C57" s="245" t="s">
        <v>63</v>
      </c>
      <c r="D57" s="184" t="s">
        <v>124</v>
      </c>
      <c r="E57" s="136">
        <v>1732.7070000000001</v>
      </c>
      <c r="F57" s="136"/>
      <c r="G57" s="137"/>
      <c r="H57" s="138"/>
      <c r="I57" s="138"/>
      <c r="J57" s="138"/>
      <c r="K57" s="138"/>
      <c r="L57" s="138"/>
      <c r="M57" s="138">
        <v>119.70101340710789</v>
      </c>
      <c r="N57" s="138"/>
      <c r="O57" s="138"/>
      <c r="P57" s="253">
        <v>113.33333333333333</v>
      </c>
      <c r="Q57" s="253">
        <v>113.33333333333333</v>
      </c>
      <c r="R57" s="338">
        <v>113.33333333333333</v>
      </c>
      <c r="S57" s="162">
        <f t="shared" si="45"/>
        <v>459.70101340710784</v>
      </c>
      <c r="T57" s="353">
        <v>113.33333333333333</v>
      </c>
      <c r="U57" s="253">
        <v>113.33333333333333</v>
      </c>
      <c r="V57" s="253">
        <v>113.33333333333333</v>
      </c>
      <c r="W57" s="253">
        <v>113.33333333333333</v>
      </c>
      <c r="X57" s="253">
        <v>113.33333333333333</v>
      </c>
      <c r="Y57" s="253">
        <v>113.33333333333333</v>
      </c>
      <c r="Z57" s="253">
        <v>113.33333333333333</v>
      </c>
      <c r="AA57" s="253">
        <v>113.33333333333333</v>
      </c>
      <c r="AB57" s="253">
        <v>113.33333333333333</v>
      </c>
      <c r="AC57" s="253">
        <v>113.33333333333333</v>
      </c>
      <c r="AD57" s="253">
        <v>113.33333333333333</v>
      </c>
      <c r="AE57" s="338">
        <v>113.33333333333333</v>
      </c>
      <c r="AF57" s="162">
        <f t="shared" si="46"/>
        <v>1360</v>
      </c>
      <c r="AG57" s="137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9"/>
      <c r="AS57" s="162">
        <f t="shared" si="47"/>
        <v>0</v>
      </c>
      <c r="AT57" s="141"/>
      <c r="AU57" s="138"/>
      <c r="AV57" s="138"/>
      <c r="AW57" s="138"/>
      <c r="AX57" s="138"/>
      <c r="AY57" s="138"/>
      <c r="AZ57" s="138"/>
      <c r="BA57" s="138"/>
      <c r="BB57" s="138"/>
      <c r="BC57" s="138"/>
      <c r="BD57" s="138"/>
      <c r="BE57" s="139"/>
      <c r="BF57" s="162">
        <f t="shared" si="48"/>
        <v>0</v>
      </c>
      <c r="BG57" s="141"/>
      <c r="BH57" s="138"/>
      <c r="BI57" s="138"/>
      <c r="BJ57" s="138"/>
      <c r="BK57" s="138"/>
      <c r="BL57" s="138"/>
      <c r="BM57" s="138"/>
      <c r="BN57" s="138"/>
      <c r="BO57" s="138"/>
      <c r="BP57" s="138"/>
      <c r="BQ57" s="138"/>
      <c r="BR57" s="139"/>
      <c r="BS57" s="162">
        <f t="shared" si="87"/>
        <v>0</v>
      </c>
      <c r="BT57" s="279"/>
      <c r="BU57" s="90">
        <f t="shared" si="88"/>
        <v>1819.7010134071079</v>
      </c>
      <c r="BV57" s="91">
        <f t="shared" si="89"/>
        <v>1732.7070000000001</v>
      </c>
      <c r="BW57" s="92">
        <f t="shared" si="50"/>
        <v>-86.994013407107786</v>
      </c>
      <c r="BX57" s="64">
        <f>+BU57/BU56</f>
        <v>0.90985050670355394</v>
      </c>
    </row>
    <row r="58" spans="1:76" ht="15" customHeight="1" outlineLevel="1">
      <c r="A58" s="648"/>
      <c r="B58" s="556"/>
      <c r="C58" s="554" t="s">
        <v>11</v>
      </c>
      <c r="D58" s="555"/>
      <c r="E58" s="143">
        <f t="shared" ref="E58:R58" si="125">+E56-E57</f>
        <v>267.29299999999989</v>
      </c>
      <c r="F58" s="144">
        <f t="shared" si="125"/>
        <v>0</v>
      </c>
      <c r="G58" s="145">
        <f t="shared" si="125"/>
        <v>0</v>
      </c>
      <c r="H58" s="145">
        <f t="shared" si="125"/>
        <v>0</v>
      </c>
      <c r="I58" s="145">
        <f t="shared" si="125"/>
        <v>0</v>
      </c>
      <c r="J58" s="145">
        <f t="shared" si="125"/>
        <v>0</v>
      </c>
      <c r="K58" s="145">
        <f t="shared" si="125"/>
        <v>0</v>
      </c>
      <c r="L58" s="145">
        <f t="shared" si="125"/>
        <v>0</v>
      </c>
      <c r="M58" s="145">
        <f t="shared" si="125"/>
        <v>-119.70101340710789</v>
      </c>
      <c r="N58" s="145">
        <f t="shared" si="125"/>
        <v>0</v>
      </c>
      <c r="O58" s="145">
        <f t="shared" si="125"/>
        <v>0</v>
      </c>
      <c r="P58" s="145">
        <f t="shared" si="125"/>
        <v>286.66666666666669</v>
      </c>
      <c r="Q58" s="145">
        <f t="shared" si="125"/>
        <v>-113.33333333333333</v>
      </c>
      <c r="R58" s="146">
        <f t="shared" si="125"/>
        <v>-113.33333333333333</v>
      </c>
      <c r="S58" s="147">
        <f t="shared" si="45"/>
        <v>-59.701013407107865</v>
      </c>
      <c r="T58" s="148">
        <f t="shared" ref="T58:AE58" si="126">+T56-T57</f>
        <v>-113.33333333333333</v>
      </c>
      <c r="U58" s="145">
        <f t="shared" si="126"/>
        <v>-113.33333333333333</v>
      </c>
      <c r="V58" s="145">
        <f t="shared" si="126"/>
        <v>-113.33333333333333</v>
      </c>
      <c r="W58" s="145">
        <f t="shared" si="126"/>
        <v>486.66666666666669</v>
      </c>
      <c r="X58" s="145">
        <f t="shared" si="126"/>
        <v>-113.33333333333333</v>
      </c>
      <c r="Y58" s="145">
        <f t="shared" si="126"/>
        <v>-113.33333333333333</v>
      </c>
      <c r="Z58" s="145">
        <f t="shared" si="126"/>
        <v>-113.33333333333333</v>
      </c>
      <c r="AA58" s="145">
        <f t="shared" si="126"/>
        <v>-113.33333333333333</v>
      </c>
      <c r="AB58" s="145">
        <f t="shared" si="126"/>
        <v>486.66666666666669</v>
      </c>
      <c r="AC58" s="145">
        <f t="shared" si="126"/>
        <v>-113.33333333333333</v>
      </c>
      <c r="AD58" s="145">
        <f t="shared" si="126"/>
        <v>-113.33333333333333</v>
      </c>
      <c r="AE58" s="146">
        <f t="shared" si="126"/>
        <v>286.66666666666669</v>
      </c>
      <c r="AF58" s="147">
        <f t="shared" si="46"/>
        <v>240.00000000000009</v>
      </c>
      <c r="AG58" s="148">
        <f t="shared" ref="AG58:AR58" si="127">+AG56-AG57</f>
        <v>0</v>
      </c>
      <c r="AH58" s="145">
        <f t="shared" si="127"/>
        <v>0</v>
      </c>
      <c r="AI58" s="145">
        <f t="shared" si="127"/>
        <v>0</v>
      </c>
      <c r="AJ58" s="145">
        <f t="shared" si="127"/>
        <v>0</v>
      </c>
      <c r="AK58" s="145">
        <f t="shared" si="127"/>
        <v>0</v>
      </c>
      <c r="AL58" s="145">
        <f t="shared" si="127"/>
        <v>0</v>
      </c>
      <c r="AM58" s="145">
        <f t="shared" si="127"/>
        <v>0</v>
      </c>
      <c r="AN58" s="145">
        <f t="shared" si="127"/>
        <v>0</v>
      </c>
      <c r="AO58" s="145">
        <f t="shared" si="127"/>
        <v>0</v>
      </c>
      <c r="AP58" s="145">
        <f t="shared" si="127"/>
        <v>0</v>
      </c>
      <c r="AQ58" s="145">
        <f t="shared" si="127"/>
        <v>0</v>
      </c>
      <c r="AR58" s="146">
        <f t="shared" si="127"/>
        <v>0</v>
      </c>
      <c r="AS58" s="147">
        <f t="shared" si="47"/>
        <v>0</v>
      </c>
      <c r="AT58" s="148">
        <f t="shared" ref="AT58:BE58" si="128">+AT56-AT57</f>
        <v>0</v>
      </c>
      <c r="AU58" s="145">
        <f t="shared" si="128"/>
        <v>0</v>
      </c>
      <c r="AV58" s="145">
        <f t="shared" si="128"/>
        <v>0</v>
      </c>
      <c r="AW58" s="145">
        <f t="shared" si="128"/>
        <v>0</v>
      </c>
      <c r="AX58" s="145">
        <f t="shared" si="128"/>
        <v>0</v>
      </c>
      <c r="AY58" s="145">
        <f t="shared" si="128"/>
        <v>0</v>
      </c>
      <c r="AZ58" s="145">
        <f t="shared" si="128"/>
        <v>0</v>
      </c>
      <c r="BA58" s="145">
        <f t="shared" si="128"/>
        <v>0</v>
      </c>
      <c r="BB58" s="145">
        <f t="shared" si="128"/>
        <v>0</v>
      </c>
      <c r="BC58" s="145">
        <f t="shared" si="128"/>
        <v>0</v>
      </c>
      <c r="BD58" s="145">
        <f t="shared" si="128"/>
        <v>0</v>
      </c>
      <c r="BE58" s="146">
        <f t="shared" si="128"/>
        <v>0</v>
      </c>
      <c r="BF58" s="147">
        <f t="shared" si="48"/>
        <v>0</v>
      </c>
      <c r="BG58" s="148">
        <f t="shared" ref="BG58:BR58" si="129">+BG56-BG57</f>
        <v>0</v>
      </c>
      <c r="BH58" s="145">
        <f t="shared" si="129"/>
        <v>0</v>
      </c>
      <c r="BI58" s="145">
        <f t="shared" si="129"/>
        <v>0</v>
      </c>
      <c r="BJ58" s="145">
        <f t="shared" si="129"/>
        <v>0</v>
      </c>
      <c r="BK58" s="145">
        <f t="shared" si="129"/>
        <v>0</v>
      </c>
      <c r="BL58" s="145">
        <f t="shared" si="129"/>
        <v>0</v>
      </c>
      <c r="BM58" s="145">
        <f t="shared" si="129"/>
        <v>0</v>
      </c>
      <c r="BN58" s="145">
        <f t="shared" si="129"/>
        <v>0</v>
      </c>
      <c r="BO58" s="145">
        <f t="shared" si="129"/>
        <v>0</v>
      </c>
      <c r="BP58" s="145">
        <f t="shared" si="129"/>
        <v>0</v>
      </c>
      <c r="BQ58" s="145">
        <f t="shared" si="129"/>
        <v>0</v>
      </c>
      <c r="BR58" s="146">
        <f t="shared" si="129"/>
        <v>0</v>
      </c>
      <c r="BS58" s="147">
        <f t="shared" si="87"/>
        <v>0</v>
      </c>
      <c r="BT58" s="146">
        <f>+BT56-BT57</f>
        <v>0</v>
      </c>
      <c r="BU58" s="98">
        <f t="shared" si="88"/>
        <v>180.29898659289222</v>
      </c>
      <c r="BV58" s="150">
        <f t="shared" si="89"/>
        <v>267.29299999999989</v>
      </c>
      <c r="BW58" s="151">
        <f t="shared" si="50"/>
        <v>86.994013407107673</v>
      </c>
    </row>
    <row r="59" spans="1:76" ht="15" customHeight="1" outlineLevel="1">
      <c r="A59" s="648"/>
      <c r="B59" s="593" t="s">
        <v>102</v>
      </c>
      <c r="C59" s="246" t="s">
        <v>62</v>
      </c>
      <c r="D59" s="183" t="s">
        <v>122</v>
      </c>
      <c r="E59" s="153">
        <v>2000</v>
      </c>
      <c r="F59" s="153"/>
      <c r="G59" s="154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284">
        <v>400</v>
      </c>
      <c r="S59" s="157">
        <f t="shared" si="45"/>
        <v>400</v>
      </c>
      <c r="T59" s="158"/>
      <c r="U59" s="155"/>
      <c r="V59" s="155"/>
      <c r="W59" s="155"/>
      <c r="X59" s="155"/>
      <c r="Y59" s="155"/>
      <c r="Z59" s="155"/>
      <c r="AA59" s="155"/>
      <c r="AB59" s="155"/>
      <c r="AC59" s="155"/>
      <c r="AD59" s="155"/>
      <c r="AE59" s="156"/>
      <c r="AF59" s="157">
        <f t="shared" si="46"/>
        <v>0</v>
      </c>
      <c r="AG59" s="154"/>
      <c r="AH59" s="155"/>
      <c r="AI59" s="155"/>
      <c r="AJ59" s="155"/>
      <c r="AK59" s="155"/>
      <c r="AL59" s="282">
        <v>600</v>
      </c>
      <c r="AM59" s="155"/>
      <c r="AN59" s="155"/>
      <c r="AO59" s="282">
        <v>600</v>
      </c>
      <c r="AP59" s="155"/>
      <c r="AQ59" s="155"/>
      <c r="AR59" s="282">
        <v>400</v>
      </c>
      <c r="AS59" s="157">
        <f t="shared" si="47"/>
        <v>1600</v>
      </c>
      <c r="AT59" s="158"/>
      <c r="AU59" s="155"/>
      <c r="AV59" s="155"/>
      <c r="AW59" s="155"/>
      <c r="AX59" s="155"/>
      <c r="AY59" s="155"/>
      <c r="AZ59" s="155"/>
      <c r="BA59" s="155"/>
      <c r="BB59" s="155"/>
      <c r="BC59" s="155"/>
      <c r="BD59" s="155"/>
      <c r="BE59" s="156"/>
      <c r="BF59" s="157">
        <f t="shared" si="48"/>
        <v>0</v>
      </c>
      <c r="BG59" s="158"/>
      <c r="BH59" s="155"/>
      <c r="BI59" s="155"/>
      <c r="BJ59" s="155"/>
      <c r="BK59" s="155"/>
      <c r="BL59" s="155"/>
      <c r="BM59" s="155"/>
      <c r="BN59" s="155"/>
      <c r="BO59" s="155"/>
      <c r="BP59" s="155"/>
      <c r="BQ59" s="155"/>
      <c r="BR59" s="156"/>
      <c r="BS59" s="157">
        <f t="shared" si="87"/>
        <v>0</v>
      </c>
      <c r="BT59" s="280"/>
      <c r="BU59" s="159">
        <f t="shared" si="88"/>
        <v>2000</v>
      </c>
      <c r="BV59" s="160">
        <f t="shared" si="89"/>
        <v>2000</v>
      </c>
      <c r="BW59" s="161">
        <f t="shared" si="50"/>
        <v>0</v>
      </c>
    </row>
    <row r="60" spans="1:76" ht="15" customHeight="1" outlineLevel="1">
      <c r="A60" s="648"/>
      <c r="B60" s="548"/>
      <c r="C60" s="245" t="s">
        <v>63</v>
      </c>
      <c r="D60" s="184" t="s">
        <v>124</v>
      </c>
      <c r="E60" s="136">
        <v>1729.278</v>
      </c>
      <c r="F60" s="136"/>
      <c r="G60" s="137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9"/>
      <c r="S60" s="162">
        <f t="shared" si="45"/>
        <v>0</v>
      </c>
      <c r="T60" s="141"/>
      <c r="U60" s="138"/>
      <c r="V60" s="138"/>
      <c r="W60" s="138"/>
      <c r="X60" s="138"/>
      <c r="Y60" s="138"/>
      <c r="Z60" s="138"/>
      <c r="AA60" s="138"/>
      <c r="AB60" s="138"/>
      <c r="AC60" s="138"/>
      <c r="AD60" s="138">
        <v>129.69585000000001</v>
      </c>
      <c r="AE60" s="139">
        <v>129.69585000000001</v>
      </c>
      <c r="AF60" s="162">
        <f t="shared" si="46"/>
        <v>259.39170000000001</v>
      </c>
      <c r="AG60" s="137">
        <v>122.49052499999999</v>
      </c>
      <c r="AH60" s="138">
        <v>122.49052499999999</v>
      </c>
      <c r="AI60" s="138">
        <v>122.49052499999999</v>
      </c>
      <c r="AJ60" s="138">
        <v>122.49052499999999</v>
      </c>
      <c r="AK60" s="138">
        <v>122.49052499999999</v>
      </c>
      <c r="AL60" s="138">
        <v>122.49052499999999</v>
      </c>
      <c r="AM60" s="138">
        <v>122.49052499999999</v>
      </c>
      <c r="AN60" s="138">
        <v>122.49052499999999</v>
      </c>
      <c r="AO60" s="138">
        <v>122.49052499999999</v>
      </c>
      <c r="AP60" s="138">
        <v>122.49052499999999</v>
      </c>
      <c r="AQ60" s="138">
        <v>122.49052499999999</v>
      </c>
      <c r="AR60" s="139">
        <v>122.49052499999999</v>
      </c>
      <c r="AS60" s="162">
        <f t="shared" si="47"/>
        <v>1469.8862999999994</v>
      </c>
      <c r="AT60" s="141"/>
      <c r="AU60" s="138"/>
      <c r="AV60" s="138"/>
      <c r="AW60" s="138"/>
      <c r="AX60" s="138"/>
      <c r="AY60" s="138"/>
      <c r="AZ60" s="138"/>
      <c r="BA60" s="138"/>
      <c r="BB60" s="138"/>
      <c r="BC60" s="138"/>
      <c r="BD60" s="138"/>
      <c r="BE60" s="139"/>
      <c r="BF60" s="162">
        <f t="shared" si="48"/>
        <v>0</v>
      </c>
      <c r="BG60" s="141"/>
      <c r="BH60" s="138"/>
      <c r="BI60" s="138"/>
      <c r="BJ60" s="138"/>
      <c r="BK60" s="138"/>
      <c r="BL60" s="138"/>
      <c r="BM60" s="138"/>
      <c r="BN60" s="138"/>
      <c r="BO60" s="138"/>
      <c r="BP60" s="138"/>
      <c r="BQ60" s="138"/>
      <c r="BR60" s="139"/>
      <c r="BS60" s="162">
        <f t="shared" si="87"/>
        <v>0</v>
      </c>
      <c r="BT60" s="279"/>
      <c r="BU60" s="90">
        <f t="shared" si="88"/>
        <v>1729.2779999999993</v>
      </c>
      <c r="BV60" s="91">
        <f t="shared" si="89"/>
        <v>1729.278</v>
      </c>
      <c r="BW60" s="92">
        <f t="shared" si="50"/>
        <v>0</v>
      </c>
      <c r="BX60" s="64">
        <f>+BU60/BU59</f>
        <v>0.86463899999999971</v>
      </c>
    </row>
    <row r="61" spans="1:76" ht="15" customHeight="1" outlineLevel="1">
      <c r="A61" s="648"/>
      <c r="B61" s="549"/>
      <c r="C61" s="554" t="s">
        <v>11</v>
      </c>
      <c r="D61" s="555"/>
      <c r="E61" s="143">
        <f t="shared" ref="E61:R61" si="130">+E59-E60</f>
        <v>270.72199999999998</v>
      </c>
      <c r="F61" s="144">
        <f t="shared" si="130"/>
        <v>0</v>
      </c>
      <c r="G61" s="145">
        <f t="shared" si="130"/>
        <v>0</v>
      </c>
      <c r="H61" s="145">
        <f t="shared" si="130"/>
        <v>0</v>
      </c>
      <c r="I61" s="145">
        <f t="shared" si="130"/>
        <v>0</v>
      </c>
      <c r="J61" s="145">
        <f t="shared" si="130"/>
        <v>0</v>
      </c>
      <c r="K61" s="145">
        <f t="shared" si="130"/>
        <v>0</v>
      </c>
      <c r="L61" s="145">
        <f t="shared" si="130"/>
        <v>0</v>
      </c>
      <c r="M61" s="145">
        <f t="shared" si="130"/>
        <v>0</v>
      </c>
      <c r="N61" s="145">
        <f t="shared" si="130"/>
        <v>0</v>
      </c>
      <c r="O61" s="145">
        <f t="shared" si="130"/>
        <v>0</v>
      </c>
      <c r="P61" s="145">
        <f t="shared" si="130"/>
        <v>0</v>
      </c>
      <c r="Q61" s="145">
        <f t="shared" si="130"/>
        <v>0</v>
      </c>
      <c r="R61" s="146">
        <f t="shared" si="130"/>
        <v>400</v>
      </c>
      <c r="S61" s="147">
        <f t="shared" si="45"/>
        <v>400</v>
      </c>
      <c r="T61" s="148">
        <f t="shared" ref="T61:AE61" si="131">+T59-T60</f>
        <v>0</v>
      </c>
      <c r="U61" s="145">
        <f t="shared" si="131"/>
        <v>0</v>
      </c>
      <c r="V61" s="145">
        <f t="shared" si="131"/>
        <v>0</v>
      </c>
      <c r="W61" s="145">
        <f t="shared" si="131"/>
        <v>0</v>
      </c>
      <c r="X61" s="145">
        <f t="shared" si="131"/>
        <v>0</v>
      </c>
      <c r="Y61" s="145">
        <f t="shared" si="131"/>
        <v>0</v>
      </c>
      <c r="Z61" s="145">
        <f t="shared" si="131"/>
        <v>0</v>
      </c>
      <c r="AA61" s="145">
        <f t="shared" si="131"/>
        <v>0</v>
      </c>
      <c r="AB61" s="145">
        <f t="shared" si="131"/>
        <v>0</v>
      </c>
      <c r="AC61" s="145">
        <f t="shared" si="131"/>
        <v>0</v>
      </c>
      <c r="AD61" s="145">
        <f t="shared" si="131"/>
        <v>-129.69585000000001</v>
      </c>
      <c r="AE61" s="146">
        <f t="shared" si="131"/>
        <v>-129.69585000000001</v>
      </c>
      <c r="AF61" s="147">
        <f t="shared" si="46"/>
        <v>-259.39170000000001</v>
      </c>
      <c r="AG61" s="148">
        <f t="shared" ref="AG61:AR61" si="132">+AG59-AG60</f>
        <v>-122.49052499999999</v>
      </c>
      <c r="AH61" s="145">
        <f t="shared" si="132"/>
        <v>-122.49052499999999</v>
      </c>
      <c r="AI61" s="145">
        <f t="shared" si="132"/>
        <v>-122.49052499999999</v>
      </c>
      <c r="AJ61" s="145">
        <f t="shared" si="132"/>
        <v>-122.49052499999999</v>
      </c>
      <c r="AK61" s="145">
        <f t="shared" si="132"/>
        <v>-122.49052499999999</v>
      </c>
      <c r="AL61" s="145">
        <f t="shared" si="132"/>
        <v>477.50947500000001</v>
      </c>
      <c r="AM61" s="145">
        <f t="shared" si="132"/>
        <v>-122.49052499999999</v>
      </c>
      <c r="AN61" s="145">
        <f t="shared" si="132"/>
        <v>-122.49052499999999</v>
      </c>
      <c r="AO61" s="145">
        <f t="shared" si="132"/>
        <v>477.50947500000001</v>
      </c>
      <c r="AP61" s="145">
        <f t="shared" si="132"/>
        <v>-122.49052499999999</v>
      </c>
      <c r="AQ61" s="145">
        <f t="shared" si="132"/>
        <v>-122.49052499999999</v>
      </c>
      <c r="AR61" s="146">
        <f t="shared" si="132"/>
        <v>277.50947500000001</v>
      </c>
      <c r="AS61" s="147">
        <f t="shared" si="47"/>
        <v>130.11370000000016</v>
      </c>
      <c r="AT61" s="148">
        <f t="shared" ref="AT61:BE61" si="133">+AT59-AT60</f>
        <v>0</v>
      </c>
      <c r="AU61" s="145">
        <f t="shared" si="133"/>
        <v>0</v>
      </c>
      <c r="AV61" s="145">
        <f t="shared" si="133"/>
        <v>0</v>
      </c>
      <c r="AW61" s="145">
        <f t="shared" si="133"/>
        <v>0</v>
      </c>
      <c r="AX61" s="145">
        <f t="shared" si="133"/>
        <v>0</v>
      </c>
      <c r="AY61" s="145">
        <f t="shared" si="133"/>
        <v>0</v>
      </c>
      <c r="AZ61" s="145">
        <f t="shared" si="133"/>
        <v>0</v>
      </c>
      <c r="BA61" s="145">
        <f t="shared" si="133"/>
        <v>0</v>
      </c>
      <c r="BB61" s="145">
        <f t="shared" si="133"/>
        <v>0</v>
      </c>
      <c r="BC61" s="145">
        <f t="shared" si="133"/>
        <v>0</v>
      </c>
      <c r="BD61" s="145">
        <f t="shared" si="133"/>
        <v>0</v>
      </c>
      <c r="BE61" s="146">
        <f t="shared" si="133"/>
        <v>0</v>
      </c>
      <c r="BF61" s="147">
        <f t="shared" si="48"/>
        <v>0</v>
      </c>
      <c r="BG61" s="148">
        <f t="shared" ref="BG61:BR61" si="134">+BG59-BG60</f>
        <v>0</v>
      </c>
      <c r="BH61" s="145">
        <f t="shared" si="134"/>
        <v>0</v>
      </c>
      <c r="BI61" s="145">
        <f t="shared" si="134"/>
        <v>0</v>
      </c>
      <c r="BJ61" s="145">
        <f t="shared" si="134"/>
        <v>0</v>
      </c>
      <c r="BK61" s="145">
        <f t="shared" si="134"/>
        <v>0</v>
      </c>
      <c r="BL61" s="145">
        <f t="shared" si="134"/>
        <v>0</v>
      </c>
      <c r="BM61" s="145">
        <f t="shared" si="134"/>
        <v>0</v>
      </c>
      <c r="BN61" s="145">
        <f t="shared" si="134"/>
        <v>0</v>
      </c>
      <c r="BO61" s="145">
        <f t="shared" si="134"/>
        <v>0</v>
      </c>
      <c r="BP61" s="145">
        <f t="shared" si="134"/>
        <v>0</v>
      </c>
      <c r="BQ61" s="145">
        <f t="shared" si="134"/>
        <v>0</v>
      </c>
      <c r="BR61" s="146">
        <f t="shared" si="134"/>
        <v>0</v>
      </c>
      <c r="BS61" s="147">
        <f t="shared" si="87"/>
        <v>0</v>
      </c>
      <c r="BT61" s="146">
        <f>+BT59-BT60</f>
        <v>0</v>
      </c>
      <c r="BU61" s="98">
        <f t="shared" si="88"/>
        <v>270.72200000000015</v>
      </c>
      <c r="BV61" s="99">
        <f t="shared" si="89"/>
        <v>270.72199999999998</v>
      </c>
      <c r="BW61" s="100">
        <f t="shared" si="50"/>
        <v>0</v>
      </c>
    </row>
    <row r="62" spans="1:76" ht="15" customHeight="1" outlineLevel="1">
      <c r="A62" s="648"/>
      <c r="B62" s="557" t="s">
        <v>182</v>
      </c>
      <c r="C62" s="246" t="s">
        <v>62</v>
      </c>
      <c r="D62" s="183" t="s">
        <v>122</v>
      </c>
      <c r="E62" s="153"/>
      <c r="F62" s="153"/>
      <c r="G62" s="154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284"/>
      <c r="S62" s="157">
        <f t="shared" ref="S62:S67" si="135">SUM(G62:R62)</f>
        <v>0</v>
      </c>
      <c r="T62" s="158"/>
      <c r="U62" s="155"/>
      <c r="V62" s="155"/>
      <c r="W62" s="155"/>
      <c r="X62" s="155"/>
      <c r="Y62" s="155"/>
      <c r="Z62" s="155"/>
      <c r="AA62" s="155"/>
      <c r="AB62" s="155"/>
      <c r="AC62" s="155"/>
      <c r="AD62" s="155"/>
      <c r="AE62" s="156"/>
      <c r="AF62" s="157">
        <f t="shared" ref="AF62:AF67" si="136">SUM(T62:AE62)</f>
        <v>0</v>
      </c>
      <c r="AG62" s="158"/>
      <c r="AH62" s="155"/>
      <c r="AI62" s="155"/>
      <c r="AJ62" s="155"/>
      <c r="AK62" s="155"/>
      <c r="AL62" s="155"/>
      <c r="AM62" s="155"/>
      <c r="AN62" s="155"/>
      <c r="AO62" s="155"/>
      <c r="AP62" s="155"/>
      <c r="AQ62" s="155"/>
      <c r="AR62" s="156"/>
      <c r="AS62" s="157">
        <f t="shared" ref="AS62:AS67" si="137">SUM(AG62:AR62)</f>
        <v>0</v>
      </c>
      <c r="AT62" s="158"/>
      <c r="AU62" s="155"/>
      <c r="AV62" s="155"/>
      <c r="AW62" s="155"/>
      <c r="AX62" s="155"/>
      <c r="AY62" s="155"/>
      <c r="AZ62" s="155"/>
      <c r="BA62" s="155"/>
      <c r="BB62" s="155"/>
      <c r="BC62" s="155"/>
      <c r="BD62" s="155"/>
      <c r="BE62" s="156"/>
      <c r="BF62" s="157">
        <f t="shared" ref="BF62:BF67" si="138">SUM(AT62:BE62)</f>
        <v>0</v>
      </c>
      <c r="BG62" s="158"/>
      <c r="BH62" s="155"/>
      <c r="BI62" s="155"/>
      <c r="BJ62" s="155"/>
      <c r="BK62" s="155"/>
      <c r="BL62" s="155"/>
      <c r="BM62" s="155"/>
      <c r="BN62" s="155"/>
      <c r="BO62" s="155"/>
      <c r="BP62" s="155"/>
      <c r="BQ62" s="155"/>
      <c r="BR62" s="156"/>
      <c r="BS62" s="157">
        <f t="shared" ref="BS62:BS67" si="139">SUM(BG62:BR62)</f>
        <v>0</v>
      </c>
      <c r="BT62" s="280"/>
      <c r="BU62" s="159">
        <f t="shared" si="88"/>
        <v>0</v>
      </c>
      <c r="BV62" s="160">
        <f t="shared" si="89"/>
        <v>0</v>
      </c>
      <c r="BW62" s="161">
        <f t="shared" si="50"/>
        <v>0</v>
      </c>
    </row>
    <row r="63" spans="1:76" ht="15" customHeight="1" outlineLevel="1">
      <c r="A63" s="648"/>
      <c r="B63" s="560"/>
      <c r="C63" s="245" t="s">
        <v>63</v>
      </c>
      <c r="D63" s="184" t="s">
        <v>124</v>
      </c>
      <c r="E63" s="136"/>
      <c r="F63" s="136"/>
      <c r="G63" s="137"/>
      <c r="H63" s="138"/>
      <c r="I63" s="138"/>
      <c r="J63" s="138">
        <v>6.8089115599484309</v>
      </c>
      <c r="K63" s="138">
        <v>11.993489270386267</v>
      </c>
      <c r="L63" s="138">
        <v>11.324583885445609</v>
      </c>
      <c r="M63" s="138">
        <v>11.181086145988509</v>
      </c>
      <c r="N63" s="138"/>
      <c r="O63" s="138"/>
      <c r="P63" s="138"/>
      <c r="Q63" s="138"/>
      <c r="R63" s="139"/>
      <c r="S63" s="162">
        <f t="shared" si="135"/>
        <v>41.308070861768812</v>
      </c>
      <c r="T63" s="141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9"/>
      <c r="AF63" s="162">
        <f t="shared" si="136"/>
        <v>0</v>
      </c>
      <c r="AG63" s="141"/>
      <c r="AH63" s="138"/>
      <c r="AI63" s="138"/>
      <c r="AJ63" s="138"/>
      <c r="AK63" s="138"/>
      <c r="AL63" s="138"/>
      <c r="AM63" s="138"/>
      <c r="AN63" s="138"/>
      <c r="AO63" s="138"/>
      <c r="AP63" s="138"/>
      <c r="AQ63" s="138"/>
      <c r="AR63" s="139"/>
      <c r="AS63" s="162">
        <f t="shared" si="137"/>
        <v>0</v>
      </c>
      <c r="AT63" s="141"/>
      <c r="AU63" s="138"/>
      <c r="AV63" s="138"/>
      <c r="AW63" s="138"/>
      <c r="AX63" s="138"/>
      <c r="AY63" s="138"/>
      <c r="AZ63" s="138"/>
      <c r="BA63" s="138"/>
      <c r="BB63" s="138"/>
      <c r="BC63" s="138"/>
      <c r="BD63" s="138"/>
      <c r="BE63" s="139"/>
      <c r="BF63" s="162">
        <f t="shared" si="138"/>
        <v>0</v>
      </c>
      <c r="BG63" s="141"/>
      <c r="BH63" s="138"/>
      <c r="BI63" s="138"/>
      <c r="BJ63" s="138"/>
      <c r="BK63" s="138"/>
      <c r="BL63" s="138"/>
      <c r="BM63" s="138"/>
      <c r="BN63" s="138"/>
      <c r="BO63" s="138"/>
      <c r="BP63" s="138"/>
      <c r="BQ63" s="138"/>
      <c r="BR63" s="139"/>
      <c r="BS63" s="162">
        <f t="shared" si="139"/>
        <v>0</v>
      </c>
      <c r="BT63" s="279"/>
      <c r="BU63" s="90">
        <f t="shared" si="88"/>
        <v>41.308070861768812</v>
      </c>
      <c r="BV63" s="91">
        <f t="shared" si="89"/>
        <v>0</v>
      </c>
      <c r="BW63" s="92">
        <f t="shared" si="50"/>
        <v>-41.308070861768812</v>
      </c>
      <c r="BX63" s="64" t="e">
        <f>+BU63/BU62</f>
        <v>#DIV/0!</v>
      </c>
    </row>
    <row r="64" spans="1:76" ht="15" customHeight="1" outlineLevel="1">
      <c r="A64" s="648"/>
      <c r="B64" s="561"/>
      <c r="C64" s="554" t="s">
        <v>11</v>
      </c>
      <c r="D64" s="555"/>
      <c r="E64" s="143">
        <f t="shared" ref="E64:R64" si="140">+E62-E63</f>
        <v>0</v>
      </c>
      <c r="F64" s="144">
        <f t="shared" si="140"/>
        <v>0</v>
      </c>
      <c r="G64" s="145">
        <f t="shared" si="140"/>
        <v>0</v>
      </c>
      <c r="H64" s="145">
        <f t="shared" si="140"/>
        <v>0</v>
      </c>
      <c r="I64" s="145">
        <f t="shared" si="140"/>
        <v>0</v>
      </c>
      <c r="J64" s="145">
        <f t="shared" si="140"/>
        <v>-6.8089115599484309</v>
      </c>
      <c r="K64" s="145">
        <f t="shared" si="140"/>
        <v>-11.993489270386267</v>
      </c>
      <c r="L64" s="145">
        <f t="shared" si="140"/>
        <v>-11.324583885445609</v>
      </c>
      <c r="M64" s="145">
        <f t="shared" si="140"/>
        <v>-11.181086145988509</v>
      </c>
      <c r="N64" s="145">
        <f t="shared" si="140"/>
        <v>0</v>
      </c>
      <c r="O64" s="145">
        <f t="shared" si="140"/>
        <v>0</v>
      </c>
      <c r="P64" s="145">
        <f t="shared" si="140"/>
        <v>0</v>
      </c>
      <c r="Q64" s="145">
        <f t="shared" si="140"/>
        <v>0</v>
      </c>
      <c r="R64" s="146">
        <f t="shared" si="140"/>
        <v>0</v>
      </c>
      <c r="S64" s="147">
        <f t="shared" si="135"/>
        <v>-41.308070861768812</v>
      </c>
      <c r="T64" s="148">
        <f t="shared" ref="T64:AE64" si="141">+T62-T63</f>
        <v>0</v>
      </c>
      <c r="U64" s="145">
        <f t="shared" si="141"/>
        <v>0</v>
      </c>
      <c r="V64" s="145">
        <f t="shared" si="141"/>
        <v>0</v>
      </c>
      <c r="W64" s="145">
        <f t="shared" si="141"/>
        <v>0</v>
      </c>
      <c r="X64" s="145">
        <f t="shared" si="141"/>
        <v>0</v>
      </c>
      <c r="Y64" s="145">
        <f t="shared" si="141"/>
        <v>0</v>
      </c>
      <c r="Z64" s="145">
        <f t="shared" si="141"/>
        <v>0</v>
      </c>
      <c r="AA64" s="145">
        <f t="shared" si="141"/>
        <v>0</v>
      </c>
      <c r="AB64" s="145">
        <f t="shared" si="141"/>
        <v>0</v>
      </c>
      <c r="AC64" s="145">
        <f t="shared" si="141"/>
        <v>0</v>
      </c>
      <c r="AD64" s="145">
        <f t="shared" si="141"/>
        <v>0</v>
      </c>
      <c r="AE64" s="146">
        <f t="shared" si="141"/>
        <v>0</v>
      </c>
      <c r="AF64" s="147">
        <f t="shared" si="136"/>
        <v>0</v>
      </c>
      <c r="AG64" s="148">
        <f t="shared" ref="AG64:AR64" si="142">+AG62-AG63</f>
        <v>0</v>
      </c>
      <c r="AH64" s="145">
        <f t="shared" si="142"/>
        <v>0</v>
      </c>
      <c r="AI64" s="145">
        <f t="shared" si="142"/>
        <v>0</v>
      </c>
      <c r="AJ64" s="145">
        <f t="shared" si="142"/>
        <v>0</v>
      </c>
      <c r="AK64" s="145">
        <f t="shared" si="142"/>
        <v>0</v>
      </c>
      <c r="AL64" s="145">
        <f t="shared" si="142"/>
        <v>0</v>
      </c>
      <c r="AM64" s="145">
        <f t="shared" si="142"/>
        <v>0</v>
      </c>
      <c r="AN64" s="145">
        <f t="shared" si="142"/>
        <v>0</v>
      </c>
      <c r="AO64" s="145">
        <f t="shared" si="142"/>
        <v>0</v>
      </c>
      <c r="AP64" s="145">
        <f t="shared" si="142"/>
        <v>0</v>
      </c>
      <c r="AQ64" s="145">
        <f t="shared" si="142"/>
        <v>0</v>
      </c>
      <c r="AR64" s="146">
        <f t="shared" si="142"/>
        <v>0</v>
      </c>
      <c r="AS64" s="147">
        <f t="shared" si="137"/>
        <v>0</v>
      </c>
      <c r="AT64" s="148">
        <f t="shared" ref="AT64:BE64" si="143">+AT62-AT63</f>
        <v>0</v>
      </c>
      <c r="AU64" s="145">
        <f t="shared" si="143"/>
        <v>0</v>
      </c>
      <c r="AV64" s="145">
        <f t="shared" si="143"/>
        <v>0</v>
      </c>
      <c r="AW64" s="145">
        <f t="shared" si="143"/>
        <v>0</v>
      </c>
      <c r="AX64" s="145">
        <f t="shared" si="143"/>
        <v>0</v>
      </c>
      <c r="AY64" s="145">
        <f t="shared" si="143"/>
        <v>0</v>
      </c>
      <c r="AZ64" s="145">
        <f t="shared" si="143"/>
        <v>0</v>
      </c>
      <c r="BA64" s="145">
        <f t="shared" si="143"/>
        <v>0</v>
      </c>
      <c r="BB64" s="145">
        <f t="shared" si="143"/>
        <v>0</v>
      </c>
      <c r="BC64" s="145">
        <f t="shared" si="143"/>
        <v>0</v>
      </c>
      <c r="BD64" s="145">
        <f t="shared" si="143"/>
        <v>0</v>
      </c>
      <c r="BE64" s="146">
        <f t="shared" si="143"/>
        <v>0</v>
      </c>
      <c r="BF64" s="147">
        <f t="shared" si="138"/>
        <v>0</v>
      </c>
      <c r="BG64" s="148">
        <f t="shared" ref="BG64:BR64" si="144">+BG62-BG63</f>
        <v>0</v>
      </c>
      <c r="BH64" s="145">
        <f t="shared" si="144"/>
        <v>0</v>
      </c>
      <c r="BI64" s="145">
        <f t="shared" si="144"/>
        <v>0</v>
      </c>
      <c r="BJ64" s="145">
        <f t="shared" si="144"/>
        <v>0</v>
      </c>
      <c r="BK64" s="145">
        <f t="shared" si="144"/>
        <v>0</v>
      </c>
      <c r="BL64" s="145">
        <f t="shared" si="144"/>
        <v>0</v>
      </c>
      <c r="BM64" s="145">
        <f t="shared" si="144"/>
        <v>0</v>
      </c>
      <c r="BN64" s="145">
        <f t="shared" si="144"/>
        <v>0</v>
      </c>
      <c r="BO64" s="145">
        <f t="shared" si="144"/>
        <v>0</v>
      </c>
      <c r="BP64" s="145">
        <f t="shared" si="144"/>
        <v>0</v>
      </c>
      <c r="BQ64" s="145">
        <f t="shared" si="144"/>
        <v>0</v>
      </c>
      <c r="BR64" s="146">
        <f t="shared" si="144"/>
        <v>0</v>
      </c>
      <c r="BS64" s="147">
        <f t="shared" si="139"/>
        <v>0</v>
      </c>
      <c r="BT64" s="146">
        <f>+BT62-BT63</f>
        <v>0</v>
      </c>
      <c r="BU64" s="98">
        <f t="shared" si="88"/>
        <v>-41.308070861768812</v>
      </c>
      <c r="BV64" s="99">
        <f t="shared" si="89"/>
        <v>0</v>
      </c>
      <c r="BW64" s="100">
        <f t="shared" si="50"/>
        <v>41.308070861768812</v>
      </c>
    </row>
    <row r="65" spans="1:76" ht="15" customHeight="1" outlineLevel="1">
      <c r="A65" s="648"/>
      <c r="B65" s="557" t="s">
        <v>183</v>
      </c>
      <c r="C65" s="246" t="s">
        <v>62</v>
      </c>
      <c r="D65" s="183" t="s">
        <v>122</v>
      </c>
      <c r="E65" s="153">
        <v>350</v>
      </c>
      <c r="F65" s="153"/>
      <c r="G65" s="154"/>
      <c r="H65" s="155"/>
      <c r="I65" s="155"/>
      <c r="J65" s="155"/>
      <c r="K65" s="155"/>
      <c r="L65" s="155"/>
      <c r="M65" s="155"/>
      <c r="N65" s="155">
        <v>70</v>
      </c>
      <c r="O65" s="155">
        <v>140</v>
      </c>
      <c r="P65" s="155"/>
      <c r="Q65" s="155">
        <v>140</v>
      </c>
      <c r="R65" s="284"/>
      <c r="S65" s="157">
        <f t="shared" si="135"/>
        <v>350</v>
      </c>
      <c r="T65" s="158"/>
      <c r="U65" s="155"/>
      <c r="V65" s="155"/>
      <c r="W65" s="155"/>
      <c r="X65" s="155"/>
      <c r="Y65" s="155"/>
      <c r="Z65" s="155"/>
      <c r="AA65" s="155"/>
      <c r="AB65" s="155"/>
      <c r="AC65" s="155"/>
      <c r="AD65" s="155"/>
      <c r="AE65" s="156"/>
      <c r="AF65" s="157">
        <f t="shared" si="136"/>
        <v>0</v>
      </c>
      <c r="AG65" s="158"/>
      <c r="AH65" s="155"/>
      <c r="AI65" s="155"/>
      <c r="AJ65" s="155"/>
      <c r="AK65" s="155"/>
      <c r="AL65" s="155"/>
      <c r="AM65" s="155"/>
      <c r="AN65" s="155"/>
      <c r="AO65" s="155"/>
      <c r="AP65" s="155"/>
      <c r="AQ65" s="155"/>
      <c r="AR65" s="156"/>
      <c r="AS65" s="157">
        <f t="shared" si="137"/>
        <v>0</v>
      </c>
      <c r="AT65" s="158"/>
      <c r="AU65" s="155"/>
      <c r="AV65" s="155"/>
      <c r="AW65" s="155"/>
      <c r="AX65" s="155"/>
      <c r="AY65" s="155"/>
      <c r="AZ65" s="155"/>
      <c r="BA65" s="155"/>
      <c r="BB65" s="155"/>
      <c r="BC65" s="155"/>
      <c r="BD65" s="155"/>
      <c r="BE65" s="156"/>
      <c r="BF65" s="157">
        <f t="shared" si="138"/>
        <v>0</v>
      </c>
      <c r="BG65" s="158"/>
      <c r="BH65" s="155"/>
      <c r="BI65" s="155"/>
      <c r="BJ65" s="155"/>
      <c r="BK65" s="155"/>
      <c r="BL65" s="155"/>
      <c r="BM65" s="155"/>
      <c r="BN65" s="155"/>
      <c r="BO65" s="155"/>
      <c r="BP65" s="155"/>
      <c r="BQ65" s="155"/>
      <c r="BR65" s="156"/>
      <c r="BS65" s="157">
        <f t="shared" si="139"/>
        <v>0</v>
      </c>
      <c r="BT65" s="280"/>
      <c r="BU65" s="159">
        <f t="shared" si="88"/>
        <v>350</v>
      </c>
      <c r="BV65" s="160">
        <f t="shared" si="89"/>
        <v>350</v>
      </c>
      <c r="BW65" s="161">
        <f t="shared" si="50"/>
        <v>0</v>
      </c>
    </row>
    <row r="66" spans="1:76" ht="15" customHeight="1" outlineLevel="1">
      <c r="A66" s="648"/>
      <c r="B66" s="560"/>
      <c r="C66" s="245" t="s">
        <v>63</v>
      </c>
      <c r="D66" s="184" t="s">
        <v>124</v>
      </c>
      <c r="E66" s="136">
        <v>303</v>
      </c>
      <c r="F66" s="136"/>
      <c r="G66" s="137"/>
      <c r="H66" s="138"/>
      <c r="I66" s="138"/>
      <c r="J66" s="138"/>
      <c r="K66" s="138"/>
      <c r="L66" s="138"/>
      <c r="M66" s="138">
        <v>3.4883422004681846</v>
      </c>
      <c r="N66" s="138">
        <v>13.62</v>
      </c>
      <c r="O66" s="138">
        <v>22.38</v>
      </c>
      <c r="P66" s="138">
        <v>128.38</v>
      </c>
      <c r="Q66" s="138">
        <v>93.22</v>
      </c>
      <c r="R66" s="139">
        <v>39.15</v>
      </c>
      <c r="S66" s="162">
        <f t="shared" si="135"/>
        <v>300.2383422004682</v>
      </c>
      <c r="T66" s="141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9"/>
      <c r="AF66" s="162">
        <f t="shared" si="136"/>
        <v>0</v>
      </c>
      <c r="AG66" s="141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139"/>
      <c r="AS66" s="162">
        <f t="shared" si="137"/>
        <v>0</v>
      </c>
      <c r="AT66" s="141"/>
      <c r="AU66" s="138"/>
      <c r="AV66" s="138"/>
      <c r="AW66" s="138"/>
      <c r="AX66" s="138"/>
      <c r="AY66" s="138"/>
      <c r="AZ66" s="138"/>
      <c r="BA66" s="138"/>
      <c r="BB66" s="138"/>
      <c r="BC66" s="138"/>
      <c r="BD66" s="138"/>
      <c r="BE66" s="139"/>
      <c r="BF66" s="162">
        <f t="shared" si="138"/>
        <v>0</v>
      </c>
      <c r="BG66" s="141"/>
      <c r="BH66" s="138"/>
      <c r="BI66" s="138"/>
      <c r="BJ66" s="138"/>
      <c r="BK66" s="138"/>
      <c r="BL66" s="138"/>
      <c r="BM66" s="138"/>
      <c r="BN66" s="138"/>
      <c r="BO66" s="138"/>
      <c r="BP66" s="138"/>
      <c r="BQ66" s="138"/>
      <c r="BR66" s="139"/>
      <c r="BS66" s="162">
        <f t="shared" si="139"/>
        <v>0</v>
      </c>
      <c r="BT66" s="279"/>
      <c r="BU66" s="90">
        <f t="shared" si="88"/>
        <v>300.2383422004682</v>
      </c>
      <c r="BV66" s="91">
        <f t="shared" si="89"/>
        <v>303</v>
      </c>
      <c r="BW66" s="92">
        <f t="shared" si="50"/>
        <v>2.7616577995318039</v>
      </c>
      <c r="BX66" s="64">
        <f>+BU66/BU65</f>
        <v>0.85782383485848057</v>
      </c>
    </row>
    <row r="67" spans="1:76" ht="15" customHeight="1" outlineLevel="1">
      <c r="A67" s="648"/>
      <c r="B67" s="561"/>
      <c r="C67" s="554" t="s">
        <v>11</v>
      </c>
      <c r="D67" s="555"/>
      <c r="E67" s="143">
        <v>47</v>
      </c>
      <c r="F67" s="144">
        <f t="shared" ref="F67:R67" si="145">+F65-F66</f>
        <v>0</v>
      </c>
      <c r="G67" s="145">
        <f t="shared" si="145"/>
        <v>0</v>
      </c>
      <c r="H67" s="145">
        <f t="shared" si="145"/>
        <v>0</v>
      </c>
      <c r="I67" s="145">
        <f t="shared" si="145"/>
        <v>0</v>
      </c>
      <c r="J67" s="145">
        <f t="shared" si="145"/>
        <v>0</v>
      </c>
      <c r="K67" s="145">
        <f t="shared" si="145"/>
        <v>0</v>
      </c>
      <c r="L67" s="145">
        <f t="shared" si="145"/>
        <v>0</v>
      </c>
      <c r="M67" s="145">
        <f t="shared" si="145"/>
        <v>-3.4883422004681846</v>
      </c>
      <c r="N67" s="145">
        <f t="shared" si="145"/>
        <v>56.38</v>
      </c>
      <c r="O67" s="145">
        <f t="shared" si="145"/>
        <v>117.62</v>
      </c>
      <c r="P67" s="145">
        <f t="shared" si="145"/>
        <v>-128.38</v>
      </c>
      <c r="Q67" s="145">
        <f t="shared" si="145"/>
        <v>46.78</v>
      </c>
      <c r="R67" s="146">
        <f t="shared" si="145"/>
        <v>-39.15</v>
      </c>
      <c r="S67" s="147">
        <f t="shared" si="135"/>
        <v>49.761657799531839</v>
      </c>
      <c r="T67" s="148">
        <f t="shared" ref="T67:AE67" si="146">+T65-T66</f>
        <v>0</v>
      </c>
      <c r="U67" s="145">
        <f t="shared" si="146"/>
        <v>0</v>
      </c>
      <c r="V67" s="145">
        <f t="shared" si="146"/>
        <v>0</v>
      </c>
      <c r="W67" s="145">
        <f t="shared" si="146"/>
        <v>0</v>
      </c>
      <c r="X67" s="145">
        <f t="shared" si="146"/>
        <v>0</v>
      </c>
      <c r="Y67" s="145">
        <f t="shared" si="146"/>
        <v>0</v>
      </c>
      <c r="Z67" s="145">
        <f t="shared" si="146"/>
        <v>0</v>
      </c>
      <c r="AA67" s="145">
        <f t="shared" si="146"/>
        <v>0</v>
      </c>
      <c r="AB67" s="145">
        <f t="shared" si="146"/>
        <v>0</v>
      </c>
      <c r="AC67" s="145">
        <f t="shared" si="146"/>
        <v>0</v>
      </c>
      <c r="AD67" s="145">
        <f t="shared" si="146"/>
        <v>0</v>
      </c>
      <c r="AE67" s="146">
        <f t="shared" si="146"/>
        <v>0</v>
      </c>
      <c r="AF67" s="147">
        <f t="shared" si="136"/>
        <v>0</v>
      </c>
      <c r="AG67" s="148">
        <f t="shared" ref="AG67:AR67" si="147">+AG65-AG66</f>
        <v>0</v>
      </c>
      <c r="AH67" s="145">
        <f t="shared" si="147"/>
        <v>0</v>
      </c>
      <c r="AI67" s="145">
        <f t="shared" si="147"/>
        <v>0</v>
      </c>
      <c r="AJ67" s="145">
        <f t="shared" si="147"/>
        <v>0</v>
      </c>
      <c r="AK67" s="145">
        <f t="shared" si="147"/>
        <v>0</v>
      </c>
      <c r="AL67" s="145">
        <f t="shared" si="147"/>
        <v>0</v>
      </c>
      <c r="AM67" s="145">
        <f t="shared" si="147"/>
        <v>0</v>
      </c>
      <c r="AN67" s="145">
        <f t="shared" si="147"/>
        <v>0</v>
      </c>
      <c r="AO67" s="145">
        <f t="shared" si="147"/>
        <v>0</v>
      </c>
      <c r="AP67" s="145">
        <f t="shared" si="147"/>
        <v>0</v>
      </c>
      <c r="AQ67" s="145">
        <f t="shared" si="147"/>
        <v>0</v>
      </c>
      <c r="AR67" s="146">
        <f t="shared" si="147"/>
        <v>0</v>
      </c>
      <c r="AS67" s="147">
        <f t="shared" si="137"/>
        <v>0</v>
      </c>
      <c r="AT67" s="148">
        <f t="shared" ref="AT67:BE67" si="148">+AT65-AT66</f>
        <v>0</v>
      </c>
      <c r="AU67" s="145">
        <f t="shared" si="148"/>
        <v>0</v>
      </c>
      <c r="AV67" s="145">
        <f t="shared" si="148"/>
        <v>0</v>
      </c>
      <c r="AW67" s="145">
        <f t="shared" si="148"/>
        <v>0</v>
      </c>
      <c r="AX67" s="145">
        <f t="shared" si="148"/>
        <v>0</v>
      </c>
      <c r="AY67" s="145">
        <f t="shared" si="148"/>
        <v>0</v>
      </c>
      <c r="AZ67" s="145">
        <f t="shared" si="148"/>
        <v>0</v>
      </c>
      <c r="BA67" s="145">
        <f t="shared" si="148"/>
        <v>0</v>
      </c>
      <c r="BB67" s="145">
        <f t="shared" si="148"/>
        <v>0</v>
      </c>
      <c r="BC67" s="145">
        <f t="shared" si="148"/>
        <v>0</v>
      </c>
      <c r="BD67" s="145">
        <f t="shared" si="148"/>
        <v>0</v>
      </c>
      <c r="BE67" s="146">
        <f t="shared" si="148"/>
        <v>0</v>
      </c>
      <c r="BF67" s="147">
        <f t="shared" si="138"/>
        <v>0</v>
      </c>
      <c r="BG67" s="148">
        <f t="shared" ref="BG67:BR67" si="149">+BG65-BG66</f>
        <v>0</v>
      </c>
      <c r="BH67" s="145">
        <f t="shared" si="149"/>
        <v>0</v>
      </c>
      <c r="BI67" s="145">
        <f t="shared" si="149"/>
        <v>0</v>
      </c>
      <c r="BJ67" s="145">
        <f t="shared" si="149"/>
        <v>0</v>
      </c>
      <c r="BK67" s="145">
        <f t="shared" si="149"/>
        <v>0</v>
      </c>
      <c r="BL67" s="145">
        <f t="shared" si="149"/>
        <v>0</v>
      </c>
      <c r="BM67" s="145">
        <f t="shared" si="149"/>
        <v>0</v>
      </c>
      <c r="BN67" s="145">
        <f t="shared" si="149"/>
        <v>0</v>
      </c>
      <c r="BO67" s="145">
        <f t="shared" si="149"/>
        <v>0</v>
      </c>
      <c r="BP67" s="145">
        <f t="shared" si="149"/>
        <v>0</v>
      </c>
      <c r="BQ67" s="145">
        <f t="shared" si="149"/>
        <v>0</v>
      </c>
      <c r="BR67" s="146">
        <f t="shared" si="149"/>
        <v>0</v>
      </c>
      <c r="BS67" s="147">
        <f t="shared" si="139"/>
        <v>0</v>
      </c>
      <c r="BT67" s="146">
        <f>+BT65-BT66</f>
        <v>0</v>
      </c>
      <c r="BU67" s="98">
        <f t="shared" si="88"/>
        <v>49.761657799531839</v>
      </c>
      <c r="BV67" s="99">
        <f t="shared" si="89"/>
        <v>47</v>
      </c>
      <c r="BW67" s="100">
        <f t="shared" si="50"/>
        <v>-2.7616577995318394</v>
      </c>
    </row>
    <row r="68" spans="1:76" ht="15" customHeight="1" outlineLevel="1">
      <c r="A68" s="648"/>
      <c r="B68" s="584" t="s">
        <v>65</v>
      </c>
      <c r="C68" s="247" t="s">
        <v>62</v>
      </c>
      <c r="D68" s="270" t="s">
        <v>121</v>
      </c>
      <c r="E68" s="128">
        <f t="shared" ref="E68:I69" si="150">+E35+E38+E41+E44+E47+E50+E53+E56+E59</f>
        <v>26979.175947386466</v>
      </c>
      <c r="F68" s="128">
        <f t="shared" si="150"/>
        <v>4518.8</v>
      </c>
      <c r="G68" s="154">
        <f t="shared" si="150"/>
        <v>1446.9860853396385</v>
      </c>
      <c r="H68" s="133">
        <f t="shared" si="150"/>
        <v>1600.5721697625108</v>
      </c>
      <c r="I68" s="130">
        <f t="shared" si="150"/>
        <v>197.49988019759451</v>
      </c>
      <c r="J68" s="130">
        <f>+J35+J38+J41+J44+J47+J50+J53+J56+J59+J62</f>
        <v>203.76240601633</v>
      </c>
      <c r="K68" s="130">
        <f>+K35+K38+K41+K44+K47+K50+K53+K56+K59</f>
        <v>203.52472583690988</v>
      </c>
      <c r="L68" s="130">
        <f>+L35+L38+L41+L44+L47+L50+L53+L56+L59</f>
        <v>1761.1070524043598</v>
      </c>
      <c r="M68" s="130">
        <f>+M35+M38+M41+M44+M47+M50+M53+M56+M59+M62+M65</f>
        <v>202.53425388380506</v>
      </c>
      <c r="N68" s="130">
        <f t="shared" ref="N68:R69" si="151">+N35+N38+N41+N44+N47+N50+N53+N56+N59+N62+N65</f>
        <v>238</v>
      </c>
      <c r="O68" s="130">
        <f t="shared" si="151"/>
        <v>308</v>
      </c>
      <c r="P68" s="130">
        <f t="shared" si="151"/>
        <v>778</v>
      </c>
      <c r="Q68" s="130">
        <f t="shared" si="151"/>
        <v>908</v>
      </c>
      <c r="R68" s="130">
        <f t="shared" si="151"/>
        <v>1568</v>
      </c>
      <c r="S68" s="163">
        <f t="shared" si="45"/>
        <v>9415.9865734411487</v>
      </c>
      <c r="T68" s="154">
        <f>+T35+T38+T41+T44+T47+T50+T53+T56+T59+T62+T65</f>
        <v>400</v>
      </c>
      <c r="U68" s="133">
        <f t="shared" ref="U68:Y69" si="152">+U35+U38+U41+U44+U47+U50+U53+U56+U59+U62+U65</f>
        <v>168</v>
      </c>
      <c r="V68" s="130">
        <f t="shared" si="152"/>
        <v>568</v>
      </c>
      <c r="W68" s="130">
        <f t="shared" si="152"/>
        <v>1168</v>
      </c>
      <c r="X68" s="130">
        <f t="shared" si="152"/>
        <v>368</v>
      </c>
      <c r="Y68" s="130">
        <f t="shared" si="152"/>
        <v>768</v>
      </c>
      <c r="Z68" s="154">
        <f>+Z35+Z38+Z41+Z44+Z47+Z50+Z53+Z56+Z59+Z62+Z65</f>
        <v>168</v>
      </c>
      <c r="AA68" s="133">
        <f t="shared" ref="AA68:AE69" si="153">+AA35+AA38+AA41+AA44+AA47+AA50+AA53+AA56+AA59+AA62+AA65</f>
        <v>768</v>
      </c>
      <c r="AB68" s="130">
        <f t="shared" si="153"/>
        <v>968</v>
      </c>
      <c r="AC68" s="130">
        <f t="shared" si="153"/>
        <v>168</v>
      </c>
      <c r="AD68" s="130">
        <f t="shared" si="153"/>
        <v>168</v>
      </c>
      <c r="AE68" s="130">
        <f t="shared" si="153"/>
        <v>1168</v>
      </c>
      <c r="AF68" s="163">
        <f t="shared" si="46"/>
        <v>6848</v>
      </c>
      <c r="AG68" s="130">
        <f t="shared" ref="AG68:AR69" si="154">+AG35+AG38+AG41+AG44+AG47+AG50+AG53+AG56+AG59+AG62+AG65</f>
        <v>168</v>
      </c>
      <c r="AH68" s="130">
        <f t="shared" si="154"/>
        <v>168</v>
      </c>
      <c r="AI68" s="130">
        <f t="shared" si="154"/>
        <v>168</v>
      </c>
      <c r="AJ68" s="130">
        <f t="shared" si="154"/>
        <v>168</v>
      </c>
      <c r="AK68" s="130">
        <f t="shared" si="154"/>
        <v>168</v>
      </c>
      <c r="AL68" s="130">
        <f t="shared" si="154"/>
        <v>968</v>
      </c>
      <c r="AM68" s="130">
        <f t="shared" si="154"/>
        <v>168</v>
      </c>
      <c r="AN68" s="130">
        <f t="shared" si="154"/>
        <v>168</v>
      </c>
      <c r="AO68" s="130">
        <f t="shared" si="154"/>
        <v>768</v>
      </c>
      <c r="AP68" s="130">
        <f t="shared" si="154"/>
        <v>168</v>
      </c>
      <c r="AQ68" s="130">
        <f t="shared" si="154"/>
        <v>168</v>
      </c>
      <c r="AR68" s="130">
        <f t="shared" si="154"/>
        <v>638</v>
      </c>
      <c r="AS68" s="163">
        <f t="shared" si="47"/>
        <v>3886</v>
      </c>
      <c r="AT68" s="154">
        <f t="shared" ref="AT68:BE69" si="155">+AT35+AT38+AT41+AT44+AT47+AT50+AT53+AT56+AT59+AT62+AT65</f>
        <v>168</v>
      </c>
      <c r="AU68" s="133">
        <f t="shared" si="155"/>
        <v>168</v>
      </c>
      <c r="AV68" s="130">
        <f t="shared" si="155"/>
        <v>168</v>
      </c>
      <c r="AW68" s="130">
        <f t="shared" si="155"/>
        <v>168</v>
      </c>
      <c r="AX68" s="130">
        <f t="shared" si="155"/>
        <v>168</v>
      </c>
      <c r="AY68" s="130">
        <f t="shared" si="155"/>
        <v>168</v>
      </c>
      <c r="AZ68" s="130">
        <f t="shared" si="155"/>
        <v>168</v>
      </c>
      <c r="BA68" s="130">
        <f t="shared" si="155"/>
        <v>168</v>
      </c>
      <c r="BB68" s="130">
        <f t="shared" si="155"/>
        <v>168</v>
      </c>
      <c r="BC68" s="130">
        <f t="shared" si="155"/>
        <v>168</v>
      </c>
      <c r="BD68" s="130">
        <f t="shared" si="155"/>
        <v>168</v>
      </c>
      <c r="BE68" s="131">
        <f t="shared" si="155"/>
        <v>168</v>
      </c>
      <c r="BF68" s="163">
        <f t="shared" si="48"/>
        <v>2016</v>
      </c>
      <c r="BG68" s="154">
        <f t="shared" ref="BG68:BR69" si="156">+BG35+BG38+BG41+BG44+BG47+BG50+BG53+BG56+BG59+BG62+BG65</f>
        <v>168</v>
      </c>
      <c r="BH68" s="133">
        <f t="shared" si="156"/>
        <v>168</v>
      </c>
      <c r="BI68" s="130">
        <f t="shared" si="156"/>
        <v>368</v>
      </c>
      <c r="BJ68" s="130">
        <f t="shared" si="156"/>
        <v>168</v>
      </c>
      <c r="BK68" s="130">
        <f t="shared" si="156"/>
        <v>168</v>
      </c>
      <c r="BL68" s="130">
        <f t="shared" si="156"/>
        <v>168</v>
      </c>
      <c r="BM68" s="130">
        <f t="shared" si="156"/>
        <v>168</v>
      </c>
      <c r="BN68" s="130">
        <f t="shared" si="156"/>
        <v>168</v>
      </c>
      <c r="BO68" s="130">
        <f t="shared" si="156"/>
        <v>168</v>
      </c>
      <c r="BP68" s="130">
        <f t="shared" si="156"/>
        <v>168</v>
      </c>
      <c r="BQ68" s="130">
        <f t="shared" si="156"/>
        <v>168</v>
      </c>
      <c r="BR68" s="131">
        <f t="shared" si="156"/>
        <v>268</v>
      </c>
      <c r="BS68" s="163">
        <f t="shared" si="87"/>
        <v>2316</v>
      </c>
      <c r="BT68" s="278">
        <f>+BT35+BT38+BT41+BT44+BT47+BT50+BT53+BT56+BT59</f>
        <v>100</v>
      </c>
      <c r="BU68" s="159">
        <f t="shared" si="88"/>
        <v>29100.78657344115</v>
      </c>
      <c r="BV68" s="165">
        <f t="shared" si="89"/>
        <v>26979.175947386466</v>
      </c>
      <c r="BW68" s="166">
        <f t="shared" si="50"/>
        <v>-2121.610626054684</v>
      </c>
    </row>
    <row r="69" spans="1:76" ht="15" customHeight="1" outlineLevel="1">
      <c r="A69" s="648"/>
      <c r="B69" s="585"/>
      <c r="C69" s="248" t="s">
        <v>63</v>
      </c>
      <c r="D69" s="268" t="s">
        <v>123</v>
      </c>
      <c r="E69" s="136">
        <f t="shared" si="150"/>
        <v>20166.158104356266</v>
      </c>
      <c r="F69" s="136">
        <f t="shared" si="150"/>
        <v>764.56299999999999</v>
      </c>
      <c r="G69" s="137">
        <f t="shared" si="150"/>
        <v>344.84293361994833</v>
      </c>
      <c r="H69" s="141">
        <f t="shared" si="150"/>
        <v>572.91472136038317</v>
      </c>
      <c r="I69" s="138">
        <f t="shared" si="150"/>
        <v>342.86583402061854</v>
      </c>
      <c r="J69" s="138">
        <f>+J36+J39+J42+J45+J48+J51+J54+J57+J60+J63</f>
        <v>307.70382587021913</v>
      </c>
      <c r="K69" s="138">
        <f>+K36+K39+K42+K45+K48+K51+K54+K57+K60+K63</f>
        <v>378.06021459227463</v>
      </c>
      <c r="L69" s="138">
        <f>+L36+L39+L42+L45+L48+L51+L54+L57+L60+L63</f>
        <v>331.52618512502676</v>
      </c>
      <c r="M69" s="138">
        <f>+M36+M39+M42+M45+M48+M51+M54+M57+M60+M63+M66</f>
        <v>547.588254054054</v>
      </c>
      <c r="N69" s="138">
        <f t="shared" si="151"/>
        <v>473.11539242424243</v>
      </c>
      <c r="O69" s="138">
        <f t="shared" si="151"/>
        <v>481.87539242424242</v>
      </c>
      <c r="P69" s="138">
        <f t="shared" si="151"/>
        <v>701.20872575757573</v>
      </c>
      <c r="Q69" s="138">
        <f t="shared" si="151"/>
        <v>666.04872575757577</v>
      </c>
      <c r="R69" s="138">
        <f t="shared" si="151"/>
        <v>611.97872575757572</v>
      </c>
      <c r="S69" s="162">
        <f t="shared" si="45"/>
        <v>5759.7289307637366</v>
      </c>
      <c r="T69" s="137">
        <f>+T36+T39+T42+T45+T48+T51+T54+T57+T60+T63+T66</f>
        <v>398.81139583333328</v>
      </c>
      <c r="U69" s="141">
        <f t="shared" si="152"/>
        <v>539.33089583333333</v>
      </c>
      <c r="V69" s="138">
        <f t="shared" si="152"/>
        <v>539.33089583333333</v>
      </c>
      <c r="W69" s="138">
        <f t="shared" si="152"/>
        <v>539.33089583333333</v>
      </c>
      <c r="X69" s="138">
        <f t="shared" si="152"/>
        <v>475.10025833333333</v>
      </c>
      <c r="Y69" s="138">
        <f t="shared" si="152"/>
        <v>475.10025833333333</v>
      </c>
      <c r="Z69" s="137">
        <f>+Z36+Z39+Z42+Z45+Z48+Z51+Z54+Z57+Z60+Z63+Z66</f>
        <v>475.10025833333333</v>
      </c>
      <c r="AA69" s="141">
        <f t="shared" si="153"/>
        <v>475.10025833333333</v>
      </c>
      <c r="AB69" s="138">
        <f t="shared" si="153"/>
        <v>475.10025833333333</v>
      </c>
      <c r="AC69" s="138">
        <f t="shared" si="153"/>
        <v>475.10025833333333</v>
      </c>
      <c r="AD69" s="138">
        <f t="shared" si="153"/>
        <v>604.79610833333334</v>
      </c>
      <c r="AE69" s="138">
        <f t="shared" si="153"/>
        <v>604.79610833333334</v>
      </c>
      <c r="AF69" s="162">
        <f t="shared" si="46"/>
        <v>6076.9978499999988</v>
      </c>
      <c r="AG69" s="138">
        <f t="shared" si="154"/>
        <v>179.6913175</v>
      </c>
      <c r="AH69" s="138">
        <f t="shared" si="154"/>
        <v>320.21081749999996</v>
      </c>
      <c r="AI69" s="138">
        <f t="shared" si="154"/>
        <v>320.21081749999996</v>
      </c>
      <c r="AJ69" s="138">
        <f t="shared" si="154"/>
        <v>320.21081749999996</v>
      </c>
      <c r="AK69" s="138">
        <f t="shared" si="154"/>
        <v>320.21081749999996</v>
      </c>
      <c r="AL69" s="138">
        <f t="shared" si="154"/>
        <v>320.21081749999996</v>
      </c>
      <c r="AM69" s="138">
        <f t="shared" si="154"/>
        <v>320.21081749999996</v>
      </c>
      <c r="AN69" s="138">
        <f t="shared" si="154"/>
        <v>320.21081749999996</v>
      </c>
      <c r="AO69" s="138">
        <f t="shared" si="154"/>
        <v>320.21081749999996</v>
      </c>
      <c r="AP69" s="138">
        <f t="shared" si="154"/>
        <v>320.21081749999996</v>
      </c>
      <c r="AQ69" s="138">
        <f t="shared" si="154"/>
        <v>320.21081749999996</v>
      </c>
      <c r="AR69" s="138">
        <f t="shared" si="154"/>
        <v>320.21081749999996</v>
      </c>
      <c r="AS69" s="162">
        <f t="shared" si="47"/>
        <v>3702.0103099999988</v>
      </c>
      <c r="AT69" s="137">
        <f t="shared" si="155"/>
        <v>32.957403749999997</v>
      </c>
      <c r="AU69" s="141">
        <f t="shared" si="155"/>
        <v>173.47690374999999</v>
      </c>
      <c r="AV69" s="138">
        <f t="shared" si="155"/>
        <v>173.47690374999999</v>
      </c>
      <c r="AW69" s="138">
        <f t="shared" si="155"/>
        <v>173.47690374999999</v>
      </c>
      <c r="AX69" s="138">
        <f t="shared" si="155"/>
        <v>173.47690374999999</v>
      </c>
      <c r="AY69" s="138">
        <f t="shared" si="155"/>
        <v>173.47690374999999</v>
      </c>
      <c r="AZ69" s="138">
        <f t="shared" si="155"/>
        <v>173.47690374999999</v>
      </c>
      <c r="BA69" s="138">
        <f t="shared" si="155"/>
        <v>173.47690374999999</v>
      </c>
      <c r="BB69" s="138">
        <f t="shared" si="155"/>
        <v>173.47690374999999</v>
      </c>
      <c r="BC69" s="138">
        <f t="shared" si="155"/>
        <v>173.47690374999999</v>
      </c>
      <c r="BD69" s="138">
        <f t="shared" si="155"/>
        <v>173.47690374999999</v>
      </c>
      <c r="BE69" s="139">
        <f t="shared" si="155"/>
        <v>173.47690374999999</v>
      </c>
      <c r="BF69" s="162">
        <f t="shared" si="48"/>
        <v>1941.2033450000001</v>
      </c>
      <c r="BG69" s="137">
        <f t="shared" si="156"/>
        <v>32.827764999999999</v>
      </c>
      <c r="BH69" s="141">
        <f t="shared" si="156"/>
        <v>173.34726499999999</v>
      </c>
      <c r="BI69" s="138">
        <f t="shared" si="156"/>
        <v>173.34726499999999</v>
      </c>
      <c r="BJ69" s="138">
        <f t="shared" si="156"/>
        <v>156.23495</v>
      </c>
      <c r="BK69" s="138">
        <f t="shared" si="156"/>
        <v>156.23495</v>
      </c>
      <c r="BL69" s="138">
        <f t="shared" si="156"/>
        <v>156.23495</v>
      </c>
      <c r="BM69" s="138">
        <f t="shared" si="156"/>
        <v>156.23495</v>
      </c>
      <c r="BN69" s="138">
        <f t="shared" si="156"/>
        <v>156.23495</v>
      </c>
      <c r="BO69" s="138">
        <f t="shared" si="156"/>
        <v>156.23495</v>
      </c>
      <c r="BP69" s="138">
        <f t="shared" si="156"/>
        <v>156.23495</v>
      </c>
      <c r="BQ69" s="138">
        <f t="shared" si="156"/>
        <v>156.23495</v>
      </c>
      <c r="BR69" s="139">
        <f t="shared" si="156"/>
        <v>156.23495</v>
      </c>
      <c r="BS69" s="162">
        <f t="shared" si="87"/>
        <v>1785.6368450000002</v>
      </c>
      <c r="BT69" s="279">
        <f>+BT36+BT39+BT42+BT45+BT48+BT51+BT54+BT57+BT60</f>
        <v>157.15450000000001</v>
      </c>
      <c r="BU69" s="90">
        <f t="shared" si="88"/>
        <v>20187.294780763736</v>
      </c>
      <c r="BV69" s="91">
        <f t="shared" si="89"/>
        <v>20166.158104356266</v>
      </c>
      <c r="BW69" s="92">
        <f t="shared" si="50"/>
        <v>-21.136676407470077</v>
      </c>
      <c r="BX69" s="64">
        <f>+BU69/BU68</f>
        <v>0.69370271933431804</v>
      </c>
    </row>
    <row r="70" spans="1:76" ht="15" customHeight="1" outlineLevel="1">
      <c r="A70" s="649"/>
      <c r="B70" s="610"/>
      <c r="C70" s="617" t="s">
        <v>11</v>
      </c>
      <c r="D70" s="618"/>
      <c r="E70" s="169">
        <f t="shared" ref="E70:R70" si="157">+E68-E69</f>
        <v>6813.0178430302003</v>
      </c>
      <c r="F70" s="170">
        <f t="shared" si="157"/>
        <v>3754.2370000000001</v>
      </c>
      <c r="G70" s="171">
        <f t="shared" si="157"/>
        <v>1102.1431517196902</v>
      </c>
      <c r="H70" s="171">
        <f t="shared" si="157"/>
        <v>1027.6574484021276</v>
      </c>
      <c r="I70" s="171">
        <f t="shared" si="157"/>
        <v>-145.36595382302403</v>
      </c>
      <c r="J70" s="171">
        <f t="shared" si="157"/>
        <v>-103.94141985388913</v>
      </c>
      <c r="K70" s="171">
        <f t="shared" si="157"/>
        <v>-174.53548875536475</v>
      </c>
      <c r="L70" s="171">
        <f t="shared" si="157"/>
        <v>1429.580867279333</v>
      </c>
      <c r="M70" s="171">
        <f t="shared" si="157"/>
        <v>-345.05400017024897</v>
      </c>
      <c r="N70" s="171">
        <f t="shared" si="157"/>
        <v>-235.11539242424243</v>
      </c>
      <c r="O70" s="171">
        <f t="shared" si="157"/>
        <v>-173.87539242424242</v>
      </c>
      <c r="P70" s="171">
        <f t="shared" si="157"/>
        <v>76.791274242424265</v>
      </c>
      <c r="Q70" s="171">
        <f t="shared" si="157"/>
        <v>241.95127424242423</v>
      </c>
      <c r="R70" s="172">
        <f t="shared" si="157"/>
        <v>956.02127424242428</v>
      </c>
      <c r="S70" s="173">
        <f t="shared" si="45"/>
        <v>3656.2576426774117</v>
      </c>
      <c r="T70" s="174">
        <f t="shared" ref="T70:AE70" si="158">+T68-T69</f>
        <v>1.1886041666667211</v>
      </c>
      <c r="U70" s="171">
        <f t="shared" si="158"/>
        <v>-371.33089583333333</v>
      </c>
      <c r="V70" s="171">
        <f t="shared" si="158"/>
        <v>28.669104166666671</v>
      </c>
      <c r="W70" s="171">
        <f t="shared" si="158"/>
        <v>628.66910416666667</v>
      </c>
      <c r="X70" s="171">
        <f t="shared" si="158"/>
        <v>-107.10025833333333</v>
      </c>
      <c r="Y70" s="171">
        <f t="shared" si="158"/>
        <v>292.89974166666667</v>
      </c>
      <c r="Z70" s="171">
        <f t="shared" si="158"/>
        <v>-307.10025833333333</v>
      </c>
      <c r="AA70" s="171">
        <f t="shared" si="158"/>
        <v>292.89974166666667</v>
      </c>
      <c r="AB70" s="171">
        <f t="shared" si="158"/>
        <v>492.89974166666667</v>
      </c>
      <c r="AC70" s="171">
        <f t="shared" si="158"/>
        <v>-307.10025833333333</v>
      </c>
      <c r="AD70" s="171">
        <f t="shared" si="158"/>
        <v>-436.79610833333334</v>
      </c>
      <c r="AE70" s="172">
        <f t="shared" si="158"/>
        <v>563.20389166666666</v>
      </c>
      <c r="AF70" s="173">
        <f t="shared" si="46"/>
        <v>771.00215000000003</v>
      </c>
      <c r="AG70" s="174">
        <f t="shared" ref="AG70:AR70" si="159">+AG68-AG69</f>
        <v>-11.691317499999997</v>
      </c>
      <c r="AH70" s="171">
        <f t="shared" si="159"/>
        <v>-152.21081749999996</v>
      </c>
      <c r="AI70" s="171">
        <f t="shared" si="159"/>
        <v>-152.21081749999996</v>
      </c>
      <c r="AJ70" s="171">
        <f t="shared" si="159"/>
        <v>-152.21081749999996</v>
      </c>
      <c r="AK70" s="171">
        <f t="shared" si="159"/>
        <v>-152.21081749999996</v>
      </c>
      <c r="AL70" s="171">
        <f t="shared" si="159"/>
        <v>647.78918250000004</v>
      </c>
      <c r="AM70" s="171">
        <f t="shared" si="159"/>
        <v>-152.21081749999996</v>
      </c>
      <c r="AN70" s="171">
        <f t="shared" si="159"/>
        <v>-152.21081749999996</v>
      </c>
      <c r="AO70" s="171">
        <f t="shared" si="159"/>
        <v>447.78918250000004</v>
      </c>
      <c r="AP70" s="171">
        <f t="shared" si="159"/>
        <v>-152.21081749999996</v>
      </c>
      <c r="AQ70" s="171">
        <f t="shared" si="159"/>
        <v>-152.21081749999996</v>
      </c>
      <c r="AR70" s="172">
        <f t="shared" si="159"/>
        <v>317.78918250000004</v>
      </c>
      <c r="AS70" s="173">
        <f t="shared" si="47"/>
        <v>183.98969000000045</v>
      </c>
      <c r="AT70" s="174">
        <f t="shared" ref="AT70:BE70" si="160">+AT68-AT69</f>
        <v>135.04259625</v>
      </c>
      <c r="AU70" s="171">
        <f t="shared" si="160"/>
        <v>-5.4769037499999911</v>
      </c>
      <c r="AV70" s="171">
        <f t="shared" si="160"/>
        <v>-5.4769037499999911</v>
      </c>
      <c r="AW70" s="171">
        <f t="shared" si="160"/>
        <v>-5.4769037499999911</v>
      </c>
      <c r="AX70" s="171">
        <f t="shared" si="160"/>
        <v>-5.4769037499999911</v>
      </c>
      <c r="AY70" s="171">
        <f t="shared" si="160"/>
        <v>-5.4769037499999911</v>
      </c>
      <c r="AZ70" s="171">
        <f t="shared" si="160"/>
        <v>-5.4769037499999911</v>
      </c>
      <c r="BA70" s="171">
        <f t="shared" si="160"/>
        <v>-5.4769037499999911</v>
      </c>
      <c r="BB70" s="171">
        <f t="shared" si="160"/>
        <v>-5.4769037499999911</v>
      </c>
      <c r="BC70" s="171">
        <f t="shared" si="160"/>
        <v>-5.4769037499999911</v>
      </c>
      <c r="BD70" s="171">
        <f t="shared" si="160"/>
        <v>-5.4769037499999911</v>
      </c>
      <c r="BE70" s="172">
        <f t="shared" si="160"/>
        <v>-5.4769037499999911</v>
      </c>
      <c r="BF70" s="173">
        <f t="shared" si="48"/>
        <v>74.796655000000101</v>
      </c>
      <c r="BG70" s="174">
        <f t="shared" ref="BG70:BR70" si="161">+BG68-BG69</f>
        <v>135.172235</v>
      </c>
      <c r="BH70" s="171">
        <f t="shared" si="161"/>
        <v>-5.3472649999999931</v>
      </c>
      <c r="BI70" s="171">
        <f t="shared" si="161"/>
        <v>194.65273500000001</v>
      </c>
      <c r="BJ70" s="171">
        <f t="shared" si="161"/>
        <v>11.765050000000002</v>
      </c>
      <c r="BK70" s="171">
        <f t="shared" si="161"/>
        <v>11.765050000000002</v>
      </c>
      <c r="BL70" s="171">
        <f t="shared" si="161"/>
        <v>11.765050000000002</v>
      </c>
      <c r="BM70" s="171">
        <f t="shared" si="161"/>
        <v>11.765050000000002</v>
      </c>
      <c r="BN70" s="171">
        <f t="shared" si="161"/>
        <v>11.765050000000002</v>
      </c>
      <c r="BO70" s="171">
        <f t="shared" si="161"/>
        <v>11.765050000000002</v>
      </c>
      <c r="BP70" s="171">
        <f t="shared" si="161"/>
        <v>11.765050000000002</v>
      </c>
      <c r="BQ70" s="171">
        <f t="shared" si="161"/>
        <v>11.765050000000002</v>
      </c>
      <c r="BR70" s="172">
        <f t="shared" si="161"/>
        <v>111.76505</v>
      </c>
      <c r="BS70" s="173">
        <f t="shared" si="87"/>
        <v>530.36315499999978</v>
      </c>
      <c r="BT70" s="172">
        <f>+BT68-BT69</f>
        <v>-57.154500000000013</v>
      </c>
      <c r="BU70" s="98">
        <f t="shared" si="88"/>
        <v>8913.4917926774106</v>
      </c>
      <c r="BV70" s="150">
        <f t="shared" si="89"/>
        <v>6813.0178430302003</v>
      </c>
      <c r="BW70" s="151">
        <f t="shared" si="50"/>
        <v>-2100.4739496472102</v>
      </c>
    </row>
    <row r="71" spans="1:76" ht="6" customHeight="1">
      <c r="A71" s="175"/>
      <c r="B71" s="182"/>
      <c r="C71" s="175"/>
      <c r="D71" s="176"/>
      <c r="E71" s="177"/>
      <c r="F71" s="177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7"/>
      <c r="T71" s="178"/>
      <c r="U71" s="178"/>
      <c r="V71" s="178"/>
      <c r="W71" s="178"/>
      <c r="X71" s="178"/>
      <c r="Y71" s="178"/>
      <c r="Z71" s="178"/>
      <c r="AA71" s="178"/>
      <c r="AB71" s="178"/>
      <c r="AC71" s="178"/>
      <c r="AD71" s="178"/>
      <c r="AE71" s="178"/>
      <c r="AF71" s="177"/>
      <c r="AG71" s="178"/>
      <c r="AH71" s="178"/>
      <c r="AI71" s="178"/>
      <c r="AJ71" s="178"/>
      <c r="AK71" s="178"/>
      <c r="AL71" s="178"/>
      <c r="AM71" s="178"/>
      <c r="AN71" s="178"/>
      <c r="AO71" s="178"/>
      <c r="AP71" s="178"/>
      <c r="AQ71" s="178"/>
      <c r="AR71" s="178"/>
      <c r="AS71" s="177"/>
      <c r="AT71" s="178"/>
      <c r="AU71" s="178"/>
      <c r="AV71" s="178"/>
      <c r="AW71" s="178"/>
      <c r="AX71" s="178"/>
      <c r="AY71" s="178"/>
      <c r="AZ71" s="178"/>
      <c r="BA71" s="178"/>
      <c r="BB71" s="178"/>
      <c r="BC71" s="178"/>
      <c r="BD71" s="178"/>
      <c r="BE71" s="178"/>
      <c r="BF71" s="177"/>
      <c r="BG71" s="178"/>
      <c r="BH71" s="178"/>
      <c r="BI71" s="178"/>
      <c r="BJ71" s="178"/>
      <c r="BK71" s="178"/>
      <c r="BL71" s="178"/>
      <c r="BM71" s="178"/>
      <c r="BN71" s="178"/>
      <c r="BO71" s="178"/>
      <c r="BP71" s="178"/>
      <c r="BQ71" s="178"/>
      <c r="BR71" s="178"/>
      <c r="BS71" s="177"/>
      <c r="BT71" s="178"/>
      <c r="BU71" s="179"/>
      <c r="BV71" s="179"/>
      <c r="BW71" s="179"/>
    </row>
    <row r="72" spans="1:76" ht="15" customHeight="1">
      <c r="A72" s="641" t="s">
        <v>80</v>
      </c>
      <c r="B72" s="546" t="s">
        <v>29</v>
      </c>
      <c r="C72" s="550" t="s">
        <v>62</v>
      </c>
      <c r="D72" s="551"/>
      <c r="E72" s="153">
        <f>+BU72</f>
        <v>264999</v>
      </c>
      <c r="F72" s="153"/>
      <c r="G72" s="154"/>
      <c r="H72" s="155"/>
      <c r="I72" s="155"/>
      <c r="J72" s="155"/>
      <c r="K72" s="155"/>
      <c r="L72" s="155"/>
      <c r="M72" s="155"/>
      <c r="N72" s="155"/>
      <c r="O72" s="155"/>
      <c r="P72" s="155"/>
      <c r="Q72" s="155"/>
      <c r="R72" s="156"/>
      <c r="S72" s="180">
        <f t="shared" si="45"/>
        <v>0</v>
      </c>
      <c r="T72" s="158"/>
      <c r="U72" s="155"/>
      <c r="V72" s="155"/>
      <c r="W72" s="155"/>
      <c r="X72" s="155"/>
      <c r="Y72" s="155"/>
      <c r="Z72" s="155"/>
      <c r="AA72" s="155"/>
      <c r="AB72" s="155"/>
      <c r="AC72" s="155"/>
      <c r="AD72" s="155"/>
      <c r="AE72" s="156"/>
      <c r="AF72" s="180">
        <f t="shared" si="46"/>
        <v>0</v>
      </c>
      <c r="AG72" s="154"/>
      <c r="AH72" s="155"/>
      <c r="AI72" s="155"/>
      <c r="AJ72" s="155"/>
      <c r="AK72" s="155"/>
      <c r="AL72" s="155"/>
      <c r="AM72" s="155"/>
      <c r="AN72" s="155"/>
      <c r="AO72" s="155"/>
      <c r="AP72" s="155"/>
      <c r="AQ72" s="155"/>
      <c r="AR72" s="156"/>
      <c r="AS72" s="180">
        <f t="shared" si="47"/>
        <v>0</v>
      </c>
      <c r="AT72" s="158"/>
      <c r="AU72" s="155"/>
      <c r="AV72" s="155"/>
      <c r="AW72" s="155"/>
      <c r="AX72" s="155"/>
      <c r="AY72" s="155"/>
      <c r="AZ72" s="155"/>
      <c r="BA72" s="155"/>
      <c r="BB72" s="155"/>
      <c r="BC72" s="155"/>
      <c r="BD72" s="155"/>
      <c r="BE72" s="156"/>
      <c r="BF72" s="180">
        <f t="shared" si="48"/>
        <v>0</v>
      </c>
      <c r="BG72" s="158"/>
      <c r="BH72" s="155"/>
      <c r="BI72" s="155"/>
      <c r="BJ72" s="155"/>
      <c r="BK72" s="155"/>
      <c r="BL72" s="155"/>
      <c r="BM72" s="155"/>
      <c r="BN72" s="155"/>
      <c r="BO72" s="155"/>
      <c r="BP72" s="155"/>
      <c r="BQ72" s="155"/>
      <c r="BR72" s="156"/>
      <c r="BS72" s="180">
        <f t="shared" ref="BS72:BS90" si="162">SUM(BG72:BR72)</f>
        <v>0</v>
      </c>
      <c r="BT72" s="280">
        <v>264999</v>
      </c>
      <c r="BU72" s="164">
        <f>+F72+S72+AF72+AS72+BF72+BS72+BT72</f>
        <v>264999</v>
      </c>
      <c r="BV72" s="165">
        <f t="shared" ref="BV72:BV79" si="163">+E72</f>
        <v>264999</v>
      </c>
      <c r="BW72" s="166">
        <f t="shared" ref="BW72:BW79" si="164">+BV72-BU72</f>
        <v>0</v>
      </c>
    </row>
    <row r="73" spans="1:76" ht="15" customHeight="1">
      <c r="A73" s="642"/>
      <c r="B73" s="547"/>
      <c r="C73" s="552" t="s">
        <v>63</v>
      </c>
      <c r="D73" s="250" t="s">
        <v>107</v>
      </c>
      <c r="E73" s="128">
        <f>+BU73</f>
        <v>110070</v>
      </c>
      <c r="F73" s="128"/>
      <c r="G73" s="129"/>
      <c r="H73" s="130"/>
      <c r="I73" s="130"/>
      <c r="J73" s="130"/>
      <c r="K73" s="130"/>
      <c r="L73" s="130"/>
      <c r="M73" s="130"/>
      <c r="N73" s="282"/>
      <c r="O73" s="282"/>
      <c r="P73" s="282"/>
      <c r="Q73" s="282"/>
      <c r="R73" s="282">
        <v>70</v>
      </c>
      <c r="S73" s="140">
        <f t="shared" si="45"/>
        <v>70</v>
      </c>
      <c r="T73" s="141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9"/>
      <c r="AF73" s="140">
        <f t="shared" si="46"/>
        <v>0</v>
      </c>
      <c r="AG73" s="137"/>
      <c r="AH73" s="138"/>
      <c r="AI73" s="138"/>
      <c r="AJ73" s="138"/>
      <c r="AK73" s="138"/>
      <c r="AL73" s="138"/>
      <c r="AM73" s="138"/>
      <c r="AN73" s="138"/>
      <c r="AO73" s="138"/>
      <c r="AP73" s="138"/>
      <c r="AQ73" s="138"/>
      <c r="AR73" s="139"/>
      <c r="AS73" s="140">
        <f t="shared" si="47"/>
        <v>0</v>
      </c>
      <c r="AT73" s="133"/>
      <c r="AU73" s="130"/>
      <c r="AV73" s="130"/>
      <c r="AW73" s="130"/>
      <c r="AX73" s="130"/>
      <c r="AY73" s="253">
        <v>110000</v>
      </c>
      <c r="AZ73" s="130"/>
      <c r="BA73" s="130"/>
      <c r="BB73" s="130"/>
      <c r="BC73" s="130"/>
      <c r="BD73" s="130"/>
      <c r="BE73" s="131"/>
      <c r="BF73" s="140">
        <f t="shared" si="48"/>
        <v>110000</v>
      </c>
      <c r="BG73" s="133"/>
      <c r="BH73" s="130"/>
      <c r="BI73" s="130"/>
      <c r="BJ73" s="130"/>
      <c r="BK73" s="130"/>
      <c r="BL73" s="138"/>
      <c r="BM73" s="130"/>
      <c r="BN73" s="130"/>
      <c r="BO73" s="130"/>
      <c r="BP73" s="130"/>
      <c r="BQ73" s="130"/>
      <c r="BR73" s="131"/>
      <c r="BS73" s="140">
        <f t="shared" si="162"/>
        <v>0</v>
      </c>
      <c r="BT73" s="278"/>
      <c r="BU73" s="90">
        <f t="shared" ref="BU73:BU79" si="165">+F73+S73+AF73+AS73+BF73+BS73+BT73</f>
        <v>110070</v>
      </c>
      <c r="BV73" s="91">
        <f>+E73</f>
        <v>110070</v>
      </c>
      <c r="BW73" s="92">
        <f>+BV73-BU73</f>
        <v>0</v>
      </c>
    </row>
    <row r="74" spans="1:76" ht="15" customHeight="1">
      <c r="A74" s="642"/>
      <c r="B74" s="548"/>
      <c r="C74" s="553"/>
      <c r="D74" s="251" t="s">
        <v>108</v>
      </c>
      <c r="E74" s="136">
        <f>+BU74</f>
        <v>3905.875</v>
      </c>
      <c r="F74" s="136"/>
      <c r="G74" s="137"/>
      <c r="H74" s="138"/>
      <c r="I74" s="138"/>
      <c r="J74" s="138"/>
      <c r="K74" s="130"/>
      <c r="L74" s="130"/>
      <c r="M74" s="130"/>
      <c r="N74" s="351">
        <f>23.5*0.25</f>
        <v>5.875</v>
      </c>
      <c r="O74" s="253"/>
      <c r="P74" s="253"/>
      <c r="Q74" s="253"/>
      <c r="R74" s="338"/>
      <c r="S74" s="140">
        <f t="shared" si="45"/>
        <v>5.875</v>
      </c>
      <c r="T74" s="141"/>
      <c r="U74" s="138">
        <v>1170</v>
      </c>
      <c r="V74" s="138"/>
      <c r="W74" s="138"/>
      <c r="X74" s="138">
        <v>520</v>
      </c>
      <c r="Y74" s="138"/>
      <c r="Z74" s="138"/>
      <c r="AA74" s="138"/>
      <c r="AB74" s="138"/>
      <c r="AC74" s="138"/>
      <c r="AD74" s="138"/>
      <c r="AE74" s="139">
        <v>520</v>
      </c>
      <c r="AF74" s="140">
        <f t="shared" si="46"/>
        <v>2210</v>
      </c>
      <c r="AG74" s="137"/>
      <c r="AH74" s="138">
        <v>390</v>
      </c>
      <c r="AI74" s="138"/>
      <c r="AJ74" s="138">
        <v>390</v>
      </c>
      <c r="AK74" s="138"/>
      <c r="AL74" s="138"/>
      <c r="AM74" s="138">
        <v>390</v>
      </c>
      <c r="AN74" s="138"/>
      <c r="AO74" s="138"/>
      <c r="AP74" s="138">
        <v>520</v>
      </c>
      <c r="AQ74" s="138"/>
      <c r="AR74" s="139"/>
      <c r="AS74" s="140">
        <f t="shared" si="47"/>
        <v>1690</v>
      </c>
      <c r="AT74" s="141"/>
      <c r="AU74" s="138"/>
      <c r="AV74" s="138"/>
      <c r="AW74" s="138"/>
      <c r="AX74" s="138"/>
      <c r="AY74" s="138"/>
      <c r="AZ74" s="138"/>
      <c r="BA74" s="138"/>
      <c r="BB74" s="138"/>
      <c r="BC74" s="138"/>
      <c r="BD74" s="138"/>
      <c r="BE74" s="139"/>
      <c r="BF74" s="140">
        <f t="shared" si="48"/>
        <v>0</v>
      </c>
      <c r="BG74" s="141"/>
      <c r="BH74" s="138"/>
      <c r="BI74" s="138"/>
      <c r="BJ74" s="138"/>
      <c r="BK74" s="138"/>
      <c r="BL74" s="138"/>
      <c r="BM74" s="138"/>
      <c r="BN74" s="138"/>
      <c r="BO74" s="138"/>
      <c r="BP74" s="138"/>
      <c r="BQ74" s="138"/>
      <c r="BR74" s="139"/>
      <c r="BS74" s="140">
        <f t="shared" si="162"/>
        <v>0</v>
      </c>
      <c r="BT74" s="279"/>
      <c r="BU74" s="90">
        <f t="shared" si="165"/>
        <v>3905.875</v>
      </c>
      <c r="BV74" s="91">
        <f t="shared" si="163"/>
        <v>3905.875</v>
      </c>
      <c r="BW74" s="92">
        <f t="shared" si="164"/>
        <v>0</v>
      </c>
      <c r="BX74" s="64">
        <f>+BU74/BU72</f>
        <v>1.4739206563043634E-2</v>
      </c>
    </row>
    <row r="75" spans="1:76" ht="15" customHeight="1">
      <c r="A75" s="642"/>
      <c r="B75" s="556"/>
      <c r="C75" s="554" t="s">
        <v>11</v>
      </c>
      <c r="D75" s="555"/>
      <c r="E75" s="143">
        <f>+E72-E73-E74</f>
        <v>151023.125</v>
      </c>
      <c r="F75" s="144">
        <f>+F72-F73-F74</f>
        <v>0</v>
      </c>
      <c r="G75" s="145">
        <f>+G72-G73-G74</f>
        <v>0</v>
      </c>
      <c r="H75" s="145">
        <f t="shared" ref="H75:R75" si="166">+H72-H73-H74</f>
        <v>0</v>
      </c>
      <c r="I75" s="145">
        <f t="shared" si="166"/>
        <v>0</v>
      </c>
      <c r="J75" s="145">
        <f t="shared" si="166"/>
        <v>0</v>
      </c>
      <c r="K75" s="145">
        <f t="shared" si="166"/>
        <v>0</v>
      </c>
      <c r="L75" s="145">
        <f t="shared" si="166"/>
        <v>0</v>
      </c>
      <c r="M75" s="145">
        <f t="shared" si="166"/>
        <v>0</v>
      </c>
      <c r="N75" s="145">
        <f t="shared" si="166"/>
        <v>-5.875</v>
      </c>
      <c r="O75" s="145">
        <f t="shared" si="166"/>
        <v>0</v>
      </c>
      <c r="P75" s="145">
        <f t="shared" si="166"/>
        <v>0</v>
      </c>
      <c r="Q75" s="145">
        <f t="shared" si="166"/>
        <v>0</v>
      </c>
      <c r="R75" s="145">
        <f t="shared" si="166"/>
        <v>-70</v>
      </c>
      <c r="S75" s="147">
        <f t="shared" si="45"/>
        <v>-75.875</v>
      </c>
      <c r="T75" s="148">
        <f>+T72-T73-T74</f>
        <v>0</v>
      </c>
      <c r="U75" s="145">
        <f t="shared" ref="U75:AE75" si="167">+U72-U73-U74</f>
        <v>-1170</v>
      </c>
      <c r="V75" s="145">
        <f t="shared" si="167"/>
        <v>0</v>
      </c>
      <c r="W75" s="145">
        <f t="shared" si="167"/>
        <v>0</v>
      </c>
      <c r="X75" s="145">
        <f t="shared" si="167"/>
        <v>-520</v>
      </c>
      <c r="Y75" s="145">
        <f t="shared" si="167"/>
        <v>0</v>
      </c>
      <c r="Z75" s="145">
        <f t="shared" si="167"/>
        <v>0</v>
      </c>
      <c r="AA75" s="145">
        <f t="shared" si="167"/>
        <v>0</v>
      </c>
      <c r="AB75" s="145">
        <f t="shared" si="167"/>
        <v>0</v>
      </c>
      <c r="AC75" s="145">
        <f t="shared" si="167"/>
        <v>0</v>
      </c>
      <c r="AD75" s="145">
        <f t="shared" si="167"/>
        <v>0</v>
      </c>
      <c r="AE75" s="146">
        <f t="shared" si="167"/>
        <v>-520</v>
      </c>
      <c r="AF75" s="147">
        <f t="shared" si="46"/>
        <v>-2210</v>
      </c>
      <c r="AG75" s="148">
        <f>+AG72-AG73-AG74</f>
        <v>0</v>
      </c>
      <c r="AH75" s="145">
        <f t="shared" ref="AH75:AP75" si="168">+AH72-AH73-AH74</f>
        <v>-390</v>
      </c>
      <c r="AI75" s="145">
        <f t="shared" si="168"/>
        <v>0</v>
      </c>
      <c r="AJ75" s="145">
        <f t="shared" si="168"/>
        <v>-390</v>
      </c>
      <c r="AK75" s="145">
        <f t="shared" si="168"/>
        <v>0</v>
      </c>
      <c r="AL75" s="145">
        <f t="shared" si="168"/>
        <v>0</v>
      </c>
      <c r="AM75" s="145">
        <f t="shared" si="168"/>
        <v>-390</v>
      </c>
      <c r="AN75" s="145">
        <f t="shared" si="168"/>
        <v>0</v>
      </c>
      <c r="AO75" s="145">
        <f t="shared" si="168"/>
        <v>0</v>
      </c>
      <c r="AP75" s="145">
        <f t="shared" si="168"/>
        <v>-520</v>
      </c>
      <c r="AQ75" s="145">
        <f>+AQ72-AQ73-AQ74</f>
        <v>0</v>
      </c>
      <c r="AR75" s="146">
        <f>+AR72-AR73-AR74</f>
        <v>0</v>
      </c>
      <c r="AS75" s="147">
        <f>+AS72-AS73-AS74</f>
        <v>-1690</v>
      </c>
      <c r="AT75" s="148">
        <f>+AT72-AT73-AT74</f>
        <v>0</v>
      </c>
      <c r="AU75" s="145">
        <f t="shared" ref="AU75:BC75" si="169">+AU72-AU73-AU74</f>
        <v>0</v>
      </c>
      <c r="AV75" s="145">
        <f t="shared" si="169"/>
        <v>0</v>
      </c>
      <c r="AW75" s="145">
        <f t="shared" si="169"/>
        <v>0</v>
      </c>
      <c r="AX75" s="145">
        <f t="shared" si="169"/>
        <v>0</v>
      </c>
      <c r="AY75" s="145">
        <f t="shared" si="169"/>
        <v>-110000</v>
      </c>
      <c r="AZ75" s="145">
        <f t="shared" si="169"/>
        <v>0</v>
      </c>
      <c r="BA75" s="145">
        <f t="shared" si="169"/>
        <v>0</v>
      </c>
      <c r="BB75" s="145">
        <f t="shared" si="169"/>
        <v>0</v>
      </c>
      <c r="BC75" s="145">
        <f t="shared" si="169"/>
        <v>0</v>
      </c>
      <c r="BD75" s="145">
        <f>+BD72-BD73-BD74</f>
        <v>0</v>
      </c>
      <c r="BE75" s="146">
        <f>+BE72-BE73-BE74</f>
        <v>0</v>
      </c>
      <c r="BF75" s="147">
        <f t="shared" si="48"/>
        <v>-110000</v>
      </c>
      <c r="BG75" s="148">
        <f>+BG72-BG73-BG74</f>
        <v>0</v>
      </c>
      <c r="BH75" s="145">
        <f t="shared" ref="BH75:BP75" si="170">+BH72-BH73-BH74</f>
        <v>0</v>
      </c>
      <c r="BI75" s="145">
        <f t="shared" si="170"/>
        <v>0</v>
      </c>
      <c r="BJ75" s="145">
        <f t="shared" si="170"/>
        <v>0</v>
      </c>
      <c r="BK75" s="145">
        <f t="shared" si="170"/>
        <v>0</v>
      </c>
      <c r="BL75" s="145">
        <f t="shared" si="170"/>
        <v>0</v>
      </c>
      <c r="BM75" s="145">
        <f t="shared" si="170"/>
        <v>0</v>
      </c>
      <c r="BN75" s="145">
        <f t="shared" si="170"/>
        <v>0</v>
      </c>
      <c r="BO75" s="145">
        <f t="shared" si="170"/>
        <v>0</v>
      </c>
      <c r="BP75" s="145">
        <f t="shared" si="170"/>
        <v>0</v>
      </c>
      <c r="BQ75" s="145">
        <f>+BQ72-BQ73-BQ74</f>
        <v>0</v>
      </c>
      <c r="BR75" s="146">
        <f>+BR72-BR73-BR74</f>
        <v>0</v>
      </c>
      <c r="BS75" s="147">
        <f t="shared" si="162"/>
        <v>0</v>
      </c>
      <c r="BT75" s="146">
        <f>+BT72-BT73-BT74</f>
        <v>264999</v>
      </c>
      <c r="BU75" s="149">
        <f t="shared" si="165"/>
        <v>151023.125</v>
      </c>
      <c r="BV75" s="150">
        <f t="shared" si="163"/>
        <v>151023.125</v>
      </c>
      <c r="BW75" s="151">
        <f t="shared" si="164"/>
        <v>0</v>
      </c>
    </row>
    <row r="76" spans="1:76" ht="15" customHeight="1">
      <c r="A76" s="642"/>
      <c r="B76" s="593" t="s">
        <v>120</v>
      </c>
      <c r="C76" s="550" t="s">
        <v>62</v>
      </c>
      <c r="D76" s="551"/>
      <c r="E76" s="128">
        <f>+BU76</f>
        <v>143650</v>
      </c>
      <c r="F76" s="128"/>
      <c r="G76" s="129"/>
      <c r="H76" s="130"/>
      <c r="I76" s="130"/>
      <c r="J76" s="130"/>
      <c r="K76" s="130"/>
      <c r="L76" s="130"/>
      <c r="M76" s="130"/>
      <c r="N76" s="282"/>
      <c r="O76" s="282"/>
      <c r="P76" s="282"/>
      <c r="Q76" s="282"/>
      <c r="R76" s="131"/>
      <c r="S76" s="140">
        <f t="shared" si="45"/>
        <v>0</v>
      </c>
      <c r="T76" s="133"/>
      <c r="U76" s="130"/>
      <c r="V76" s="130"/>
      <c r="W76" s="130"/>
      <c r="X76" s="130"/>
      <c r="Y76" s="130"/>
      <c r="Z76" s="130"/>
      <c r="AA76" s="130"/>
      <c r="AB76" s="130"/>
      <c r="AC76" s="130"/>
      <c r="AD76" s="130"/>
      <c r="AE76" s="131"/>
      <c r="AF76" s="132">
        <f t="shared" si="46"/>
        <v>0</v>
      </c>
      <c r="AG76" s="129"/>
      <c r="AH76" s="130"/>
      <c r="AI76" s="130"/>
      <c r="AJ76" s="130"/>
      <c r="AK76" s="130"/>
      <c r="AL76" s="130"/>
      <c r="AM76" s="130"/>
      <c r="AN76" s="130"/>
      <c r="AO76" s="130"/>
      <c r="AP76" s="130"/>
      <c r="AQ76" s="130"/>
      <c r="AR76" s="131"/>
      <c r="AS76" s="132">
        <f t="shared" si="47"/>
        <v>0</v>
      </c>
      <c r="AT76" s="133"/>
      <c r="AU76" s="130"/>
      <c r="AV76" s="130"/>
      <c r="AW76" s="130"/>
      <c r="AX76" s="130"/>
      <c r="AY76" s="130"/>
      <c r="AZ76" s="130"/>
      <c r="BA76" s="130"/>
      <c r="BB76" s="130"/>
      <c r="BC76" s="130"/>
      <c r="BD76" s="130"/>
      <c r="BE76" s="131"/>
      <c r="BF76" s="132">
        <f t="shared" si="48"/>
        <v>0</v>
      </c>
      <c r="BG76" s="133"/>
      <c r="BH76" s="130"/>
      <c r="BI76" s="130"/>
      <c r="BJ76" s="130"/>
      <c r="BK76" s="282"/>
      <c r="BL76" s="282"/>
      <c r="BM76" s="282"/>
      <c r="BN76" s="282"/>
      <c r="BO76" s="282"/>
      <c r="BP76" s="282"/>
      <c r="BQ76" s="282"/>
      <c r="BR76" s="284">
        <v>78510</v>
      </c>
      <c r="BS76" s="132">
        <f t="shared" si="162"/>
        <v>78510</v>
      </c>
      <c r="BT76" s="278">
        <v>65140</v>
      </c>
      <c r="BU76" s="159">
        <f>+F76+S76+AF76+AS76+BF76+BS76+BT76</f>
        <v>143650</v>
      </c>
      <c r="BV76" s="160">
        <f t="shared" si="163"/>
        <v>143650</v>
      </c>
      <c r="BW76" s="161">
        <f t="shared" si="164"/>
        <v>0</v>
      </c>
    </row>
    <row r="77" spans="1:76" ht="15" customHeight="1">
      <c r="A77" s="642"/>
      <c r="B77" s="547"/>
      <c r="C77" s="644" t="s">
        <v>63</v>
      </c>
      <c r="D77" s="229" t="s">
        <v>107</v>
      </c>
      <c r="E77" s="128">
        <f>+BU77</f>
        <v>78510</v>
      </c>
      <c r="F77" s="136"/>
      <c r="G77" s="137"/>
      <c r="H77" s="138"/>
      <c r="I77" s="138"/>
      <c r="J77" s="138"/>
      <c r="K77" s="130"/>
      <c r="L77" s="130"/>
      <c r="M77" s="130"/>
      <c r="N77" s="253"/>
      <c r="O77" s="253">
        <v>510</v>
      </c>
      <c r="P77" s="253">
        <v>3900</v>
      </c>
      <c r="Q77" s="253">
        <v>3900</v>
      </c>
      <c r="R77" s="139"/>
      <c r="S77" s="140">
        <f t="shared" si="45"/>
        <v>8310</v>
      </c>
      <c r="T77" s="141"/>
      <c r="U77" s="138"/>
      <c r="V77" s="138"/>
      <c r="W77" s="138">
        <v>62400</v>
      </c>
      <c r="X77" s="138"/>
      <c r="Y77" s="138">
        <v>7800</v>
      </c>
      <c r="Z77" s="138"/>
      <c r="AA77" s="138"/>
      <c r="AB77" s="138"/>
      <c r="AC77" s="138"/>
      <c r="AD77" s="138"/>
      <c r="AE77" s="139"/>
      <c r="AF77" s="140">
        <f t="shared" si="46"/>
        <v>70200</v>
      </c>
      <c r="AG77" s="129"/>
      <c r="AH77" s="130"/>
      <c r="AI77" s="130"/>
      <c r="AJ77" s="130"/>
      <c r="AK77" s="130"/>
      <c r="AL77" s="130"/>
      <c r="AM77" s="130"/>
      <c r="AN77" s="130"/>
      <c r="AO77" s="130"/>
      <c r="AP77" s="130"/>
      <c r="AQ77" s="130"/>
      <c r="AR77" s="131"/>
      <c r="AS77" s="140">
        <f t="shared" si="47"/>
        <v>0</v>
      </c>
      <c r="AT77" s="133"/>
      <c r="AU77" s="130"/>
      <c r="AV77" s="130"/>
      <c r="AW77" s="130"/>
      <c r="AX77" s="130"/>
      <c r="AY77" s="130"/>
      <c r="AZ77" s="130"/>
      <c r="BA77" s="130"/>
      <c r="BB77" s="130"/>
      <c r="BC77" s="130"/>
      <c r="BD77" s="130"/>
      <c r="BE77" s="131"/>
      <c r="BF77" s="140">
        <f t="shared" si="48"/>
        <v>0</v>
      </c>
      <c r="BG77" s="133"/>
      <c r="BH77" s="130"/>
      <c r="BI77" s="130"/>
      <c r="BJ77" s="130"/>
      <c r="BK77" s="282"/>
      <c r="BL77" s="282"/>
      <c r="BM77" s="282"/>
      <c r="BN77" s="282"/>
      <c r="BO77" s="282"/>
      <c r="BP77" s="282"/>
      <c r="BQ77" s="282"/>
      <c r="BR77" s="284"/>
      <c r="BS77" s="140">
        <f t="shared" si="162"/>
        <v>0</v>
      </c>
      <c r="BT77" s="278"/>
      <c r="BU77" s="90">
        <f t="shared" si="165"/>
        <v>78510</v>
      </c>
      <c r="BV77" s="91">
        <f>+E77</f>
        <v>78510</v>
      </c>
      <c r="BW77" s="92">
        <f>+BV77-BU77</f>
        <v>0</v>
      </c>
    </row>
    <row r="78" spans="1:76" ht="15" customHeight="1">
      <c r="A78" s="642"/>
      <c r="B78" s="548"/>
      <c r="C78" s="645"/>
      <c r="D78" s="230" t="s">
        <v>108</v>
      </c>
      <c r="E78" s="136">
        <f>+BU78</f>
        <v>14.6</v>
      </c>
      <c r="F78" s="136"/>
      <c r="G78" s="137"/>
      <c r="H78" s="138"/>
      <c r="I78" s="138"/>
      <c r="J78" s="138"/>
      <c r="K78" s="130"/>
      <c r="L78" s="130"/>
      <c r="M78" s="130"/>
      <c r="N78" s="253">
        <v>4.5999999999999996</v>
      </c>
      <c r="O78" s="253">
        <v>5</v>
      </c>
      <c r="P78" s="253">
        <v>5</v>
      </c>
      <c r="Q78" s="253"/>
      <c r="R78" s="139"/>
      <c r="S78" s="140">
        <f t="shared" si="45"/>
        <v>14.6</v>
      </c>
      <c r="T78" s="141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  <c r="AE78" s="139"/>
      <c r="AF78" s="140">
        <f t="shared" si="46"/>
        <v>0</v>
      </c>
      <c r="AG78" s="137"/>
      <c r="AH78" s="138"/>
      <c r="AI78" s="138"/>
      <c r="AJ78" s="138"/>
      <c r="AK78" s="138"/>
      <c r="AL78" s="138"/>
      <c r="AM78" s="138"/>
      <c r="AN78" s="138"/>
      <c r="AO78" s="138"/>
      <c r="AP78" s="138"/>
      <c r="AQ78" s="138"/>
      <c r="AR78" s="139"/>
      <c r="AS78" s="140">
        <f t="shared" si="47"/>
        <v>0</v>
      </c>
      <c r="AT78" s="141"/>
      <c r="AU78" s="138"/>
      <c r="AV78" s="138"/>
      <c r="AW78" s="138"/>
      <c r="AX78" s="138"/>
      <c r="AY78" s="138"/>
      <c r="AZ78" s="138"/>
      <c r="BA78" s="138"/>
      <c r="BB78" s="138"/>
      <c r="BC78" s="138"/>
      <c r="BD78" s="138"/>
      <c r="BE78" s="139"/>
      <c r="BF78" s="140">
        <f t="shared" si="48"/>
        <v>0</v>
      </c>
      <c r="BG78" s="141"/>
      <c r="BH78" s="138"/>
      <c r="BI78" s="138"/>
      <c r="BJ78" s="138"/>
      <c r="BK78" s="253"/>
      <c r="BL78" s="253"/>
      <c r="BM78" s="253"/>
      <c r="BN78" s="253"/>
      <c r="BO78" s="253"/>
      <c r="BP78" s="253"/>
      <c r="BQ78" s="253"/>
      <c r="BR78" s="338"/>
      <c r="BS78" s="140">
        <f t="shared" si="162"/>
        <v>0</v>
      </c>
      <c r="BT78" s="279"/>
      <c r="BU78" s="90">
        <f t="shared" si="165"/>
        <v>14.6</v>
      </c>
      <c r="BV78" s="91">
        <f t="shared" si="163"/>
        <v>14.6</v>
      </c>
      <c r="BW78" s="92">
        <f t="shared" si="164"/>
        <v>0</v>
      </c>
      <c r="BX78" s="64">
        <f>+BU78/BU76</f>
        <v>1.0163592064044552E-4</v>
      </c>
    </row>
    <row r="79" spans="1:76" ht="15" customHeight="1">
      <c r="A79" s="642"/>
      <c r="B79" s="556"/>
      <c r="C79" s="554" t="s">
        <v>11</v>
      </c>
      <c r="D79" s="555"/>
      <c r="E79" s="143">
        <f>+E76-E77-E78</f>
        <v>65125.4</v>
      </c>
      <c r="F79" s="144">
        <f>+F76-F77-F78</f>
        <v>0</v>
      </c>
      <c r="G79" s="145">
        <f>+G76-G77-G78</f>
        <v>0</v>
      </c>
      <c r="H79" s="145">
        <f t="shared" ref="H79:R79" si="171">+H76-H77-H78</f>
        <v>0</v>
      </c>
      <c r="I79" s="145">
        <f t="shared" si="171"/>
        <v>0</v>
      </c>
      <c r="J79" s="145">
        <f t="shared" si="171"/>
        <v>0</v>
      </c>
      <c r="K79" s="145">
        <f t="shared" si="171"/>
        <v>0</v>
      </c>
      <c r="L79" s="145">
        <f t="shared" si="171"/>
        <v>0</v>
      </c>
      <c r="M79" s="145">
        <f t="shared" si="171"/>
        <v>0</v>
      </c>
      <c r="N79" s="145">
        <f t="shared" si="171"/>
        <v>-4.5999999999999996</v>
      </c>
      <c r="O79" s="145">
        <f t="shared" si="171"/>
        <v>-515</v>
      </c>
      <c r="P79" s="145">
        <f t="shared" si="171"/>
        <v>-3905</v>
      </c>
      <c r="Q79" s="145">
        <f t="shared" si="171"/>
        <v>-3900</v>
      </c>
      <c r="R79" s="146">
        <f t="shared" si="171"/>
        <v>0</v>
      </c>
      <c r="S79" s="147">
        <f t="shared" si="45"/>
        <v>-8324.6</v>
      </c>
      <c r="T79" s="145">
        <f>+T76-T77-T78</f>
        <v>0</v>
      </c>
      <c r="U79" s="145">
        <f t="shared" ref="U79:AE79" si="172">+U76-U77-U78</f>
        <v>0</v>
      </c>
      <c r="V79" s="145">
        <f t="shared" si="172"/>
        <v>0</v>
      </c>
      <c r="W79" s="145">
        <f t="shared" si="172"/>
        <v>-62400</v>
      </c>
      <c r="X79" s="145">
        <f t="shared" si="172"/>
        <v>0</v>
      </c>
      <c r="Y79" s="145">
        <f t="shared" si="172"/>
        <v>-7800</v>
      </c>
      <c r="Z79" s="145">
        <f t="shared" si="172"/>
        <v>0</v>
      </c>
      <c r="AA79" s="145">
        <f t="shared" si="172"/>
        <v>0</v>
      </c>
      <c r="AB79" s="145">
        <f t="shared" si="172"/>
        <v>0</v>
      </c>
      <c r="AC79" s="145">
        <f t="shared" si="172"/>
        <v>0</v>
      </c>
      <c r="AD79" s="145">
        <f t="shared" si="172"/>
        <v>0</v>
      </c>
      <c r="AE79" s="146">
        <f t="shared" si="172"/>
        <v>0</v>
      </c>
      <c r="AF79" s="147">
        <f t="shared" si="46"/>
        <v>-70200</v>
      </c>
      <c r="AG79" s="145">
        <f>+AG76-AG77-AG78</f>
        <v>0</v>
      </c>
      <c r="AH79" s="145">
        <f t="shared" ref="AH79:AR79" si="173">+AH76-AH77-AH78</f>
        <v>0</v>
      </c>
      <c r="AI79" s="145">
        <f t="shared" si="173"/>
        <v>0</v>
      </c>
      <c r="AJ79" s="145">
        <f t="shared" si="173"/>
        <v>0</v>
      </c>
      <c r="AK79" s="145">
        <f t="shared" si="173"/>
        <v>0</v>
      </c>
      <c r="AL79" s="145">
        <f t="shared" si="173"/>
        <v>0</v>
      </c>
      <c r="AM79" s="145">
        <f t="shared" si="173"/>
        <v>0</v>
      </c>
      <c r="AN79" s="145">
        <f t="shared" si="173"/>
        <v>0</v>
      </c>
      <c r="AO79" s="145">
        <f t="shared" si="173"/>
        <v>0</v>
      </c>
      <c r="AP79" s="145">
        <f t="shared" si="173"/>
        <v>0</v>
      </c>
      <c r="AQ79" s="145">
        <f t="shared" si="173"/>
        <v>0</v>
      </c>
      <c r="AR79" s="146">
        <f t="shared" si="173"/>
        <v>0</v>
      </c>
      <c r="AS79" s="147">
        <f t="shared" si="47"/>
        <v>0</v>
      </c>
      <c r="AT79" s="145">
        <f>+AT76-AT77-AT78</f>
        <v>0</v>
      </c>
      <c r="AU79" s="145">
        <f t="shared" ref="AU79:BE79" si="174">+AU76-AU77-AU78</f>
        <v>0</v>
      </c>
      <c r="AV79" s="145">
        <f t="shared" si="174"/>
        <v>0</v>
      </c>
      <c r="AW79" s="145">
        <f t="shared" si="174"/>
        <v>0</v>
      </c>
      <c r="AX79" s="145">
        <f t="shared" si="174"/>
        <v>0</v>
      </c>
      <c r="AY79" s="145">
        <f t="shared" si="174"/>
        <v>0</v>
      </c>
      <c r="AZ79" s="145">
        <f t="shared" si="174"/>
        <v>0</v>
      </c>
      <c r="BA79" s="145">
        <f t="shared" si="174"/>
        <v>0</v>
      </c>
      <c r="BB79" s="145">
        <f t="shared" si="174"/>
        <v>0</v>
      </c>
      <c r="BC79" s="145">
        <f t="shared" si="174"/>
        <v>0</v>
      </c>
      <c r="BD79" s="145">
        <f t="shared" si="174"/>
        <v>0</v>
      </c>
      <c r="BE79" s="146">
        <f t="shared" si="174"/>
        <v>0</v>
      </c>
      <c r="BF79" s="147">
        <f t="shared" si="48"/>
        <v>0</v>
      </c>
      <c r="BG79" s="145">
        <f>+BG76-BG77-BG78</f>
        <v>0</v>
      </c>
      <c r="BH79" s="145">
        <f t="shared" ref="BH79:BR79" si="175">+BH76-BH77-BH78</f>
        <v>0</v>
      </c>
      <c r="BI79" s="145">
        <f t="shared" si="175"/>
        <v>0</v>
      </c>
      <c r="BJ79" s="145">
        <f t="shared" si="175"/>
        <v>0</v>
      </c>
      <c r="BK79" s="145">
        <f t="shared" si="175"/>
        <v>0</v>
      </c>
      <c r="BL79" s="145">
        <f t="shared" si="175"/>
        <v>0</v>
      </c>
      <c r="BM79" s="145">
        <f t="shared" si="175"/>
        <v>0</v>
      </c>
      <c r="BN79" s="145">
        <f t="shared" si="175"/>
        <v>0</v>
      </c>
      <c r="BO79" s="145">
        <f t="shared" si="175"/>
        <v>0</v>
      </c>
      <c r="BP79" s="145">
        <f t="shared" si="175"/>
        <v>0</v>
      </c>
      <c r="BQ79" s="145">
        <f t="shared" si="175"/>
        <v>0</v>
      </c>
      <c r="BR79" s="146">
        <f t="shared" si="175"/>
        <v>78510</v>
      </c>
      <c r="BS79" s="147">
        <f t="shared" si="162"/>
        <v>78510</v>
      </c>
      <c r="BT79" s="146">
        <f>+BT76-BT78</f>
        <v>65140</v>
      </c>
      <c r="BU79" s="98">
        <f t="shared" si="165"/>
        <v>65125.399999999994</v>
      </c>
      <c r="BV79" s="99">
        <f t="shared" si="163"/>
        <v>65125.4</v>
      </c>
      <c r="BW79" s="100">
        <f t="shared" si="164"/>
        <v>0</v>
      </c>
    </row>
    <row r="80" spans="1:76" ht="15" customHeight="1">
      <c r="A80" s="642"/>
      <c r="B80" s="546" t="s">
        <v>30</v>
      </c>
      <c r="C80" s="550" t="s">
        <v>62</v>
      </c>
      <c r="D80" s="551"/>
      <c r="E80" s="128"/>
      <c r="F80" s="128"/>
      <c r="G80" s="129"/>
      <c r="H80" s="130"/>
      <c r="I80" s="130"/>
      <c r="J80" s="130"/>
      <c r="K80" s="130"/>
      <c r="L80" s="130"/>
      <c r="M80" s="130"/>
      <c r="N80" s="130"/>
      <c r="O80" s="130"/>
      <c r="P80" s="282"/>
      <c r="Q80" s="282"/>
      <c r="R80" s="284"/>
      <c r="S80" s="132">
        <f t="shared" si="45"/>
        <v>0</v>
      </c>
      <c r="T80" s="133"/>
      <c r="U80" s="130"/>
      <c r="V80" s="130"/>
      <c r="W80" s="130"/>
      <c r="X80" s="130"/>
      <c r="Y80" s="130"/>
      <c r="Z80" s="130"/>
      <c r="AA80" s="130"/>
      <c r="AB80" s="130"/>
      <c r="AC80" s="130"/>
      <c r="AD80" s="130"/>
      <c r="AE80" s="131"/>
      <c r="AF80" s="132">
        <f t="shared" si="46"/>
        <v>0</v>
      </c>
      <c r="AG80" s="129"/>
      <c r="AH80" s="130"/>
      <c r="AI80" s="130"/>
      <c r="AJ80" s="130"/>
      <c r="AK80" s="130"/>
      <c r="AL80" s="130"/>
      <c r="AM80" s="130"/>
      <c r="AN80" s="130"/>
      <c r="AO80" s="130"/>
      <c r="AP80" s="130"/>
      <c r="AQ80" s="130"/>
      <c r="AR80" s="131"/>
      <c r="AS80" s="132">
        <f t="shared" si="47"/>
        <v>0</v>
      </c>
      <c r="AT80" s="133"/>
      <c r="AU80" s="130"/>
      <c r="AV80" s="130"/>
      <c r="AW80" s="130"/>
      <c r="AX80" s="130"/>
      <c r="AY80" s="130"/>
      <c r="AZ80" s="130"/>
      <c r="BA80" s="130"/>
      <c r="BB80" s="130"/>
      <c r="BC80" s="130"/>
      <c r="BD80" s="130"/>
      <c r="BE80" s="131"/>
      <c r="BF80" s="132">
        <f t="shared" si="48"/>
        <v>0</v>
      </c>
      <c r="BG80" s="133"/>
      <c r="BH80" s="130"/>
      <c r="BI80" s="130"/>
      <c r="BJ80" s="130"/>
      <c r="BK80" s="130"/>
      <c r="BL80" s="130"/>
      <c r="BM80" s="130"/>
      <c r="BN80" s="130"/>
      <c r="BO80" s="130"/>
      <c r="BP80" s="130"/>
      <c r="BQ80" s="130"/>
      <c r="BR80" s="131"/>
      <c r="BS80" s="132">
        <f t="shared" si="162"/>
        <v>0</v>
      </c>
      <c r="BT80" s="278"/>
      <c r="BU80" s="164">
        <f t="shared" ref="BU80:BU90" si="176">+F80+S80+AF80+AS80+BF80+BS80+BT80</f>
        <v>0</v>
      </c>
      <c r="BV80" s="91">
        <f t="shared" ref="BV80:BV96" si="177">+E80</f>
        <v>0</v>
      </c>
      <c r="BW80" s="92">
        <f t="shared" ref="BW80:BW96" si="178">+BV80-BU80</f>
        <v>0</v>
      </c>
    </row>
    <row r="81" spans="1:76" ht="15" customHeight="1">
      <c r="A81" s="642"/>
      <c r="B81" s="547"/>
      <c r="C81" s="644" t="s">
        <v>63</v>
      </c>
      <c r="D81" s="229" t="s">
        <v>117</v>
      </c>
      <c r="E81" s="128">
        <f>+BU81</f>
        <v>35177</v>
      </c>
      <c r="F81" s="128"/>
      <c r="G81" s="129"/>
      <c r="H81" s="130"/>
      <c r="I81" s="130"/>
      <c r="J81" s="130"/>
      <c r="K81" s="130"/>
      <c r="L81" s="130"/>
      <c r="M81" s="130"/>
      <c r="N81" s="130"/>
      <c r="O81" s="130"/>
      <c r="P81" s="282"/>
      <c r="Q81" s="253">
        <v>3517.7000000000003</v>
      </c>
      <c r="R81" s="284"/>
      <c r="S81" s="140">
        <f t="shared" si="45"/>
        <v>3517.7000000000003</v>
      </c>
      <c r="T81" s="133"/>
      <c r="U81" s="130"/>
      <c r="V81" s="130"/>
      <c r="W81" s="130"/>
      <c r="X81" s="130"/>
      <c r="Y81" s="130"/>
      <c r="Z81" s="130"/>
      <c r="AA81" s="130"/>
      <c r="AB81" s="130"/>
      <c r="AC81" s="130"/>
      <c r="AD81" s="130"/>
      <c r="AE81" s="338">
        <v>14070.800000000001</v>
      </c>
      <c r="AF81" s="140">
        <f t="shared" si="46"/>
        <v>14070.800000000001</v>
      </c>
      <c r="AG81" s="129"/>
      <c r="AH81" s="130"/>
      <c r="AI81" s="130"/>
      <c r="AJ81" s="130"/>
      <c r="AK81" s="130"/>
      <c r="AL81" s="130"/>
      <c r="AM81" s="130"/>
      <c r="AN81" s="130"/>
      <c r="AO81" s="130"/>
      <c r="AP81" s="130"/>
      <c r="AQ81" s="130"/>
      <c r="AR81" s="338">
        <v>17588.5</v>
      </c>
      <c r="AS81" s="140">
        <f t="shared" si="47"/>
        <v>17588.5</v>
      </c>
      <c r="AT81" s="133"/>
      <c r="AU81" s="130"/>
      <c r="AV81" s="130"/>
      <c r="AW81" s="130"/>
      <c r="AX81" s="130"/>
      <c r="AY81" s="130"/>
      <c r="AZ81" s="130"/>
      <c r="BA81" s="130"/>
      <c r="BB81" s="130"/>
      <c r="BC81" s="130"/>
      <c r="BD81" s="130"/>
      <c r="BE81" s="131"/>
      <c r="BF81" s="140">
        <f t="shared" si="48"/>
        <v>0</v>
      </c>
      <c r="BG81" s="133"/>
      <c r="BH81" s="130"/>
      <c r="BI81" s="130"/>
      <c r="BJ81" s="130"/>
      <c r="BK81" s="130"/>
      <c r="BL81" s="130"/>
      <c r="BM81" s="130"/>
      <c r="BN81" s="130"/>
      <c r="BO81" s="130"/>
      <c r="BP81" s="130"/>
      <c r="BQ81" s="130"/>
      <c r="BR81" s="131"/>
      <c r="BS81" s="140">
        <f t="shared" si="162"/>
        <v>0</v>
      </c>
      <c r="BT81" s="278"/>
      <c r="BU81" s="90">
        <f t="shared" si="176"/>
        <v>35177</v>
      </c>
      <c r="BV81" s="91">
        <f t="shared" si="177"/>
        <v>35177</v>
      </c>
      <c r="BW81" s="92">
        <f t="shared" si="178"/>
        <v>0</v>
      </c>
    </row>
    <row r="82" spans="1:76" ht="15" customHeight="1">
      <c r="A82" s="642"/>
      <c r="B82" s="547"/>
      <c r="C82" s="646"/>
      <c r="D82" s="229" t="s">
        <v>126</v>
      </c>
      <c r="E82" s="128">
        <f>+BU82</f>
        <v>0</v>
      </c>
      <c r="F82" s="128"/>
      <c r="G82" s="129"/>
      <c r="H82" s="130"/>
      <c r="I82" s="130"/>
      <c r="J82" s="130"/>
      <c r="K82" s="130"/>
      <c r="L82" s="130"/>
      <c r="M82" s="130"/>
      <c r="N82" s="130"/>
      <c r="O82" s="130"/>
      <c r="P82" s="282"/>
      <c r="Q82" s="253"/>
      <c r="R82" s="284"/>
      <c r="S82" s="140">
        <f t="shared" si="45"/>
        <v>0</v>
      </c>
      <c r="T82" s="133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9"/>
      <c r="AF82" s="140">
        <f t="shared" si="46"/>
        <v>0</v>
      </c>
      <c r="AG82" s="129"/>
      <c r="AH82" s="130"/>
      <c r="AI82" s="130"/>
      <c r="AJ82" s="130"/>
      <c r="AK82" s="130"/>
      <c r="AL82" s="130"/>
      <c r="AM82" s="130"/>
      <c r="AN82" s="130"/>
      <c r="AO82" s="130"/>
      <c r="AP82" s="130"/>
      <c r="AQ82" s="130"/>
      <c r="AR82" s="139"/>
      <c r="AS82" s="140">
        <f t="shared" si="47"/>
        <v>0</v>
      </c>
      <c r="AT82" s="133"/>
      <c r="AU82" s="130"/>
      <c r="AV82" s="130"/>
      <c r="AW82" s="130"/>
      <c r="AX82" s="130"/>
      <c r="AY82" s="130"/>
      <c r="AZ82" s="130"/>
      <c r="BA82" s="130"/>
      <c r="BB82" s="130"/>
      <c r="BC82" s="130"/>
      <c r="BD82" s="130"/>
      <c r="BE82" s="131"/>
      <c r="BF82" s="140">
        <f t="shared" si="48"/>
        <v>0</v>
      </c>
      <c r="BG82" s="133"/>
      <c r="BH82" s="130"/>
      <c r="BI82" s="130"/>
      <c r="BJ82" s="130"/>
      <c r="BK82" s="130"/>
      <c r="BL82" s="130"/>
      <c r="BM82" s="130"/>
      <c r="BN82" s="130"/>
      <c r="BO82" s="130"/>
      <c r="BP82" s="130"/>
      <c r="BQ82" s="130"/>
      <c r="BR82" s="131"/>
      <c r="BS82" s="140">
        <f t="shared" si="162"/>
        <v>0</v>
      </c>
      <c r="BT82" s="278"/>
      <c r="BU82" s="90">
        <f t="shared" si="176"/>
        <v>0</v>
      </c>
      <c r="BV82" s="91">
        <f t="shared" si="177"/>
        <v>0</v>
      </c>
      <c r="BW82" s="92">
        <f t="shared" si="178"/>
        <v>0</v>
      </c>
    </row>
    <row r="83" spans="1:76" ht="15" customHeight="1">
      <c r="A83" s="642"/>
      <c r="B83" s="547"/>
      <c r="C83" s="646"/>
      <c r="D83" s="229" t="s">
        <v>119</v>
      </c>
      <c r="E83" s="128">
        <f>+BU83</f>
        <v>0</v>
      </c>
      <c r="F83" s="128"/>
      <c r="G83" s="129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40">
        <f t="shared" si="45"/>
        <v>0</v>
      </c>
      <c r="T83" s="133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9"/>
      <c r="AF83" s="140">
        <f t="shared" si="46"/>
        <v>0</v>
      </c>
      <c r="AG83" s="129"/>
      <c r="AH83" s="130"/>
      <c r="AI83" s="130"/>
      <c r="AJ83" s="130"/>
      <c r="AK83" s="130"/>
      <c r="AL83" s="130"/>
      <c r="AM83" s="130"/>
      <c r="AN83" s="130"/>
      <c r="AO83" s="130"/>
      <c r="AP83" s="130"/>
      <c r="AQ83" s="130"/>
      <c r="AR83" s="139"/>
      <c r="AS83" s="140">
        <f t="shared" si="47"/>
        <v>0</v>
      </c>
      <c r="AT83" s="133"/>
      <c r="AU83" s="130"/>
      <c r="AV83" s="130"/>
      <c r="AW83" s="130"/>
      <c r="AX83" s="130"/>
      <c r="AY83" s="130"/>
      <c r="AZ83" s="130"/>
      <c r="BA83" s="130"/>
      <c r="BB83" s="130"/>
      <c r="BC83" s="130"/>
      <c r="BD83" s="130"/>
      <c r="BE83" s="131"/>
      <c r="BF83" s="140">
        <f t="shared" si="48"/>
        <v>0</v>
      </c>
      <c r="BG83" s="133"/>
      <c r="BH83" s="130"/>
      <c r="BI83" s="130"/>
      <c r="BJ83" s="130"/>
      <c r="BK83" s="130"/>
      <c r="BL83" s="130"/>
      <c r="BM83" s="130"/>
      <c r="BN83" s="130"/>
      <c r="BO83" s="130"/>
      <c r="BP83" s="130"/>
      <c r="BQ83" s="130"/>
      <c r="BR83" s="131"/>
      <c r="BS83" s="140">
        <f t="shared" si="162"/>
        <v>0</v>
      </c>
      <c r="BT83" s="278"/>
      <c r="BU83" s="90">
        <f t="shared" si="176"/>
        <v>0</v>
      </c>
      <c r="BV83" s="91">
        <f t="shared" si="177"/>
        <v>0</v>
      </c>
      <c r="BW83" s="92">
        <f t="shared" si="178"/>
        <v>0</v>
      </c>
    </row>
    <row r="84" spans="1:76" ht="15" customHeight="1">
      <c r="A84" s="642"/>
      <c r="B84" s="548"/>
      <c r="C84" s="645"/>
      <c r="D84" s="230" t="s">
        <v>108</v>
      </c>
      <c r="E84" s="136">
        <f>+BU84</f>
        <v>0</v>
      </c>
      <c r="F84" s="136"/>
      <c r="G84" s="137"/>
      <c r="H84" s="138"/>
      <c r="I84" s="138"/>
      <c r="J84" s="138"/>
      <c r="K84" s="138"/>
      <c r="L84" s="138"/>
      <c r="M84" s="138"/>
      <c r="N84" s="130"/>
      <c r="O84" s="130"/>
      <c r="P84" s="130"/>
      <c r="Q84" s="130"/>
      <c r="R84" s="130"/>
      <c r="S84" s="140">
        <f t="shared" si="45"/>
        <v>0</v>
      </c>
      <c r="T84" s="141"/>
      <c r="U84" s="138"/>
      <c r="V84" s="138"/>
      <c r="W84" s="138"/>
      <c r="X84" s="138"/>
      <c r="Y84" s="138"/>
      <c r="Z84" s="138"/>
      <c r="AA84" s="138"/>
      <c r="AB84" s="138"/>
      <c r="AC84" s="138"/>
      <c r="AD84" s="130"/>
      <c r="AE84" s="139"/>
      <c r="AF84" s="140">
        <f t="shared" si="46"/>
        <v>0</v>
      </c>
      <c r="AG84" s="130"/>
      <c r="AH84" s="138"/>
      <c r="AI84" s="138"/>
      <c r="AJ84" s="138"/>
      <c r="AK84" s="138"/>
      <c r="AL84" s="138"/>
      <c r="AM84" s="138"/>
      <c r="AN84" s="138"/>
      <c r="AO84" s="138"/>
      <c r="AP84" s="138"/>
      <c r="AQ84" s="138"/>
      <c r="AR84" s="139"/>
      <c r="AS84" s="140">
        <f t="shared" si="47"/>
        <v>0</v>
      </c>
      <c r="AT84" s="141"/>
      <c r="AU84" s="138"/>
      <c r="AV84" s="138"/>
      <c r="AW84" s="138"/>
      <c r="AX84" s="138"/>
      <c r="AY84" s="138"/>
      <c r="AZ84" s="138"/>
      <c r="BA84" s="138"/>
      <c r="BB84" s="138"/>
      <c r="BC84" s="138"/>
      <c r="BD84" s="138"/>
      <c r="BE84" s="139"/>
      <c r="BF84" s="140">
        <f t="shared" si="48"/>
        <v>0</v>
      </c>
      <c r="BG84" s="141"/>
      <c r="BH84" s="138"/>
      <c r="BI84" s="138"/>
      <c r="BJ84" s="138"/>
      <c r="BK84" s="138"/>
      <c r="BL84" s="138"/>
      <c r="BM84" s="138"/>
      <c r="BN84" s="138"/>
      <c r="BO84" s="138"/>
      <c r="BP84" s="138"/>
      <c r="BQ84" s="138"/>
      <c r="BR84" s="139"/>
      <c r="BS84" s="140">
        <f t="shared" si="162"/>
        <v>0</v>
      </c>
      <c r="BT84" s="279"/>
      <c r="BU84" s="90">
        <f t="shared" si="176"/>
        <v>0</v>
      </c>
      <c r="BV84" s="91">
        <f t="shared" si="177"/>
        <v>0</v>
      </c>
      <c r="BW84" s="92">
        <f t="shared" si="178"/>
        <v>0</v>
      </c>
      <c r="BX84" s="64" t="e">
        <f>+BU84/BU80</f>
        <v>#DIV/0!</v>
      </c>
    </row>
    <row r="85" spans="1:76" ht="15" customHeight="1">
      <c r="A85" s="642"/>
      <c r="B85" s="556"/>
      <c r="C85" s="554" t="s">
        <v>11</v>
      </c>
      <c r="D85" s="555"/>
      <c r="E85" s="143">
        <f>+E80-E81-E82-E83-E84</f>
        <v>-35177</v>
      </c>
      <c r="F85" s="144">
        <f>+F80-F81-F82-F83-F84</f>
        <v>0</v>
      </c>
      <c r="G85" s="145">
        <f>+G80-G81-G82-G83-G84</f>
        <v>0</v>
      </c>
      <c r="H85" s="145">
        <f t="shared" ref="H85:R85" si="179">+H80-H81-H82-H83-H84</f>
        <v>0</v>
      </c>
      <c r="I85" s="145">
        <f t="shared" si="179"/>
        <v>0</v>
      </c>
      <c r="J85" s="145">
        <f t="shared" si="179"/>
        <v>0</v>
      </c>
      <c r="K85" s="145">
        <f t="shared" si="179"/>
        <v>0</v>
      </c>
      <c r="L85" s="145">
        <f t="shared" si="179"/>
        <v>0</v>
      </c>
      <c r="M85" s="145">
        <f t="shared" si="179"/>
        <v>0</v>
      </c>
      <c r="N85" s="145">
        <f t="shared" si="179"/>
        <v>0</v>
      </c>
      <c r="O85" s="145">
        <f t="shared" si="179"/>
        <v>0</v>
      </c>
      <c r="P85" s="145">
        <f t="shared" si="179"/>
        <v>0</v>
      </c>
      <c r="Q85" s="145">
        <f t="shared" si="179"/>
        <v>-3517.7000000000003</v>
      </c>
      <c r="R85" s="145">
        <f t="shared" si="179"/>
        <v>0</v>
      </c>
      <c r="S85" s="147">
        <f t="shared" si="45"/>
        <v>-3517.7000000000003</v>
      </c>
      <c r="T85" s="148">
        <f>+T80-T81-T82-T83-T84</f>
        <v>0</v>
      </c>
      <c r="U85" s="145">
        <f t="shared" ref="U85:AE85" si="180">+U80-U81-U82-U83-U84</f>
        <v>0</v>
      </c>
      <c r="V85" s="145">
        <f t="shared" si="180"/>
        <v>0</v>
      </c>
      <c r="W85" s="145">
        <f t="shared" si="180"/>
        <v>0</v>
      </c>
      <c r="X85" s="145">
        <f t="shared" si="180"/>
        <v>0</v>
      </c>
      <c r="Y85" s="145">
        <f t="shared" si="180"/>
        <v>0</v>
      </c>
      <c r="Z85" s="145">
        <f t="shared" si="180"/>
        <v>0</v>
      </c>
      <c r="AA85" s="145">
        <f t="shared" si="180"/>
        <v>0</v>
      </c>
      <c r="AB85" s="145">
        <f t="shared" si="180"/>
        <v>0</v>
      </c>
      <c r="AC85" s="145">
        <f t="shared" si="180"/>
        <v>0</v>
      </c>
      <c r="AD85" s="145">
        <f t="shared" si="180"/>
        <v>0</v>
      </c>
      <c r="AE85" s="146">
        <f t="shared" si="180"/>
        <v>-14070.800000000001</v>
      </c>
      <c r="AF85" s="147">
        <f t="shared" si="46"/>
        <v>-14070.800000000001</v>
      </c>
      <c r="AG85" s="148">
        <f>+AG80-AG81-AG82-AG83-AG84</f>
        <v>0</v>
      </c>
      <c r="AH85" s="145">
        <f t="shared" ref="AH85:AR85" si="181">+AH80-AH81-AH82-AH83-AH84</f>
        <v>0</v>
      </c>
      <c r="AI85" s="145">
        <f t="shared" si="181"/>
        <v>0</v>
      </c>
      <c r="AJ85" s="145">
        <f t="shared" si="181"/>
        <v>0</v>
      </c>
      <c r="AK85" s="145">
        <f t="shared" si="181"/>
        <v>0</v>
      </c>
      <c r="AL85" s="145">
        <f t="shared" si="181"/>
        <v>0</v>
      </c>
      <c r="AM85" s="145">
        <f t="shared" si="181"/>
        <v>0</v>
      </c>
      <c r="AN85" s="145">
        <f t="shared" si="181"/>
        <v>0</v>
      </c>
      <c r="AO85" s="145">
        <f t="shared" si="181"/>
        <v>0</v>
      </c>
      <c r="AP85" s="145">
        <f t="shared" si="181"/>
        <v>0</v>
      </c>
      <c r="AQ85" s="145">
        <f t="shared" si="181"/>
        <v>0</v>
      </c>
      <c r="AR85" s="146">
        <f t="shared" si="181"/>
        <v>-17588.5</v>
      </c>
      <c r="AS85" s="147">
        <f t="shared" si="47"/>
        <v>-17588.5</v>
      </c>
      <c r="AT85" s="148">
        <f>+AT80-AT81-AT82-AT83-AT84</f>
        <v>0</v>
      </c>
      <c r="AU85" s="145">
        <f t="shared" ref="AU85:BE85" si="182">+AU80-AU81-AU82-AU83-AU84</f>
        <v>0</v>
      </c>
      <c r="AV85" s="145">
        <f t="shared" si="182"/>
        <v>0</v>
      </c>
      <c r="AW85" s="145">
        <f t="shared" si="182"/>
        <v>0</v>
      </c>
      <c r="AX85" s="145">
        <f t="shared" si="182"/>
        <v>0</v>
      </c>
      <c r="AY85" s="145">
        <f t="shared" si="182"/>
        <v>0</v>
      </c>
      <c r="AZ85" s="145">
        <f t="shared" si="182"/>
        <v>0</v>
      </c>
      <c r="BA85" s="145">
        <f t="shared" si="182"/>
        <v>0</v>
      </c>
      <c r="BB85" s="145">
        <f t="shared" si="182"/>
        <v>0</v>
      </c>
      <c r="BC85" s="145">
        <f t="shared" si="182"/>
        <v>0</v>
      </c>
      <c r="BD85" s="145">
        <f t="shared" si="182"/>
        <v>0</v>
      </c>
      <c r="BE85" s="146">
        <f t="shared" si="182"/>
        <v>0</v>
      </c>
      <c r="BF85" s="147">
        <f t="shared" si="48"/>
        <v>0</v>
      </c>
      <c r="BG85" s="148">
        <f>+BG80-BG81-BG82-BG83-BG84</f>
        <v>0</v>
      </c>
      <c r="BH85" s="145">
        <f t="shared" ref="BH85:BT85" si="183">+BH80-BH81-BH82-BH83-BH84</f>
        <v>0</v>
      </c>
      <c r="BI85" s="145">
        <f t="shared" si="183"/>
        <v>0</v>
      </c>
      <c r="BJ85" s="145">
        <f t="shared" si="183"/>
        <v>0</v>
      </c>
      <c r="BK85" s="145">
        <f t="shared" si="183"/>
        <v>0</v>
      </c>
      <c r="BL85" s="145">
        <f t="shared" si="183"/>
        <v>0</v>
      </c>
      <c r="BM85" s="145">
        <f t="shared" si="183"/>
        <v>0</v>
      </c>
      <c r="BN85" s="145">
        <f t="shared" si="183"/>
        <v>0</v>
      </c>
      <c r="BO85" s="145">
        <f t="shared" si="183"/>
        <v>0</v>
      </c>
      <c r="BP85" s="145">
        <f t="shared" si="183"/>
        <v>0</v>
      </c>
      <c r="BQ85" s="145">
        <f t="shared" si="183"/>
        <v>0</v>
      </c>
      <c r="BR85" s="146">
        <f t="shared" si="183"/>
        <v>0</v>
      </c>
      <c r="BS85" s="147">
        <f t="shared" si="162"/>
        <v>0</v>
      </c>
      <c r="BT85" s="146">
        <f t="shared" si="183"/>
        <v>0</v>
      </c>
      <c r="BU85" s="149">
        <f t="shared" si="176"/>
        <v>-35177</v>
      </c>
      <c r="BV85" s="150">
        <f t="shared" si="177"/>
        <v>-35177</v>
      </c>
      <c r="BW85" s="151">
        <f t="shared" si="178"/>
        <v>0</v>
      </c>
    </row>
    <row r="86" spans="1:76" ht="15" customHeight="1">
      <c r="A86" s="642"/>
      <c r="B86" s="546" t="s">
        <v>78</v>
      </c>
      <c r="C86" s="550" t="s">
        <v>62</v>
      </c>
      <c r="D86" s="551"/>
      <c r="E86" s="153"/>
      <c r="F86" s="128"/>
      <c r="G86" s="129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1"/>
      <c r="S86" s="132">
        <f t="shared" si="45"/>
        <v>0</v>
      </c>
      <c r="T86" s="133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1"/>
      <c r="AF86" s="132">
        <f t="shared" si="46"/>
        <v>0</v>
      </c>
      <c r="AG86" s="129"/>
      <c r="AH86" s="130"/>
      <c r="AI86" s="130"/>
      <c r="AJ86" s="130"/>
      <c r="AK86" s="130"/>
      <c r="AL86" s="130"/>
      <c r="AM86" s="130"/>
      <c r="AN86" s="130"/>
      <c r="AO86" s="130"/>
      <c r="AP86" s="130"/>
      <c r="AQ86" s="130"/>
      <c r="AR86" s="131"/>
      <c r="AS86" s="132">
        <f t="shared" si="47"/>
        <v>0</v>
      </c>
      <c r="AT86" s="133"/>
      <c r="AU86" s="130"/>
      <c r="AV86" s="130"/>
      <c r="AW86" s="130"/>
      <c r="AX86" s="130"/>
      <c r="AY86" s="130"/>
      <c r="AZ86" s="130"/>
      <c r="BA86" s="130"/>
      <c r="BB86" s="130"/>
      <c r="BC86" s="130"/>
      <c r="BD86" s="130"/>
      <c r="BE86" s="131"/>
      <c r="BF86" s="132">
        <f t="shared" si="48"/>
        <v>0</v>
      </c>
      <c r="BG86" s="133"/>
      <c r="BH86" s="130"/>
      <c r="BI86" s="130"/>
      <c r="BJ86" s="130"/>
      <c r="BK86" s="130"/>
      <c r="BL86" s="130"/>
      <c r="BM86" s="130"/>
      <c r="BN86" s="130"/>
      <c r="BO86" s="130"/>
      <c r="BP86" s="130"/>
      <c r="BQ86" s="130"/>
      <c r="BR86" s="131"/>
      <c r="BS86" s="132">
        <f t="shared" si="162"/>
        <v>0</v>
      </c>
      <c r="BT86" s="278"/>
      <c r="BU86" s="159">
        <f t="shared" si="176"/>
        <v>0</v>
      </c>
      <c r="BV86" s="160">
        <f t="shared" si="177"/>
        <v>0</v>
      </c>
      <c r="BW86" s="161">
        <f t="shared" si="178"/>
        <v>0</v>
      </c>
    </row>
    <row r="87" spans="1:76" ht="15" customHeight="1">
      <c r="A87" s="642"/>
      <c r="B87" s="547"/>
      <c r="C87" s="644" t="s">
        <v>63</v>
      </c>
      <c r="D87" s="229" t="s">
        <v>107</v>
      </c>
      <c r="E87" s="128">
        <f>+BU87</f>
        <v>23179.5</v>
      </c>
      <c r="F87" s="128"/>
      <c r="G87" s="129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1"/>
      <c r="S87" s="140">
        <f t="shared" si="45"/>
        <v>0</v>
      </c>
      <c r="T87" s="133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1"/>
      <c r="AF87" s="132">
        <f t="shared" si="46"/>
        <v>0</v>
      </c>
      <c r="AG87" s="129"/>
      <c r="AH87" s="130"/>
      <c r="AI87" s="130"/>
      <c r="AJ87" s="130"/>
      <c r="AK87" s="130"/>
      <c r="AL87" s="130"/>
      <c r="AM87" s="130"/>
      <c r="AN87" s="130"/>
      <c r="AO87" s="130"/>
      <c r="AP87" s="130"/>
      <c r="AQ87" s="130"/>
      <c r="AR87" s="338">
        <v>23179.5</v>
      </c>
      <c r="AS87" s="140">
        <f t="shared" si="47"/>
        <v>23179.5</v>
      </c>
      <c r="AT87" s="133"/>
      <c r="AU87" s="130"/>
      <c r="AV87" s="130"/>
      <c r="AW87" s="130"/>
      <c r="AX87" s="130"/>
      <c r="AY87" s="130"/>
      <c r="AZ87" s="130"/>
      <c r="BA87" s="130"/>
      <c r="BB87" s="130"/>
      <c r="BC87" s="130"/>
      <c r="BD87" s="130"/>
      <c r="BE87" s="131"/>
      <c r="BF87" s="140">
        <f t="shared" si="48"/>
        <v>0</v>
      </c>
      <c r="BG87" s="133"/>
      <c r="BH87" s="130"/>
      <c r="BI87" s="130"/>
      <c r="BJ87" s="130"/>
      <c r="BK87" s="130"/>
      <c r="BL87" s="130"/>
      <c r="BM87" s="130"/>
      <c r="BN87" s="130"/>
      <c r="BO87" s="130"/>
      <c r="BP87" s="130"/>
      <c r="BQ87" s="130"/>
      <c r="BR87" s="131"/>
      <c r="BS87" s="140">
        <f t="shared" si="162"/>
        <v>0</v>
      </c>
      <c r="BT87" s="278"/>
      <c r="BU87" s="90">
        <f t="shared" si="176"/>
        <v>23179.5</v>
      </c>
      <c r="BV87" s="91">
        <f t="shared" si="177"/>
        <v>23179.5</v>
      </c>
      <c r="BW87" s="92">
        <f t="shared" si="178"/>
        <v>0</v>
      </c>
    </row>
    <row r="88" spans="1:76" ht="15" customHeight="1">
      <c r="A88" s="642"/>
      <c r="B88" s="548"/>
      <c r="C88" s="645"/>
      <c r="D88" s="230" t="s">
        <v>108</v>
      </c>
      <c r="E88" s="136">
        <f>+BU88</f>
        <v>400</v>
      </c>
      <c r="F88" s="136"/>
      <c r="G88" s="137"/>
      <c r="H88" s="138"/>
      <c r="I88" s="138"/>
      <c r="J88" s="138"/>
      <c r="K88" s="138"/>
      <c r="L88" s="138"/>
      <c r="M88" s="138"/>
      <c r="N88" s="138"/>
      <c r="O88" s="138">
        <v>400</v>
      </c>
      <c r="P88" s="138"/>
      <c r="Q88" s="138"/>
      <c r="R88" s="139"/>
      <c r="S88" s="140">
        <f t="shared" si="45"/>
        <v>400</v>
      </c>
      <c r="T88" s="141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  <c r="AE88" s="139"/>
      <c r="AF88" s="132">
        <f t="shared" si="46"/>
        <v>0</v>
      </c>
      <c r="AG88" s="137"/>
      <c r="AH88" s="138"/>
      <c r="AI88" s="138"/>
      <c r="AJ88" s="138"/>
      <c r="AK88" s="138"/>
      <c r="AL88" s="138"/>
      <c r="AM88" s="138"/>
      <c r="AN88" s="138"/>
      <c r="AO88" s="138"/>
      <c r="AP88" s="138"/>
      <c r="AQ88" s="138"/>
      <c r="AR88" s="139"/>
      <c r="AS88" s="140">
        <f t="shared" si="47"/>
        <v>0</v>
      </c>
      <c r="AT88" s="141"/>
      <c r="AU88" s="138"/>
      <c r="AV88" s="138"/>
      <c r="AW88" s="138"/>
      <c r="AX88" s="138"/>
      <c r="AY88" s="138"/>
      <c r="AZ88" s="138"/>
      <c r="BA88" s="138"/>
      <c r="BB88" s="138"/>
      <c r="BC88" s="138"/>
      <c r="BD88" s="138"/>
      <c r="BE88" s="139"/>
      <c r="BF88" s="140">
        <f t="shared" si="48"/>
        <v>0</v>
      </c>
      <c r="BG88" s="141"/>
      <c r="BH88" s="138"/>
      <c r="BI88" s="138"/>
      <c r="BJ88" s="138"/>
      <c r="BK88" s="138"/>
      <c r="BL88" s="138"/>
      <c r="BM88" s="138"/>
      <c r="BN88" s="138"/>
      <c r="BO88" s="138"/>
      <c r="BP88" s="138"/>
      <c r="BQ88" s="138"/>
      <c r="BR88" s="139"/>
      <c r="BS88" s="140">
        <f t="shared" si="162"/>
        <v>0</v>
      </c>
      <c r="BT88" s="279"/>
      <c r="BU88" s="90">
        <f t="shared" si="176"/>
        <v>400</v>
      </c>
      <c r="BV88" s="91">
        <f t="shared" si="177"/>
        <v>400</v>
      </c>
      <c r="BW88" s="92">
        <f t="shared" si="178"/>
        <v>0</v>
      </c>
      <c r="BX88" s="64" t="e">
        <f>+BU88/BU86</f>
        <v>#DIV/0!</v>
      </c>
    </row>
    <row r="89" spans="1:76" ht="15" customHeight="1">
      <c r="A89" s="642"/>
      <c r="B89" s="549"/>
      <c r="C89" s="554" t="s">
        <v>11</v>
      </c>
      <c r="D89" s="555"/>
      <c r="E89" s="143">
        <f>+E86-E87-E88</f>
        <v>-23579.5</v>
      </c>
      <c r="F89" s="144">
        <f>+F86-F87-F88</f>
        <v>0</v>
      </c>
      <c r="G89" s="145">
        <f>+G86-G87-G88</f>
        <v>0</v>
      </c>
      <c r="H89" s="145">
        <f t="shared" ref="H89:R89" si="184">+H86-H87-H88</f>
        <v>0</v>
      </c>
      <c r="I89" s="145">
        <f t="shared" si="184"/>
        <v>0</v>
      </c>
      <c r="J89" s="145">
        <f t="shared" si="184"/>
        <v>0</v>
      </c>
      <c r="K89" s="145">
        <f t="shared" si="184"/>
        <v>0</v>
      </c>
      <c r="L89" s="145">
        <f t="shared" si="184"/>
        <v>0</v>
      </c>
      <c r="M89" s="145">
        <f t="shared" si="184"/>
        <v>0</v>
      </c>
      <c r="N89" s="145">
        <f t="shared" si="184"/>
        <v>0</v>
      </c>
      <c r="O89" s="145">
        <f t="shared" si="184"/>
        <v>-400</v>
      </c>
      <c r="P89" s="145">
        <f t="shared" si="184"/>
        <v>0</v>
      </c>
      <c r="Q89" s="145">
        <f t="shared" si="184"/>
        <v>0</v>
      </c>
      <c r="R89" s="146">
        <f t="shared" si="184"/>
        <v>0</v>
      </c>
      <c r="S89" s="147">
        <f t="shared" si="45"/>
        <v>-400</v>
      </c>
      <c r="T89" s="145">
        <f>+T86-T87-T88</f>
        <v>0</v>
      </c>
      <c r="U89" s="145">
        <f t="shared" ref="U89:AE89" si="185">+U86-U87-U88</f>
        <v>0</v>
      </c>
      <c r="V89" s="145">
        <f t="shared" si="185"/>
        <v>0</v>
      </c>
      <c r="W89" s="145">
        <f t="shared" si="185"/>
        <v>0</v>
      </c>
      <c r="X89" s="145">
        <f t="shared" si="185"/>
        <v>0</v>
      </c>
      <c r="Y89" s="145">
        <f t="shared" si="185"/>
        <v>0</v>
      </c>
      <c r="Z89" s="145">
        <f t="shared" si="185"/>
        <v>0</v>
      </c>
      <c r="AA89" s="145">
        <f t="shared" si="185"/>
        <v>0</v>
      </c>
      <c r="AB89" s="145">
        <f t="shared" si="185"/>
        <v>0</v>
      </c>
      <c r="AC89" s="145">
        <f t="shared" si="185"/>
        <v>0</v>
      </c>
      <c r="AD89" s="145">
        <f t="shared" si="185"/>
        <v>0</v>
      </c>
      <c r="AE89" s="146">
        <f t="shared" si="185"/>
        <v>0</v>
      </c>
      <c r="AF89" s="147">
        <f t="shared" si="46"/>
        <v>0</v>
      </c>
      <c r="AG89" s="145">
        <f>+AG86-AG87-AG88</f>
        <v>0</v>
      </c>
      <c r="AH89" s="145">
        <f t="shared" ref="AH89:AR89" si="186">+AH86-AH87-AH88</f>
        <v>0</v>
      </c>
      <c r="AI89" s="145">
        <f t="shared" si="186"/>
        <v>0</v>
      </c>
      <c r="AJ89" s="145">
        <f t="shared" si="186"/>
        <v>0</v>
      </c>
      <c r="AK89" s="145">
        <f t="shared" si="186"/>
        <v>0</v>
      </c>
      <c r="AL89" s="145">
        <f t="shared" si="186"/>
        <v>0</v>
      </c>
      <c r="AM89" s="145">
        <f t="shared" si="186"/>
        <v>0</v>
      </c>
      <c r="AN89" s="145">
        <f t="shared" si="186"/>
        <v>0</v>
      </c>
      <c r="AO89" s="145">
        <f t="shared" si="186"/>
        <v>0</v>
      </c>
      <c r="AP89" s="145">
        <f t="shared" si="186"/>
        <v>0</v>
      </c>
      <c r="AQ89" s="145">
        <f t="shared" si="186"/>
        <v>0</v>
      </c>
      <c r="AR89" s="146">
        <f t="shared" si="186"/>
        <v>-23179.5</v>
      </c>
      <c r="AS89" s="147">
        <f t="shared" si="47"/>
        <v>-23179.5</v>
      </c>
      <c r="AT89" s="145">
        <f>+AT86-AT87-AT88</f>
        <v>0</v>
      </c>
      <c r="AU89" s="145">
        <f t="shared" ref="AU89:BE89" si="187">+AU86-AU87-AU88</f>
        <v>0</v>
      </c>
      <c r="AV89" s="145">
        <f t="shared" si="187"/>
        <v>0</v>
      </c>
      <c r="AW89" s="145">
        <f t="shared" si="187"/>
        <v>0</v>
      </c>
      <c r="AX89" s="145">
        <f t="shared" si="187"/>
        <v>0</v>
      </c>
      <c r="AY89" s="145">
        <f t="shared" si="187"/>
        <v>0</v>
      </c>
      <c r="AZ89" s="145">
        <f t="shared" si="187"/>
        <v>0</v>
      </c>
      <c r="BA89" s="145">
        <f t="shared" si="187"/>
        <v>0</v>
      </c>
      <c r="BB89" s="145">
        <f t="shared" si="187"/>
        <v>0</v>
      </c>
      <c r="BC89" s="145">
        <f t="shared" si="187"/>
        <v>0</v>
      </c>
      <c r="BD89" s="145">
        <f t="shared" si="187"/>
        <v>0</v>
      </c>
      <c r="BE89" s="146">
        <f t="shared" si="187"/>
        <v>0</v>
      </c>
      <c r="BF89" s="147">
        <f t="shared" si="48"/>
        <v>0</v>
      </c>
      <c r="BG89" s="145">
        <f>+BG86-BG87-BG88</f>
        <v>0</v>
      </c>
      <c r="BH89" s="145">
        <f t="shared" ref="BH89:BR89" si="188">+BH86-BH87-BH88</f>
        <v>0</v>
      </c>
      <c r="BI89" s="145">
        <f t="shared" si="188"/>
        <v>0</v>
      </c>
      <c r="BJ89" s="145">
        <f t="shared" si="188"/>
        <v>0</v>
      </c>
      <c r="BK89" s="145">
        <f t="shared" si="188"/>
        <v>0</v>
      </c>
      <c r="BL89" s="145">
        <f t="shared" si="188"/>
        <v>0</v>
      </c>
      <c r="BM89" s="145">
        <f t="shared" si="188"/>
        <v>0</v>
      </c>
      <c r="BN89" s="145">
        <f t="shared" si="188"/>
        <v>0</v>
      </c>
      <c r="BO89" s="145">
        <f t="shared" si="188"/>
        <v>0</v>
      </c>
      <c r="BP89" s="145">
        <f t="shared" si="188"/>
        <v>0</v>
      </c>
      <c r="BQ89" s="145">
        <f t="shared" si="188"/>
        <v>0</v>
      </c>
      <c r="BR89" s="146">
        <f t="shared" si="188"/>
        <v>0</v>
      </c>
      <c r="BS89" s="147">
        <f t="shared" si="162"/>
        <v>0</v>
      </c>
      <c r="BT89" s="146">
        <f>+BT86-BT88</f>
        <v>0</v>
      </c>
      <c r="BU89" s="98">
        <f t="shared" si="176"/>
        <v>-23579.5</v>
      </c>
      <c r="BV89" s="99">
        <f t="shared" si="177"/>
        <v>-23579.5</v>
      </c>
      <c r="BW89" s="100">
        <f t="shared" si="178"/>
        <v>0</v>
      </c>
    </row>
    <row r="90" spans="1:76" ht="15" customHeight="1">
      <c r="A90" s="642"/>
      <c r="B90" s="584" t="s">
        <v>65</v>
      </c>
      <c r="C90" s="605" t="s">
        <v>62</v>
      </c>
      <c r="D90" s="606"/>
      <c r="E90" s="128">
        <f>E72+E76+E80+E86</f>
        <v>408649</v>
      </c>
      <c r="F90" s="128">
        <f t="shared" ref="F90:R90" si="189">+F72+F76+F80+F86</f>
        <v>0</v>
      </c>
      <c r="G90" s="154">
        <f t="shared" si="189"/>
        <v>0</v>
      </c>
      <c r="H90" s="133">
        <f t="shared" si="189"/>
        <v>0</v>
      </c>
      <c r="I90" s="130">
        <f t="shared" si="189"/>
        <v>0</v>
      </c>
      <c r="J90" s="130">
        <f t="shared" si="189"/>
        <v>0</v>
      </c>
      <c r="K90" s="130">
        <f t="shared" si="189"/>
        <v>0</v>
      </c>
      <c r="L90" s="130">
        <f t="shared" si="189"/>
        <v>0</v>
      </c>
      <c r="M90" s="130">
        <f t="shared" si="189"/>
        <v>0</v>
      </c>
      <c r="N90" s="130">
        <f t="shared" si="189"/>
        <v>0</v>
      </c>
      <c r="O90" s="130">
        <f t="shared" si="189"/>
        <v>0</v>
      </c>
      <c r="P90" s="130">
        <f t="shared" si="189"/>
        <v>0</v>
      </c>
      <c r="Q90" s="130">
        <f t="shared" si="189"/>
        <v>0</v>
      </c>
      <c r="R90" s="131">
        <f t="shared" si="189"/>
        <v>0</v>
      </c>
      <c r="S90" s="163">
        <f t="shared" si="45"/>
        <v>0</v>
      </c>
      <c r="T90" s="154">
        <f t="shared" ref="T90:AE90" si="190">+T72+T76+T80+T86</f>
        <v>0</v>
      </c>
      <c r="U90" s="133">
        <f t="shared" si="190"/>
        <v>0</v>
      </c>
      <c r="V90" s="130">
        <f t="shared" si="190"/>
        <v>0</v>
      </c>
      <c r="W90" s="130">
        <f t="shared" si="190"/>
        <v>0</v>
      </c>
      <c r="X90" s="130">
        <f t="shared" si="190"/>
        <v>0</v>
      </c>
      <c r="Y90" s="130">
        <f t="shared" si="190"/>
        <v>0</v>
      </c>
      <c r="Z90" s="130">
        <f t="shared" si="190"/>
        <v>0</v>
      </c>
      <c r="AA90" s="130">
        <f t="shared" si="190"/>
        <v>0</v>
      </c>
      <c r="AB90" s="130">
        <f t="shared" si="190"/>
        <v>0</v>
      </c>
      <c r="AC90" s="130">
        <f t="shared" si="190"/>
        <v>0</v>
      </c>
      <c r="AD90" s="130">
        <f t="shared" si="190"/>
        <v>0</v>
      </c>
      <c r="AE90" s="181">
        <f t="shared" si="190"/>
        <v>0</v>
      </c>
      <c r="AF90" s="163">
        <f t="shared" si="46"/>
        <v>0</v>
      </c>
      <c r="AG90" s="154">
        <f t="shared" ref="AG90:AR90" si="191">+AG72+AG76+AG80+AG86</f>
        <v>0</v>
      </c>
      <c r="AH90" s="133">
        <f t="shared" si="191"/>
        <v>0</v>
      </c>
      <c r="AI90" s="130">
        <f t="shared" si="191"/>
        <v>0</v>
      </c>
      <c r="AJ90" s="130">
        <f t="shared" si="191"/>
        <v>0</v>
      </c>
      <c r="AK90" s="130">
        <f t="shared" si="191"/>
        <v>0</v>
      </c>
      <c r="AL90" s="130">
        <f t="shared" si="191"/>
        <v>0</v>
      </c>
      <c r="AM90" s="130">
        <f t="shared" si="191"/>
        <v>0</v>
      </c>
      <c r="AN90" s="130">
        <f t="shared" si="191"/>
        <v>0</v>
      </c>
      <c r="AO90" s="130">
        <f t="shared" si="191"/>
        <v>0</v>
      </c>
      <c r="AP90" s="130">
        <f t="shared" si="191"/>
        <v>0</v>
      </c>
      <c r="AQ90" s="130">
        <f t="shared" si="191"/>
        <v>0</v>
      </c>
      <c r="AR90" s="131">
        <f t="shared" si="191"/>
        <v>0</v>
      </c>
      <c r="AS90" s="163">
        <f t="shared" si="47"/>
        <v>0</v>
      </c>
      <c r="AT90" s="154">
        <f t="shared" ref="AT90:BE90" si="192">+AT72+AT76+AT80+AT86</f>
        <v>0</v>
      </c>
      <c r="AU90" s="133">
        <f t="shared" si="192"/>
        <v>0</v>
      </c>
      <c r="AV90" s="130">
        <f t="shared" si="192"/>
        <v>0</v>
      </c>
      <c r="AW90" s="130">
        <f t="shared" si="192"/>
        <v>0</v>
      </c>
      <c r="AX90" s="130">
        <f t="shared" si="192"/>
        <v>0</v>
      </c>
      <c r="AY90" s="130">
        <f t="shared" si="192"/>
        <v>0</v>
      </c>
      <c r="AZ90" s="130">
        <f t="shared" si="192"/>
        <v>0</v>
      </c>
      <c r="BA90" s="130">
        <f t="shared" si="192"/>
        <v>0</v>
      </c>
      <c r="BB90" s="130">
        <f t="shared" si="192"/>
        <v>0</v>
      </c>
      <c r="BC90" s="130">
        <f t="shared" si="192"/>
        <v>0</v>
      </c>
      <c r="BD90" s="130">
        <f t="shared" si="192"/>
        <v>0</v>
      </c>
      <c r="BE90" s="131">
        <f t="shared" si="192"/>
        <v>0</v>
      </c>
      <c r="BF90" s="163">
        <f t="shared" si="48"/>
        <v>0</v>
      </c>
      <c r="BG90" s="154">
        <f t="shared" ref="BG90:BR90" si="193">+BG72+BG76+BG80+BG86</f>
        <v>0</v>
      </c>
      <c r="BH90" s="133">
        <f t="shared" si="193"/>
        <v>0</v>
      </c>
      <c r="BI90" s="130">
        <f t="shared" si="193"/>
        <v>0</v>
      </c>
      <c r="BJ90" s="130">
        <f t="shared" si="193"/>
        <v>0</v>
      </c>
      <c r="BK90" s="130">
        <f t="shared" si="193"/>
        <v>0</v>
      </c>
      <c r="BL90" s="130">
        <f t="shared" si="193"/>
        <v>0</v>
      </c>
      <c r="BM90" s="130">
        <f t="shared" si="193"/>
        <v>0</v>
      </c>
      <c r="BN90" s="130">
        <f t="shared" si="193"/>
        <v>0</v>
      </c>
      <c r="BO90" s="130">
        <f t="shared" si="193"/>
        <v>0</v>
      </c>
      <c r="BP90" s="130">
        <f t="shared" si="193"/>
        <v>0</v>
      </c>
      <c r="BQ90" s="130">
        <f t="shared" si="193"/>
        <v>0</v>
      </c>
      <c r="BR90" s="131">
        <f t="shared" si="193"/>
        <v>78510</v>
      </c>
      <c r="BS90" s="163">
        <f t="shared" si="162"/>
        <v>78510</v>
      </c>
      <c r="BT90" s="278">
        <f>+BT72+BT76+BT80+BT86</f>
        <v>330139</v>
      </c>
      <c r="BU90" s="164">
        <f t="shared" si="176"/>
        <v>408649</v>
      </c>
      <c r="BV90" s="165">
        <f t="shared" si="177"/>
        <v>408649</v>
      </c>
      <c r="BW90" s="166">
        <f t="shared" si="178"/>
        <v>0</v>
      </c>
    </row>
    <row r="91" spans="1:76" ht="15" customHeight="1">
      <c r="A91" s="642"/>
      <c r="B91" s="584"/>
      <c r="C91" s="594" t="s">
        <v>63</v>
      </c>
      <c r="D91" s="254" t="s">
        <v>109</v>
      </c>
      <c r="E91" s="128">
        <f>E73+E77+E87</f>
        <v>211759.5</v>
      </c>
      <c r="F91" s="128">
        <f>F73+F77+F87</f>
        <v>0</v>
      </c>
      <c r="G91" s="129">
        <f>G73+G77+G87</f>
        <v>0</v>
      </c>
      <c r="H91" s="133">
        <f t="shared" ref="H91:R91" si="194">H73+H77+H87</f>
        <v>0</v>
      </c>
      <c r="I91" s="130">
        <f t="shared" si="194"/>
        <v>0</v>
      </c>
      <c r="J91" s="130">
        <f t="shared" si="194"/>
        <v>0</v>
      </c>
      <c r="K91" s="130">
        <f t="shared" si="194"/>
        <v>0</v>
      </c>
      <c r="L91" s="130">
        <f t="shared" si="194"/>
        <v>0</v>
      </c>
      <c r="M91" s="130">
        <f t="shared" si="194"/>
        <v>0</v>
      </c>
      <c r="N91" s="130">
        <f t="shared" si="194"/>
        <v>0</v>
      </c>
      <c r="O91" s="130">
        <f t="shared" si="194"/>
        <v>510</v>
      </c>
      <c r="P91" s="130">
        <f t="shared" si="194"/>
        <v>3900</v>
      </c>
      <c r="Q91" s="130">
        <f t="shared" si="194"/>
        <v>3900</v>
      </c>
      <c r="R91" s="131">
        <f t="shared" si="194"/>
        <v>70</v>
      </c>
      <c r="S91" s="162">
        <f t="shared" si="45"/>
        <v>8380</v>
      </c>
      <c r="T91" s="129">
        <f>T73+T77+T87</f>
        <v>0</v>
      </c>
      <c r="U91" s="133">
        <f t="shared" ref="U91:AE91" si="195">U73+U77+U87</f>
        <v>0</v>
      </c>
      <c r="V91" s="130">
        <f t="shared" si="195"/>
        <v>0</v>
      </c>
      <c r="W91" s="130">
        <f t="shared" si="195"/>
        <v>62400</v>
      </c>
      <c r="X91" s="130">
        <f t="shared" si="195"/>
        <v>0</v>
      </c>
      <c r="Y91" s="130">
        <f t="shared" si="195"/>
        <v>7800</v>
      </c>
      <c r="Z91" s="130">
        <f t="shared" si="195"/>
        <v>0</v>
      </c>
      <c r="AA91" s="130">
        <f t="shared" si="195"/>
        <v>0</v>
      </c>
      <c r="AB91" s="130">
        <f t="shared" si="195"/>
        <v>0</v>
      </c>
      <c r="AC91" s="130">
        <f t="shared" si="195"/>
        <v>0</v>
      </c>
      <c r="AD91" s="130">
        <f t="shared" si="195"/>
        <v>0</v>
      </c>
      <c r="AE91" s="131">
        <f t="shared" si="195"/>
        <v>0</v>
      </c>
      <c r="AF91" s="162">
        <f>SUM(T91:AE91)</f>
        <v>70200</v>
      </c>
      <c r="AG91" s="129">
        <f>AG73+AG77+AG87</f>
        <v>0</v>
      </c>
      <c r="AH91" s="133">
        <f t="shared" ref="AH91:AR91" si="196">AH73+AH77+AH87</f>
        <v>0</v>
      </c>
      <c r="AI91" s="130">
        <f t="shared" si="196"/>
        <v>0</v>
      </c>
      <c r="AJ91" s="130">
        <f t="shared" si="196"/>
        <v>0</v>
      </c>
      <c r="AK91" s="130">
        <f t="shared" si="196"/>
        <v>0</v>
      </c>
      <c r="AL91" s="130">
        <f t="shared" si="196"/>
        <v>0</v>
      </c>
      <c r="AM91" s="130">
        <f t="shared" si="196"/>
        <v>0</v>
      </c>
      <c r="AN91" s="130">
        <f t="shared" si="196"/>
        <v>0</v>
      </c>
      <c r="AO91" s="130">
        <f t="shared" si="196"/>
        <v>0</v>
      </c>
      <c r="AP91" s="130">
        <f t="shared" si="196"/>
        <v>0</v>
      </c>
      <c r="AQ91" s="130">
        <f t="shared" si="196"/>
        <v>0</v>
      </c>
      <c r="AR91" s="131">
        <f t="shared" si="196"/>
        <v>23179.5</v>
      </c>
      <c r="AS91" s="162">
        <f>SUM(AG91:AR91)</f>
        <v>23179.5</v>
      </c>
      <c r="AT91" s="129">
        <f>AT73+AT77+AT87</f>
        <v>0</v>
      </c>
      <c r="AU91" s="133">
        <f t="shared" ref="AU91:BE91" si="197">AU73+AU77+AU87</f>
        <v>0</v>
      </c>
      <c r="AV91" s="130">
        <f t="shared" si="197"/>
        <v>0</v>
      </c>
      <c r="AW91" s="130">
        <f t="shared" si="197"/>
        <v>0</v>
      </c>
      <c r="AX91" s="130">
        <f t="shared" si="197"/>
        <v>0</v>
      </c>
      <c r="AY91" s="130">
        <f t="shared" si="197"/>
        <v>110000</v>
      </c>
      <c r="AZ91" s="130">
        <f t="shared" si="197"/>
        <v>0</v>
      </c>
      <c r="BA91" s="130">
        <f t="shared" si="197"/>
        <v>0</v>
      </c>
      <c r="BB91" s="130">
        <f t="shared" si="197"/>
        <v>0</v>
      </c>
      <c r="BC91" s="130">
        <f t="shared" si="197"/>
        <v>0</v>
      </c>
      <c r="BD91" s="130">
        <f t="shared" si="197"/>
        <v>0</v>
      </c>
      <c r="BE91" s="131">
        <f t="shared" si="197"/>
        <v>0</v>
      </c>
      <c r="BF91" s="162">
        <f>SUM(AT91:BE91)</f>
        <v>110000</v>
      </c>
      <c r="BG91" s="129">
        <f>BG73+BG77+BG87</f>
        <v>0</v>
      </c>
      <c r="BH91" s="133">
        <f t="shared" ref="BH91:BR91" si="198">BH73+BH77+BH87</f>
        <v>0</v>
      </c>
      <c r="BI91" s="130">
        <f t="shared" si="198"/>
        <v>0</v>
      </c>
      <c r="BJ91" s="130">
        <f t="shared" si="198"/>
        <v>0</v>
      </c>
      <c r="BK91" s="130">
        <f t="shared" si="198"/>
        <v>0</v>
      </c>
      <c r="BL91" s="130">
        <f t="shared" si="198"/>
        <v>0</v>
      </c>
      <c r="BM91" s="130">
        <f t="shared" si="198"/>
        <v>0</v>
      </c>
      <c r="BN91" s="130">
        <f t="shared" si="198"/>
        <v>0</v>
      </c>
      <c r="BO91" s="130">
        <f t="shared" si="198"/>
        <v>0</v>
      </c>
      <c r="BP91" s="130">
        <f t="shared" si="198"/>
        <v>0</v>
      </c>
      <c r="BQ91" s="130">
        <f t="shared" si="198"/>
        <v>0</v>
      </c>
      <c r="BR91" s="131">
        <f t="shared" si="198"/>
        <v>0</v>
      </c>
      <c r="BS91" s="162">
        <f t="shared" ref="BS91:BS96" si="199">SUM(BG91:BR91)</f>
        <v>0</v>
      </c>
      <c r="BT91" s="278">
        <f>BT73+BT77+BT87</f>
        <v>0</v>
      </c>
      <c r="BU91" s="164">
        <f t="shared" ref="BU91:BU131" si="200">+F91+S91+AF91+AS91+BF91+BS91+BT91</f>
        <v>211759.5</v>
      </c>
      <c r="BV91" s="165">
        <f t="shared" si="177"/>
        <v>211759.5</v>
      </c>
      <c r="BW91" s="166">
        <f t="shared" si="178"/>
        <v>0</v>
      </c>
    </row>
    <row r="92" spans="1:76" ht="15" customHeight="1">
      <c r="A92" s="642"/>
      <c r="B92" s="584"/>
      <c r="C92" s="640"/>
      <c r="D92" s="254" t="s">
        <v>117</v>
      </c>
      <c r="E92" s="128">
        <f t="shared" ref="E92:R94" si="201">+E81</f>
        <v>35177</v>
      </c>
      <c r="F92" s="128">
        <f t="shared" si="201"/>
        <v>0</v>
      </c>
      <c r="G92" s="129">
        <f t="shared" si="201"/>
        <v>0</v>
      </c>
      <c r="H92" s="133">
        <f t="shared" si="201"/>
        <v>0</v>
      </c>
      <c r="I92" s="130">
        <f t="shared" si="201"/>
        <v>0</v>
      </c>
      <c r="J92" s="130">
        <f t="shared" si="201"/>
        <v>0</v>
      </c>
      <c r="K92" s="130">
        <f t="shared" si="201"/>
        <v>0</v>
      </c>
      <c r="L92" s="130">
        <f t="shared" si="201"/>
        <v>0</v>
      </c>
      <c r="M92" s="130">
        <f t="shared" si="201"/>
        <v>0</v>
      </c>
      <c r="N92" s="130">
        <f t="shared" si="201"/>
        <v>0</v>
      </c>
      <c r="O92" s="130">
        <f t="shared" si="201"/>
        <v>0</v>
      </c>
      <c r="P92" s="130">
        <f t="shared" si="201"/>
        <v>0</v>
      </c>
      <c r="Q92" s="130">
        <f t="shared" si="201"/>
        <v>3517.7000000000003</v>
      </c>
      <c r="R92" s="131">
        <f t="shared" si="201"/>
        <v>0</v>
      </c>
      <c r="S92" s="162">
        <f t="shared" si="45"/>
        <v>3517.7000000000003</v>
      </c>
      <c r="T92" s="129">
        <f>+T81</f>
        <v>0</v>
      </c>
      <c r="U92" s="133">
        <f t="shared" ref="U92:AE94" si="202">+U81</f>
        <v>0</v>
      </c>
      <c r="V92" s="130">
        <f t="shared" si="202"/>
        <v>0</v>
      </c>
      <c r="W92" s="130">
        <f t="shared" si="202"/>
        <v>0</v>
      </c>
      <c r="X92" s="130">
        <f t="shared" si="202"/>
        <v>0</v>
      </c>
      <c r="Y92" s="130">
        <f t="shared" si="202"/>
        <v>0</v>
      </c>
      <c r="Z92" s="130">
        <f t="shared" si="202"/>
        <v>0</v>
      </c>
      <c r="AA92" s="130">
        <f t="shared" si="202"/>
        <v>0</v>
      </c>
      <c r="AB92" s="130">
        <f t="shared" si="202"/>
        <v>0</v>
      </c>
      <c r="AC92" s="130">
        <f t="shared" si="202"/>
        <v>0</v>
      </c>
      <c r="AD92" s="130">
        <f t="shared" si="202"/>
        <v>0</v>
      </c>
      <c r="AE92" s="131">
        <f t="shared" si="202"/>
        <v>14070.800000000001</v>
      </c>
      <c r="AF92" s="162">
        <f>SUM(T92:AE92)</f>
        <v>14070.800000000001</v>
      </c>
      <c r="AG92" s="129">
        <f>+AG81</f>
        <v>0</v>
      </c>
      <c r="AH92" s="133">
        <f t="shared" ref="AH92:AR94" si="203">+AH81</f>
        <v>0</v>
      </c>
      <c r="AI92" s="130">
        <f t="shared" si="203"/>
        <v>0</v>
      </c>
      <c r="AJ92" s="130">
        <f t="shared" si="203"/>
        <v>0</v>
      </c>
      <c r="AK92" s="130">
        <f t="shared" si="203"/>
        <v>0</v>
      </c>
      <c r="AL92" s="130">
        <f t="shared" si="203"/>
        <v>0</v>
      </c>
      <c r="AM92" s="130">
        <f t="shared" si="203"/>
        <v>0</v>
      </c>
      <c r="AN92" s="130">
        <f t="shared" si="203"/>
        <v>0</v>
      </c>
      <c r="AO92" s="130">
        <f t="shared" si="203"/>
        <v>0</v>
      </c>
      <c r="AP92" s="130">
        <f t="shared" si="203"/>
        <v>0</v>
      </c>
      <c r="AQ92" s="130">
        <f t="shared" si="203"/>
        <v>0</v>
      </c>
      <c r="AR92" s="131">
        <f t="shared" si="203"/>
        <v>17588.5</v>
      </c>
      <c r="AS92" s="162">
        <f>SUM(AG92:AR92)</f>
        <v>17588.5</v>
      </c>
      <c r="AT92" s="129">
        <f>+AT81</f>
        <v>0</v>
      </c>
      <c r="AU92" s="133">
        <f t="shared" ref="AU92:BE94" si="204">+AU81</f>
        <v>0</v>
      </c>
      <c r="AV92" s="130">
        <f t="shared" si="204"/>
        <v>0</v>
      </c>
      <c r="AW92" s="130">
        <f t="shared" si="204"/>
        <v>0</v>
      </c>
      <c r="AX92" s="130">
        <f t="shared" si="204"/>
        <v>0</v>
      </c>
      <c r="AY92" s="130">
        <f t="shared" si="204"/>
        <v>0</v>
      </c>
      <c r="AZ92" s="130">
        <f t="shared" si="204"/>
        <v>0</v>
      </c>
      <c r="BA92" s="130">
        <f t="shared" si="204"/>
        <v>0</v>
      </c>
      <c r="BB92" s="130">
        <f t="shared" si="204"/>
        <v>0</v>
      </c>
      <c r="BC92" s="130">
        <f t="shared" si="204"/>
        <v>0</v>
      </c>
      <c r="BD92" s="130">
        <f t="shared" si="204"/>
        <v>0</v>
      </c>
      <c r="BE92" s="131">
        <f t="shared" si="204"/>
        <v>0</v>
      </c>
      <c r="BF92" s="162">
        <f>SUM(AT92:BE92)</f>
        <v>0</v>
      </c>
      <c r="BG92" s="129">
        <f>+BG81</f>
        <v>0</v>
      </c>
      <c r="BH92" s="133">
        <f t="shared" ref="BH92:BR92" si="205">+BH81</f>
        <v>0</v>
      </c>
      <c r="BI92" s="130">
        <f t="shared" si="205"/>
        <v>0</v>
      </c>
      <c r="BJ92" s="130">
        <f t="shared" si="205"/>
        <v>0</v>
      </c>
      <c r="BK92" s="130">
        <f t="shared" si="205"/>
        <v>0</v>
      </c>
      <c r="BL92" s="130">
        <f t="shared" si="205"/>
        <v>0</v>
      </c>
      <c r="BM92" s="130">
        <f t="shared" si="205"/>
        <v>0</v>
      </c>
      <c r="BN92" s="130">
        <f t="shared" si="205"/>
        <v>0</v>
      </c>
      <c r="BO92" s="130">
        <f t="shared" si="205"/>
        <v>0</v>
      </c>
      <c r="BP92" s="130">
        <f t="shared" si="205"/>
        <v>0</v>
      </c>
      <c r="BQ92" s="130">
        <f t="shared" si="205"/>
        <v>0</v>
      </c>
      <c r="BR92" s="131">
        <f t="shared" si="205"/>
        <v>0</v>
      </c>
      <c r="BS92" s="162">
        <f t="shared" si="199"/>
        <v>0</v>
      </c>
      <c r="BT92" s="278">
        <f>+BT81</f>
        <v>0</v>
      </c>
      <c r="BU92" s="164">
        <f t="shared" si="200"/>
        <v>35177</v>
      </c>
      <c r="BV92" s="165">
        <f t="shared" si="177"/>
        <v>35177</v>
      </c>
      <c r="BW92" s="166">
        <f t="shared" si="178"/>
        <v>0</v>
      </c>
    </row>
    <row r="93" spans="1:76" ht="15" customHeight="1">
      <c r="A93" s="642"/>
      <c r="B93" s="584"/>
      <c r="C93" s="640"/>
      <c r="D93" s="254" t="s">
        <v>126</v>
      </c>
      <c r="E93" s="128">
        <f t="shared" si="201"/>
        <v>0</v>
      </c>
      <c r="F93" s="128">
        <f t="shared" si="201"/>
        <v>0</v>
      </c>
      <c r="G93" s="129">
        <f t="shared" si="201"/>
        <v>0</v>
      </c>
      <c r="H93" s="133">
        <f t="shared" si="201"/>
        <v>0</v>
      </c>
      <c r="I93" s="130">
        <f t="shared" si="201"/>
        <v>0</v>
      </c>
      <c r="J93" s="130">
        <f t="shared" si="201"/>
        <v>0</v>
      </c>
      <c r="K93" s="130">
        <f t="shared" si="201"/>
        <v>0</v>
      </c>
      <c r="L93" s="130">
        <f t="shared" si="201"/>
        <v>0</v>
      </c>
      <c r="M93" s="130">
        <f t="shared" si="201"/>
        <v>0</v>
      </c>
      <c r="N93" s="130">
        <f t="shared" si="201"/>
        <v>0</v>
      </c>
      <c r="O93" s="130">
        <f t="shared" si="201"/>
        <v>0</v>
      </c>
      <c r="P93" s="130">
        <f t="shared" si="201"/>
        <v>0</v>
      </c>
      <c r="Q93" s="130">
        <f t="shared" si="201"/>
        <v>0</v>
      </c>
      <c r="R93" s="131">
        <f t="shared" si="201"/>
        <v>0</v>
      </c>
      <c r="S93" s="162">
        <f t="shared" si="45"/>
        <v>0</v>
      </c>
      <c r="T93" s="129">
        <f>+T82</f>
        <v>0</v>
      </c>
      <c r="U93" s="133">
        <f t="shared" si="202"/>
        <v>0</v>
      </c>
      <c r="V93" s="130">
        <f t="shared" si="202"/>
        <v>0</v>
      </c>
      <c r="W93" s="130">
        <f t="shared" si="202"/>
        <v>0</v>
      </c>
      <c r="X93" s="130">
        <f t="shared" si="202"/>
        <v>0</v>
      </c>
      <c r="Y93" s="130">
        <f t="shared" si="202"/>
        <v>0</v>
      </c>
      <c r="Z93" s="130">
        <f t="shared" si="202"/>
        <v>0</v>
      </c>
      <c r="AA93" s="130">
        <f t="shared" si="202"/>
        <v>0</v>
      </c>
      <c r="AB93" s="130">
        <f t="shared" si="202"/>
        <v>0</v>
      </c>
      <c r="AC93" s="130">
        <f t="shared" si="202"/>
        <v>0</v>
      </c>
      <c r="AD93" s="130">
        <f t="shared" si="202"/>
        <v>0</v>
      </c>
      <c r="AE93" s="131">
        <f t="shared" si="202"/>
        <v>0</v>
      </c>
      <c r="AF93" s="162">
        <f>SUM(T93:AE93)</f>
        <v>0</v>
      </c>
      <c r="AG93" s="129">
        <f>+AG82</f>
        <v>0</v>
      </c>
      <c r="AH93" s="133">
        <f t="shared" si="203"/>
        <v>0</v>
      </c>
      <c r="AI93" s="130">
        <f t="shared" si="203"/>
        <v>0</v>
      </c>
      <c r="AJ93" s="130">
        <f t="shared" si="203"/>
        <v>0</v>
      </c>
      <c r="AK93" s="130">
        <f t="shared" si="203"/>
        <v>0</v>
      </c>
      <c r="AL93" s="130">
        <f t="shared" si="203"/>
        <v>0</v>
      </c>
      <c r="AM93" s="130">
        <f t="shared" si="203"/>
        <v>0</v>
      </c>
      <c r="AN93" s="130">
        <f t="shared" si="203"/>
        <v>0</v>
      </c>
      <c r="AO93" s="130">
        <f t="shared" si="203"/>
        <v>0</v>
      </c>
      <c r="AP93" s="130">
        <f t="shared" si="203"/>
        <v>0</v>
      </c>
      <c r="AQ93" s="130">
        <f t="shared" si="203"/>
        <v>0</v>
      </c>
      <c r="AR93" s="131">
        <f t="shared" si="203"/>
        <v>0</v>
      </c>
      <c r="AS93" s="162">
        <f>SUM(AG93:AR93)</f>
        <v>0</v>
      </c>
      <c r="AT93" s="129">
        <f>+AT82</f>
        <v>0</v>
      </c>
      <c r="AU93" s="133">
        <f t="shared" si="204"/>
        <v>0</v>
      </c>
      <c r="AV93" s="130">
        <f t="shared" si="204"/>
        <v>0</v>
      </c>
      <c r="AW93" s="130">
        <f t="shared" si="204"/>
        <v>0</v>
      </c>
      <c r="AX93" s="130">
        <f t="shared" si="204"/>
        <v>0</v>
      </c>
      <c r="AY93" s="130">
        <f t="shared" si="204"/>
        <v>0</v>
      </c>
      <c r="AZ93" s="130">
        <f t="shared" si="204"/>
        <v>0</v>
      </c>
      <c r="BA93" s="130">
        <f t="shared" si="204"/>
        <v>0</v>
      </c>
      <c r="BB93" s="130">
        <f t="shared" si="204"/>
        <v>0</v>
      </c>
      <c r="BC93" s="130">
        <f t="shared" si="204"/>
        <v>0</v>
      </c>
      <c r="BD93" s="130">
        <f t="shared" si="204"/>
        <v>0</v>
      </c>
      <c r="BE93" s="131">
        <f t="shared" si="204"/>
        <v>0</v>
      </c>
      <c r="BF93" s="162">
        <f>SUM(AT93:BE93)</f>
        <v>0</v>
      </c>
      <c r="BG93" s="129">
        <v>0</v>
      </c>
      <c r="BH93" s="133">
        <v>0</v>
      </c>
      <c r="BI93" s="130">
        <v>0</v>
      </c>
      <c r="BJ93" s="130">
        <v>0</v>
      </c>
      <c r="BK93" s="130">
        <v>0</v>
      </c>
      <c r="BL93" s="130">
        <v>0</v>
      </c>
      <c r="BM93" s="130">
        <v>0</v>
      </c>
      <c r="BN93" s="130">
        <v>0</v>
      </c>
      <c r="BO93" s="130">
        <v>0</v>
      </c>
      <c r="BP93" s="130">
        <v>0</v>
      </c>
      <c r="BQ93" s="130">
        <v>0</v>
      </c>
      <c r="BR93" s="131">
        <v>0</v>
      </c>
      <c r="BS93" s="162">
        <f t="shared" si="199"/>
        <v>0</v>
      </c>
      <c r="BT93" s="278">
        <v>0</v>
      </c>
      <c r="BU93" s="164">
        <f t="shared" si="200"/>
        <v>0</v>
      </c>
      <c r="BV93" s="165">
        <f t="shared" si="177"/>
        <v>0</v>
      </c>
      <c r="BW93" s="166">
        <f t="shared" si="178"/>
        <v>0</v>
      </c>
    </row>
    <row r="94" spans="1:76" ht="15" customHeight="1">
      <c r="A94" s="642"/>
      <c r="B94" s="584"/>
      <c r="C94" s="640"/>
      <c r="D94" s="254" t="s">
        <v>119</v>
      </c>
      <c r="E94" s="128">
        <f t="shared" si="201"/>
        <v>0</v>
      </c>
      <c r="F94" s="128">
        <f t="shared" si="201"/>
        <v>0</v>
      </c>
      <c r="G94" s="129">
        <f t="shared" si="201"/>
        <v>0</v>
      </c>
      <c r="H94" s="133">
        <f t="shared" si="201"/>
        <v>0</v>
      </c>
      <c r="I94" s="130">
        <f t="shared" si="201"/>
        <v>0</v>
      </c>
      <c r="J94" s="130">
        <f t="shared" si="201"/>
        <v>0</v>
      </c>
      <c r="K94" s="130">
        <f t="shared" si="201"/>
        <v>0</v>
      </c>
      <c r="L94" s="130">
        <f t="shared" si="201"/>
        <v>0</v>
      </c>
      <c r="M94" s="130">
        <f t="shared" si="201"/>
        <v>0</v>
      </c>
      <c r="N94" s="130">
        <f t="shared" si="201"/>
        <v>0</v>
      </c>
      <c r="O94" s="130">
        <f t="shared" si="201"/>
        <v>0</v>
      </c>
      <c r="P94" s="130">
        <f t="shared" si="201"/>
        <v>0</v>
      </c>
      <c r="Q94" s="130">
        <f t="shared" si="201"/>
        <v>0</v>
      </c>
      <c r="R94" s="131">
        <f t="shared" si="201"/>
        <v>0</v>
      </c>
      <c r="S94" s="162">
        <f t="shared" si="45"/>
        <v>0</v>
      </c>
      <c r="T94" s="129">
        <f>+T83</f>
        <v>0</v>
      </c>
      <c r="U94" s="133">
        <f t="shared" si="202"/>
        <v>0</v>
      </c>
      <c r="V94" s="130">
        <f t="shared" si="202"/>
        <v>0</v>
      </c>
      <c r="W94" s="130">
        <f t="shared" si="202"/>
        <v>0</v>
      </c>
      <c r="X94" s="130">
        <f t="shared" si="202"/>
        <v>0</v>
      </c>
      <c r="Y94" s="130">
        <f t="shared" si="202"/>
        <v>0</v>
      </c>
      <c r="Z94" s="130">
        <f t="shared" si="202"/>
        <v>0</v>
      </c>
      <c r="AA94" s="130">
        <f t="shared" si="202"/>
        <v>0</v>
      </c>
      <c r="AB94" s="130">
        <f t="shared" si="202"/>
        <v>0</v>
      </c>
      <c r="AC94" s="130">
        <f t="shared" si="202"/>
        <v>0</v>
      </c>
      <c r="AD94" s="130">
        <f t="shared" si="202"/>
        <v>0</v>
      </c>
      <c r="AE94" s="131">
        <f t="shared" si="202"/>
        <v>0</v>
      </c>
      <c r="AF94" s="162">
        <f>SUM(T94:AE94)</f>
        <v>0</v>
      </c>
      <c r="AG94" s="129">
        <f>+AG83</f>
        <v>0</v>
      </c>
      <c r="AH94" s="133">
        <f t="shared" si="203"/>
        <v>0</v>
      </c>
      <c r="AI94" s="130">
        <f t="shared" si="203"/>
        <v>0</v>
      </c>
      <c r="AJ94" s="130">
        <f t="shared" si="203"/>
        <v>0</v>
      </c>
      <c r="AK94" s="130">
        <f t="shared" si="203"/>
        <v>0</v>
      </c>
      <c r="AL94" s="130">
        <f t="shared" si="203"/>
        <v>0</v>
      </c>
      <c r="AM94" s="130">
        <f t="shared" si="203"/>
        <v>0</v>
      </c>
      <c r="AN94" s="130">
        <f t="shared" si="203"/>
        <v>0</v>
      </c>
      <c r="AO94" s="130">
        <f t="shared" si="203"/>
        <v>0</v>
      </c>
      <c r="AP94" s="130">
        <f t="shared" si="203"/>
        <v>0</v>
      </c>
      <c r="AQ94" s="130">
        <f t="shared" si="203"/>
        <v>0</v>
      </c>
      <c r="AR94" s="131">
        <f t="shared" si="203"/>
        <v>0</v>
      </c>
      <c r="AS94" s="162">
        <f>SUM(AG94:AR94)</f>
        <v>0</v>
      </c>
      <c r="AT94" s="129">
        <f>+AT83</f>
        <v>0</v>
      </c>
      <c r="AU94" s="133">
        <f t="shared" si="204"/>
        <v>0</v>
      </c>
      <c r="AV94" s="130">
        <f t="shared" si="204"/>
        <v>0</v>
      </c>
      <c r="AW94" s="130">
        <f t="shared" si="204"/>
        <v>0</v>
      </c>
      <c r="AX94" s="130">
        <f t="shared" si="204"/>
        <v>0</v>
      </c>
      <c r="AY94" s="130">
        <f t="shared" si="204"/>
        <v>0</v>
      </c>
      <c r="AZ94" s="130">
        <f t="shared" si="204"/>
        <v>0</v>
      </c>
      <c r="BA94" s="130">
        <f t="shared" si="204"/>
        <v>0</v>
      </c>
      <c r="BB94" s="130">
        <f t="shared" si="204"/>
        <v>0</v>
      </c>
      <c r="BC94" s="130">
        <f t="shared" si="204"/>
        <v>0</v>
      </c>
      <c r="BD94" s="130">
        <f t="shared" si="204"/>
        <v>0</v>
      </c>
      <c r="BE94" s="131">
        <f t="shared" si="204"/>
        <v>0</v>
      </c>
      <c r="BF94" s="162">
        <f>SUM(AT94:BE94)</f>
        <v>0</v>
      </c>
      <c r="BG94" s="129">
        <v>0</v>
      </c>
      <c r="BH94" s="133">
        <v>0</v>
      </c>
      <c r="BI94" s="130">
        <v>0</v>
      </c>
      <c r="BJ94" s="130">
        <v>0</v>
      </c>
      <c r="BK94" s="130">
        <v>0</v>
      </c>
      <c r="BL94" s="130">
        <v>0</v>
      </c>
      <c r="BM94" s="130">
        <v>0</v>
      </c>
      <c r="BN94" s="130">
        <v>0</v>
      </c>
      <c r="BO94" s="130">
        <v>0</v>
      </c>
      <c r="BP94" s="130">
        <v>0</v>
      </c>
      <c r="BQ94" s="130">
        <v>0</v>
      </c>
      <c r="BR94" s="131">
        <v>0</v>
      </c>
      <c r="BS94" s="162">
        <f t="shared" si="199"/>
        <v>0</v>
      </c>
      <c r="BT94" s="278">
        <v>0</v>
      </c>
      <c r="BU94" s="164">
        <f t="shared" si="200"/>
        <v>0</v>
      </c>
      <c r="BV94" s="165">
        <f t="shared" si="177"/>
        <v>0</v>
      </c>
      <c r="BW94" s="166">
        <f t="shared" si="178"/>
        <v>0</v>
      </c>
    </row>
    <row r="95" spans="1:76" ht="15" customHeight="1">
      <c r="A95" s="642"/>
      <c r="B95" s="585"/>
      <c r="C95" s="595"/>
      <c r="D95" s="255" t="s">
        <v>110</v>
      </c>
      <c r="E95" s="136">
        <f>E74+E78+E84+E88</f>
        <v>4320.4750000000004</v>
      </c>
      <c r="F95" s="136">
        <f>+F74+F78+F84+F88</f>
        <v>0</v>
      </c>
      <c r="G95" s="137">
        <f>+G74+G78+G84+G88</f>
        <v>0</v>
      </c>
      <c r="H95" s="141">
        <f t="shared" ref="H95:R95" si="206">+H74+H78+H84+H88</f>
        <v>0</v>
      </c>
      <c r="I95" s="138">
        <f t="shared" si="206"/>
        <v>0</v>
      </c>
      <c r="J95" s="138">
        <f t="shared" si="206"/>
        <v>0</v>
      </c>
      <c r="K95" s="138">
        <f t="shared" si="206"/>
        <v>0</v>
      </c>
      <c r="L95" s="138">
        <f t="shared" si="206"/>
        <v>0</v>
      </c>
      <c r="M95" s="138">
        <f t="shared" si="206"/>
        <v>0</v>
      </c>
      <c r="N95" s="138">
        <f t="shared" si="206"/>
        <v>10.475</v>
      </c>
      <c r="O95" s="138">
        <f t="shared" si="206"/>
        <v>405</v>
      </c>
      <c r="P95" s="138">
        <f t="shared" si="206"/>
        <v>5</v>
      </c>
      <c r="Q95" s="138">
        <f t="shared" si="206"/>
        <v>0</v>
      </c>
      <c r="R95" s="139">
        <f t="shared" si="206"/>
        <v>0</v>
      </c>
      <c r="S95" s="162">
        <f t="shared" si="45"/>
        <v>420.47500000000002</v>
      </c>
      <c r="T95" s="137">
        <f>+T74+T78+T84+T88</f>
        <v>0</v>
      </c>
      <c r="U95" s="141">
        <f t="shared" ref="U95:AE95" si="207">+U74+U78+U84+U88</f>
        <v>1170</v>
      </c>
      <c r="V95" s="138">
        <f t="shared" si="207"/>
        <v>0</v>
      </c>
      <c r="W95" s="138">
        <f t="shared" si="207"/>
        <v>0</v>
      </c>
      <c r="X95" s="138">
        <f t="shared" si="207"/>
        <v>520</v>
      </c>
      <c r="Y95" s="138">
        <f t="shared" si="207"/>
        <v>0</v>
      </c>
      <c r="Z95" s="138">
        <f t="shared" si="207"/>
        <v>0</v>
      </c>
      <c r="AA95" s="138">
        <f t="shared" si="207"/>
        <v>0</v>
      </c>
      <c r="AB95" s="138">
        <f t="shared" si="207"/>
        <v>0</v>
      </c>
      <c r="AC95" s="138">
        <f t="shared" si="207"/>
        <v>0</v>
      </c>
      <c r="AD95" s="138">
        <f t="shared" si="207"/>
        <v>0</v>
      </c>
      <c r="AE95" s="168">
        <f t="shared" si="207"/>
        <v>520</v>
      </c>
      <c r="AF95" s="162">
        <f>SUM(T95:AE95)</f>
        <v>2210</v>
      </c>
      <c r="AG95" s="137">
        <f>+AG74+AG78+AG84+AG88</f>
        <v>0</v>
      </c>
      <c r="AH95" s="141">
        <f t="shared" ref="AH95:AR95" si="208">+AH74+AH78+AH84+AH88</f>
        <v>390</v>
      </c>
      <c r="AI95" s="138">
        <f t="shared" si="208"/>
        <v>0</v>
      </c>
      <c r="AJ95" s="138">
        <f t="shared" si="208"/>
        <v>390</v>
      </c>
      <c r="AK95" s="138">
        <f t="shared" si="208"/>
        <v>0</v>
      </c>
      <c r="AL95" s="138">
        <f t="shared" si="208"/>
        <v>0</v>
      </c>
      <c r="AM95" s="138">
        <f t="shared" si="208"/>
        <v>390</v>
      </c>
      <c r="AN95" s="138">
        <f t="shared" si="208"/>
        <v>0</v>
      </c>
      <c r="AO95" s="138">
        <f t="shared" si="208"/>
        <v>0</v>
      </c>
      <c r="AP95" s="138">
        <f t="shared" si="208"/>
        <v>520</v>
      </c>
      <c r="AQ95" s="138">
        <f t="shared" si="208"/>
        <v>0</v>
      </c>
      <c r="AR95" s="139">
        <f t="shared" si="208"/>
        <v>0</v>
      </c>
      <c r="AS95" s="162">
        <f t="shared" si="47"/>
        <v>1690</v>
      </c>
      <c r="AT95" s="137">
        <f>+AT74+AT78+AT84+AT88</f>
        <v>0</v>
      </c>
      <c r="AU95" s="141">
        <f t="shared" ref="AU95:BE95" si="209">+AU74+AU78+AU84+AU88</f>
        <v>0</v>
      </c>
      <c r="AV95" s="138">
        <f t="shared" si="209"/>
        <v>0</v>
      </c>
      <c r="AW95" s="138">
        <f t="shared" si="209"/>
        <v>0</v>
      </c>
      <c r="AX95" s="138">
        <f t="shared" si="209"/>
        <v>0</v>
      </c>
      <c r="AY95" s="138">
        <f t="shared" si="209"/>
        <v>0</v>
      </c>
      <c r="AZ95" s="138">
        <f t="shared" si="209"/>
        <v>0</v>
      </c>
      <c r="BA95" s="138">
        <f t="shared" si="209"/>
        <v>0</v>
      </c>
      <c r="BB95" s="138">
        <f t="shared" si="209"/>
        <v>0</v>
      </c>
      <c r="BC95" s="138">
        <f t="shared" si="209"/>
        <v>0</v>
      </c>
      <c r="BD95" s="138">
        <f t="shared" si="209"/>
        <v>0</v>
      </c>
      <c r="BE95" s="139">
        <f t="shared" si="209"/>
        <v>0</v>
      </c>
      <c r="BF95" s="162">
        <f t="shared" si="48"/>
        <v>0</v>
      </c>
      <c r="BG95" s="137">
        <f>+BG74+BG78+BG84+BG88</f>
        <v>0</v>
      </c>
      <c r="BH95" s="141">
        <f t="shared" ref="BH95:BR95" si="210">+BH74+BH78+BH84+BH88</f>
        <v>0</v>
      </c>
      <c r="BI95" s="138">
        <f t="shared" si="210"/>
        <v>0</v>
      </c>
      <c r="BJ95" s="138">
        <f t="shared" si="210"/>
        <v>0</v>
      </c>
      <c r="BK95" s="138">
        <f t="shared" si="210"/>
        <v>0</v>
      </c>
      <c r="BL95" s="138">
        <f t="shared" si="210"/>
        <v>0</v>
      </c>
      <c r="BM95" s="138">
        <f t="shared" si="210"/>
        <v>0</v>
      </c>
      <c r="BN95" s="138">
        <f t="shared" si="210"/>
        <v>0</v>
      </c>
      <c r="BO95" s="138">
        <f t="shared" si="210"/>
        <v>0</v>
      </c>
      <c r="BP95" s="138">
        <f t="shared" si="210"/>
        <v>0</v>
      </c>
      <c r="BQ95" s="138">
        <f t="shared" si="210"/>
        <v>0</v>
      </c>
      <c r="BR95" s="139">
        <f t="shared" si="210"/>
        <v>0</v>
      </c>
      <c r="BS95" s="162">
        <f t="shared" si="199"/>
        <v>0</v>
      </c>
      <c r="BT95" s="279">
        <f>+BT74+BT78+BT84+BT88</f>
        <v>0</v>
      </c>
      <c r="BU95" s="90">
        <f t="shared" si="200"/>
        <v>4320.4750000000004</v>
      </c>
      <c r="BV95" s="91">
        <f t="shared" si="177"/>
        <v>4320.4750000000004</v>
      </c>
      <c r="BW95" s="92">
        <f t="shared" si="178"/>
        <v>0</v>
      </c>
      <c r="BX95" s="64">
        <f>+BU95/BU90</f>
        <v>1.0572581848970633E-2</v>
      </c>
    </row>
    <row r="96" spans="1:76" ht="15" customHeight="1">
      <c r="A96" s="643"/>
      <c r="B96" s="586"/>
      <c r="C96" s="617" t="s">
        <v>11</v>
      </c>
      <c r="D96" s="618"/>
      <c r="E96" s="169">
        <f>+E90-E91-E92-E93-E94-E95</f>
        <v>157392.02499999999</v>
      </c>
      <c r="F96" s="170">
        <f>+F90-F91-F92-F93-F94-F95</f>
        <v>0</v>
      </c>
      <c r="G96" s="171">
        <f>+G90-G91-G92-G93-G94-G95</f>
        <v>0</v>
      </c>
      <c r="H96" s="171">
        <f t="shared" ref="H96:R96" si="211">+H90-H91-H92-H93-H94-H95</f>
        <v>0</v>
      </c>
      <c r="I96" s="171">
        <f t="shared" si="211"/>
        <v>0</v>
      </c>
      <c r="J96" s="171">
        <f t="shared" si="211"/>
        <v>0</v>
      </c>
      <c r="K96" s="171">
        <f t="shared" si="211"/>
        <v>0</v>
      </c>
      <c r="L96" s="171">
        <f t="shared" si="211"/>
        <v>0</v>
      </c>
      <c r="M96" s="171">
        <f t="shared" si="211"/>
        <v>0</v>
      </c>
      <c r="N96" s="171">
        <f t="shared" si="211"/>
        <v>-10.475</v>
      </c>
      <c r="O96" s="171">
        <f t="shared" si="211"/>
        <v>-915</v>
      </c>
      <c r="P96" s="171">
        <f t="shared" si="211"/>
        <v>-3905</v>
      </c>
      <c r="Q96" s="171">
        <f t="shared" si="211"/>
        <v>-7417.7000000000007</v>
      </c>
      <c r="R96" s="172">
        <f t="shared" si="211"/>
        <v>-70</v>
      </c>
      <c r="S96" s="173">
        <f t="shared" si="45"/>
        <v>-12318.175000000001</v>
      </c>
      <c r="T96" s="174">
        <f>+T90-T91-T92-T93-T94-T95</f>
        <v>0</v>
      </c>
      <c r="U96" s="171">
        <f t="shared" ref="U96:AE96" si="212">+U90-U91-U92-U93-U94-U95</f>
        <v>-1170</v>
      </c>
      <c r="V96" s="171">
        <f t="shared" si="212"/>
        <v>0</v>
      </c>
      <c r="W96" s="171">
        <f t="shared" si="212"/>
        <v>-62400</v>
      </c>
      <c r="X96" s="171">
        <f t="shared" si="212"/>
        <v>-520</v>
      </c>
      <c r="Y96" s="171">
        <f t="shared" si="212"/>
        <v>-7800</v>
      </c>
      <c r="Z96" s="171">
        <f t="shared" si="212"/>
        <v>0</v>
      </c>
      <c r="AA96" s="171">
        <f t="shared" si="212"/>
        <v>0</v>
      </c>
      <c r="AB96" s="171">
        <f t="shared" si="212"/>
        <v>0</v>
      </c>
      <c r="AC96" s="171">
        <f t="shared" si="212"/>
        <v>0</v>
      </c>
      <c r="AD96" s="171">
        <f t="shared" si="212"/>
        <v>0</v>
      </c>
      <c r="AE96" s="172">
        <f t="shared" si="212"/>
        <v>-14590.800000000001</v>
      </c>
      <c r="AF96" s="173">
        <f t="shared" si="46"/>
        <v>-86480.8</v>
      </c>
      <c r="AG96" s="174">
        <f>+AG90-AG91-AG92-AG93-AG94-AG95</f>
        <v>0</v>
      </c>
      <c r="AH96" s="171">
        <f t="shared" ref="AH96:AR96" si="213">+AH90-AH91-AH92-AH93-AH94-AH95</f>
        <v>-390</v>
      </c>
      <c r="AI96" s="171">
        <f t="shared" si="213"/>
        <v>0</v>
      </c>
      <c r="AJ96" s="171">
        <f t="shared" si="213"/>
        <v>-390</v>
      </c>
      <c r="AK96" s="171">
        <f t="shared" si="213"/>
        <v>0</v>
      </c>
      <c r="AL96" s="171">
        <f t="shared" si="213"/>
        <v>0</v>
      </c>
      <c r="AM96" s="171">
        <f t="shared" si="213"/>
        <v>-390</v>
      </c>
      <c r="AN96" s="171">
        <f t="shared" si="213"/>
        <v>0</v>
      </c>
      <c r="AO96" s="171">
        <f t="shared" si="213"/>
        <v>0</v>
      </c>
      <c r="AP96" s="171">
        <f t="shared" si="213"/>
        <v>-520</v>
      </c>
      <c r="AQ96" s="171">
        <f t="shared" si="213"/>
        <v>0</v>
      </c>
      <c r="AR96" s="172">
        <f t="shared" si="213"/>
        <v>-40768</v>
      </c>
      <c r="AS96" s="173">
        <f t="shared" si="47"/>
        <v>-42458</v>
      </c>
      <c r="AT96" s="174">
        <f>+AT90-AT91-AT92-AT93-AT94-AT95</f>
        <v>0</v>
      </c>
      <c r="AU96" s="171">
        <f t="shared" ref="AU96:BE96" si="214">+AU90-AU91-AU92-AU93-AU94-AU95</f>
        <v>0</v>
      </c>
      <c r="AV96" s="171">
        <f t="shared" si="214"/>
        <v>0</v>
      </c>
      <c r="AW96" s="171">
        <f t="shared" si="214"/>
        <v>0</v>
      </c>
      <c r="AX96" s="171">
        <f t="shared" si="214"/>
        <v>0</v>
      </c>
      <c r="AY96" s="171">
        <f t="shared" si="214"/>
        <v>-110000</v>
      </c>
      <c r="AZ96" s="171">
        <f t="shared" si="214"/>
        <v>0</v>
      </c>
      <c r="BA96" s="171">
        <f t="shared" si="214"/>
        <v>0</v>
      </c>
      <c r="BB96" s="171">
        <f t="shared" si="214"/>
        <v>0</v>
      </c>
      <c r="BC96" s="171">
        <f t="shared" si="214"/>
        <v>0</v>
      </c>
      <c r="BD96" s="171">
        <f t="shared" si="214"/>
        <v>0</v>
      </c>
      <c r="BE96" s="172">
        <f t="shared" si="214"/>
        <v>0</v>
      </c>
      <c r="BF96" s="173">
        <f t="shared" si="48"/>
        <v>-110000</v>
      </c>
      <c r="BG96" s="174">
        <f>+BG90-BG91-BG92-BG93-BG94-BG95</f>
        <v>0</v>
      </c>
      <c r="BH96" s="171">
        <f t="shared" ref="BH96:BT96" si="215">+BH90-BH91-BH92-BH93-BH94-BH95</f>
        <v>0</v>
      </c>
      <c r="BI96" s="171">
        <f t="shared" si="215"/>
        <v>0</v>
      </c>
      <c r="BJ96" s="171">
        <f t="shared" si="215"/>
        <v>0</v>
      </c>
      <c r="BK96" s="171">
        <f t="shared" si="215"/>
        <v>0</v>
      </c>
      <c r="BL96" s="171">
        <f t="shared" si="215"/>
        <v>0</v>
      </c>
      <c r="BM96" s="171">
        <f t="shared" si="215"/>
        <v>0</v>
      </c>
      <c r="BN96" s="171">
        <f t="shared" si="215"/>
        <v>0</v>
      </c>
      <c r="BO96" s="171">
        <f t="shared" si="215"/>
        <v>0</v>
      </c>
      <c r="BP96" s="171">
        <f t="shared" si="215"/>
        <v>0</v>
      </c>
      <c r="BQ96" s="171">
        <f t="shared" si="215"/>
        <v>0</v>
      </c>
      <c r="BR96" s="172">
        <f t="shared" si="215"/>
        <v>78510</v>
      </c>
      <c r="BS96" s="173">
        <f t="shared" si="199"/>
        <v>78510</v>
      </c>
      <c r="BT96" s="172">
        <f t="shared" si="215"/>
        <v>330139</v>
      </c>
      <c r="BU96" s="149">
        <f t="shared" si="200"/>
        <v>157392.02499999999</v>
      </c>
      <c r="BV96" s="150">
        <f t="shared" si="177"/>
        <v>157392.02499999999</v>
      </c>
      <c r="BW96" s="151">
        <f t="shared" si="178"/>
        <v>0</v>
      </c>
    </row>
    <row r="97" spans="1:76" ht="6" customHeight="1">
      <c r="A97" s="185"/>
      <c r="B97" s="186"/>
      <c r="C97" s="54"/>
      <c r="D97" s="54"/>
      <c r="E97" s="187"/>
      <c r="F97" s="187"/>
      <c r="G97" s="188"/>
      <c r="H97" s="188"/>
      <c r="I97" s="188"/>
      <c r="J97" s="188"/>
      <c r="K97" s="188"/>
      <c r="L97" s="188"/>
      <c r="M97" s="188"/>
      <c r="N97" s="188"/>
      <c r="O97" s="188"/>
      <c r="P97" s="188"/>
      <c r="Q97" s="188"/>
      <c r="R97" s="188"/>
      <c r="S97" s="187"/>
      <c r="T97" s="188"/>
      <c r="U97" s="188"/>
      <c r="V97" s="188"/>
      <c r="W97" s="188"/>
      <c r="X97" s="188"/>
      <c r="Y97" s="188"/>
      <c r="Z97" s="188"/>
      <c r="AA97" s="188"/>
      <c r="AB97" s="188"/>
      <c r="AC97" s="188"/>
      <c r="AD97" s="188"/>
      <c r="AE97" s="188"/>
      <c r="AF97" s="187"/>
      <c r="AG97" s="188"/>
      <c r="AH97" s="188"/>
      <c r="AI97" s="188"/>
      <c r="AJ97" s="188"/>
      <c r="AK97" s="188"/>
      <c r="AL97" s="188"/>
      <c r="AM97" s="188"/>
      <c r="AN97" s="188"/>
      <c r="AO97" s="188"/>
      <c r="AP97" s="188"/>
      <c r="AQ97" s="188"/>
      <c r="AR97" s="188"/>
      <c r="AS97" s="187"/>
      <c r="AT97" s="188"/>
      <c r="AU97" s="188"/>
      <c r="AV97" s="188"/>
      <c r="AW97" s="188"/>
      <c r="AX97" s="188"/>
      <c r="AY97" s="188"/>
      <c r="AZ97" s="188"/>
      <c r="BA97" s="188"/>
      <c r="BB97" s="188"/>
      <c r="BC97" s="188"/>
      <c r="BD97" s="188"/>
      <c r="BE97" s="188"/>
      <c r="BF97" s="187"/>
      <c r="BG97" s="188"/>
      <c r="BH97" s="188"/>
      <c r="BI97" s="188"/>
      <c r="BJ97" s="188"/>
      <c r="BK97" s="188"/>
      <c r="BL97" s="188"/>
      <c r="BM97" s="188"/>
      <c r="BN97" s="188"/>
      <c r="BO97" s="188"/>
      <c r="BP97" s="188"/>
      <c r="BQ97" s="188"/>
      <c r="BR97" s="188"/>
      <c r="BS97" s="187"/>
      <c r="BT97" s="188"/>
      <c r="BU97" s="189"/>
      <c r="BV97" s="189"/>
      <c r="BW97" s="189"/>
    </row>
    <row r="98" spans="1:76" ht="15" customHeight="1">
      <c r="A98" s="596" t="s">
        <v>81</v>
      </c>
      <c r="B98" s="597"/>
      <c r="C98" s="620" t="s">
        <v>63</v>
      </c>
      <c r="D98" s="621"/>
      <c r="E98" s="190">
        <f>+BU98</f>
        <v>11110.181498833419</v>
      </c>
      <c r="F98" s="190"/>
      <c r="G98" s="191">
        <v>727.2447773860705</v>
      </c>
      <c r="H98" s="192">
        <v>221.939154028838</v>
      </c>
      <c r="I98" s="193">
        <v>503.01350700171798</v>
      </c>
      <c r="J98" s="193">
        <v>145.3320091963902</v>
      </c>
      <c r="K98" s="193">
        <v>133.59888738197427</v>
      </c>
      <c r="L98" s="193">
        <v>121.05316383842703</v>
      </c>
      <c r="M98" s="193">
        <v>220</v>
      </c>
      <c r="N98" s="193">
        <v>220</v>
      </c>
      <c r="O98" s="193">
        <v>220</v>
      </c>
      <c r="P98" s="193">
        <v>220</v>
      </c>
      <c r="Q98" s="193">
        <v>220</v>
      </c>
      <c r="R98" s="193">
        <v>220</v>
      </c>
      <c r="S98" s="190">
        <f t="shared" si="45"/>
        <v>3172.1814988334181</v>
      </c>
      <c r="T98" s="191">
        <v>162</v>
      </c>
      <c r="U98" s="192">
        <v>162</v>
      </c>
      <c r="V98" s="193">
        <v>162</v>
      </c>
      <c r="W98" s="193">
        <v>162</v>
      </c>
      <c r="X98" s="193">
        <v>162</v>
      </c>
      <c r="Y98" s="193">
        <v>162</v>
      </c>
      <c r="Z98" s="193">
        <v>162</v>
      </c>
      <c r="AA98" s="193">
        <v>162</v>
      </c>
      <c r="AB98" s="193">
        <v>162</v>
      </c>
      <c r="AC98" s="193">
        <v>162</v>
      </c>
      <c r="AD98" s="193">
        <v>162</v>
      </c>
      <c r="AE98" s="194">
        <v>162</v>
      </c>
      <c r="AF98" s="190">
        <f>SUM(T98:AE98)</f>
        <v>1944</v>
      </c>
      <c r="AG98" s="191">
        <v>162</v>
      </c>
      <c r="AH98" s="192">
        <v>162</v>
      </c>
      <c r="AI98" s="193">
        <v>162</v>
      </c>
      <c r="AJ98" s="193">
        <v>162</v>
      </c>
      <c r="AK98" s="193">
        <v>162</v>
      </c>
      <c r="AL98" s="193">
        <v>162</v>
      </c>
      <c r="AM98" s="193">
        <v>162</v>
      </c>
      <c r="AN98" s="193">
        <v>162</v>
      </c>
      <c r="AO98" s="193">
        <v>162</v>
      </c>
      <c r="AP98" s="193">
        <v>162</v>
      </c>
      <c r="AQ98" s="193">
        <v>162</v>
      </c>
      <c r="AR98" s="195">
        <v>162</v>
      </c>
      <c r="AS98" s="190">
        <f>SUM(AG98:AR98)</f>
        <v>1944</v>
      </c>
      <c r="AT98" s="191">
        <v>162</v>
      </c>
      <c r="AU98" s="192">
        <v>162</v>
      </c>
      <c r="AV98" s="193">
        <v>162</v>
      </c>
      <c r="AW98" s="193">
        <v>162</v>
      </c>
      <c r="AX98" s="193">
        <v>162</v>
      </c>
      <c r="AY98" s="193">
        <v>162</v>
      </c>
      <c r="AZ98" s="193">
        <v>162</v>
      </c>
      <c r="BA98" s="193">
        <v>162</v>
      </c>
      <c r="BB98" s="193">
        <v>162</v>
      </c>
      <c r="BC98" s="193">
        <v>162</v>
      </c>
      <c r="BD98" s="193">
        <v>162</v>
      </c>
      <c r="BE98" s="195">
        <v>162</v>
      </c>
      <c r="BF98" s="190">
        <f>SUM(AT98:BE98)</f>
        <v>1944</v>
      </c>
      <c r="BG98" s="191">
        <v>162</v>
      </c>
      <c r="BH98" s="192">
        <v>162</v>
      </c>
      <c r="BI98" s="193">
        <v>162</v>
      </c>
      <c r="BJ98" s="193">
        <v>162</v>
      </c>
      <c r="BK98" s="193">
        <v>162</v>
      </c>
      <c r="BL98" s="193">
        <v>162</v>
      </c>
      <c r="BM98" s="193">
        <v>162</v>
      </c>
      <c r="BN98" s="193">
        <v>162</v>
      </c>
      <c r="BO98" s="193">
        <v>162</v>
      </c>
      <c r="BP98" s="193">
        <v>162</v>
      </c>
      <c r="BQ98" s="193">
        <v>162</v>
      </c>
      <c r="BR98" s="195">
        <v>162</v>
      </c>
      <c r="BS98" s="190">
        <f>SUM(BG98:BR98)</f>
        <v>1944</v>
      </c>
      <c r="BT98" s="195">
        <v>162</v>
      </c>
      <c r="BU98" s="196">
        <f t="shared" si="200"/>
        <v>11110.181498833419</v>
      </c>
      <c r="BV98" s="197">
        <f>+E98</f>
        <v>11110.181498833419</v>
      </c>
      <c r="BW98" s="198">
        <f>+BV98-BU98</f>
        <v>0</v>
      </c>
    </row>
    <row r="99" spans="1:76" ht="6" customHeight="1">
      <c r="A99" s="185"/>
      <c r="B99" s="186"/>
      <c r="C99" s="54"/>
      <c r="D99" s="54"/>
      <c r="E99" s="187"/>
      <c r="F99" s="187"/>
      <c r="G99" s="188"/>
      <c r="H99" s="188"/>
      <c r="I99" s="188"/>
      <c r="J99" s="188"/>
      <c r="K99" s="188"/>
      <c r="L99" s="188"/>
      <c r="M99" s="188"/>
      <c r="N99" s="188"/>
      <c r="O99" s="188"/>
      <c r="P99" s="188"/>
      <c r="Q99" s="188"/>
      <c r="R99" s="188"/>
      <c r="S99" s="187"/>
      <c r="T99" s="188"/>
      <c r="U99" s="188"/>
      <c r="V99" s="188"/>
      <c r="W99" s="188"/>
      <c r="X99" s="188"/>
      <c r="Y99" s="188"/>
      <c r="Z99" s="188"/>
      <c r="AA99" s="188"/>
      <c r="AB99" s="188"/>
      <c r="AC99" s="188"/>
      <c r="AD99" s="188"/>
      <c r="AE99" s="188"/>
      <c r="AF99" s="187"/>
      <c r="AG99" s="188"/>
      <c r="AH99" s="188"/>
      <c r="AI99" s="188"/>
      <c r="AJ99" s="188"/>
      <c r="AK99" s="188"/>
      <c r="AL99" s="188"/>
      <c r="AM99" s="188"/>
      <c r="AN99" s="188"/>
      <c r="AO99" s="188"/>
      <c r="AP99" s="188"/>
      <c r="AQ99" s="188"/>
      <c r="AR99" s="188"/>
      <c r="AS99" s="187"/>
      <c r="AT99" s="188"/>
      <c r="AU99" s="188"/>
      <c r="AV99" s="188"/>
      <c r="AW99" s="188"/>
      <c r="AX99" s="188"/>
      <c r="AY99" s="188"/>
      <c r="AZ99" s="188"/>
      <c r="BA99" s="188"/>
      <c r="BB99" s="188"/>
      <c r="BC99" s="188"/>
      <c r="BD99" s="188"/>
      <c r="BE99" s="188"/>
      <c r="BF99" s="187"/>
      <c r="BG99" s="188"/>
      <c r="BH99" s="188"/>
      <c r="BI99" s="188"/>
      <c r="BJ99" s="188"/>
      <c r="BK99" s="188"/>
      <c r="BL99" s="188"/>
      <c r="BM99" s="188"/>
      <c r="BN99" s="188"/>
      <c r="BO99" s="188"/>
      <c r="BP99" s="188"/>
      <c r="BQ99" s="188"/>
      <c r="BR99" s="188"/>
      <c r="BS99" s="187"/>
      <c r="BT99" s="188"/>
      <c r="BU99" s="189"/>
      <c r="BV99" s="189"/>
      <c r="BW99" s="189"/>
    </row>
    <row r="100" spans="1:76" ht="15" customHeight="1">
      <c r="A100" s="587" t="s">
        <v>115</v>
      </c>
      <c r="B100" s="588"/>
      <c r="C100" s="199" t="s">
        <v>62</v>
      </c>
      <c r="D100" s="237"/>
      <c r="E100" s="153">
        <f t="shared" ref="E100:R100" si="216">+E31+E68+E90</f>
        <v>903069.70657900115</v>
      </c>
      <c r="F100" s="153">
        <f t="shared" si="216"/>
        <v>29206.77281584169</v>
      </c>
      <c r="G100" s="154">
        <f t="shared" si="216"/>
        <v>2410.7997037403265</v>
      </c>
      <c r="H100" s="155">
        <f t="shared" si="216"/>
        <v>2585.0402174300257</v>
      </c>
      <c r="I100" s="155">
        <f t="shared" si="216"/>
        <v>1643.8650660652925</v>
      </c>
      <c r="J100" s="155">
        <f t="shared" si="216"/>
        <v>1095.5899310270734</v>
      </c>
      <c r="K100" s="155">
        <f t="shared" si="216"/>
        <v>938.78216480686694</v>
      </c>
      <c r="L100" s="155">
        <f t="shared" si="216"/>
        <v>2572.7344891643515</v>
      </c>
      <c r="M100" s="155">
        <f t="shared" si="216"/>
        <v>1109.6345537773993</v>
      </c>
      <c r="N100" s="155">
        <f t="shared" si="216"/>
        <v>987.25992968013099</v>
      </c>
      <c r="O100" s="155">
        <f t="shared" si="216"/>
        <v>1113.1959705685508</v>
      </c>
      <c r="P100" s="155">
        <f t="shared" si="216"/>
        <v>1618.7782407976811</v>
      </c>
      <c r="Q100" s="155">
        <f t="shared" si="216"/>
        <v>1762.3661175742091</v>
      </c>
      <c r="R100" s="156">
        <f t="shared" si="216"/>
        <v>2230.6440503855151</v>
      </c>
      <c r="S100" s="157">
        <f t="shared" si="45"/>
        <v>20068.690435017426</v>
      </c>
      <c r="T100" s="154">
        <f t="shared" ref="T100:AE100" si="217">+T31+T68+T90</f>
        <v>24942.340098376142</v>
      </c>
      <c r="U100" s="155">
        <f t="shared" si="217"/>
        <v>28135.231307125727</v>
      </c>
      <c r="V100" s="155">
        <f t="shared" si="217"/>
        <v>32320.683788886563</v>
      </c>
      <c r="W100" s="155">
        <f t="shared" si="217"/>
        <v>4269.0164109598818</v>
      </c>
      <c r="X100" s="155">
        <f t="shared" si="217"/>
        <v>3791.5074626274804</v>
      </c>
      <c r="Y100" s="155">
        <f t="shared" si="217"/>
        <v>4249.5844504615297</v>
      </c>
      <c r="Z100" s="155">
        <f t="shared" si="217"/>
        <v>3543.1453029760869</v>
      </c>
      <c r="AA100" s="155">
        <f t="shared" si="217"/>
        <v>4419.2769523750376</v>
      </c>
      <c r="AB100" s="155">
        <f t="shared" si="217"/>
        <v>5169.2467105383876</v>
      </c>
      <c r="AC100" s="155">
        <f t="shared" si="217"/>
        <v>4601.2047186031896</v>
      </c>
      <c r="AD100" s="155">
        <f t="shared" si="217"/>
        <v>4569.4662492483758</v>
      </c>
      <c r="AE100" s="167">
        <f t="shared" si="217"/>
        <v>6206.6680981636255</v>
      </c>
      <c r="AF100" s="157">
        <f>SUM(T100:AE100)</f>
        <v>126217.37155034202</v>
      </c>
      <c r="AG100" s="154">
        <f t="shared" ref="AG100:AR100" si="218">+AG31+AG68+AG90</f>
        <v>5916.2493922343392</v>
      </c>
      <c r="AH100" s="155">
        <f t="shared" si="218"/>
        <v>5183.0097242681486</v>
      </c>
      <c r="AI100" s="155">
        <f t="shared" si="218"/>
        <v>5855.9641239146868</v>
      </c>
      <c r="AJ100" s="155">
        <f t="shared" si="218"/>
        <v>6483.1223809040875</v>
      </c>
      <c r="AK100" s="155">
        <f t="shared" si="218"/>
        <v>7059.4349857144716</v>
      </c>
      <c r="AL100" s="155">
        <f t="shared" si="218"/>
        <v>8380.2618081177843</v>
      </c>
      <c r="AM100" s="155">
        <f t="shared" si="218"/>
        <v>8041.4094567816683</v>
      </c>
      <c r="AN100" s="155">
        <f t="shared" si="218"/>
        <v>8439.1650419893631</v>
      </c>
      <c r="AO100" s="155">
        <f t="shared" si="218"/>
        <v>9370.3260696451707</v>
      </c>
      <c r="AP100" s="155">
        <f t="shared" si="218"/>
        <v>9032.2262258740084</v>
      </c>
      <c r="AQ100" s="155">
        <f t="shared" si="218"/>
        <v>9436.0419693098102</v>
      </c>
      <c r="AR100" s="156">
        <f t="shared" si="218"/>
        <v>10448.52201302621</v>
      </c>
      <c r="AS100" s="157">
        <f>SUM(AG100:AR100)</f>
        <v>93645.733191779756</v>
      </c>
      <c r="AT100" s="154">
        <f t="shared" ref="AT100:BE100" si="219">+AT31+AT68+AT90</f>
        <v>10442.013501987101</v>
      </c>
      <c r="AU100" s="155">
        <f t="shared" si="219"/>
        <v>10822.784675252335</v>
      </c>
      <c r="AV100" s="155">
        <f t="shared" si="219"/>
        <v>11117.769787224141</v>
      </c>
      <c r="AW100" s="155">
        <f t="shared" si="219"/>
        <v>11324.593791229774</v>
      </c>
      <c r="AX100" s="155">
        <f t="shared" si="219"/>
        <v>11441.591461999255</v>
      </c>
      <c r="AY100" s="155">
        <f t="shared" si="219"/>
        <v>11467.820803081109</v>
      </c>
      <c r="AZ100" s="155">
        <f t="shared" si="219"/>
        <v>11403.070631243756</v>
      </c>
      <c r="BA100" s="155">
        <f t="shared" si="219"/>
        <v>11247.862276798012</v>
      </c>
      <c r="BB100" s="155">
        <f t="shared" si="219"/>
        <v>11003.44538615306</v>
      </c>
      <c r="BC100" s="155">
        <f t="shared" si="219"/>
        <v>10671.787860397508</v>
      </c>
      <c r="BD100" s="155">
        <f t="shared" si="219"/>
        <v>10255.560010917361</v>
      </c>
      <c r="BE100" s="156">
        <f t="shared" si="219"/>
        <v>9758.1130596183903</v>
      </c>
      <c r="BF100" s="157">
        <f>SUM(AT100:BE100)</f>
        <v>130956.41324590181</v>
      </c>
      <c r="BG100" s="154">
        <f t="shared" ref="BG100:BR100" si="220">+BG31+BG68+BG90</f>
        <v>9226.9163334070618</v>
      </c>
      <c r="BH100" s="155">
        <f t="shared" si="220"/>
        <v>8732.8840269004831</v>
      </c>
      <c r="BI100" s="155">
        <f t="shared" si="220"/>
        <v>8610.036379396528</v>
      </c>
      <c r="BJ100" s="155">
        <f t="shared" si="220"/>
        <v>8020.8287012046876</v>
      </c>
      <c r="BK100" s="155">
        <f t="shared" si="220"/>
        <v>7568.3946636991495</v>
      </c>
      <c r="BL100" s="155">
        <f t="shared" si="220"/>
        <v>7056.3769997231138</v>
      </c>
      <c r="BM100" s="155">
        <f t="shared" si="220"/>
        <v>6488.8981744454268</v>
      </c>
      <c r="BN100" s="155">
        <f t="shared" si="220"/>
        <v>5870.527193695033</v>
      </c>
      <c r="BO100" s="155">
        <f t="shared" si="220"/>
        <v>5206.2428170126923</v>
      </c>
      <c r="BP100" s="155">
        <f t="shared" si="220"/>
        <v>4846.393471606576</v>
      </c>
      <c r="BQ100" s="155">
        <f t="shared" si="220"/>
        <v>4014.0256993996386</v>
      </c>
      <c r="BR100" s="156">
        <f t="shared" si="220"/>
        <v>82358.063499126074</v>
      </c>
      <c r="BS100" s="157">
        <f>SUM(BG100:BR100)</f>
        <v>157999.58795961645</v>
      </c>
      <c r="BT100" s="280">
        <f>+BT31+BT68+BT90</f>
        <v>347097</v>
      </c>
      <c r="BU100" s="159">
        <f t="shared" si="200"/>
        <v>905191.5691984992</v>
      </c>
      <c r="BV100" s="160">
        <f>+E100</f>
        <v>903069.70657900115</v>
      </c>
      <c r="BW100" s="161">
        <f>+BV100-BU100</f>
        <v>-2121.8626194980461</v>
      </c>
    </row>
    <row r="101" spans="1:76" ht="15" customHeight="1">
      <c r="A101" s="589"/>
      <c r="B101" s="590"/>
      <c r="C101" s="200" t="s">
        <v>63</v>
      </c>
      <c r="D101" s="238"/>
      <c r="E101" s="136">
        <f t="shared" ref="E101:R101" si="221">+E32+E69+E91+E95+E98</f>
        <v>645513.67587473558</v>
      </c>
      <c r="F101" s="136">
        <f t="shared" si="221"/>
        <v>21391.48893720295</v>
      </c>
      <c r="G101" s="137">
        <f t="shared" si="221"/>
        <v>1884.9120027515046</v>
      </c>
      <c r="H101" s="138">
        <f t="shared" si="221"/>
        <v>1585.3505390024525</v>
      </c>
      <c r="I101" s="138">
        <f t="shared" si="221"/>
        <v>2036.3751054553261</v>
      </c>
      <c r="J101" s="138">
        <f t="shared" si="221"/>
        <v>1154.8133418564673</v>
      </c>
      <c r="K101" s="138">
        <f t="shared" si="221"/>
        <v>2062.1812125751076</v>
      </c>
      <c r="L101" s="138">
        <f t="shared" si="221"/>
        <v>1125.7988690745888</v>
      </c>
      <c r="M101" s="138">
        <f t="shared" si="221"/>
        <v>1483.1628414130669</v>
      </c>
      <c r="N101" s="138">
        <f t="shared" si="221"/>
        <v>1355.1468272740842</v>
      </c>
      <c r="O101" s="138">
        <f t="shared" si="221"/>
        <v>2317.073808430654</v>
      </c>
      <c r="P101" s="138">
        <f t="shared" si="221"/>
        <v>5557.3494839552386</v>
      </c>
      <c r="Q101" s="138">
        <f t="shared" si="221"/>
        <v>5529.0055016001079</v>
      </c>
      <c r="R101" s="139">
        <f t="shared" si="221"/>
        <v>1478.2139919728197</v>
      </c>
      <c r="S101" s="162">
        <f t="shared" si="45"/>
        <v>27569.383525361416</v>
      </c>
      <c r="T101" s="137">
        <f t="shared" ref="T101:AE101" si="222">+T32+T69+T91+T95+T98</f>
        <v>1032.4303453814659</v>
      </c>
      <c r="U101" s="138">
        <f t="shared" si="222"/>
        <v>3582.0352405107328</v>
      </c>
      <c r="V101" s="138">
        <f t="shared" si="222"/>
        <v>1398.2115938417837</v>
      </c>
      <c r="W101" s="138">
        <f t="shared" si="222"/>
        <v>65925.669461054189</v>
      </c>
      <c r="X101" s="138">
        <f t="shared" si="222"/>
        <v>4345.7279445519434</v>
      </c>
      <c r="Y101" s="138">
        <f t="shared" si="222"/>
        <v>11758.018513768184</v>
      </c>
      <c r="Z101" s="138">
        <f t="shared" si="222"/>
        <v>3904.4847933578344</v>
      </c>
      <c r="AA101" s="138">
        <f t="shared" si="222"/>
        <v>4212.973584799729</v>
      </c>
      <c r="AB101" s="138">
        <f t="shared" si="222"/>
        <v>4756.3656105448499</v>
      </c>
      <c r="AC101" s="138">
        <f t="shared" si="222"/>
        <v>5019.4637778412316</v>
      </c>
      <c r="AD101" s="138">
        <f t="shared" si="222"/>
        <v>5178.7022418887527</v>
      </c>
      <c r="AE101" s="168">
        <f t="shared" si="222"/>
        <v>6353.9326474891777</v>
      </c>
      <c r="AF101" s="162">
        <f>SUM(T101:AE101)</f>
        <v>117468.01575502983</v>
      </c>
      <c r="AG101" s="137">
        <f t="shared" ref="AG101:AR101" si="223">+AG32+AG69+AG91+AG95+AG98</f>
        <v>6170.1625623603695</v>
      </c>
      <c r="AH101" s="138">
        <f t="shared" si="223"/>
        <v>6200.6586495349075</v>
      </c>
      <c r="AI101" s="138">
        <f t="shared" si="223"/>
        <v>6525.672699159355</v>
      </c>
      <c r="AJ101" s="138">
        <f t="shared" si="223"/>
        <v>7582.0283472105921</v>
      </c>
      <c r="AK101" s="138">
        <f t="shared" si="223"/>
        <v>7804.3604898216263</v>
      </c>
      <c r="AL101" s="138">
        <f t="shared" si="223"/>
        <v>8357.738988625144</v>
      </c>
      <c r="AM101" s="138">
        <f t="shared" si="223"/>
        <v>9237.7083653305235</v>
      </c>
      <c r="AN101" s="138">
        <f t="shared" si="223"/>
        <v>9270.3236746136972</v>
      </c>
      <c r="AO101" s="138">
        <f t="shared" si="223"/>
        <v>9622.1822664979918</v>
      </c>
      <c r="AP101" s="138">
        <f t="shared" si="223"/>
        <v>10420.451182491131</v>
      </c>
      <c r="AQ101" s="138">
        <f t="shared" si="223"/>
        <v>10329.50540989167</v>
      </c>
      <c r="AR101" s="139">
        <f t="shared" si="223"/>
        <v>34085.390456340348</v>
      </c>
      <c r="AS101" s="162">
        <f>SUM(AG101:AR101)</f>
        <v>125606.18309187736</v>
      </c>
      <c r="AT101" s="137">
        <f t="shared" ref="AT101:BE101" si="224">+AT32+AT69+AT91+AT95+AT98</f>
        <v>11111.096749611293</v>
      </c>
      <c r="AU101" s="138">
        <f t="shared" si="224"/>
        <v>11656.185621205605</v>
      </c>
      <c r="AV101" s="138">
        <f t="shared" si="224"/>
        <v>11969.607302675648</v>
      </c>
      <c r="AW101" s="138">
        <f t="shared" si="224"/>
        <v>12189.357806931634</v>
      </c>
      <c r="AX101" s="138">
        <f t="shared" si="224"/>
        <v>12313.667832124205</v>
      </c>
      <c r="AY101" s="138">
        <f t="shared" si="224"/>
        <v>122341.53650702367</v>
      </c>
      <c r="AZ101" s="138">
        <f t="shared" si="224"/>
        <v>12272.739449446488</v>
      </c>
      <c r="BA101" s="138">
        <f t="shared" si="224"/>
        <v>12107.830572847886</v>
      </c>
      <c r="BB101" s="138">
        <f t="shared" si="224"/>
        <v>11848.137626537626</v>
      </c>
      <c r="BC101" s="138">
        <f t="shared" si="224"/>
        <v>11495.75150542235</v>
      </c>
      <c r="BD101" s="138">
        <f t="shared" si="224"/>
        <v>10845.140616774066</v>
      </c>
      <c r="BE101" s="139">
        <f t="shared" si="224"/>
        <v>10324.972029594535</v>
      </c>
      <c r="BF101" s="162">
        <f>SUM(AT101:BE101)</f>
        <v>250476.02362019502</v>
      </c>
      <c r="BG101" s="137">
        <f t="shared" ref="BG101:BR101" si="225">+BG32+BG69+BG91+BG95+BG98</f>
        <v>9773.7456816623617</v>
      </c>
      <c r="BH101" s="138">
        <f t="shared" si="225"/>
        <v>9435.5365435817621</v>
      </c>
      <c r="BI101" s="138">
        <f t="shared" si="225"/>
        <v>9092.5109181088119</v>
      </c>
      <c r="BJ101" s="138">
        <f t="shared" si="225"/>
        <v>8661.86544502998</v>
      </c>
      <c r="BK101" s="138">
        <f t="shared" si="225"/>
        <v>8181.1542801803462</v>
      </c>
      <c r="BL101" s="138">
        <f t="shared" si="225"/>
        <v>7637.1355122058076</v>
      </c>
      <c r="BM101" s="138">
        <f t="shared" si="225"/>
        <v>7034.1892603482656</v>
      </c>
      <c r="BN101" s="138">
        <f t="shared" si="225"/>
        <v>6377.1700933009724</v>
      </c>
      <c r="BO101" s="138">
        <f t="shared" si="225"/>
        <v>5671.3679430759848</v>
      </c>
      <c r="BP101" s="138">
        <f t="shared" si="225"/>
        <v>4922.4655135819876</v>
      </c>
      <c r="BQ101" s="138">
        <f t="shared" si="225"/>
        <v>4404.637255612115</v>
      </c>
      <c r="BR101" s="139">
        <f t="shared" si="225"/>
        <v>4122.0524178214564</v>
      </c>
      <c r="BS101" s="162">
        <f>SUM(BG101:BR101)</f>
        <v>85313.830864509859</v>
      </c>
      <c r="BT101" s="279">
        <f>+BT32+BT69+BT91+BT95+BT98</f>
        <v>17710.154500000001</v>
      </c>
      <c r="BU101" s="90">
        <f t="shared" si="200"/>
        <v>645535.08029417647</v>
      </c>
      <c r="BV101" s="91">
        <f>+E101</f>
        <v>645513.67587473558</v>
      </c>
      <c r="BW101" s="92">
        <f>+BV101-BU101</f>
        <v>-21.404419440892525</v>
      </c>
      <c r="BX101" s="64">
        <f>+BU101/BU100</f>
        <v>0.71314747315395877</v>
      </c>
    </row>
    <row r="102" spans="1:76" ht="15" customHeight="1">
      <c r="A102" s="591"/>
      <c r="B102" s="592"/>
      <c r="C102" s="201" t="s">
        <v>11</v>
      </c>
      <c r="D102" s="239"/>
      <c r="E102" s="202">
        <f t="shared" ref="E102:R102" si="226">+E100-E101</f>
        <v>257556.03070426558</v>
      </c>
      <c r="F102" s="203">
        <f t="shared" si="226"/>
        <v>7815.2838786387401</v>
      </c>
      <c r="G102" s="204">
        <f t="shared" si="226"/>
        <v>525.88770098882196</v>
      </c>
      <c r="H102" s="204">
        <f t="shared" si="226"/>
        <v>999.6896784275732</v>
      </c>
      <c r="I102" s="204">
        <f t="shared" si="226"/>
        <v>-392.51003939003363</v>
      </c>
      <c r="J102" s="204">
        <f t="shared" si="226"/>
        <v>-59.22341082939397</v>
      </c>
      <c r="K102" s="204">
        <f t="shared" si="226"/>
        <v>-1123.3990477682405</v>
      </c>
      <c r="L102" s="204">
        <f t="shared" si="226"/>
        <v>1446.9356200897628</v>
      </c>
      <c r="M102" s="204">
        <f t="shared" si="226"/>
        <v>-373.52828763566754</v>
      </c>
      <c r="N102" s="204">
        <f t="shared" si="226"/>
        <v>-367.88689759395322</v>
      </c>
      <c r="O102" s="204">
        <f t="shared" si="226"/>
        <v>-1203.8778378621032</v>
      </c>
      <c r="P102" s="204">
        <f t="shared" si="226"/>
        <v>-3938.5712431575575</v>
      </c>
      <c r="Q102" s="204">
        <f t="shared" si="226"/>
        <v>-3766.6393840258988</v>
      </c>
      <c r="R102" s="205">
        <f t="shared" si="226"/>
        <v>752.43005841269542</v>
      </c>
      <c r="S102" s="112">
        <f>SUM(G102:R102)</f>
        <v>-7500.6930903439952</v>
      </c>
      <c r="T102" s="206">
        <f t="shared" ref="T102:AE102" si="227">+T100-T101</f>
        <v>23909.909752994678</v>
      </c>
      <c r="U102" s="204">
        <f t="shared" si="227"/>
        <v>24553.196066614993</v>
      </c>
      <c r="V102" s="204">
        <f t="shared" si="227"/>
        <v>30922.472195044778</v>
      </c>
      <c r="W102" s="204">
        <f t="shared" si="227"/>
        <v>-61656.653050094304</v>
      </c>
      <c r="X102" s="204">
        <f t="shared" si="227"/>
        <v>-554.220481924463</v>
      </c>
      <c r="Y102" s="204">
        <f t="shared" si="227"/>
        <v>-7508.434063306654</v>
      </c>
      <c r="Z102" s="204">
        <f t="shared" si="227"/>
        <v>-361.33949038174751</v>
      </c>
      <c r="AA102" s="204">
        <f t="shared" si="227"/>
        <v>206.30336757530858</v>
      </c>
      <c r="AB102" s="204">
        <f t="shared" si="227"/>
        <v>412.88109999353765</v>
      </c>
      <c r="AC102" s="204">
        <f t="shared" si="227"/>
        <v>-418.25905923804203</v>
      </c>
      <c r="AD102" s="204">
        <f t="shared" si="227"/>
        <v>-609.23599264037694</v>
      </c>
      <c r="AE102" s="205">
        <f t="shared" si="227"/>
        <v>-147.26454932555225</v>
      </c>
      <c r="AF102" s="112">
        <f>SUM(T102:AE102)</f>
        <v>8749.3557953121635</v>
      </c>
      <c r="AG102" s="206">
        <f t="shared" ref="AG102:AR102" si="228">+AG100-AG101</f>
        <v>-253.91317012603031</v>
      </c>
      <c r="AH102" s="204">
        <f t="shared" si="228"/>
        <v>-1017.6489252667589</v>
      </c>
      <c r="AI102" s="204">
        <f t="shared" si="228"/>
        <v>-669.70857524466828</v>
      </c>
      <c r="AJ102" s="204">
        <f t="shared" si="228"/>
        <v>-1098.9059663065045</v>
      </c>
      <c r="AK102" s="204">
        <f t="shared" si="228"/>
        <v>-744.92550410715467</v>
      </c>
      <c r="AL102" s="204">
        <f t="shared" si="228"/>
        <v>22.522819492640338</v>
      </c>
      <c r="AM102" s="204">
        <f t="shared" si="228"/>
        <v>-1196.2989085488553</v>
      </c>
      <c r="AN102" s="204">
        <f t="shared" si="228"/>
        <v>-831.15863262433413</v>
      </c>
      <c r="AO102" s="204">
        <f t="shared" si="228"/>
        <v>-251.85619685282109</v>
      </c>
      <c r="AP102" s="204">
        <f t="shared" si="228"/>
        <v>-1388.2249566171231</v>
      </c>
      <c r="AQ102" s="204">
        <f t="shared" si="228"/>
        <v>-893.46344058185969</v>
      </c>
      <c r="AR102" s="205">
        <f t="shared" si="228"/>
        <v>-23636.868443314139</v>
      </c>
      <c r="AS102" s="112">
        <f>SUM(AG102:AR102)</f>
        <v>-31960.449900097607</v>
      </c>
      <c r="AT102" s="206">
        <f t="shared" ref="AT102:BE102" si="229">+AT100-AT101</f>
        <v>-669.08324762419215</v>
      </c>
      <c r="AU102" s="204">
        <f t="shared" si="229"/>
        <v>-833.40094595326991</v>
      </c>
      <c r="AV102" s="204">
        <f t="shared" si="229"/>
        <v>-851.83751545150699</v>
      </c>
      <c r="AW102" s="204">
        <f t="shared" si="229"/>
        <v>-864.76401570185953</v>
      </c>
      <c r="AX102" s="204">
        <f t="shared" si="229"/>
        <v>-872.0763701249507</v>
      </c>
      <c r="AY102" s="204">
        <f t="shared" si="229"/>
        <v>-110873.71570394257</v>
      </c>
      <c r="AZ102" s="204">
        <f t="shared" si="229"/>
        <v>-869.66881820273193</v>
      </c>
      <c r="BA102" s="204">
        <f t="shared" si="229"/>
        <v>-859.96829604987397</v>
      </c>
      <c r="BB102" s="204">
        <f t="shared" si="229"/>
        <v>-844.69224038456559</v>
      </c>
      <c r="BC102" s="204">
        <f t="shared" si="229"/>
        <v>-823.96364502484175</v>
      </c>
      <c r="BD102" s="204">
        <f t="shared" si="229"/>
        <v>-589.58060585670501</v>
      </c>
      <c r="BE102" s="205">
        <f t="shared" si="229"/>
        <v>-566.85896997614509</v>
      </c>
      <c r="BF102" s="112">
        <f>SUM(AT102:BE102)</f>
        <v>-119519.61037429322</v>
      </c>
      <c r="BG102" s="206">
        <f t="shared" ref="BG102:BR102" si="230">+BG100-BG101</f>
        <v>-546.82934825529992</v>
      </c>
      <c r="BH102" s="204">
        <f t="shared" si="230"/>
        <v>-702.65251668127894</v>
      </c>
      <c r="BI102" s="204">
        <f t="shared" si="230"/>
        <v>-482.4745387122839</v>
      </c>
      <c r="BJ102" s="204">
        <f t="shared" si="230"/>
        <v>-641.03674382529243</v>
      </c>
      <c r="BK102" s="204">
        <f t="shared" si="230"/>
        <v>-612.75961648119664</v>
      </c>
      <c r="BL102" s="204">
        <f t="shared" si="230"/>
        <v>-580.75851248269373</v>
      </c>
      <c r="BM102" s="204">
        <f t="shared" si="230"/>
        <v>-545.29108590283886</v>
      </c>
      <c r="BN102" s="204">
        <f t="shared" si="230"/>
        <v>-506.64289960593942</v>
      </c>
      <c r="BO102" s="204">
        <f t="shared" si="230"/>
        <v>-465.12512606329256</v>
      </c>
      <c r="BP102" s="204">
        <f t="shared" si="230"/>
        <v>-76.072041975411594</v>
      </c>
      <c r="BQ102" s="204">
        <f t="shared" si="230"/>
        <v>-390.61155621247644</v>
      </c>
      <c r="BR102" s="205">
        <f t="shared" si="230"/>
        <v>78236.011081304619</v>
      </c>
      <c r="BS102" s="112">
        <f>SUM(BG102:BR102)</f>
        <v>72685.757095106615</v>
      </c>
      <c r="BT102" s="205">
        <f>+BT100-BT101</f>
        <v>329386.8455</v>
      </c>
      <c r="BU102" s="98">
        <f t="shared" si="200"/>
        <v>259656.4889043227</v>
      </c>
      <c r="BV102" s="99">
        <f>+E102</f>
        <v>257556.03070426558</v>
      </c>
      <c r="BW102" s="100">
        <f>+BV102-BU102</f>
        <v>-2100.4582000571245</v>
      </c>
    </row>
    <row r="103" spans="1:76" ht="6" customHeight="1"/>
    <row r="104" spans="1:76" ht="15" customHeight="1">
      <c r="A104" s="587" t="s">
        <v>114</v>
      </c>
      <c r="B104" s="588"/>
      <c r="C104" s="199" t="s">
        <v>62</v>
      </c>
      <c r="D104" s="237"/>
      <c r="E104" s="153">
        <f t="shared" ref="E104:R105" si="231">+E100-E90</f>
        <v>494420.70657900115</v>
      </c>
      <c r="F104" s="153">
        <f t="shared" si="231"/>
        <v>29206.77281584169</v>
      </c>
      <c r="G104" s="154">
        <f t="shared" si="231"/>
        <v>2410.7997037403265</v>
      </c>
      <c r="H104" s="155">
        <f t="shared" si="231"/>
        <v>2585.0402174300257</v>
      </c>
      <c r="I104" s="155">
        <f t="shared" si="231"/>
        <v>1643.8650660652925</v>
      </c>
      <c r="J104" s="155">
        <f t="shared" si="231"/>
        <v>1095.5899310270734</v>
      </c>
      <c r="K104" s="155">
        <f t="shared" si="231"/>
        <v>938.78216480686694</v>
      </c>
      <c r="L104" s="155">
        <f t="shared" si="231"/>
        <v>2572.7344891643515</v>
      </c>
      <c r="M104" s="155">
        <f t="shared" si="231"/>
        <v>1109.6345537773993</v>
      </c>
      <c r="N104" s="155">
        <f t="shared" si="231"/>
        <v>987.25992968013099</v>
      </c>
      <c r="O104" s="155">
        <f t="shared" si="231"/>
        <v>1113.1959705685508</v>
      </c>
      <c r="P104" s="155">
        <f t="shared" si="231"/>
        <v>1618.7782407976811</v>
      </c>
      <c r="Q104" s="155">
        <f t="shared" si="231"/>
        <v>1762.3661175742091</v>
      </c>
      <c r="R104" s="156">
        <f t="shared" si="231"/>
        <v>2230.6440503855151</v>
      </c>
      <c r="S104" s="157">
        <f>SUM(G104:R104)</f>
        <v>20068.690435017426</v>
      </c>
      <c r="T104" s="154">
        <f>+T100-T90</f>
        <v>24942.340098376142</v>
      </c>
      <c r="U104" s="155">
        <f t="shared" ref="U104:AE105" si="232">+U100-U90</f>
        <v>28135.231307125727</v>
      </c>
      <c r="V104" s="155">
        <f t="shared" si="232"/>
        <v>32320.683788886563</v>
      </c>
      <c r="W104" s="155">
        <f t="shared" si="232"/>
        <v>4269.0164109598818</v>
      </c>
      <c r="X104" s="155">
        <f t="shared" si="232"/>
        <v>3791.5074626274804</v>
      </c>
      <c r="Y104" s="155">
        <f t="shared" si="232"/>
        <v>4249.5844504615297</v>
      </c>
      <c r="Z104" s="155">
        <f t="shared" si="232"/>
        <v>3543.1453029760869</v>
      </c>
      <c r="AA104" s="155">
        <f t="shared" si="232"/>
        <v>4419.2769523750376</v>
      </c>
      <c r="AB104" s="155">
        <f t="shared" si="232"/>
        <v>5169.2467105383876</v>
      </c>
      <c r="AC104" s="155">
        <f t="shared" si="232"/>
        <v>4601.2047186031896</v>
      </c>
      <c r="AD104" s="155">
        <f t="shared" si="232"/>
        <v>4569.4662492483758</v>
      </c>
      <c r="AE104" s="167">
        <f t="shared" si="232"/>
        <v>6206.6680981636255</v>
      </c>
      <c r="AF104" s="157">
        <f>SUM(T104:AE104)</f>
        <v>126217.37155034202</v>
      </c>
      <c r="AG104" s="154">
        <f>+AG100-AG90</f>
        <v>5916.2493922343392</v>
      </c>
      <c r="AH104" s="155">
        <f t="shared" ref="AH104:AR105" si="233">+AH100-AH90</f>
        <v>5183.0097242681486</v>
      </c>
      <c r="AI104" s="155">
        <f t="shared" si="233"/>
        <v>5855.9641239146868</v>
      </c>
      <c r="AJ104" s="155">
        <f t="shared" si="233"/>
        <v>6483.1223809040875</v>
      </c>
      <c r="AK104" s="155">
        <f t="shared" si="233"/>
        <v>7059.4349857144716</v>
      </c>
      <c r="AL104" s="155">
        <f t="shared" si="233"/>
        <v>8380.2618081177843</v>
      </c>
      <c r="AM104" s="155">
        <f t="shared" si="233"/>
        <v>8041.4094567816683</v>
      </c>
      <c r="AN104" s="155">
        <f t="shared" si="233"/>
        <v>8439.1650419893631</v>
      </c>
      <c r="AO104" s="155">
        <f t="shared" si="233"/>
        <v>9370.3260696451707</v>
      </c>
      <c r="AP104" s="155">
        <f t="shared" si="233"/>
        <v>9032.2262258740084</v>
      </c>
      <c r="AQ104" s="155">
        <f t="shared" si="233"/>
        <v>9436.0419693098102</v>
      </c>
      <c r="AR104" s="156">
        <f t="shared" si="233"/>
        <v>10448.52201302621</v>
      </c>
      <c r="AS104" s="157">
        <f>SUM(AG104:AR104)</f>
        <v>93645.733191779756</v>
      </c>
      <c r="AT104" s="154">
        <f>+AT100-AT90</f>
        <v>10442.013501987101</v>
      </c>
      <c r="AU104" s="155">
        <f t="shared" ref="AU104:BE105" si="234">+AU100-AU90</f>
        <v>10822.784675252335</v>
      </c>
      <c r="AV104" s="155">
        <f t="shared" si="234"/>
        <v>11117.769787224141</v>
      </c>
      <c r="AW104" s="155">
        <f t="shared" si="234"/>
        <v>11324.593791229774</v>
      </c>
      <c r="AX104" s="155">
        <f t="shared" si="234"/>
        <v>11441.591461999255</v>
      </c>
      <c r="AY104" s="155">
        <f t="shared" si="234"/>
        <v>11467.820803081109</v>
      </c>
      <c r="AZ104" s="155">
        <f t="shared" si="234"/>
        <v>11403.070631243756</v>
      </c>
      <c r="BA104" s="155">
        <f t="shared" si="234"/>
        <v>11247.862276798012</v>
      </c>
      <c r="BB104" s="155">
        <f t="shared" si="234"/>
        <v>11003.44538615306</v>
      </c>
      <c r="BC104" s="155">
        <f t="shared" si="234"/>
        <v>10671.787860397508</v>
      </c>
      <c r="BD104" s="155">
        <f t="shared" si="234"/>
        <v>10255.560010917361</v>
      </c>
      <c r="BE104" s="156">
        <f t="shared" si="234"/>
        <v>9758.1130596183903</v>
      </c>
      <c r="BF104" s="157">
        <f>SUM(AT104:BE104)</f>
        <v>130956.41324590181</v>
      </c>
      <c r="BG104" s="154">
        <f>+BG100-BG90</f>
        <v>9226.9163334070618</v>
      </c>
      <c r="BH104" s="155">
        <f t="shared" ref="BH104:BR105" si="235">+BH100-BH90</f>
        <v>8732.8840269004831</v>
      </c>
      <c r="BI104" s="155">
        <f t="shared" si="235"/>
        <v>8610.036379396528</v>
      </c>
      <c r="BJ104" s="155">
        <f t="shared" si="235"/>
        <v>8020.8287012046876</v>
      </c>
      <c r="BK104" s="155">
        <f t="shared" si="235"/>
        <v>7568.3946636991495</v>
      </c>
      <c r="BL104" s="155">
        <f t="shared" si="235"/>
        <v>7056.3769997231138</v>
      </c>
      <c r="BM104" s="155">
        <f t="shared" si="235"/>
        <v>6488.8981744454268</v>
      </c>
      <c r="BN104" s="155">
        <f t="shared" si="235"/>
        <v>5870.527193695033</v>
      </c>
      <c r="BO104" s="155">
        <f t="shared" si="235"/>
        <v>5206.2428170126923</v>
      </c>
      <c r="BP104" s="155">
        <f t="shared" si="235"/>
        <v>4846.393471606576</v>
      </c>
      <c r="BQ104" s="155">
        <f t="shared" si="235"/>
        <v>4014.0256993996386</v>
      </c>
      <c r="BR104" s="156">
        <f t="shared" si="235"/>
        <v>3848.063499126074</v>
      </c>
      <c r="BS104" s="157">
        <f>SUM(BG104:BR104)</f>
        <v>79489.58795961646</v>
      </c>
      <c r="BT104" s="280">
        <f>+BT100-BT90</f>
        <v>16958</v>
      </c>
      <c r="BU104" s="159">
        <f t="shared" si="200"/>
        <v>496542.56919849914</v>
      </c>
      <c r="BV104" s="160">
        <f>+E104</f>
        <v>494420.70657900115</v>
      </c>
      <c r="BW104" s="161">
        <f>+BV104-BU104</f>
        <v>-2121.8626194979879</v>
      </c>
    </row>
    <row r="105" spans="1:76" ht="15" customHeight="1">
      <c r="A105" s="589"/>
      <c r="B105" s="590"/>
      <c r="C105" s="200" t="s">
        <v>63</v>
      </c>
      <c r="D105" s="238"/>
      <c r="E105" s="136">
        <f t="shared" si="231"/>
        <v>433754.17587473558</v>
      </c>
      <c r="F105" s="136">
        <f t="shared" si="231"/>
        <v>21391.48893720295</v>
      </c>
      <c r="G105" s="137">
        <f t="shared" si="231"/>
        <v>1884.9120027515046</v>
      </c>
      <c r="H105" s="138">
        <f t="shared" si="231"/>
        <v>1585.3505390024525</v>
      </c>
      <c r="I105" s="138">
        <f t="shared" si="231"/>
        <v>2036.3751054553261</v>
      </c>
      <c r="J105" s="138">
        <f t="shared" si="231"/>
        <v>1154.8133418564673</v>
      </c>
      <c r="K105" s="138">
        <f t="shared" si="231"/>
        <v>2062.1812125751076</v>
      </c>
      <c r="L105" s="138">
        <f t="shared" si="231"/>
        <v>1125.7988690745888</v>
      </c>
      <c r="M105" s="138">
        <f t="shared" si="231"/>
        <v>1483.1628414130669</v>
      </c>
      <c r="N105" s="138">
        <f t="shared" si="231"/>
        <v>1355.1468272740842</v>
      </c>
      <c r="O105" s="138">
        <f t="shared" si="231"/>
        <v>1807.073808430654</v>
      </c>
      <c r="P105" s="138">
        <f t="shared" si="231"/>
        <v>1657.3494839552386</v>
      </c>
      <c r="Q105" s="138">
        <f t="shared" si="231"/>
        <v>1629.0055016001079</v>
      </c>
      <c r="R105" s="139">
        <f t="shared" si="231"/>
        <v>1408.2139919728197</v>
      </c>
      <c r="S105" s="162">
        <f>SUM(G105:R105)</f>
        <v>19189.383525361416</v>
      </c>
      <c r="T105" s="137">
        <f>+T101-T91</f>
        <v>1032.4303453814659</v>
      </c>
      <c r="U105" s="138">
        <f t="shared" si="232"/>
        <v>3582.0352405107328</v>
      </c>
      <c r="V105" s="138">
        <f t="shared" si="232"/>
        <v>1398.2115938417837</v>
      </c>
      <c r="W105" s="138">
        <f t="shared" si="232"/>
        <v>3525.669461054189</v>
      </c>
      <c r="X105" s="138">
        <f t="shared" si="232"/>
        <v>4345.7279445519434</v>
      </c>
      <c r="Y105" s="138">
        <f t="shared" si="232"/>
        <v>3958.0185137681838</v>
      </c>
      <c r="Z105" s="138">
        <f t="shared" si="232"/>
        <v>3904.4847933578344</v>
      </c>
      <c r="AA105" s="138">
        <f t="shared" si="232"/>
        <v>4212.973584799729</v>
      </c>
      <c r="AB105" s="138">
        <f t="shared" si="232"/>
        <v>4756.3656105448499</v>
      </c>
      <c r="AC105" s="138">
        <f t="shared" si="232"/>
        <v>5019.4637778412316</v>
      </c>
      <c r="AD105" s="138">
        <f t="shared" si="232"/>
        <v>5178.7022418887527</v>
      </c>
      <c r="AE105" s="168">
        <f t="shared" si="232"/>
        <v>6353.9326474891777</v>
      </c>
      <c r="AF105" s="162">
        <f>SUM(T105:AE105)</f>
        <v>47268.015755029875</v>
      </c>
      <c r="AG105" s="137">
        <f>+AG101-AG91</f>
        <v>6170.1625623603695</v>
      </c>
      <c r="AH105" s="138">
        <f t="shared" si="233"/>
        <v>6200.6586495349075</v>
      </c>
      <c r="AI105" s="138">
        <f t="shared" si="233"/>
        <v>6525.672699159355</v>
      </c>
      <c r="AJ105" s="138">
        <f t="shared" si="233"/>
        <v>7582.0283472105921</v>
      </c>
      <c r="AK105" s="138">
        <f t="shared" si="233"/>
        <v>7804.3604898216263</v>
      </c>
      <c r="AL105" s="138">
        <f t="shared" si="233"/>
        <v>8357.738988625144</v>
      </c>
      <c r="AM105" s="138">
        <f t="shared" si="233"/>
        <v>9237.7083653305235</v>
      </c>
      <c r="AN105" s="138">
        <f t="shared" si="233"/>
        <v>9270.3236746136972</v>
      </c>
      <c r="AO105" s="138">
        <f t="shared" si="233"/>
        <v>9622.1822664979918</v>
      </c>
      <c r="AP105" s="138">
        <f t="shared" si="233"/>
        <v>10420.451182491131</v>
      </c>
      <c r="AQ105" s="138">
        <f t="shared" si="233"/>
        <v>10329.50540989167</v>
      </c>
      <c r="AR105" s="139">
        <f t="shared" si="233"/>
        <v>10905.890456340348</v>
      </c>
      <c r="AS105" s="162">
        <f>SUM(AG105:AR105)</f>
        <v>102426.68309187736</v>
      </c>
      <c r="AT105" s="137">
        <f>+AT101-AT91</f>
        <v>11111.096749611293</v>
      </c>
      <c r="AU105" s="138">
        <f t="shared" si="234"/>
        <v>11656.185621205605</v>
      </c>
      <c r="AV105" s="138">
        <f t="shared" si="234"/>
        <v>11969.607302675648</v>
      </c>
      <c r="AW105" s="138">
        <f t="shared" si="234"/>
        <v>12189.357806931634</v>
      </c>
      <c r="AX105" s="138">
        <f t="shared" si="234"/>
        <v>12313.667832124205</v>
      </c>
      <c r="AY105" s="138">
        <f t="shared" si="234"/>
        <v>12341.536507023673</v>
      </c>
      <c r="AZ105" s="138">
        <f t="shared" si="234"/>
        <v>12272.739449446488</v>
      </c>
      <c r="BA105" s="138">
        <f t="shared" si="234"/>
        <v>12107.830572847886</v>
      </c>
      <c r="BB105" s="138">
        <f t="shared" si="234"/>
        <v>11848.137626537626</v>
      </c>
      <c r="BC105" s="138">
        <f t="shared" si="234"/>
        <v>11495.75150542235</v>
      </c>
      <c r="BD105" s="138">
        <f t="shared" si="234"/>
        <v>10845.140616774066</v>
      </c>
      <c r="BE105" s="139">
        <f t="shared" si="234"/>
        <v>10324.972029594535</v>
      </c>
      <c r="BF105" s="162">
        <f>SUM(AT105:BE105)</f>
        <v>140476.02362019502</v>
      </c>
      <c r="BG105" s="137">
        <f>+BG101-BG91</f>
        <v>9773.7456816623617</v>
      </c>
      <c r="BH105" s="138">
        <f t="shared" si="235"/>
        <v>9435.5365435817621</v>
      </c>
      <c r="BI105" s="138">
        <f t="shared" si="235"/>
        <v>9092.5109181088119</v>
      </c>
      <c r="BJ105" s="138">
        <f t="shared" si="235"/>
        <v>8661.86544502998</v>
      </c>
      <c r="BK105" s="138">
        <f t="shared" si="235"/>
        <v>8181.1542801803462</v>
      </c>
      <c r="BL105" s="138">
        <f t="shared" si="235"/>
        <v>7637.1355122058076</v>
      </c>
      <c r="BM105" s="138">
        <f t="shared" si="235"/>
        <v>7034.1892603482656</v>
      </c>
      <c r="BN105" s="138">
        <f t="shared" si="235"/>
        <v>6377.1700933009724</v>
      </c>
      <c r="BO105" s="138">
        <f t="shared" si="235"/>
        <v>5671.3679430759848</v>
      </c>
      <c r="BP105" s="138">
        <f t="shared" si="235"/>
        <v>4922.4655135819876</v>
      </c>
      <c r="BQ105" s="138">
        <f t="shared" si="235"/>
        <v>4404.637255612115</v>
      </c>
      <c r="BR105" s="139">
        <f t="shared" si="235"/>
        <v>4122.0524178214564</v>
      </c>
      <c r="BS105" s="162">
        <f>SUM(BG105:BR105)</f>
        <v>85313.830864509859</v>
      </c>
      <c r="BT105" s="279">
        <f>+BT101-BT91</f>
        <v>17710.154500000001</v>
      </c>
      <c r="BU105" s="90">
        <f t="shared" si="200"/>
        <v>433775.58029417647</v>
      </c>
      <c r="BV105" s="91">
        <f>+E105</f>
        <v>433754.17587473558</v>
      </c>
      <c r="BW105" s="92">
        <f>+BV105-BU105</f>
        <v>-21.404419440892525</v>
      </c>
      <c r="BX105" s="64">
        <f>+BU105/BU104</f>
        <v>0.87359192786705309</v>
      </c>
    </row>
    <row r="106" spans="1:76" ht="15" customHeight="1">
      <c r="A106" s="591"/>
      <c r="B106" s="592"/>
      <c r="C106" s="201" t="s">
        <v>11</v>
      </c>
      <c r="D106" s="239"/>
      <c r="E106" s="202">
        <f t="shared" ref="E106:R106" si="236">+E104-E105</f>
        <v>60666.530704265577</v>
      </c>
      <c r="F106" s="203">
        <f t="shared" si="236"/>
        <v>7815.2838786387401</v>
      </c>
      <c r="G106" s="204">
        <f t="shared" si="236"/>
        <v>525.88770098882196</v>
      </c>
      <c r="H106" s="204">
        <f t="shared" si="236"/>
        <v>999.6896784275732</v>
      </c>
      <c r="I106" s="204">
        <f t="shared" si="236"/>
        <v>-392.51003939003363</v>
      </c>
      <c r="J106" s="204">
        <f t="shared" si="236"/>
        <v>-59.22341082939397</v>
      </c>
      <c r="K106" s="204">
        <f t="shared" si="236"/>
        <v>-1123.3990477682405</v>
      </c>
      <c r="L106" s="204">
        <f t="shared" si="236"/>
        <v>1446.9356200897628</v>
      </c>
      <c r="M106" s="204">
        <f t="shared" si="236"/>
        <v>-373.52828763566754</v>
      </c>
      <c r="N106" s="204">
        <f t="shared" si="236"/>
        <v>-367.88689759395322</v>
      </c>
      <c r="O106" s="204">
        <f t="shared" si="236"/>
        <v>-693.87783786210321</v>
      </c>
      <c r="P106" s="204">
        <f t="shared" si="236"/>
        <v>-38.571243157557547</v>
      </c>
      <c r="Q106" s="204">
        <f t="shared" si="236"/>
        <v>133.36061597410117</v>
      </c>
      <c r="R106" s="205">
        <f t="shared" si="236"/>
        <v>822.43005841269542</v>
      </c>
      <c r="S106" s="112">
        <f>SUM(G106:R106)</f>
        <v>879.3069096560049</v>
      </c>
      <c r="T106" s="206">
        <f t="shared" ref="T106:AE106" si="237">+T104-T105</f>
        <v>23909.909752994678</v>
      </c>
      <c r="U106" s="204">
        <f t="shared" si="237"/>
        <v>24553.196066614993</v>
      </c>
      <c r="V106" s="204">
        <f t="shared" si="237"/>
        <v>30922.472195044778</v>
      </c>
      <c r="W106" s="204">
        <f t="shared" si="237"/>
        <v>743.34694990569278</v>
      </c>
      <c r="X106" s="204">
        <f t="shared" si="237"/>
        <v>-554.220481924463</v>
      </c>
      <c r="Y106" s="204">
        <f t="shared" si="237"/>
        <v>291.56593669334598</v>
      </c>
      <c r="Z106" s="204">
        <f t="shared" si="237"/>
        <v>-361.33949038174751</v>
      </c>
      <c r="AA106" s="204">
        <f t="shared" si="237"/>
        <v>206.30336757530858</v>
      </c>
      <c r="AB106" s="204">
        <f t="shared" si="237"/>
        <v>412.88109999353765</v>
      </c>
      <c r="AC106" s="204">
        <f t="shared" si="237"/>
        <v>-418.25905923804203</v>
      </c>
      <c r="AD106" s="204">
        <f t="shared" si="237"/>
        <v>-609.23599264037694</v>
      </c>
      <c r="AE106" s="205">
        <f t="shared" si="237"/>
        <v>-147.26454932555225</v>
      </c>
      <c r="AF106" s="112">
        <f>SUM(T106:AE106)</f>
        <v>78949.355795312149</v>
      </c>
      <c r="AG106" s="206">
        <f t="shared" ref="AG106:AR106" si="238">+AG104-AG105</f>
        <v>-253.91317012603031</v>
      </c>
      <c r="AH106" s="204">
        <f t="shared" si="238"/>
        <v>-1017.6489252667589</v>
      </c>
      <c r="AI106" s="204">
        <f t="shared" si="238"/>
        <v>-669.70857524466828</v>
      </c>
      <c r="AJ106" s="204">
        <f t="shared" si="238"/>
        <v>-1098.9059663065045</v>
      </c>
      <c r="AK106" s="204">
        <f t="shared" si="238"/>
        <v>-744.92550410715467</v>
      </c>
      <c r="AL106" s="204">
        <f t="shared" si="238"/>
        <v>22.522819492640338</v>
      </c>
      <c r="AM106" s="204">
        <f t="shared" si="238"/>
        <v>-1196.2989085488553</v>
      </c>
      <c r="AN106" s="204">
        <f t="shared" si="238"/>
        <v>-831.15863262433413</v>
      </c>
      <c r="AO106" s="204">
        <f t="shared" si="238"/>
        <v>-251.85619685282109</v>
      </c>
      <c r="AP106" s="204">
        <f t="shared" si="238"/>
        <v>-1388.2249566171231</v>
      </c>
      <c r="AQ106" s="204">
        <f t="shared" si="238"/>
        <v>-893.46344058185969</v>
      </c>
      <c r="AR106" s="205">
        <f t="shared" si="238"/>
        <v>-457.36844331413886</v>
      </c>
      <c r="AS106" s="112">
        <f>SUM(AG106:AR106)</f>
        <v>-8780.9499000976084</v>
      </c>
      <c r="AT106" s="206">
        <f t="shared" ref="AT106:BE106" si="239">+AT104-AT105</f>
        <v>-669.08324762419215</v>
      </c>
      <c r="AU106" s="204">
        <f t="shared" si="239"/>
        <v>-833.40094595326991</v>
      </c>
      <c r="AV106" s="204">
        <f t="shared" si="239"/>
        <v>-851.83751545150699</v>
      </c>
      <c r="AW106" s="204">
        <f t="shared" si="239"/>
        <v>-864.76401570185953</v>
      </c>
      <c r="AX106" s="204">
        <f t="shared" si="239"/>
        <v>-872.0763701249507</v>
      </c>
      <c r="AY106" s="204">
        <f t="shared" si="239"/>
        <v>-873.71570394256378</v>
      </c>
      <c r="AZ106" s="204">
        <f t="shared" si="239"/>
        <v>-869.66881820273193</v>
      </c>
      <c r="BA106" s="204">
        <f t="shared" si="239"/>
        <v>-859.96829604987397</v>
      </c>
      <c r="BB106" s="204">
        <f t="shared" si="239"/>
        <v>-844.69224038456559</v>
      </c>
      <c r="BC106" s="204">
        <f t="shared" si="239"/>
        <v>-823.96364502484175</v>
      </c>
      <c r="BD106" s="204">
        <f t="shared" si="239"/>
        <v>-589.58060585670501</v>
      </c>
      <c r="BE106" s="205">
        <f t="shared" si="239"/>
        <v>-566.85896997614509</v>
      </c>
      <c r="BF106" s="112">
        <f>SUM(AT106:BE106)</f>
        <v>-9519.6103742932064</v>
      </c>
      <c r="BG106" s="206">
        <f t="shared" ref="BG106:BR106" si="240">+BG104-BG105</f>
        <v>-546.82934825529992</v>
      </c>
      <c r="BH106" s="204">
        <f t="shared" si="240"/>
        <v>-702.65251668127894</v>
      </c>
      <c r="BI106" s="204">
        <f t="shared" si="240"/>
        <v>-482.4745387122839</v>
      </c>
      <c r="BJ106" s="204">
        <f t="shared" si="240"/>
        <v>-641.03674382529243</v>
      </c>
      <c r="BK106" s="204">
        <f t="shared" si="240"/>
        <v>-612.75961648119664</v>
      </c>
      <c r="BL106" s="204">
        <f t="shared" si="240"/>
        <v>-580.75851248269373</v>
      </c>
      <c r="BM106" s="204">
        <f t="shared" si="240"/>
        <v>-545.29108590283886</v>
      </c>
      <c r="BN106" s="204">
        <f t="shared" si="240"/>
        <v>-506.64289960593942</v>
      </c>
      <c r="BO106" s="204">
        <f t="shared" si="240"/>
        <v>-465.12512606329256</v>
      </c>
      <c r="BP106" s="204">
        <f t="shared" si="240"/>
        <v>-76.072041975411594</v>
      </c>
      <c r="BQ106" s="204">
        <f t="shared" si="240"/>
        <v>-390.61155621247644</v>
      </c>
      <c r="BR106" s="205">
        <f t="shared" si="240"/>
        <v>-273.98891869538238</v>
      </c>
      <c r="BS106" s="112">
        <f>SUM(BG106:BR106)</f>
        <v>-5824.2429048933864</v>
      </c>
      <c r="BT106" s="205">
        <f>+BT104-BT105</f>
        <v>-752.15450000000055</v>
      </c>
      <c r="BU106" s="98">
        <f t="shared" si="200"/>
        <v>62766.988904322701</v>
      </c>
      <c r="BV106" s="99">
        <f>+E106</f>
        <v>60666.530704265577</v>
      </c>
      <c r="BW106" s="100">
        <f>+BV106-BU106</f>
        <v>-2100.4582000571245</v>
      </c>
    </row>
    <row r="107" spans="1:76" ht="15" customHeight="1">
      <c r="A107" s="257"/>
      <c r="B107" s="257"/>
      <c r="C107" s="54"/>
      <c r="D107" s="54"/>
      <c r="E107" s="258"/>
      <c r="F107" s="256"/>
      <c r="G107" s="259"/>
      <c r="H107" s="259"/>
      <c r="I107" s="259"/>
      <c r="J107" s="259"/>
      <c r="K107" s="259"/>
      <c r="L107" s="259"/>
      <c r="M107" s="259"/>
      <c r="N107" s="259"/>
      <c r="O107" s="259"/>
      <c r="P107" s="259"/>
      <c r="Q107" s="259"/>
      <c r="R107" s="259"/>
      <c r="S107" s="256"/>
      <c r="T107" s="259"/>
      <c r="U107" s="259"/>
      <c r="V107" s="259"/>
      <c r="W107" s="259"/>
      <c r="X107" s="259"/>
      <c r="Y107" s="259"/>
      <c r="Z107" s="259"/>
      <c r="AA107" s="259"/>
      <c r="AB107" s="259"/>
      <c r="AC107" s="259"/>
      <c r="AD107" s="259"/>
      <c r="AE107" s="259"/>
      <c r="AF107" s="256"/>
      <c r="AG107" s="259"/>
      <c r="AH107" s="259"/>
      <c r="AI107" s="259"/>
      <c r="AJ107" s="259"/>
      <c r="AK107" s="259"/>
      <c r="AL107" s="259"/>
      <c r="AM107" s="259"/>
      <c r="AN107" s="259"/>
      <c r="AO107" s="259"/>
      <c r="AP107" s="259"/>
      <c r="AQ107" s="259"/>
      <c r="AR107" s="259"/>
      <c r="AS107" s="256"/>
      <c r="AT107" s="259"/>
      <c r="AU107" s="259"/>
      <c r="AV107" s="259"/>
      <c r="AW107" s="259"/>
      <c r="AX107" s="259"/>
      <c r="AY107" s="259"/>
      <c r="AZ107" s="259"/>
      <c r="BA107" s="259"/>
      <c r="BB107" s="259"/>
      <c r="BC107" s="259"/>
      <c r="BD107" s="259"/>
      <c r="BE107" s="259"/>
      <c r="BF107" s="256"/>
      <c r="BG107" s="259"/>
      <c r="BH107" s="259"/>
      <c r="BI107" s="259"/>
      <c r="BJ107" s="259"/>
      <c r="BK107" s="259"/>
      <c r="BL107" s="259"/>
      <c r="BM107" s="259"/>
      <c r="BN107" s="259"/>
      <c r="BO107" s="259"/>
      <c r="BP107" s="259"/>
      <c r="BQ107" s="259"/>
      <c r="BR107" s="259"/>
      <c r="BS107" s="256"/>
      <c r="BT107" s="259"/>
      <c r="BU107" s="260">
        <f>+F107+S107+AF107+AS107+BF107+BS107</f>
        <v>0</v>
      </c>
      <c r="BV107" s="260"/>
      <c r="BW107" s="260"/>
    </row>
    <row r="108" spans="1:76" ht="15" customHeight="1">
      <c r="A108" s="637" t="s">
        <v>125</v>
      </c>
      <c r="B108" s="546" t="s">
        <v>82</v>
      </c>
      <c r="C108" s="152" t="s">
        <v>62</v>
      </c>
      <c r="D108" s="232"/>
      <c r="E108" s="153">
        <f>+BU108</f>
        <v>160000</v>
      </c>
      <c r="F108" s="153"/>
      <c r="G108" s="154"/>
      <c r="H108" s="155"/>
      <c r="I108" s="155"/>
      <c r="J108" s="155"/>
      <c r="K108" s="155"/>
      <c r="L108" s="155"/>
      <c r="M108" s="155"/>
      <c r="N108" s="155"/>
      <c r="O108" s="155"/>
      <c r="P108" s="155"/>
      <c r="Q108" s="155"/>
      <c r="R108" s="156"/>
      <c r="S108" s="180">
        <f t="shared" ref="S108:S131" si="241">SUM(G108:R108)</f>
        <v>0</v>
      </c>
      <c r="T108" s="158"/>
      <c r="U108" s="155"/>
      <c r="V108" s="155"/>
      <c r="W108" s="155"/>
      <c r="X108" s="155"/>
      <c r="Y108" s="155"/>
      <c r="Z108" s="155"/>
      <c r="AA108" s="155"/>
      <c r="AB108" s="155"/>
      <c r="AC108" s="155"/>
      <c r="AD108" s="155"/>
      <c r="AE108" s="285">
        <v>30000</v>
      </c>
      <c r="AF108" s="180">
        <f t="shared" ref="AF108:AF131" si="242">SUM(T108:AE108)</f>
        <v>30000</v>
      </c>
      <c r="AG108" s="154"/>
      <c r="AH108" s="155"/>
      <c r="AI108" s="155"/>
      <c r="AJ108" s="155"/>
      <c r="AK108" s="155"/>
      <c r="AL108" s="155"/>
      <c r="AM108" s="155"/>
      <c r="AN108" s="155"/>
      <c r="AO108" s="155"/>
      <c r="AP108" s="155"/>
      <c r="AQ108" s="155"/>
      <c r="AR108" s="285">
        <v>30000</v>
      </c>
      <c r="AS108" s="180">
        <f t="shared" ref="AS108:AS131" si="243">SUM(AG108:AR108)</f>
        <v>30000</v>
      </c>
      <c r="AT108" s="158"/>
      <c r="AU108" s="155"/>
      <c r="AV108" s="155"/>
      <c r="AW108" s="155"/>
      <c r="AX108" s="283">
        <v>100000</v>
      </c>
      <c r="AY108" s="155"/>
      <c r="AZ108" s="155"/>
      <c r="BA108" s="155"/>
      <c r="BB108" s="155"/>
      <c r="BC108" s="155"/>
      <c r="BD108" s="155"/>
      <c r="BE108" s="156"/>
      <c r="BF108" s="180">
        <f t="shared" ref="BF108:BF131" si="244">SUM(AT108:BE108)</f>
        <v>100000</v>
      </c>
      <c r="BG108" s="158"/>
      <c r="BH108" s="155"/>
      <c r="BI108" s="155"/>
      <c r="BJ108" s="155"/>
      <c r="BK108" s="155"/>
      <c r="BL108" s="155"/>
      <c r="BM108" s="155"/>
      <c r="BN108" s="155"/>
      <c r="BO108" s="155"/>
      <c r="BP108" s="155"/>
      <c r="BQ108" s="155"/>
      <c r="BR108" s="156"/>
      <c r="BS108" s="180">
        <f t="shared" ref="BS108:BS131" si="245">SUM(BG108:BR108)</f>
        <v>0</v>
      </c>
      <c r="BT108" s="280"/>
      <c r="BU108" s="159">
        <f t="shared" si="200"/>
        <v>160000</v>
      </c>
      <c r="BV108" s="160">
        <f t="shared" ref="BV108:BV131" si="246">+E108</f>
        <v>160000</v>
      </c>
      <c r="BW108" s="161">
        <f t="shared" ref="BW108:BW131" si="247">+BV108-BU108</f>
        <v>0</v>
      </c>
    </row>
    <row r="109" spans="1:76" ht="15" customHeight="1">
      <c r="A109" s="638"/>
      <c r="B109" s="548"/>
      <c r="C109" s="135" t="s">
        <v>63</v>
      </c>
      <c r="D109" s="230"/>
      <c r="E109" s="136">
        <f>+BU109</f>
        <v>160000</v>
      </c>
      <c r="F109" s="136"/>
      <c r="G109" s="137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9"/>
      <c r="S109" s="140">
        <f t="shared" si="241"/>
        <v>0</v>
      </c>
      <c r="T109" s="141"/>
      <c r="U109" s="138"/>
      <c r="V109" s="138"/>
      <c r="W109" s="138"/>
      <c r="X109" s="138"/>
      <c r="Y109" s="138"/>
      <c r="Z109" s="138"/>
      <c r="AA109" s="138"/>
      <c r="AB109" s="138"/>
      <c r="AC109" s="138"/>
      <c r="AD109" s="138"/>
      <c r="AE109" s="139"/>
      <c r="AF109" s="140">
        <f t="shared" si="242"/>
        <v>0</v>
      </c>
      <c r="AG109" s="137"/>
      <c r="AH109" s="138"/>
      <c r="AI109" s="138"/>
      <c r="AJ109" s="138"/>
      <c r="AK109" s="138"/>
      <c r="AL109" s="138"/>
      <c r="AM109" s="138"/>
      <c r="AN109" s="138"/>
      <c r="AO109" s="138"/>
      <c r="AP109" s="138"/>
      <c r="AQ109" s="138"/>
      <c r="AR109" s="139"/>
      <c r="AS109" s="140">
        <f t="shared" si="243"/>
        <v>0</v>
      </c>
      <c r="AT109" s="141"/>
      <c r="AU109" s="138"/>
      <c r="AV109" s="138"/>
      <c r="AW109" s="138"/>
      <c r="AX109" s="138"/>
      <c r="AY109" s="138"/>
      <c r="AZ109" s="138"/>
      <c r="BA109" s="138"/>
      <c r="BB109" s="138"/>
      <c r="BC109" s="138"/>
      <c r="BD109" s="138"/>
      <c r="BE109" s="139"/>
      <c r="BF109" s="140">
        <f t="shared" si="244"/>
        <v>0</v>
      </c>
      <c r="BG109" s="141"/>
      <c r="BH109" s="138"/>
      <c r="BI109" s="138"/>
      <c r="BJ109" s="138"/>
      <c r="BK109" s="138"/>
      <c r="BL109" s="138"/>
      <c r="BM109" s="138"/>
      <c r="BN109" s="138"/>
      <c r="BO109" s="138"/>
      <c r="BP109" s="138"/>
      <c r="BQ109" s="138"/>
      <c r="BR109" s="139"/>
      <c r="BS109" s="140">
        <f t="shared" si="245"/>
        <v>0</v>
      </c>
      <c r="BT109" s="279">
        <v>160000</v>
      </c>
      <c r="BU109" s="90">
        <f t="shared" si="200"/>
        <v>160000</v>
      </c>
      <c r="BV109" s="91">
        <f t="shared" si="246"/>
        <v>160000</v>
      </c>
      <c r="BW109" s="92">
        <f t="shared" si="247"/>
        <v>0</v>
      </c>
      <c r="BX109" s="64"/>
    </row>
    <row r="110" spans="1:76" ht="15" customHeight="1">
      <c r="A110" s="638"/>
      <c r="B110" s="556"/>
      <c r="C110" s="142" t="s">
        <v>11</v>
      </c>
      <c r="D110" s="231"/>
      <c r="E110" s="143">
        <f t="shared" ref="E110:R110" si="248">+E108-E109</f>
        <v>0</v>
      </c>
      <c r="F110" s="144">
        <f t="shared" si="248"/>
        <v>0</v>
      </c>
      <c r="G110" s="145">
        <f t="shared" si="248"/>
        <v>0</v>
      </c>
      <c r="H110" s="145">
        <f t="shared" si="248"/>
        <v>0</v>
      </c>
      <c r="I110" s="145">
        <f t="shared" si="248"/>
        <v>0</v>
      </c>
      <c r="J110" s="145">
        <f t="shared" si="248"/>
        <v>0</v>
      </c>
      <c r="K110" s="145">
        <f t="shared" si="248"/>
        <v>0</v>
      </c>
      <c r="L110" s="145">
        <f t="shared" si="248"/>
        <v>0</v>
      </c>
      <c r="M110" s="145">
        <f t="shared" si="248"/>
        <v>0</v>
      </c>
      <c r="N110" s="145">
        <f t="shared" si="248"/>
        <v>0</v>
      </c>
      <c r="O110" s="145">
        <f t="shared" si="248"/>
        <v>0</v>
      </c>
      <c r="P110" s="145">
        <f t="shared" si="248"/>
        <v>0</v>
      </c>
      <c r="Q110" s="145">
        <f t="shared" si="248"/>
        <v>0</v>
      </c>
      <c r="R110" s="146">
        <f t="shared" si="248"/>
        <v>0</v>
      </c>
      <c r="S110" s="147">
        <f t="shared" si="241"/>
        <v>0</v>
      </c>
      <c r="T110" s="148">
        <f t="shared" ref="T110:AE110" si="249">+T108-T109</f>
        <v>0</v>
      </c>
      <c r="U110" s="145">
        <f t="shared" si="249"/>
        <v>0</v>
      </c>
      <c r="V110" s="145">
        <f t="shared" si="249"/>
        <v>0</v>
      </c>
      <c r="W110" s="145">
        <f t="shared" si="249"/>
        <v>0</v>
      </c>
      <c r="X110" s="145">
        <f t="shared" si="249"/>
        <v>0</v>
      </c>
      <c r="Y110" s="145">
        <f t="shared" si="249"/>
        <v>0</v>
      </c>
      <c r="Z110" s="145">
        <f t="shared" si="249"/>
        <v>0</v>
      </c>
      <c r="AA110" s="145">
        <f t="shared" si="249"/>
        <v>0</v>
      </c>
      <c r="AB110" s="145">
        <f t="shared" si="249"/>
        <v>0</v>
      </c>
      <c r="AC110" s="145">
        <f t="shared" si="249"/>
        <v>0</v>
      </c>
      <c r="AD110" s="145">
        <f t="shared" si="249"/>
        <v>0</v>
      </c>
      <c r="AE110" s="146">
        <f t="shared" si="249"/>
        <v>30000</v>
      </c>
      <c r="AF110" s="147">
        <f t="shared" si="242"/>
        <v>30000</v>
      </c>
      <c r="AG110" s="148">
        <f t="shared" ref="AG110:AR110" si="250">+AG108-AG109</f>
        <v>0</v>
      </c>
      <c r="AH110" s="145">
        <f t="shared" si="250"/>
        <v>0</v>
      </c>
      <c r="AI110" s="145">
        <f t="shared" si="250"/>
        <v>0</v>
      </c>
      <c r="AJ110" s="145">
        <f t="shared" si="250"/>
        <v>0</v>
      </c>
      <c r="AK110" s="145">
        <f t="shared" si="250"/>
        <v>0</v>
      </c>
      <c r="AL110" s="145">
        <f t="shared" si="250"/>
        <v>0</v>
      </c>
      <c r="AM110" s="145">
        <f t="shared" si="250"/>
        <v>0</v>
      </c>
      <c r="AN110" s="145">
        <f t="shared" si="250"/>
        <v>0</v>
      </c>
      <c r="AO110" s="145">
        <f t="shared" si="250"/>
        <v>0</v>
      </c>
      <c r="AP110" s="145">
        <f t="shared" si="250"/>
        <v>0</v>
      </c>
      <c r="AQ110" s="145">
        <f t="shared" si="250"/>
        <v>0</v>
      </c>
      <c r="AR110" s="146">
        <f t="shared" si="250"/>
        <v>30000</v>
      </c>
      <c r="AS110" s="147">
        <f t="shared" si="243"/>
        <v>30000</v>
      </c>
      <c r="AT110" s="148">
        <f t="shared" ref="AT110:BE110" si="251">+AT108-AT109</f>
        <v>0</v>
      </c>
      <c r="AU110" s="145">
        <f t="shared" si="251"/>
        <v>0</v>
      </c>
      <c r="AV110" s="145">
        <f t="shared" si="251"/>
        <v>0</v>
      </c>
      <c r="AW110" s="145">
        <f t="shared" si="251"/>
        <v>0</v>
      </c>
      <c r="AX110" s="145">
        <f t="shared" si="251"/>
        <v>100000</v>
      </c>
      <c r="AY110" s="145">
        <f t="shared" si="251"/>
        <v>0</v>
      </c>
      <c r="AZ110" s="145">
        <f t="shared" si="251"/>
        <v>0</v>
      </c>
      <c r="BA110" s="145">
        <f t="shared" si="251"/>
        <v>0</v>
      </c>
      <c r="BB110" s="145">
        <f t="shared" si="251"/>
        <v>0</v>
      </c>
      <c r="BC110" s="145">
        <f t="shared" si="251"/>
        <v>0</v>
      </c>
      <c r="BD110" s="145">
        <f t="shared" si="251"/>
        <v>0</v>
      </c>
      <c r="BE110" s="146">
        <f t="shared" si="251"/>
        <v>0</v>
      </c>
      <c r="BF110" s="147">
        <f t="shared" si="244"/>
        <v>100000</v>
      </c>
      <c r="BG110" s="148">
        <f t="shared" ref="BG110:BR110" si="252">+BG108-BG109</f>
        <v>0</v>
      </c>
      <c r="BH110" s="145">
        <f t="shared" si="252"/>
        <v>0</v>
      </c>
      <c r="BI110" s="145">
        <f t="shared" si="252"/>
        <v>0</v>
      </c>
      <c r="BJ110" s="145">
        <f t="shared" si="252"/>
        <v>0</v>
      </c>
      <c r="BK110" s="145">
        <f t="shared" si="252"/>
        <v>0</v>
      </c>
      <c r="BL110" s="145">
        <f t="shared" si="252"/>
        <v>0</v>
      </c>
      <c r="BM110" s="145">
        <f t="shared" si="252"/>
        <v>0</v>
      </c>
      <c r="BN110" s="145">
        <f t="shared" si="252"/>
        <v>0</v>
      </c>
      <c r="BO110" s="145">
        <f t="shared" si="252"/>
        <v>0</v>
      </c>
      <c r="BP110" s="145">
        <f t="shared" si="252"/>
        <v>0</v>
      </c>
      <c r="BQ110" s="145">
        <f t="shared" si="252"/>
        <v>0</v>
      </c>
      <c r="BR110" s="146">
        <f t="shared" si="252"/>
        <v>0</v>
      </c>
      <c r="BS110" s="147">
        <f t="shared" si="245"/>
        <v>0</v>
      </c>
      <c r="BT110" s="146">
        <f>+BT108-BT109</f>
        <v>-160000</v>
      </c>
      <c r="BU110" s="149">
        <f t="shared" si="200"/>
        <v>0</v>
      </c>
      <c r="BV110" s="150">
        <f t="shared" si="246"/>
        <v>0</v>
      </c>
      <c r="BW110" s="151">
        <f t="shared" si="247"/>
        <v>0</v>
      </c>
    </row>
    <row r="111" spans="1:76" ht="15" customHeight="1">
      <c r="A111" s="638"/>
      <c r="B111" s="546" t="s">
        <v>18</v>
      </c>
      <c r="C111" s="152" t="s">
        <v>62</v>
      </c>
      <c r="D111" s="235"/>
      <c r="E111" s="136">
        <f>+BU111</f>
        <v>0</v>
      </c>
      <c r="F111" s="128"/>
      <c r="G111" s="129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1"/>
      <c r="S111" s="132">
        <f t="shared" si="241"/>
        <v>0</v>
      </c>
      <c r="T111" s="133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1"/>
      <c r="AF111" s="132">
        <f t="shared" si="242"/>
        <v>0</v>
      </c>
      <c r="AG111" s="129"/>
      <c r="AH111" s="130"/>
      <c r="AI111" s="130"/>
      <c r="AJ111" s="130"/>
      <c r="AK111" s="130"/>
      <c r="AL111" s="130"/>
      <c r="AM111" s="130"/>
      <c r="AN111" s="130"/>
      <c r="AO111" s="130"/>
      <c r="AP111" s="130"/>
      <c r="AQ111" s="130"/>
      <c r="AR111" s="131"/>
      <c r="AS111" s="132">
        <f t="shared" si="243"/>
        <v>0</v>
      </c>
      <c r="AT111" s="133"/>
      <c r="AU111" s="130"/>
      <c r="AV111" s="130"/>
      <c r="AW111" s="130"/>
      <c r="AX111" s="130"/>
      <c r="AY111" s="130"/>
      <c r="AZ111" s="130"/>
      <c r="BA111" s="130"/>
      <c r="BB111" s="130"/>
      <c r="BC111" s="130"/>
      <c r="BD111" s="130"/>
      <c r="BE111" s="131"/>
      <c r="BF111" s="132">
        <f t="shared" si="244"/>
        <v>0</v>
      </c>
      <c r="BG111" s="133"/>
      <c r="BH111" s="130"/>
      <c r="BI111" s="130"/>
      <c r="BJ111" s="130"/>
      <c r="BK111" s="130"/>
      <c r="BL111" s="130"/>
      <c r="BM111" s="130"/>
      <c r="BN111" s="130"/>
      <c r="BO111" s="130"/>
      <c r="BP111" s="130"/>
      <c r="BQ111" s="130"/>
      <c r="BR111" s="131"/>
      <c r="BS111" s="132">
        <f t="shared" si="245"/>
        <v>0</v>
      </c>
      <c r="BT111" s="278"/>
      <c r="BU111" s="159">
        <f t="shared" si="200"/>
        <v>0</v>
      </c>
      <c r="BV111" s="160">
        <f t="shared" si="246"/>
        <v>0</v>
      </c>
      <c r="BW111" s="161">
        <f t="shared" si="247"/>
        <v>0</v>
      </c>
    </row>
    <row r="112" spans="1:76" ht="15" customHeight="1">
      <c r="A112" s="638"/>
      <c r="B112" s="548"/>
      <c r="C112" s="135" t="s">
        <v>63</v>
      </c>
      <c r="D112" s="233"/>
      <c r="E112" s="136">
        <f>+BU112</f>
        <v>0</v>
      </c>
      <c r="F112" s="136"/>
      <c r="G112" s="137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9"/>
      <c r="S112" s="140">
        <f t="shared" si="241"/>
        <v>0</v>
      </c>
      <c r="T112" s="141"/>
      <c r="U112" s="138"/>
      <c r="V112" s="138"/>
      <c r="W112" s="138"/>
      <c r="X112" s="138"/>
      <c r="Y112" s="138"/>
      <c r="Z112" s="138"/>
      <c r="AA112" s="138"/>
      <c r="AB112" s="138"/>
      <c r="AC112" s="138"/>
      <c r="AD112" s="138"/>
      <c r="AE112" s="139"/>
      <c r="AF112" s="140">
        <f t="shared" si="242"/>
        <v>0</v>
      </c>
      <c r="AG112" s="137"/>
      <c r="AH112" s="138"/>
      <c r="AI112" s="138"/>
      <c r="AJ112" s="138"/>
      <c r="AK112" s="138"/>
      <c r="AL112" s="138"/>
      <c r="AM112" s="138"/>
      <c r="AN112" s="138"/>
      <c r="AO112" s="138"/>
      <c r="AP112" s="138"/>
      <c r="AQ112" s="138"/>
      <c r="AR112" s="139"/>
      <c r="AS112" s="140">
        <f t="shared" si="243"/>
        <v>0</v>
      </c>
      <c r="AT112" s="141"/>
      <c r="AU112" s="138"/>
      <c r="AV112" s="138"/>
      <c r="AW112" s="138"/>
      <c r="AX112" s="138"/>
      <c r="AY112" s="138"/>
      <c r="AZ112" s="138"/>
      <c r="BA112" s="138"/>
      <c r="BB112" s="138"/>
      <c r="BC112" s="138"/>
      <c r="BD112" s="138"/>
      <c r="BE112" s="139"/>
      <c r="BF112" s="140">
        <f t="shared" si="244"/>
        <v>0</v>
      </c>
      <c r="BG112" s="141"/>
      <c r="BH112" s="138"/>
      <c r="BI112" s="138"/>
      <c r="BJ112" s="138"/>
      <c r="BK112" s="138"/>
      <c r="BL112" s="138"/>
      <c r="BM112" s="138"/>
      <c r="BN112" s="138"/>
      <c r="BO112" s="138"/>
      <c r="BP112" s="138"/>
      <c r="BQ112" s="138"/>
      <c r="BR112" s="139"/>
      <c r="BS112" s="140">
        <f t="shared" si="245"/>
        <v>0</v>
      </c>
      <c r="BT112" s="279"/>
      <c r="BU112" s="90">
        <f t="shared" si="200"/>
        <v>0</v>
      </c>
      <c r="BV112" s="91">
        <f t="shared" si="246"/>
        <v>0</v>
      </c>
      <c r="BW112" s="92">
        <f t="shared" si="247"/>
        <v>0</v>
      </c>
      <c r="BX112" s="64"/>
    </row>
    <row r="113" spans="1:76" ht="15" customHeight="1">
      <c r="A113" s="638"/>
      <c r="B113" s="556"/>
      <c r="C113" s="142" t="s">
        <v>11</v>
      </c>
      <c r="D113" s="234"/>
      <c r="E113" s="143">
        <f t="shared" ref="E113:R113" si="253">+E111-E112</f>
        <v>0</v>
      </c>
      <c r="F113" s="144">
        <f t="shared" si="253"/>
        <v>0</v>
      </c>
      <c r="G113" s="145">
        <f t="shared" si="253"/>
        <v>0</v>
      </c>
      <c r="H113" s="145">
        <f t="shared" si="253"/>
        <v>0</v>
      </c>
      <c r="I113" s="145">
        <f t="shared" si="253"/>
        <v>0</v>
      </c>
      <c r="J113" s="145">
        <f t="shared" si="253"/>
        <v>0</v>
      </c>
      <c r="K113" s="145">
        <f t="shared" si="253"/>
        <v>0</v>
      </c>
      <c r="L113" s="145">
        <f t="shared" si="253"/>
        <v>0</v>
      </c>
      <c r="M113" s="145">
        <f t="shared" si="253"/>
        <v>0</v>
      </c>
      <c r="N113" s="145">
        <f t="shared" si="253"/>
        <v>0</v>
      </c>
      <c r="O113" s="145">
        <f t="shared" si="253"/>
        <v>0</v>
      </c>
      <c r="P113" s="145">
        <f t="shared" si="253"/>
        <v>0</v>
      </c>
      <c r="Q113" s="145">
        <f t="shared" si="253"/>
        <v>0</v>
      </c>
      <c r="R113" s="146">
        <f t="shared" si="253"/>
        <v>0</v>
      </c>
      <c r="S113" s="147">
        <f t="shared" si="241"/>
        <v>0</v>
      </c>
      <c r="T113" s="148">
        <f t="shared" ref="T113:AE113" si="254">+T111-T112</f>
        <v>0</v>
      </c>
      <c r="U113" s="145">
        <f t="shared" si="254"/>
        <v>0</v>
      </c>
      <c r="V113" s="145">
        <f t="shared" si="254"/>
        <v>0</v>
      </c>
      <c r="W113" s="145">
        <f t="shared" si="254"/>
        <v>0</v>
      </c>
      <c r="X113" s="145">
        <f t="shared" si="254"/>
        <v>0</v>
      </c>
      <c r="Y113" s="145">
        <f t="shared" si="254"/>
        <v>0</v>
      </c>
      <c r="Z113" s="145">
        <f t="shared" si="254"/>
        <v>0</v>
      </c>
      <c r="AA113" s="145">
        <f t="shared" si="254"/>
        <v>0</v>
      </c>
      <c r="AB113" s="145">
        <f t="shared" si="254"/>
        <v>0</v>
      </c>
      <c r="AC113" s="145">
        <f t="shared" si="254"/>
        <v>0</v>
      </c>
      <c r="AD113" s="145">
        <f t="shared" si="254"/>
        <v>0</v>
      </c>
      <c r="AE113" s="146">
        <f t="shared" si="254"/>
        <v>0</v>
      </c>
      <c r="AF113" s="147">
        <f t="shared" si="242"/>
        <v>0</v>
      </c>
      <c r="AG113" s="148">
        <f t="shared" ref="AG113:AR113" si="255">+AG111-AG112</f>
        <v>0</v>
      </c>
      <c r="AH113" s="145">
        <f t="shared" si="255"/>
        <v>0</v>
      </c>
      <c r="AI113" s="145">
        <f t="shared" si="255"/>
        <v>0</v>
      </c>
      <c r="AJ113" s="145">
        <f t="shared" si="255"/>
        <v>0</v>
      </c>
      <c r="AK113" s="145">
        <f t="shared" si="255"/>
        <v>0</v>
      </c>
      <c r="AL113" s="145">
        <f t="shared" si="255"/>
        <v>0</v>
      </c>
      <c r="AM113" s="145">
        <f t="shared" si="255"/>
        <v>0</v>
      </c>
      <c r="AN113" s="145">
        <f t="shared" si="255"/>
        <v>0</v>
      </c>
      <c r="AO113" s="145">
        <f t="shared" si="255"/>
        <v>0</v>
      </c>
      <c r="AP113" s="145">
        <f t="shared" si="255"/>
        <v>0</v>
      </c>
      <c r="AQ113" s="145">
        <f t="shared" si="255"/>
        <v>0</v>
      </c>
      <c r="AR113" s="146">
        <f t="shared" si="255"/>
        <v>0</v>
      </c>
      <c r="AS113" s="147">
        <f t="shared" si="243"/>
        <v>0</v>
      </c>
      <c r="AT113" s="148">
        <f t="shared" ref="AT113:BE113" si="256">+AT111-AT112</f>
        <v>0</v>
      </c>
      <c r="AU113" s="145">
        <f t="shared" si="256"/>
        <v>0</v>
      </c>
      <c r="AV113" s="145">
        <f t="shared" si="256"/>
        <v>0</v>
      </c>
      <c r="AW113" s="145">
        <f t="shared" si="256"/>
        <v>0</v>
      </c>
      <c r="AX113" s="145">
        <f t="shared" si="256"/>
        <v>0</v>
      </c>
      <c r="AY113" s="145">
        <f t="shared" si="256"/>
        <v>0</v>
      </c>
      <c r="AZ113" s="145">
        <f t="shared" si="256"/>
        <v>0</v>
      </c>
      <c r="BA113" s="145">
        <f t="shared" si="256"/>
        <v>0</v>
      </c>
      <c r="BB113" s="145">
        <f t="shared" si="256"/>
        <v>0</v>
      </c>
      <c r="BC113" s="145">
        <f t="shared" si="256"/>
        <v>0</v>
      </c>
      <c r="BD113" s="145">
        <f t="shared" si="256"/>
        <v>0</v>
      </c>
      <c r="BE113" s="146">
        <f t="shared" si="256"/>
        <v>0</v>
      </c>
      <c r="BF113" s="147">
        <f t="shared" si="244"/>
        <v>0</v>
      </c>
      <c r="BG113" s="148">
        <f t="shared" ref="BG113:BR113" si="257">+BG111-BG112</f>
        <v>0</v>
      </c>
      <c r="BH113" s="145">
        <f t="shared" si="257"/>
        <v>0</v>
      </c>
      <c r="BI113" s="145">
        <f t="shared" si="257"/>
        <v>0</v>
      </c>
      <c r="BJ113" s="145">
        <f t="shared" si="257"/>
        <v>0</v>
      </c>
      <c r="BK113" s="145">
        <f t="shared" si="257"/>
        <v>0</v>
      </c>
      <c r="BL113" s="145">
        <f t="shared" si="257"/>
        <v>0</v>
      </c>
      <c r="BM113" s="145">
        <f t="shared" si="257"/>
        <v>0</v>
      </c>
      <c r="BN113" s="145">
        <f t="shared" si="257"/>
        <v>0</v>
      </c>
      <c r="BO113" s="145">
        <f t="shared" si="257"/>
        <v>0</v>
      </c>
      <c r="BP113" s="145">
        <f t="shared" si="257"/>
        <v>0</v>
      </c>
      <c r="BQ113" s="145">
        <f t="shared" si="257"/>
        <v>0</v>
      </c>
      <c r="BR113" s="146">
        <f t="shared" si="257"/>
        <v>0</v>
      </c>
      <c r="BS113" s="147">
        <f t="shared" si="245"/>
        <v>0</v>
      </c>
      <c r="BT113" s="146">
        <f>+BT111-BT112</f>
        <v>0</v>
      </c>
      <c r="BU113" s="98">
        <f t="shared" si="200"/>
        <v>0</v>
      </c>
      <c r="BV113" s="99">
        <f t="shared" si="246"/>
        <v>0</v>
      </c>
      <c r="BW113" s="100">
        <f t="shared" si="247"/>
        <v>0</v>
      </c>
    </row>
    <row r="114" spans="1:76" ht="15" customHeight="1">
      <c r="A114" s="638"/>
      <c r="B114" s="593" t="s">
        <v>84</v>
      </c>
      <c r="C114" s="152" t="s">
        <v>62</v>
      </c>
      <c r="D114" s="235"/>
      <c r="E114" s="128">
        <f>+BU114</f>
        <v>70000</v>
      </c>
      <c r="F114" s="128"/>
      <c r="G114" s="129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1"/>
      <c r="S114" s="132">
        <f t="shared" si="241"/>
        <v>0</v>
      </c>
      <c r="T114" s="133"/>
      <c r="U114" s="130"/>
      <c r="V114" s="130"/>
      <c r="W114" s="130"/>
      <c r="X114" s="130"/>
      <c r="Y114" s="130"/>
      <c r="Z114" s="130"/>
      <c r="AA114" s="130"/>
      <c r="AB114" s="130"/>
      <c r="AC114" s="130"/>
      <c r="AD114" s="130"/>
      <c r="AE114" s="131"/>
      <c r="AF114" s="132">
        <f t="shared" si="242"/>
        <v>0</v>
      </c>
      <c r="AG114" s="129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1">
        <v>20000</v>
      </c>
      <c r="AS114" s="132">
        <f t="shared" si="243"/>
        <v>20000</v>
      </c>
      <c r="AT114" s="133"/>
      <c r="AU114" s="130"/>
      <c r="AV114" s="130"/>
      <c r="AW114" s="130"/>
      <c r="AX114" s="130"/>
      <c r="AY114" s="130">
        <v>30000</v>
      </c>
      <c r="AZ114" s="130"/>
      <c r="BA114" s="130"/>
      <c r="BB114" s="130"/>
      <c r="BC114" s="130">
        <v>20000</v>
      </c>
      <c r="BD114" s="130"/>
      <c r="BE114" s="131"/>
      <c r="BF114" s="132">
        <f t="shared" si="244"/>
        <v>50000</v>
      </c>
      <c r="BG114" s="133"/>
      <c r="BH114" s="130"/>
      <c r="BI114" s="130"/>
      <c r="BJ114" s="130"/>
      <c r="BK114" s="130"/>
      <c r="BL114" s="130"/>
      <c r="BM114" s="130"/>
      <c r="BN114" s="130"/>
      <c r="BO114" s="130"/>
      <c r="BP114" s="130"/>
      <c r="BQ114" s="130"/>
      <c r="BR114" s="131"/>
      <c r="BS114" s="132">
        <f t="shared" si="245"/>
        <v>0</v>
      </c>
      <c r="BT114" s="278"/>
      <c r="BU114" s="164">
        <f t="shared" si="200"/>
        <v>70000</v>
      </c>
      <c r="BV114" s="165">
        <f t="shared" si="246"/>
        <v>70000</v>
      </c>
      <c r="BW114" s="166">
        <f t="shared" si="247"/>
        <v>0</v>
      </c>
    </row>
    <row r="115" spans="1:76" ht="15" customHeight="1">
      <c r="A115" s="638"/>
      <c r="B115" s="548"/>
      <c r="C115" s="135" t="s">
        <v>63</v>
      </c>
      <c r="D115" s="233"/>
      <c r="E115" s="136">
        <f>+BU115</f>
        <v>70000</v>
      </c>
      <c r="F115" s="136"/>
      <c r="G115" s="137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9"/>
      <c r="S115" s="140">
        <f t="shared" si="241"/>
        <v>0</v>
      </c>
      <c r="T115" s="141"/>
      <c r="U115" s="138"/>
      <c r="V115" s="138"/>
      <c r="W115" s="138"/>
      <c r="X115" s="138"/>
      <c r="Y115" s="138"/>
      <c r="Z115" s="138"/>
      <c r="AA115" s="138"/>
      <c r="AB115" s="138"/>
      <c r="AC115" s="138"/>
      <c r="AD115" s="138"/>
      <c r="AE115" s="139"/>
      <c r="AF115" s="140">
        <f t="shared" si="242"/>
        <v>0</v>
      </c>
      <c r="AG115" s="137"/>
      <c r="AH115" s="138"/>
      <c r="AI115" s="138"/>
      <c r="AJ115" s="138"/>
      <c r="AK115" s="138"/>
      <c r="AL115" s="138"/>
      <c r="AM115" s="138"/>
      <c r="AN115" s="138"/>
      <c r="AO115" s="138"/>
      <c r="AP115" s="138"/>
      <c r="AQ115" s="138"/>
      <c r="AR115" s="139"/>
      <c r="AS115" s="140">
        <f t="shared" si="243"/>
        <v>0</v>
      </c>
      <c r="AT115" s="141"/>
      <c r="AU115" s="138"/>
      <c r="AV115" s="138"/>
      <c r="AW115" s="138"/>
      <c r="AX115" s="138"/>
      <c r="AY115" s="138"/>
      <c r="AZ115" s="138"/>
      <c r="BA115" s="138"/>
      <c r="BB115" s="138"/>
      <c r="BC115" s="138"/>
      <c r="BD115" s="138"/>
      <c r="BE115" s="139"/>
      <c r="BF115" s="140">
        <f t="shared" si="244"/>
        <v>0</v>
      </c>
      <c r="BG115" s="141"/>
      <c r="BH115" s="138"/>
      <c r="BI115" s="138"/>
      <c r="BJ115" s="138"/>
      <c r="BK115" s="138"/>
      <c r="BL115" s="138"/>
      <c r="BM115" s="138"/>
      <c r="BN115" s="138"/>
      <c r="BO115" s="138"/>
      <c r="BP115" s="138"/>
      <c r="BQ115" s="138"/>
      <c r="BR115" s="139"/>
      <c r="BS115" s="140">
        <f t="shared" si="245"/>
        <v>0</v>
      </c>
      <c r="BT115" s="279">
        <v>70000</v>
      </c>
      <c r="BU115" s="90">
        <f t="shared" si="200"/>
        <v>70000</v>
      </c>
      <c r="BV115" s="91">
        <f t="shared" si="246"/>
        <v>70000</v>
      </c>
      <c r="BW115" s="92">
        <f t="shared" si="247"/>
        <v>0</v>
      </c>
      <c r="BX115" s="64">
        <f>+BU115/BU114</f>
        <v>1</v>
      </c>
    </row>
    <row r="116" spans="1:76" ht="15" customHeight="1">
      <c r="A116" s="638"/>
      <c r="B116" s="556"/>
      <c r="C116" s="142" t="s">
        <v>11</v>
      </c>
      <c r="D116" s="234"/>
      <c r="E116" s="143">
        <f t="shared" ref="E116:R116" si="258">+E114-E115</f>
        <v>0</v>
      </c>
      <c r="F116" s="144">
        <f t="shared" si="258"/>
        <v>0</v>
      </c>
      <c r="G116" s="145">
        <f t="shared" si="258"/>
        <v>0</v>
      </c>
      <c r="H116" s="145">
        <f t="shared" si="258"/>
        <v>0</v>
      </c>
      <c r="I116" s="145">
        <f t="shared" si="258"/>
        <v>0</v>
      </c>
      <c r="J116" s="145">
        <f t="shared" si="258"/>
        <v>0</v>
      </c>
      <c r="K116" s="145">
        <f t="shared" si="258"/>
        <v>0</v>
      </c>
      <c r="L116" s="145">
        <f t="shared" si="258"/>
        <v>0</v>
      </c>
      <c r="M116" s="145">
        <f t="shared" si="258"/>
        <v>0</v>
      </c>
      <c r="N116" s="145">
        <f t="shared" si="258"/>
        <v>0</v>
      </c>
      <c r="O116" s="145">
        <f t="shared" si="258"/>
        <v>0</v>
      </c>
      <c r="P116" s="145">
        <f t="shared" si="258"/>
        <v>0</v>
      </c>
      <c r="Q116" s="145">
        <f t="shared" si="258"/>
        <v>0</v>
      </c>
      <c r="R116" s="146">
        <f t="shared" si="258"/>
        <v>0</v>
      </c>
      <c r="S116" s="147">
        <f t="shared" si="241"/>
        <v>0</v>
      </c>
      <c r="T116" s="148">
        <f t="shared" ref="T116:AE116" si="259">+T114-T115</f>
        <v>0</v>
      </c>
      <c r="U116" s="145">
        <f t="shared" si="259"/>
        <v>0</v>
      </c>
      <c r="V116" s="145">
        <f t="shared" si="259"/>
        <v>0</v>
      </c>
      <c r="W116" s="145">
        <f t="shared" si="259"/>
        <v>0</v>
      </c>
      <c r="X116" s="145">
        <f t="shared" si="259"/>
        <v>0</v>
      </c>
      <c r="Y116" s="145">
        <f t="shared" si="259"/>
        <v>0</v>
      </c>
      <c r="Z116" s="145">
        <f t="shared" si="259"/>
        <v>0</v>
      </c>
      <c r="AA116" s="145">
        <f t="shared" si="259"/>
        <v>0</v>
      </c>
      <c r="AB116" s="145">
        <f t="shared" si="259"/>
        <v>0</v>
      </c>
      <c r="AC116" s="145">
        <f t="shared" si="259"/>
        <v>0</v>
      </c>
      <c r="AD116" s="145">
        <f t="shared" si="259"/>
        <v>0</v>
      </c>
      <c r="AE116" s="146">
        <f t="shared" si="259"/>
        <v>0</v>
      </c>
      <c r="AF116" s="147">
        <f t="shared" si="242"/>
        <v>0</v>
      </c>
      <c r="AG116" s="148">
        <f t="shared" ref="AG116:AR116" si="260">+AG114-AG115</f>
        <v>0</v>
      </c>
      <c r="AH116" s="145">
        <f t="shared" si="260"/>
        <v>0</v>
      </c>
      <c r="AI116" s="145">
        <f t="shared" si="260"/>
        <v>0</v>
      </c>
      <c r="AJ116" s="145">
        <f t="shared" si="260"/>
        <v>0</v>
      </c>
      <c r="AK116" s="145">
        <f t="shared" si="260"/>
        <v>0</v>
      </c>
      <c r="AL116" s="145">
        <f t="shared" si="260"/>
        <v>0</v>
      </c>
      <c r="AM116" s="145">
        <f t="shared" si="260"/>
        <v>0</v>
      </c>
      <c r="AN116" s="145">
        <f t="shared" si="260"/>
        <v>0</v>
      </c>
      <c r="AO116" s="145">
        <f t="shared" si="260"/>
        <v>0</v>
      </c>
      <c r="AP116" s="145">
        <f t="shared" si="260"/>
        <v>0</v>
      </c>
      <c r="AQ116" s="145">
        <f t="shared" si="260"/>
        <v>0</v>
      </c>
      <c r="AR116" s="146">
        <f t="shared" si="260"/>
        <v>20000</v>
      </c>
      <c r="AS116" s="147">
        <f t="shared" si="243"/>
        <v>20000</v>
      </c>
      <c r="AT116" s="148">
        <f t="shared" ref="AT116:BE116" si="261">+AT114-AT115</f>
        <v>0</v>
      </c>
      <c r="AU116" s="145">
        <f t="shared" si="261"/>
        <v>0</v>
      </c>
      <c r="AV116" s="145">
        <f t="shared" si="261"/>
        <v>0</v>
      </c>
      <c r="AW116" s="145">
        <f t="shared" si="261"/>
        <v>0</v>
      </c>
      <c r="AX116" s="145">
        <f t="shared" si="261"/>
        <v>0</v>
      </c>
      <c r="AY116" s="145">
        <f t="shared" si="261"/>
        <v>30000</v>
      </c>
      <c r="AZ116" s="145">
        <f t="shared" si="261"/>
        <v>0</v>
      </c>
      <c r="BA116" s="145">
        <f t="shared" si="261"/>
        <v>0</v>
      </c>
      <c r="BB116" s="145">
        <f t="shared" si="261"/>
        <v>0</v>
      </c>
      <c r="BC116" s="145">
        <f t="shared" si="261"/>
        <v>20000</v>
      </c>
      <c r="BD116" s="145">
        <f t="shared" si="261"/>
        <v>0</v>
      </c>
      <c r="BE116" s="146">
        <f t="shared" si="261"/>
        <v>0</v>
      </c>
      <c r="BF116" s="147">
        <f t="shared" si="244"/>
        <v>50000</v>
      </c>
      <c r="BG116" s="148">
        <f t="shared" ref="BG116:BR116" si="262">+BG114-BG115</f>
        <v>0</v>
      </c>
      <c r="BH116" s="145">
        <f t="shared" si="262"/>
        <v>0</v>
      </c>
      <c r="BI116" s="145">
        <f t="shared" si="262"/>
        <v>0</v>
      </c>
      <c r="BJ116" s="145">
        <f t="shared" si="262"/>
        <v>0</v>
      </c>
      <c r="BK116" s="145">
        <f t="shared" si="262"/>
        <v>0</v>
      </c>
      <c r="BL116" s="145">
        <f t="shared" si="262"/>
        <v>0</v>
      </c>
      <c r="BM116" s="145">
        <f t="shared" si="262"/>
        <v>0</v>
      </c>
      <c r="BN116" s="145">
        <f t="shared" si="262"/>
        <v>0</v>
      </c>
      <c r="BO116" s="145">
        <f t="shared" si="262"/>
        <v>0</v>
      </c>
      <c r="BP116" s="145">
        <f t="shared" si="262"/>
        <v>0</v>
      </c>
      <c r="BQ116" s="145">
        <f t="shared" si="262"/>
        <v>0</v>
      </c>
      <c r="BR116" s="146">
        <f t="shared" si="262"/>
        <v>0</v>
      </c>
      <c r="BS116" s="147">
        <f t="shared" si="245"/>
        <v>0</v>
      </c>
      <c r="BT116" s="146">
        <f>+BT114-BT115</f>
        <v>-70000</v>
      </c>
      <c r="BU116" s="149">
        <f t="shared" si="200"/>
        <v>0</v>
      </c>
      <c r="BV116" s="150">
        <f t="shared" si="246"/>
        <v>0</v>
      </c>
      <c r="BW116" s="151">
        <f t="shared" si="247"/>
        <v>0</v>
      </c>
    </row>
    <row r="117" spans="1:76" ht="15" customHeight="1">
      <c r="A117" s="638"/>
      <c r="B117" s="593" t="s">
        <v>111</v>
      </c>
      <c r="C117" s="152" t="s">
        <v>62</v>
      </c>
      <c r="D117" s="235"/>
      <c r="E117" s="153">
        <f>+BU117</f>
        <v>408649</v>
      </c>
      <c r="F117" s="128">
        <f t="shared" ref="F117:R118" si="263">+F90</f>
        <v>0</v>
      </c>
      <c r="G117" s="129">
        <f t="shared" si="263"/>
        <v>0</v>
      </c>
      <c r="H117" s="130">
        <f t="shared" si="263"/>
        <v>0</v>
      </c>
      <c r="I117" s="130">
        <f t="shared" si="263"/>
        <v>0</v>
      </c>
      <c r="J117" s="130">
        <f t="shared" si="263"/>
        <v>0</v>
      </c>
      <c r="K117" s="130">
        <f t="shared" si="263"/>
        <v>0</v>
      </c>
      <c r="L117" s="130">
        <f t="shared" si="263"/>
        <v>0</v>
      </c>
      <c r="M117" s="130">
        <f t="shared" si="263"/>
        <v>0</v>
      </c>
      <c r="N117" s="130">
        <f t="shared" si="263"/>
        <v>0</v>
      </c>
      <c r="O117" s="130">
        <f t="shared" si="263"/>
        <v>0</v>
      </c>
      <c r="P117" s="130">
        <f t="shared" si="263"/>
        <v>0</v>
      </c>
      <c r="Q117" s="130">
        <f t="shared" si="263"/>
        <v>0</v>
      </c>
      <c r="R117" s="131">
        <f t="shared" si="263"/>
        <v>0</v>
      </c>
      <c r="S117" s="132">
        <f>SUM(G117:R117)</f>
        <v>0</v>
      </c>
      <c r="T117" s="133">
        <f>+T90</f>
        <v>0</v>
      </c>
      <c r="U117" s="130">
        <f t="shared" ref="U117:AE118" si="264">+U90</f>
        <v>0</v>
      </c>
      <c r="V117" s="130">
        <f t="shared" si="264"/>
        <v>0</v>
      </c>
      <c r="W117" s="130">
        <f t="shared" si="264"/>
        <v>0</v>
      </c>
      <c r="X117" s="130">
        <f t="shared" si="264"/>
        <v>0</v>
      </c>
      <c r="Y117" s="130">
        <f t="shared" si="264"/>
        <v>0</v>
      </c>
      <c r="Z117" s="130">
        <f t="shared" si="264"/>
        <v>0</v>
      </c>
      <c r="AA117" s="130">
        <f t="shared" si="264"/>
        <v>0</v>
      </c>
      <c r="AB117" s="130">
        <f t="shared" si="264"/>
        <v>0</v>
      </c>
      <c r="AC117" s="130">
        <f t="shared" si="264"/>
        <v>0</v>
      </c>
      <c r="AD117" s="130">
        <f t="shared" si="264"/>
        <v>0</v>
      </c>
      <c r="AE117" s="131">
        <f t="shared" si="264"/>
        <v>0</v>
      </c>
      <c r="AF117" s="132">
        <f t="shared" si="242"/>
        <v>0</v>
      </c>
      <c r="AG117" s="129">
        <f>+AG90</f>
        <v>0</v>
      </c>
      <c r="AH117" s="130">
        <f t="shared" ref="AH117:AR118" si="265">+AH90</f>
        <v>0</v>
      </c>
      <c r="AI117" s="130">
        <f t="shared" si="265"/>
        <v>0</v>
      </c>
      <c r="AJ117" s="130">
        <f t="shared" si="265"/>
        <v>0</v>
      </c>
      <c r="AK117" s="130">
        <f t="shared" si="265"/>
        <v>0</v>
      </c>
      <c r="AL117" s="130">
        <f t="shared" si="265"/>
        <v>0</v>
      </c>
      <c r="AM117" s="130">
        <f t="shared" si="265"/>
        <v>0</v>
      </c>
      <c r="AN117" s="130">
        <f t="shared" si="265"/>
        <v>0</v>
      </c>
      <c r="AO117" s="130">
        <f t="shared" si="265"/>
        <v>0</v>
      </c>
      <c r="AP117" s="130">
        <f t="shared" si="265"/>
        <v>0</v>
      </c>
      <c r="AQ117" s="130">
        <f t="shared" si="265"/>
        <v>0</v>
      </c>
      <c r="AR117" s="131">
        <f t="shared" si="265"/>
        <v>0</v>
      </c>
      <c r="AS117" s="132">
        <f t="shared" si="243"/>
        <v>0</v>
      </c>
      <c r="AT117" s="133">
        <f>+AT90</f>
        <v>0</v>
      </c>
      <c r="AU117" s="130">
        <f t="shared" ref="AU117:BE118" si="266">+AU90</f>
        <v>0</v>
      </c>
      <c r="AV117" s="130">
        <f t="shared" si="266"/>
        <v>0</v>
      </c>
      <c r="AW117" s="130">
        <f t="shared" si="266"/>
        <v>0</v>
      </c>
      <c r="AX117" s="130">
        <f t="shared" si="266"/>
        <v>0</v>
      </c>
      <c r="AY117" s="130">
        <f t="shared" si="266"/>
        <v>0</v>
      </c>
      <c r="AZ117" s="130">
        <f t="shared" si="266"/>
        <v>0</v>
      </c>
      <c r="BA117" s="130">
        <f t="shared" si="266"/>
        <v>0</v>
      </c>
      <c r="BB117" s="130">
        <f t="shared" si="266"/>
        <v>0</v>
      </c>
      <c r="BC117" s="130">
        <f t="shared" si="266"/>
        <v>0</v>
      </c>
      <c r="BD117" s="130">
        <f t="shared" si="266"/>
        <v>0</v>
      </c>
      <c r="BE117" s="131">
        <f t="shared" si="266"/>
        <v>0</v>
      </c>
      <c r="BF117" s="132">
        <f t="shared" si="244"/>
        <v>0</v>
      </c>
      <c r="BG117" s="133">
        <f>+BG90</f>
        <v>0</v>
      </c>
      <c r="BH117" s="130">
        <f t="shared" ref="BH117:BR118" si="267">+BH90</f>
        <v>0</v>
      </c>
      <c r="BI117" s="130">
        <f t="shared" si="267"/>
        <v>0</v>
      </c>
      <c r="BJ117" s="130">
        <f t="shared" si="267"/>
        <v>0</v>
      </c>
      <c r="BK117" s="130">
        <f t="shared" si="267"/>
        <v>0</v>
      </c>
      <c r="BL117" s="130">
        <f t="shared" si="267"/>
        <v>0</v>
      </c>
      <c r="BM117" s="130">
        <f t="shared" si="267"/>
        <v>0</v>
      </c>
      <c r="BN117" s="130">
        <f t="shared" si="267"/>
        <v>0</v>
      </c>
      <c r="BO117" s="130">
        <f t="shared" si="267"/>
        <v>0</v>
      </c>
      <c r="BP117" s="130">
        <f t="shared" si="267"/>
        <v>0</v>
      </c>
      <c r="BQ117" s="130">
        <f t="shared" si="267"/>
        <v>0</v>
      </c>
      <c r="BR117" s="131">
        <f t="shared" si="267"/>
        <v>78510</v>
      </c>
      <c r="BS117" s="132">
        <f t="shared" si="245"/>
        <v>78510</v>
      </c>
      <c r="BT117" s="278">
        <f>+BT90</f>
        <v>330139</v>
      </c>
      <c r="BU117" s="159">
        <f t="shared" si="200"/>
        <v>408649</v>
      </c>
      <c r="BV117" s="160">
        <f t="shared" si="246"/>
        <v>408649</v>
      </c>
      <c r="BW117" s="161">
        <f t="shared" si="247"/>
        <v>0</v>
      </c>
    </row>
    <row r="118" spans="1:76" ht="15" customHeight="1">
      <c r="A118" s="638"/>
      <c r="B118" s="548"/>
      <c r="C118" s="135" t="s">
        <v>63</v>
      </c>
      <c r="D118" s="233"/>
      <c r="E118" s="136">
        <f>+BU118</f>
        <v>211759.5</v>
      </c>
      <c r="F118" s="136">
        <f t="shared" si="263"/>
        <v>0</v>
      </c>
      <c r="G118" s="137">
        <f t="shared" si="263"/>
        <v>0</v>
      </c>
      <c r="H118" s="138">
        <f t="shared" si="263"/>
        <v>0</v>
      </c>
      <c r="I118" s="138">
        <f t="shared" si="263"/>
        <v>0</v>
      </c>
      <c r="J118" s="138">
        <f t="shared" si="263"/>
        <v>0</v>
      </c>
      <c r="K118" s="138">
        <f t="shared" si="263"/>
        <v>0</v>
      </c>
      <c r="L118" s="138">
        <f t="shared" si="263"/>
        <v>0</v>
      </c>
      <c r="M118" s="138">
        <f t="shared" si="263"/>
        <v>0</v>
      </c>
      <c r="N118" s="138">
        <f t="shared" si="263"/>
        <v>0</v>
      </c>
      <c r="O118" s="138">
        <f t="shared" si="263"/>
        <v>510</v>
      </c>
      <c r="P118" s="138">
        <f t="shared" si="263"/>
        <v>3900</v>
      </c>
      <c r="Q118" s="138">
        <f t="shared" si="263"/>
        <v>3900</v>
      </c>
      <c r="R118" s="139">
        <f t="shared" si="263"/>
        <v>70</v>
      </c>
      <c r="S118" s="140">
        <f>SUM(G118:R118)</f>
        <v>8380</v>
      </c>
      <c r="T118" s="137">
        <f>+T91</f>
        <v>0</v>
      </c>
      <c r="U118" s="138">
        <f t="shared" si="264"/>
        <v>0</v>
      </c>
      <c r="V118" s="138">
        <f t="shared" si="264"/>
        <v>0</v>
      </c>
      <c r="W118" s="138">
        <f t="shared" si="264"/>
        <v>62400</v>
      </c>
      <c r="X118" s="138">
        <f t="shared" si="264"/>
        <v>0</v>
      </c>
      <c r="Y118" s="138">
        <f t="shared" si="264"/>
        <v>7800</v>
      </c>
      <c r="Z118" s="138">
        <f t="shared" si="264"/>
        <v>0</v>
      </c>
      <c r="AA118" s="138">
        <f t="shared" si="264"/>
        <v>0</v>
      </c>
      <c r="AB118" s="138">
        <f t="shared" si="264"/>
        <v>0</v>
      </c>
      <c r="AC118" s="138">
        <f t="shared" si="264"/>
        <v>0</v>
      </c>
      <c r="AD118" s="138">
        <f t="shared" si="264"/>
        <v>0</v>
      </c>
      <c r="AE118" s="139">
        <f t="shared" si="264"/>
        <v>0</v>
      </c>
      <c r="AF118" s="140">
        <f t="shared" si="242"/>
        <v>70200</v>
      </c>
      <c r="AG118" s="137">
        <f>+AG91</f>
        <v>0</v>
      </c>
      <c r="AH118" s="138">
        <f t="shared" si="265"/>
        <v>0</v>
      </c>
      <c r="AI118" s="138">
        <f t="shared" si="265"/>
        <v>0</v>
      </c>
      <c r="AJ118" s="138">
        <f t="shared" si="265"/>
        <v>0</v>
      </c>
      <c r="AK118" s="138">
        <f t="shared" si="265"/>
        <v>0</v>
      </c>
      <c r="AL118" s="138">
        <f t="shared" si="265"/>
        <v>0</v>
      </c>
      <c r="AM118" s="138">
        <f t="shared" si="265"/>
        <v>0</v>
      </c>
      <c r="AN118" s="138">
        <f t="shared" si="265"/>
        <v>0</v>
      </c>
      <c r="AO118" s="138">
        <f t="shared" si="265"/>
        <v>0</v>
      </c>
      <c r="AP118" s="138">
        <f t="shared" si="265"/>
        <v>0</v>
      </c>
      <c r="AQ118" s="138">
        <f t="shared" si="265"/>
        <v>0</v>
      </c>
      <c r="AR118" s="139">
        <f t="shared" si="265"/>
        <v>23179.5</v>
      </c>
      <c r="AS118" s="140">
        <f t="shared" si="243"/>
        <v>23179.5</v>
      </c>
      <c r="AT118" s="137">
        <f>+AT91</f>
        <v>0</v>
      </c>
      <c r="AU118" s="138">
        <f t="shared" si="266"/>
        <v>0</v>
      </c>
      <c r="AV118" s="138">
        <f t="shared" si="266"/>
        <v>0</v>
      </c>
      <c r="AW118" s="138">
        <f t="shared" si="266"/>
        <v>0</v>
      </c>
      <c r="AX118" s="138">
        <f t="shared" si="266"/>
        <v>0</v>
      </c>
      <c r="AY118" s="138">
        <f t="shared" si="266"/>
        <v>110000</v>
      </c>
      <c r="AZ118" s="138">
        <f t="shared" si="266"/>
        <v>0</v>
      </c>
      <c r="BA118" s="138">
        <f t="shared" si="266"/>
        <v>0</v>
      </c>
      <c r="BB118" s="138">
        <f t="shared" si="266"/>
        <v>0</v>
      </c>
      <c r="BC118" s="138">
        <f t="shared" si="266"/>
        <v>0</v>
      </c>
      <c r="BD118" s="138">
        <f t="shared" si="266"/>
        <v>0</v>
      </c>
      <c r="BE118" s="139">
        <f t="shared" si="266"/>
        <v>0</v>
      </c>
      <c r="BF118" s="140">
        <f t="shared" si="244"/>
        <v>110000</v>
      </c>
      <c r="BG118" s="137">
        <f>+BG91</f>
        <v>0</v>
      </c>
      <c r="BH118" s="138">
        <f t="shared" si="267"/>
        <v>0</v>
      </c>
      <c r="BI118" s="138">
        <f t="shared" si="267"/>
        <v>0</v>
      </c>
      <c r="BJ118" s="138">
        <f t="shared" si="267"/>
        <v>0</v>
      </c>
      <c r="BK118" s="138">
        <f t="shared" si="267"/>
        <v>0</v>
      </c>
      <c r="BL118" s="138">
        <f t="shared" si="267"/>
        <v>0</v>
      </c>
      <c r="BM118" s="138">
        <f t="shared" si="267"/>
        <v>0</v>
      </c>
      <c r="BN118" s="138">
        <f t="shared" si="267"/>
        <v>0</v>
      </c>
      <c r="BO118" s="138">
        <f t="shared" si="267"/>
        <v>0</v>
      </c>
      <c r="BP118" s="138">
        <f t="shared" si="267"/>
        <v>0</v>
      </c>
      <c r="BQ118" s="138">
        <f t="shared" si="267"/>
        <v>0</v>
      </c>
      <c r="BR118" s="139">
        <f t="shared" si="267"/>
        <v>0</v>
      </c>
      <c r="BS118" s="140">
        <f t="shared" si="245"/>
        <v>0</v>
      </c>
      <c r="BT118" s="279">
        <f>+BT91</f>
        <v>0</v>
      </c>
      <c r="BU118" s="90">
        <f t="shared" si="200"/>
        <v>211759.5</v>
      </c>
      <c r="BV118" s="91">
        <f t="shared" si="246"/>
        <v>211759.5</v>
      </c>
      <c r="BW118" s="92">
        <f t="shared" si="247"/>
        <v>0</v>
      </c>
      <c r="BX118" s="64">
        <f>+BU118/BU117</f>
        <v>0.51819409811354</v>
      </c>
    </row>
    <row r="119" spans="1:76" ht="15" customHeight="1">
      <c r="A119" s="638"/>
      <c r="B119" s="549"/>
      <c r="C119" s="286" t="s">
        <v>11</v>
      </c>
      <c r="D119" s="236"/>
      <c r="E119" s="143">
        <f t="shared" ref="E119:R119" si="268">+E117-E118</f>
        <v>196889.5</v>
      </c>
      <c r="F119" s="144">
        <f t="shared" si="268"/>
        <v>0</v>
      </c>
      <c r="G119" s="145">
        <f t="shared" si="268"/>
        <v>0</v>
      </c>
      <c r="H119" s="145">
        <f t="shared" si="268"/>
        <v>0</v>
      </c>
      <c r="I119" s="145">
        <f t="shared" si="268"/>
        <v>0</v>
      </c>
      <c r="J119" s="145">
        <f t="shared" si="268"/>
        <v>0</v>
      </c>
      <c r="K119" s="145">
        <f t="shared" si="268"/>
        <v>0</v>
      </c>
      <c r="L119" s="145">
        <f t="shared" si="268"/>
        <v>0</v>
      </c>
      <c r="M119" s="145">
        <f t="shared" si="268"/>
        <v>0</v>
      </c>
      <c r="N119" s="145">
        <f t="shared" si="268"/>
        <v>0</v>
      </c>
      <c r="O119" s="145">
        <f t="shared" si="268"/>
        <v>-510</v>
      </c>
      <c r="P119" s="145">
        <f t="shared" si="268"/>
        <v>-3900</v>
      </c>
      <c r="Q119" s="145">
        <f t="shared" si="268"/>
        <v>-3900</v>
      </c>
      <c r="R119" s="146">
        <f t="shared" si="268"/>
        <v>-70</v>
      </c>
      <c r="S119" s="147">
        <f>SUM(G119:R119)</f>
        <v>-8380</v>
      </c>
      <c r="T119" s="148">
        <f t="shared" ref="T119:AE119" si="269">+T117-T118</f>
        <v>0</v>
      </c>
      <c r="U119" s="145">
        <f t="shared" si="269"/>
        <v>0</v>
      </c>
      <c r="V119" s="145">
        <f t="shared" si="269"/>
        <v>0</v>
      </c>
      <c r="W119" s="145">
        <f t="shared" si="269"/>
        <v>-62400</v>
      </c>
      <c r="X119" s="145">
        <f t="shared" si="269"/>
        <v>0</v>
      </c>
      <c r="Y119" s="145">
        <f t="shared" si="269"/>
        <v>-7800</v>
      </c>
      <c r="Z119" s="145">
        <f t="shared" si="269"/>
        <v>0</v>
      </c>
      <c r="AA119" s="145">
        <f t="shared" si="269"/>
        <v>0</v>
      </c>
      <c r="AB119" s="145">
        <f t="shared" si="269"/>
        <v>0</v>
      </c>
      <c r="AC119" s="145">
        <f t="shared" si="269"/>
        <v>0</v>
      </c>
      <c r="AD119" s="145">
        <f t="shared" si="269"/>
        <v>0</v>
      </c>
      <c r="AE119" s="146">
        <f t="shared" si="269"/>
        <v>0</v>
      </c>
      <c r="AF119" s="147">
        <f t="shared" si="242"/>
        <v>-70200</v>
      </c>
      <c r="AG119" s="148">
        <f t="shared" ref="AG119:AR119" si="270">+AG117-AG118</f>
        <v>0</v>
      </c>
      <c r="AH119" s="145">
        <f t="shared" si="270"/>
        <v>0</v>
      </c>
      <c r="AI119" s="145">
        <f t="shared" si="270"/>
        <v>0</v>
      </c>
      <c r="AJ119" s="145">
        <f t="shared" si="270"/>
        <v>0</v>
      </c>
      <c r="AK119" s="145">
        <f t="shared" si="270"/>
        <v>0</v>
      </c>
      <c r="AL119" s="145">
        <f t="shared" si="270"/>
        <v>0</v>
      </c>
      <c r="AM119" s="145">
        <f t="shared" si="270"/>
        <v>0</v>
      </c>
      <c r="AN119" s="145">
        <f t="shared" si="270"/>
        <v>0</v>
      </c>
      <c r="AO119" s="145">
        <f t="shared" si="270"/>
        <v>0</v>
      </c>
      <c r="AP119" s="145">
        <f t="shared" si="270"/>
        <v>0</v>
      </c>
      <c r="AQ119" s="145">
        <f t="shared" si="270"/>
        <v>0</v>
      </c>
      <c r="AR119" s="146">
        <f t="shared" si="270"/>
        <v>-23179.5</v>
      </c>
      <c r="AS119" s="147">
        <f t="shared" si="243"/>
        <v>-23179.5</v>
      </c>
      <c r="AT119" s="148">
        <f t="shared" ref="AT119:BE119" si="271">+AT117-AT118</f>
        <v>0</v>
      </c>
      <c r="AU119" s="145">
        <f t="shared" si="271"/>
        <v>0</v>
      </c>
      <c r="AV119" s="145">
        <f t="shared" si="271"/>
        <v>0</v>
      </c>
      <c r="AW119" s="145">
        <f t="shared" si="271"/>
        <v>0</v>
      </c>
      <c r="AX119" s="145">
        <f t="shared" si="271"/>
        <v>0</v>
      </c>
      <c r="AY119" s="145">
        <f t="shared" si="271"/>
        <v>-110000</v>
      </c>
      <c r="AZ119" s="145">
        <f t="shared" si="271"/>
        <v>0</v>
      </c>
      <c r="BA119" s="145">
        <f t="shared" si="271"/>
        <v>0</v>
      </c>
      <c r="BB119" s="145">
        <f t="shared" si="271"/>
        <v>0</v>
      </c>
      <c r="BC119" s="145">
        <f t="shared" si="271"/>
        <v>0</v>
      </c>
      <c r="BD119" s="145">
        <f t="shared" si="271"/>
        <v>0</v>
      </c>
      <c r="BE119" s="146">
        <f t="shared" si="271"/>
        <v>0</v>
      </c>
      <c r="BF119" s="147">
        <f t="shared" si="244"/>
        <v>-110000</v>
      </c>
      <c r="BG119" s="148">
        <f t="shared" ref="BG119:BR119" si="272">+BG117-BG118</f>
        <v>0</v>
      </c>
      <c r="BH119" s="145">
        <f t="shared" si="272"/>
        <v>0</v>
      </c>
      <c r="BI119" s="145">
        <f t="shared" si="272"/>
        <v>0</v>
      </c>
      <c r="BJ119" s="145">
        <f t="shared" si="272"/>
        <v>0</v>
      </c>
      <c r="BK119" s="145">
        <f t="shared" si="272"/>
        <v>0</v>
      </c>
      <c r="BL119" s="145">
        <f t="shared" si="272"/>
        <v>0</v>
      </c>
      <c r="BM119" s="145">
        <f t="shared" si="272"/>
        <v>0</v>
      </c>
      <c r="BN119" s="145">
        <f t="shared" si="272"/>
        <v>0</v>
      </c>
      <c r="BO119" s="145">
        <f t="shared" si="272"/>
        <v>0</v>
      </c>
      <c r="BP119" s="145">
        <f t="shared" si="272"/>
        <v>0</v>
      </c>
      <c r="BQ119" s="145">
        <f t="shared" si="272"/>
        <v>0</v>
      </c>
      <c r="BR119" s="146">
        <f t="shared" si="272"/>
        <v>78510</v>
      </c>
      <c r="BS119" s="147">
        <f t="shared" si="245"/>
        <v>78510</v>
      </c>
      <c r="BT119" s="146">
        <f>+BT117-BT118</f>
        <v>330139</v>
      </c>
      <c r="BU119" s="98">
        <f t="shared" si="200"/>
        <v>196889.5</v>
      </c>
      <c r="BV119" s="99">
        <f t="shared" si="246"/>
        <v>196889.5</v>
      </c>
      <c r="BW119" s="100">
        <f t="shared" si="247"/>
        <v>0</v>
      </c>
    </row>
    <row r="120" spans="1:76" ht="15" customHeight="1">
      <c r="A120" s="638"/>
      <c r="B120" s="593" t="s">
        <v>112</v>
      </c>
      <c r="C120" s="152" t="s">
        <v>62</v>
      </c>
      <c r="D120" s="235"/>
      <c r="E120" s="153">
        <f>+BU120</f>
        <v>0</v>
      </c>
      <c r="F120" s="128"/>
      <c r="G120" s="129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1"/>
      <c r="S120" s="132">
        <f t="shared" si="241"/>
        <v>0</v>
      </c>
      <c r="T120" s="133"/>
      <c r="U120" s="130"/>
      <c r="V120" s="130"/>
      <c r="W120" s="130"/>
      <c r="X120" s="130"/>
      <c r="Y120" s="130"/>
      <c r="Z120" s="130"/>
      <c r="AA120" s="130"/>
      <c r="AB120" s="130"/>
      <c r="AC120" s="130"/>
      <c r="AD120" s="130"/>
      <c r="AE120" s="131"/>
      <c r="AF120" s="132">
        <f t="shared" si="242"/>
        <v>0</v>
      </c>
      <c r="AG120" s="129"/>
      <c r="AH120" s="130"/>
      <c r="AI120" s="130"/>
      <c r="AJ120" s="130"/>
      <c r="AK120" s="130"/>
      <c r="AL120" s="130"/>
      <c r="AM120" s="130"/>
      <c r="AN120" s="130"/>
      <c r="AO120" s="130"/>
      <c r="AP120" s="130"/>
      <c r="AQ120" s="130"/>
      <c r="AR120" s="131"/>
      <c r="AS120" s="132">
        <f t="shared" si="243"/>
        <v>0</v>
      </c>
      <c r="AT120" s="133"/>
      <c r="AU120" s="130"/>
      <c r="AV120" s="130"/>
      <c r="AW120" s="130"/>
      <c r="AX120" s="130"/>
      <c r="AY120" s="130"/>
      <c r="AZ120" s="130"/>
      <c r="BA120" s="130"/>
      <c r="BB120" s="130"/>
      <c r="BC120" s="130"/>
      <c r="BD120" s="130"/>
      <c r="BE120" s="131"/>
      <c r="BF120" s="132">
        <f t="shared" si="244"/>
        <v>0</v>
      </c>
      <c r="BG120" s="133"/>
      <c r="BH120" s="130"/>
      <c r="BI120" s="130"/>
      <c r="BJ120" s="130"/>
      <c r="BK120" s="130"/>
      <c r="BL120" s="130"/>
      <c r="BM120" s="130"/>
      <c r="BN120" s="130"/>
      <c r="BO120" s="130"/>
      <c r="BP120" s="130"/>
      <c r="BQ120" s="130"/>
      <c r="BR120" s="131"/>
      <c r="BS120" s="132">
        <f t="shared" si="245"/>
        <v>0</v>
      </c>
      <c r="BT120" s="278"/>
      <c r="BU120" s="159">
        <f t="shared" si="200"/>
        <v>0</v>
      </c>
      <c r="BV120" s="160">
        <f t="shared" si="246"/>
        <v>0</v>
      </c>
      <c r="BW120" s="161">
        <f t="shared" si="247"/>
        <v>0</v>
      </c>
    </row>
    <row r="121" spans="1:76" ht="15" customHeight="1">
      <c r="A121" s="638"/>
      <c r="B121" s="548"/>
      <c r="C121" s="135" t="s">
        <v>63</v>
      </c>
      <c r="D121" s="233"/>
      <c r="E121" s="136">
        <f>+BU121</f>
        <v>38600</v>
      </c>
      <c r="F121" s="136"/>
      <c r="G121" s="137">
        <f>+G140</f>
        <v>0</v>
      </c>
      <c r="H121" s="138">
        <f t="shared" ref="H121:R121" si="273">+H140</f>
        <v>0</v>
      </c>
      <c r="I121" s="138">
        <f t="shared" si="273"/>
        <v>0</v>
      </c>
      <c r="J121" s="138">
        <f t="shared" si="273"/>
        <v>0</v>
      </c>
      <c r="K121" s="138">
        <f t="shared" si="273"/>
        <v>0</v>
      </c>
      <c r="L121" s="138">
        <f t="shared" si="273"/>
        <v>0</v>
      </c>
      <c r="M121" s="138">
        <f t="shared" si="273"/>
        <v>0</v>
      </c>
      <c r="N121" s="138">
        <f t="shared" si="273"/>
        <v>0</v>
      </c>
      <c r="O121" s="138">
        <f t="shared" si="273"/>
        <v>0</v>
      </c>
      <c r="P121" s="138">
        <f t="shared" si="273"/>
        <v>0</v>
      </c>
      <c r="Q121" s="138">
        <f t="shared" si="273"/>
        <v>0</v>
      </c>
      <c r="R121" s="139">
        <f t="shared" si="273"/>
        <v>0</v>
      </c>
      <c r="S121" s="140">
        <f t="shared" si="241"/>
        <v>0</v>
      </c>
      <c r="T121" s="137">
        <f>+T140</f>
        <v>0</v>
      </c>
      <c r="U121" s="138">
        <f t="shared" ref="U121:AE121" si="274">+U140</f>
        <v>0</v>
      </c>
      <c r="V121" s="138">
        <f t="shared" si="274"/>
        <v>0</v>
      </c>
      <c r="W121" s="138">
        <f t="shared" si="274"/>
        <v>0</v>
      </c>
      <c r="X121" s="138">
        <f t="shared" si="274"/>
        <v>0</v>
      </c>
      <c r="Y121" s="138">
        <f t="shared" si="274"/>
        <v>0</v>
      </c>
      <c r="Z121" s="138">
        <f t="shared" si="274"/>
        <v>0</v>
      </c>
      <c r="AA121" s="138">
        <f t="shared" si="274"/>
        <v>0</v>
      </c>
      <c r="AB121" s="138">
        <f t="shared" si="274"/>
        <v>0</v>
      </c>
      <c r="AC121" s="138">
        <f t="shared" si="274"/>
        <v>0</v>
      </c>
      <c r="AD121" s="138">
        <f t="shared" si="274"/>
        <v>0</v>
      </c>
      <c r="AE121" s="139">
        <f t="shared" si="274"/>
        <v>0</v>
      </c>
      <c r="AF121" s="140">
        <f t="shared" si="242"/>
        <v>0</v>
      </c>
      <c r="AG121" s="137">
        <f>+AG140</f>
        <v>300</v>
      </c>
      <c r="AH121" s="138">
        <f t="shared" ref="AH121:AR121" si="275">+AH140</f>
        <v>300</v>
      </c>
      <c r="AI121" s="138">
        <f t="shared" si="275"/>
        <v>300</v>
      </c>
      <c r="AJ121" s="138">
        <f t="shared" si="275"/>
        <v>300</v>
      </c>
      <c r="AK121" s="138">
        <f t="shared" si="275"/>
        <v>300</v>
      </c>
      <c r="AL121" s="138">
        <f t="shared" si="275"/>
        <v>300</v>
      </c>
      <c r="AM121" s="138">
        <f t="shared" si="275"/>
        <v>300</v>
      </c>
      <c r="AN121" s="138">
        <f t="shared" si="275"/>
        <v>300</v>
      </c>
      <c r="AO121" s="138">
        <f t="shared" si="275"/>
        <v>300</v>
      </c>
      <c r="AP121" s="138">
        <f t="shared" si="275"/>
        <v>300</v>
      </c>
      <c r="AQ121" s="138">
        <f t="shared" si="275"/>
        <v>300</v>
      </c>
      <c r="AR121" s="139">
        <f t="shared" si="275"/>
        <v>300</v>
      </c>
      <c r="AS121" s="140">
        <f t="shared" si="243"/>
        <v>3600</v>
      </c>
      <c r="AT121" s="137">
        <f>+AT140</f>
        <v>600</v>
      </c>
      <c r="AU121" s="138">
        <f t="shared" ref="AU121:BE121" si="276">+AU140</f>
        <v>600</v>
      </c>
      <c r="AV121" s="138">
        <f t="shared" si="276"/>
        <v>600</v>
      </c>
      <c r="AW121" s="138">
        <f t="shared" si="276"/>
        <v>600</v>
      </c>
      <c r="AX121" s="138">
        <f t="shared" si="276"/>
        <v>600</v>
      </c>
      <c r="AY121" s="138">
        <f t="shared" si="276"/>
        <v>1600</v>
      </c>
      <c r="AZ121" s="138">
        <f t="shared" si="276"/>
        <v>1600</v>
      </c>
      <c r="BA121" s="138">
        <f t="shared" si="276"/>
        <v>1600</v>
      </c>
      <c r="BB121" s="138">
        <f t="shared" si="276"/>
        <v>1600</v>
      </c>
      <c r="BC121" s="138">
        <f t="shared" si="276"/>
        <v>1600</v>
      </c>
      <c r="BD121" s="138">
        <f t="shared" si="276"/>
        <v>1600</v>
      </c>
      <c r="BE121" s="139">
        <f t="shared" si="276"/>
        <v>1600</v>
      </c>
      <c r="BF121" s="140">
        <f t="shared" si="244"/>
        <v>14200</v>
      </c>
      <c r="BG121" s="137">
        <f>+BG140</f>
        <v>1600</v>
      </c>
      <c r="BH121" s="138">
        <f t="shared" ref="BH121:BR121" si="277">+BH140</f>
        <v>1600</v>
      </c>
      <c r="BI121" s="138">
        <f t="shared" si="277"/>
        <v>1600</v>
      </c>
      <c r="BJ121" s="138">
        <f t="shared" si="277"/>
        <v>1600</v>
      </c>
      <c r="BK121" s="138">
        <f t="shared" si="277"/>
        <v>1600</v>
      </c>
      <c r="BL121" s="138">
        <f t="shared" si="277"/>
        <v>1600</v>
      </c>
      <c r="BM121" s="138">
        <f t="shared" si="277"/>
        <v>1600</v>
      </c>
      <c r="BN121" s="138">
        <f t="shared" si="277"/>
        <v>1600</v>
      </c>
      <c r="BO121" s="138">
        <f t="shared" si="277"/>
        <v>1600</v>
      </c>
      <c r="BP121" s="138">
        <f t="shared" si="277"/>
        <v>1600</v>
      </c>
      <c r="BQ121" s="138">
        <f t="shared" si="277"/>
        <v>1600</v>
      </c>
      <c r="BR121" s="139">
        <f t="shared" si="277"/>
        <v>1600</v>
      </c>
      <c r="BS121" s="140">
        <f t="shared" si="245"/>
        <v>19200</v>
      </c>
      <c r="BT121" s="279">
        <f>+BT140</f>
        <v>1600</v>
      </c>
      <c r="BU121" s="90">
        <f t="shared" si="200"/>
        <v>38600</v>
      </c>
      <c r="BV121" s="91">
        <f t="shared" si="246"/>
        <v>38600</v>
      </c>
      <c r="BW121" s="92">
        <f t="shared" si="247"/>
        <v>0</v>
      </c>
      <c r="BX121" s="64" t="e">
        <f>+BU121/BU120</f>
        <v>#DIV/0!</v>
      </c>
    </row>
    <row r="122" spans="1:76" ht="15" customHeight="1">
      <c r="A122" s="638"/>
      <c r="B122" s="549"/>
      <c r="C122" s="286" t="s">
        <v>11</v>
      </c>
      <c r="D122" s="236"/>
      <c r="E122" s="143">
        <f t="shared" ref="E122:R122" si="278">+E120-E121</f>
        <v>-38600</v>
      </c>
      <c r="F122" s="144">
        <f t="shared" si="278"/>
        <v>0</v>
      </c>
      <c r="G122" s="145">
        <f t="shared" si="278"/>
        <v>0</v>
      </c>
      <c r="H122" s="145">
        <f t="shared" si="278"/>
        <v>0</v>
      </c>
      <c r="I122" s="145">
        <f t="shared" si="278"/>
        <v>0</v>
      </c>
      <c r="J122" s="145">
        <f t="shared" si="278"/>
        <v>0</v>
      </c>
      <c r="K122" s="145">
        <f t="shared" si="278"/>
        <v>0</v>
      </c>
      <c r="L122" s="145">
        <f t="shared" si="278"/>
        <v>0</v>
      </c>
      <c r="M122" s="145">
        <f t="shared" si="278"/>
        <v>0</v>
      </c>
      <c r="N122" s="145">
        <f t="shared" si="278"/>
        <v>0</v>
      </c>
      <c r="O122" s="145">
        <f t="shared" si="278"/>
        <v>0</v>
      </c>
      <c r="P122" s="145">
        <f t="shared" si="278"/>
        <v>0</v>
      </c>
      <c r="Q122" s="145">
        <f t="shared" si="278"/>
        <v>0</v>
      </c>
      <c r="R122" s="146">
        <f t="shared" si="278"/>
        <v>0</v>
      </c>
      <c r="S122" s="147">
        <f t="shared" si="241"/>
        <v>0</v>
      </c>
      <c r="T122" s="148">
        <f t="shared" ref="T122:AE122" si="279">+T120-T121</f>
        <v>0</v>
      </c>
      <c r="U122" s="145">
        <f t="shared" si="279"/>
        <v>0</v>
      </c>
      <c r="V122" s="145">
        <f t="shared" si="279"/>
        <v>0</v>
      </c>
      <c r="W122" s="145">
        <f t="shared" si="279"/>
        <v>0</v>
      </c>
      <c r="X122" s="145">
        <f t="shared" si="279"/>
        <v>0</v>
      </c>
      <c r="Y122" s="145">
        <f t="shared" si="279"/>
        <v>0</v>
      </c>
      <c r="Z122" s="145">
        <f t="shared" si="279"/>
        <v>0</v>
      </c>
      <c r="AA122" s="145">
        <f t="shared" si="279"/>
        <v>0</v>
      </c>
      <c r="AB122" s="145">
        <f t="shared" si="279"/>
        <v>0</v>
      </c>
      <c r="AC122" s="145">
        <f t="shared" si="279"/>
        <v>0</v>
      </c>
      <c r="AD122" s="145">
        <f t="shared" si="279"/>
        <v>0</v>
      </c>
      <c r="AE122" s="146">
        <f t="shared" si="279"/>
        <v>0</v>
      </c>
      <c r="AF122" s="147">
        <f t="shared" si="242"/>
        <v>0</v>
      </c>
      <c r="AG122" s="148">
        <f t="shared" ref="AG122:AR122" si="280">+AG120-AG121</f>
        <v>-300</v>
      </c>
      <c r="AH122" s="145">
        <f t="shared" si="280"/>
        <v>-300</v>
      </c>
      <c r="AI122" s="145">
        <f t="shared" si="280"/>
        <v>-300</v>
      </c>
      <c r="AJ122" s="145">
        <f t="shared" si="280"/>
        <v>-300</v>
      </c>
      <c r="AK122" s="145">
        <f t="shared" si="280"/>
        <v>-300</v>
      </c>
      <c r="AL122" s="145">
        <f t="shared" si="280"/>
        <v>-300</v>
      </c>
      <c r="AM122" s="145">
        <f t="shared" si="280"/>
        <v>-300</v>
      </c>
      <c r="AN122" s="145">
        <f t="shared" si="280"/>
        <v>-300</v>
      </c>
      <c r="AO122" s="145">
        <f t="shared" si="280"/>
        <v>-300</v>
      </c>
      <c r="AP122" s="145">
        <f t="shared" si="280"/>
        <v>-300</v>
      </c>
      <c r="AQ122" s="145">
        <f t="shared" si="280"/>
        <v>-300</v>
      </c>
      <c r="AR122" s="146">
        <f t="shared" si="280"/>
        <v>-300</v>
      </c>
      <c r="AS122" s="147">
        <f t="shared" si="243"/>
        <v>-3600</v>
      </c>
      <c r="AT122" s="148">
        <f t="shared" ref="AT122:BE122" si="281">+AT120-AT121</f>
        <v>-600</v>
      </c>
      <c r="AU122" s="145">
        <f t="shared" si="281"/>
        <v>-600</v>
      </c>
      <c r="AV122" s="145">
        <f t="shared" si="281"/>
        <v>-600</v>
      </c>
      <c r="AW122" s="145">
        <f t="shared" si="281"/>
        <v>-600</v>
      </c>
      <c r="AX122" s="145">
        <f t="shared" si="281"/>
        <v>-600</v>
      </c>
      <c r="AY122" s="145">
        <f t="shared" si="281"/>
        <v>-1600</v>
      </c>
      <c r="AZ122" s="145">
        <f t="shared" si="281"/>
        <v>-1600</v>
      </c>
      <c r="BA122" s="145">
        <f t="shared" si="281"/>
        <v>-1600</v>
      </c>
      <c r="BB122" s="145">
        <f t="shared" si="281"/>
        <v>-1600</v>
      </c>
      <c r="BC122" s="145">
        <f t="shared" si="281"/>
        <v>-1600</v>
      </c>
      <c r="BD122" s="145">
        <f t="shared" si="281"/>
        <v>-1600</v>
      </c>
      <c r="BE122" s="146">
        <f t="shared" si="281"/>
        <v>-1600</v>
      </c>
      <c r="BF122" s="147">
        <f t="shared" si="244"/>
        <v>-14200</v>
      </c>
      <c r="BG122" s="148">
        <f t="shared" ref="BG122:BR122" si="282">+BG120-BG121</f>
        <v>-1600</v>
      </c>
      <c r="BH122" s="145">
        <f t="shared" si="282"/>
        <v>-1600</v>
      </c>
      <c r="BI122" s="145">
        <f t="shared" si="282"/>
        <v>-1600</v>
      </c>
      <c r="BJ122" s="145">
        <f t="shared" si="282"/>
        <v>-1600</v>
      </c>
      <c r="BK122" s="145">
        <f t="shared" si="282"/>
        <v>-1600</v>
      </c>
      <c r="BL122" s="145">
        <f t="shared" si="282"/>
        <v>-1600</v>
      </c>
      <c r="BM122" s="145">
        <f t="shared" si="282"/>
        <v>-1600</v>
      </c>
      <c r="BN122" s="145">
        <f t="shared" si="282"/>
        <v>-1600</v>
      </c>
      <c r="BO122" s="145">
        <f t="shared" si="282"/>
        <v>-1600</v>
      </c>
      <c r="BP122" s="145">
        <f t="shared" si="282"/>
        <v>-1600</v>
      </c>
      <c r="BQ122" s="145">
        <f t="shared" si="282"/>
        <v>-1600</v>
      </c>
      <c r="BR122" s="146">
        <f t="shared" si="282"/>
        <v>-1600</v>
      </c>
      <c r="BS122" s="147">
        <f t="shared" si="245"/>
        <v>-19200</v>
      </c>
      <c r="BT122" s="146">
        <f>+BT120-BT121</f>
        <v>-1600</v>
      </c>
      <c r="BU122" s="98">
        <f t="shared" si="200"/>
        <v>-38600</v>
      </c>
      <c r="BV122" s="99">
        <f t="shared" si="246"/>
        <v>-38600</v>
      </c>
      <c r="BW122" s="100">
        <f t="shared" si="247"/>
        <v>0</v>
      </c>
    </row>
    <row r="123" spans="1:76" ht="15" customHeight="1">
      <c r="A123" s="638"/>
      <c r="B123" s="593" t="s">
        <v>177</v>
      </c>
      <c r="C123" s="152" t="s">
        <v>62</v>
      </c>
      <c r="D123" s="235"/>
      <c r="E123" s="153">
        <f>+BU123</f>
        <v>16353.572537025084</v>
      </c>
      <c r="F123" s="128"/>
      <c r="G123" s="129">
        <v>267</v>
      </c>
      <c r="H123" s="130">
        <v>30</v>
      </c>
      <c r="I123" s="130">
        <v>31.690435910652898</v>
      </c>
      <c r="J123" s="130">
        <v>30.818565921787702</v>
      </c>
      <c r="K123" s="130">
        <v>27.487747982832619</v>
      </c>
      <c r="L123" s="130">
        <v>23.602976832656552</v>
      </c>
      <c r="M123" s="130">
        <v>725.21884549904235</v>
      </c>
      <c r="N123" s="130">
        <v>23.04250690810747</v>
      </c>
      <c r="O123" s="130">
        <v>23.687386310788774</v>
      </c>
      <c r="P123" s="130">
        <v>23.04250690810747</v>
      </c>
      <c r="Q123" s="130">
        <v>23.656887530131105</v>
      </c>
      <c r="R123" s="131">
        <v>23.04250690810747</v>
      </c>
      <c r="S123" s="132">
        <f t="shared" si="241"/>
        <v>1252.2903667122146</v>
      </c>
      <c r="T123" s="133">
        <f t="shared" ref="T123:BD123" si="283">+T134</f>
        <v>76.180337331270124</v>
      </c>
      <c r="U123" s="130">
        <f t="shared" si="283"/>
        <v>196.11078778289985</v>
      </c>
      <c r="V123" s="130">
        <f t="shared" si="283"/>
        <v>319.85732205488927</v>
      </c>
      <c r="W123" s="130">
        <f t="shared" si="283"/>
        <v>476.06896964038765</v>
      </c>
      <c r="X123" s="130">
        <f t="shared" si="283"/>
        <v>170.16604923811806</v>
      </c>
      <c r="Y123" s="130">
        <f t="shared" si="283"/>
        <v>168.24577707468634</v>
      </c>
      <c r="Z123" s="130">
        <f t="shared" si="283"/>
        <v>131.54483564352648</v>
      </c>
      <c r="AA123" s="130">
        <f t="shared" si="283"/>
        <v>130.39586236983538</v>
      </c>
      <c r="AB123" s="130">
        <f t="shared" si="283"/>
        <v>132.07935851956111</v>
      </c>
      <c r="AC123" s="130">
        <f t="shared" si="283"/>
        <v>134.80416081212661</v>
      </c>
      <c r="AD123" s="130">
        <f t="shared" si="283"/>
        <v>133.38688631999702</v>
      </c>
      <c r="AE123" s="131">
        <f t="shared" si="283"/>
        <v>131.00764078839512</v>
      </c>
      <c r="AF123" s="132">
        <f t="shared" si="242"/>
        <v>2199.8479875756934</v>
      </c>
      <c r="AG123" s="129">
        <f t="shared" si="283"/>
        <v>280.92635624570931</v>
      </c>
      <c r="AH123" s="130">
        <f t="shared" si="283"/>
        <v>279.5614221763077</v>
      </c>
      <c r="AI123" s="130">
        <f t="shared" si="283"/>
        <v>274.37098466085547</v>
      </c>
      <c r="AJ123" s="130">
        <f t="shared" si="283"/>
        <v>270.89429670793641</v>
      </c>
      <c r="AK123" s="130">
        <f t="shared" si="283"/>
        <v>265.25423835994354</v>
      </c>
      <c r="AL123" s="130">
        <f t="shared" si="283"/>
        <v>261.3558820312075</v>
      </c>
      <c r="AM123" s="130">
        <f t="shared" si="283"/>
        <v>261.27527553882675</v>
      </c>
      <c r="AN123" s="130">
        <f t="shared" si="283"/>
        <v>255.1001573737766</v>
      </c>
      <c r="AO123" s="130">
        <f t="shared" si="283"/>
        <v>250.71986499752379</v>
      </c>
      <c r="AP123" s="130">
        <f t="shared" si="283"/>
        <v>249.2141833382473</v>
      </c>
      <c r="AQ123" s="130">
        <f t="shared" si="283"/>
        <v>242.01912947185292</v>
      </c>
      <c r="AR123" s="131">
        <f t="shared" si="283"/>
        <v>237.2619079163029</v>
      </c>
      <c r="AS123" s="132">
        <f t="shared" si="243"/>
        <v>3127.9536988184905</v>
      </c>
      <c r="AT123" s="133">
        <f t="shared" si="283"/>
        <v>367.76387523931379</v>
      </c>
      <c r="AU123" s="130">
        <f t="shared" si="283"/>
        <v>362.25727837738935</v>
      </c>
      <c r="AV123" s="130">
        <f t="shared" si="283"/>
        <v>353.40156003950989</v>
      </c>
      <c r="AW123" s="130">
        <f t="shared" si="283"/>
        <v>344.40938026244993</v>
      </c>
      <c r="AX123" s="130">
        <f t="shared" si="283"/>
        <v>335.30760708525287</v>
      </c>
      <c r="AY123" s="130">
        <f t="shared" si="283"/>
        <v>826.1237632700545</v>
      </c>
      <c r="AZ123" s="130">
        <f t="shared" si="283"/>
        <v>412.88580356669189</v>
      </c>
      <c r="BA123" s="130">
        <f t="shared" si="283"/>
        <v>397.60188849351169</v>
      </c>
      <c r="BB123" s="130">
        <f t="shared" si="283"/>
        <v>382.29005645572994</v>
      </c>
      <c r="BC123" s="130">
        <f t="shared" si="283"/>
        <v>366.97804553608574</v>
      </c>
      <c r="BD123" s="130">
        <f t="shared" si="283"/>
        <v>450.69311753864196</v>
      </c>
      <c r="BE123" s="131">
        <f>+BE134</f>
        <v>435.99868009705159</v>
      </c>
      <c r="BF123" s="132">
        <f t="shared" si="244"/>
        <v>5035.7110559616831</v>
      </c>
      <c r="BG123" s="133">
        <f t="shared" ref="BG123:BQ123" si="284">+BG134</f>
        <v>421.34437864765613</v>
      </c>
      <c r="BH123" s="130">
        <f t="shared" si="284"/>
        <v>409.2169537996179</v>
      </c>
      <c r="BI123" s="130">
        <f t="shared" si="284"/>
        <v>393.74977598520962</v>
      </c>
      <c r="BJ123" s="130">
        <f t="shared" si="284"/>
        <v>379.30615217157424</v>
      </c>
      <c r="BK123" s="130">
        <f t="shared" si="284"/>
        <v>363.99749921330567</v>
      </c>
      <c r="BL123" s="130">
        <f t="shared" si="284"/>
        <v>348.75368862696627</v>
      </c>
      <c r="BM123" s="130">
        <f t="shared" si="284"/>
        <v>333.59366450768761</v>
      </c>
      <c r="BN123" s="130">
        <f t="shared" si="284"/>
        <v>318.53517740071186</v>
      </c>
      <c r="BO123" s="130">
        <f t="shared" si="284"/>
        <v>303.59463878968575</v>
      </c>
      <c r="BP123" s="130">
        <f t="shared" si="284"/>
        <v>288.78698635331767</v>
      </c>
      <c r="BQ123" s="130">
        <f t="shared" si="284"/>
        <v>275.85056107520722</v>
      </c>
      <c r="BR123" s="131">
        <f>+BR134</f>
        <v>261.27675609952087</v>
      </c>
      <c r="BS123" s="132">
        <f t="shared" si="245"/>
        <v>4098.006232670461</v>
      </c>
      <c r="BT123" s="278">
        <f>+BT134</f>
        <v>639.76319528654165</v>
      </c>
      <c r="BU123" s="159">
        <f t="shared" si="200"/>
        <v>16353.572537025084</v>
      </c>
      <c r="BV123" s="160">
        <f t="shared" si="246"/>
        <v>16353.572537025084</v>
      </c>
      <c r="BW123" s="161">
        <f t="shared" si="247"/>
        <v>0</v>
      </c>
    </row>
    <row r="124" spans="1:76" ht="15" customHeight="1">
      <c r="A124" s="638"/>
      <c r="B124" s="548"/>
      <c r="C124" s="135" t="s">
        <v>63</v>
      </c>
      <c r="D124" s="233"/>
      <c r="E124" s="136">
        <f>+BU124</f>
        <v>14400</v>
      </c>
      <c r="F124" s="136"/>
      <c r="G124" s="137">
        <f>+G137</f>
        <v>0</v>
      </c>
      <c r="H124" s="138">
        <f t="shared" ref="H124:R124" si="285">+H137</f>
        <v>0</v>
      </c>
      <c r="I124" s="138">
        <f t="shared" si="285"/>
        <v>0</v>
      </c>
      <c r="J124" s="138">
        <f t="shared" si="285"/>
        <v>0</v>
      </c>
      <c r="K124" s="138">
        <f t="shared" si="285"/>
        <v>0</v>
      </c>
      <c r="L124" s="138">
        <f t="shared" si="285"/>
        <v>0</v>
      </c>
      <c r="M124" s="138">
        <f t="shared" si="285"/>
        <v>0</v>
      </c>
      <c r="N124" s="138">
        <f t="shared" si="285"/>
        <v>0</v>
      </c>
      <c r="O124" s="138">
        <f t="shared" si="285"/>
        <v>0</v>
      </c>
      <c r="P124" s="138">
        <f t="shared" si="285"/>
        <v>0</v>
      </c>
      <c r="Q124" s="138">
        <f t="shared" si="285"/>
        <v>0</v>
      </c>
      <c r="R124" s="139">
        <f t="shared" si="285"/>
        <v>0</v>
      </c>
      <c r="S124" s="140">
        <f t="shared" si="241"/>
        <v>0</v>
      </c>
      <c r="T124" s="137">
        <f>+T137</f>
        <v>0</v>
      </c>
      <c r="U124" s="138">
        <f t="shared" ref="U124:AE124" si="286">+U137</f>
        <v>0</v>
      </c>
      <c r="V124" s="138">
        <f t="shared" si="286"/>
        <v>0</v>
      </c>
      <c r="W124" s="138">
        <f t="shared" si="286"/>
        <v>0</v>
      </c>
      <c r="X124" s="138">
        <f t="shared" si="286"/>
        <v>0</v>
      </c>
      <c r="Y124" s="138">
        <f t="shared" si="286"/>
        <v>0</v>
      </c>
      <c r="Z124" s="138">
        <f t="shared" si="286"/>
        <v>0</v>
      </c>
      <c r="AA124" s="138">
        <f t="shared" si="286"/>
        <v>0</v>
      </c>
      <c r="AB124" s="138">
        <f t="shared" si="286"/>
        <v>0</v>
      </c>
      <c r="AC124" s="138">
        <f t="shared" si="286"/>
        <v>0</v>
      </c>
      <c r="AD124" s="138">
        <f t="shared" si="286"/>
        <v>0</v>
      </c>
      <c r="AE124" s="139">
        <f t="shared" si="286"/>
        <v>0</v>
      </c>
      <c r="AF124" s="140">
        <f t="shared" si="242"/>
        <v>0</v>
      </c>
      <c r="AG124" s="137">
        <f>+AG137</f>
        <v>0</v>
      </c>
      <c r="AH124" s="138">
        <f t="shared" ref="AH124:AR124" si="287">+AH137</f>
        <v>0</v>
      </c>
      <c r="AI124" s="138">
        <f t="shared" si="287"/>
        <v>0</v>
      </c>
      <c r="AJ124" s="138">
        <f t="shared" si="287"/>
        <v>0</v>
      </c>
      <c r="AK124" s="138">
        <f t="shared" si="287"/>
        <v>0</v>
      </c>
      <c r="AL124" s="138">
        <f t="shared" si="287"/>
        <v>0</v>
      </c>
      <c r="AM124" s="138">
        <f t="shared" si="287"/>
        <v>0</v>
      </c>
      <c r="AN124" s="138">
        <f t="shared" si="287"/>
        <v>0</v>
      </c>
      <c r="AO124" s="138">
        <f t="shared" si="287"/>
        <v>0</v>
      </c>
      <c r="AP124" s="138">
        <f t="shared" si="287"/>
        <v>0</v>
      </c>
      <c r="AQ124" s="138">
        <f t="shared" si="287"/>
        <v>0</v>
      </c>
      <c r="AR124" s="139">
        <f t="shared" si="287"/>
        <v>200</v>
      </c>
      <c r="AS124" s="140">
        <f t="shared" si="243"/>
        <v>200</v>
      </c>
      <c r="AT124" s="137">
        <f>+AT137</f>
        <v>200</v>
      </c>
      <c r="AU124" s="138">
        <f t="shared" ref="AU124:BE124" si="288">+AU137</f>
        <v>200</v>
      </c>
      <c r="AV124" s="138">
        <f t="shared" si="288"/>
        <v>200</v>
      </c>
      <c r="AW124" s="138">
        <f t="shared" si="288"/>
        <v>200</v>
      </c>
      <c r="AX124" s="138">
        <f t="shared" si="288"/>
        <v>200</v>
      </c>
      <c r="AY124" s="138">
        <f t="shared" si="288"/>
        <v>500</v>
      </c>
      <c r="AZ124" s="138">
        <f t="shared" si="288"/>
        <v>500</v>
      </c>
      <c r="BA124" s="138">
        <f t="shared" si="288"/>
        <v>500</v>
      </c>
      <c r="BB124" s="138">
        <f t="shared" si="288"/>
        <v>500</v>
      </c>
      <c r="BC124" s="138">
        <f t="shared" si="288"/>
        <v>700</v>
      </c>
      <c r="BD124" s="138">
        <f t="shared" si="288"/>
        <v>700</v>
      </c>
      <c r="BE124" s="139">
        <f t="shared" si="288"/>
        <v>700</v>
      </c>
      <c r="BF124" s="140">
        <f t="shared" si="244"/>
        <v>5100</v>
      </c>
      <c r="BG124" s="137">
        <f>+BG137</f>
        <v>700</v>
      </c>
      <c r="BH124" s="138">
        <f t="shared" ref="BH124:BR124" si="289">+BH137</f>
        <v>700</v>
      </c>
      <c r="BI124" s="138">
        <f t="shared" si="289"/>
        <v>700</v>
      </c>
      <c r="BJ124" s="138">
        <f t="shared" si="289"/>
        <v>700</v>
      </c>
      <c r="BK124" s="138">
        <f t="shared" si="289"/>
        <v>700</v>
      </c>
      <c r="BL124" s="138">
        <f t="shared" si="289"/>
        <v>700</v>
      </c>
      <c r="BM124" s="138">
        <f t="shared" si="289"/>
        <v>700</v>
      </c>
      <c r="BN124" s="138">
        <f t="shared" si="289"/>
        <v>700</v>
      </c>
      <c r="BO124" s="138">
        <f t="shared" si="289"/>
        <v>700</v>
      </c>
      <c r="BP124" s="138">
        <f t="shared" si="289"/>
        <v>700</v>
      </c>
      <c r="BQ124" s="138">
        <f t="shared" si="289"/>
        <v>700</v>
      </c>
      <c r="BR124" s="139">
        <f t="shared" si="289"/>
        <v>700</v>
      </c>
      <c r="BS124" s="140">
        <f t="shared" si="245"/>
        <v>8400</v>
      </c>
      <c r="BT124" s="279">
        <f>+BT137</f>
        <v>700</v>
      </c>
      <c r="BU124" s="90">
        <f t="shared" si="200"/>
        <v>14400</v>
      </c>
      <c r="BV124" s="91">
        <f t="shared" si="246"/>
        <v>14400</v>
      </c>
      <c r="BW124" s="92">
        <f t="shared" si="247"/>
        <v>0</v>
      </c>
      <c r="BX124" s="64">
        <f>+BU124/BU123</f>
        <v>0.8805415432865128</v>
      </c>
    </row>
    <row r="125" spans="1:76" ht="15" customHeight="1">
      <c r="A125" s="638"/>
      <c r="B125" s="549"/>
      <c r="C125" s="286" t="s">
        <v>11</v>
      </c>
      <c r="D125" s="236"/>
      <c r="E125" s="143">
        <f t="shared" ref="E125:R125" si="290">+E123-E124</f>
        <v>1953.5725370250839</v>
      </c>
      <c r="F125" s="144">
        <f t="shared" si="290"/>
        <v>0</v>
      </c>
      <c r="G125" s="145">
        <f t="shared" si="290"/>
        <v>267</v>
      </c>
      <c r="H125" s="145">
        <f t="shared" si="290"/>
        <v>30</v>
      </c>
      <c r="I125" s="145">
        <f t="shared" si="290"/>
        <v>31.690435910652898</v>
      </c>
      <c r="J125" s="145">
        <f t="shared" si="290"/>
        <v>30.818565921787702</v>
      </c>
      <c r="K125" s="145">
        <f t="shared" si="290"/>
        <v>27.487747982832619</v>
      </c>
      <c r="L125" s="145">
        <f t="shared" si="290"/>
        <v>23.602976832656552</v>
      </c>
      <c r="M125" s="145">
        <f t="shared" si="290"/>
        <v>725.21884549904235</v>
      </c>
      <c r="N125" s="145">
        <f t="shared" si="290"/>
        <v>23.04250690810747</v>
      </c>
      <c r="O125" s="145">
        <f t="shared" si="290"/>
        <v>23.687386310788774</v>
      </c>
      <c r="P125" s="145">
        <f t="shared" si="290"/>
        <v>23.04250690810747</v>
      </c>
      <c r="Q125" s="145">
        <f t="shared" si="290"/>
        <v>23.656887530131105</v>
      </c>
      <c r="R125" s="146">
        <f t="shared" si="290"/>
        <v>23.04250690810747</v>
      </c>
      <c r="S125" s="147">
        <f t="shared" si="241"/>
        <v>1252.2903667122146</v>
      </c>
      <c r="T125" s="148">
        <f t="shared" ref="T125:AE125" si="291">+T123-T124</f>
        <v>76.180337331270124</v>
      </c>
      <c r="U125" s="145">
        <f t="shared" si="291"/>
        <v>196.11078778289985</v>
      </c>
      <c r="V125" s="145">
        <f t="shared" si="291"/>
        <v>319.85732205488927</v>
      </c>
      <c r="W125" s="145">
        <f t="shared" si="291"/>
        <v>476.06896964038765</v>
      </c>
      <c r="X125" s="145">
        <f t="shared" si="291"/>
        <v>170.16604923811806</v>
      </c>
      <c r="Y125" s="145">
        <f t="shared" si="291"/>
        <v>168.24577707468634</v>
      </c>
      <c r="Z125" s="145">
        <f t="shared" si="291"/>
        <v>131.54483564352648</v>
      </c>
      <c r="AA125" s="145">
        <f t="shared" si="291"/>
        <v>130.39586236983538</v>
      </c>
      <c r="AB125" s="145">
        <f t="shared" si="291"/>
        <v>132.07935851956111</v>
      </c>
      <c r="AC125" s="145">
        <f t="shared" si="291"/>
        <v>134.80416081212661</v>
      </c>
      <c r="AD125" s="145">
        <f t="shared" si="291"/>
        <v>133.38688631999702</v>
      </c>
      <c r="AE125" s="146">
        <f t="shared" si="291"/>
        <v>131.00764078839512</v>
      </c>
      <c r="AF125" s="147">
        <f t="shared" si="242"/>
        <v>2199.8479875756934</v>
      </c>
      <c r="AG125" s="148">
        <f t="shared" ref="AG125:AR125" si="292">+AG123-AG124</f>
        <v>280.92635624570931</v>
      </c>
      <c r="AH125" s="145">
        <f t="shared" si="292"/>
        <v>279.5614221763077</v>
      </c>
      <c r="AI125" s="145">
        <f t="shared" si="292"/>
        <v>274.37098466085547</v>
      </c>
      <c r="AJ125" s="145">
        <f t="shared" si="292"/>
        <v>270.89429670793641</v>
      </c>
      <c r="AK125" s="145">
        <f t="shared" si="292"/>
        <v>265.25423835994354</v>
      </c>
      <c r="AL125" s="145">
        <f t="shared" si="292"/>
        <v>261.3558820312075</v>
      </c>
      <c r="AM125" s="145">
        <f t="shared" si="292"/>
        <v>261.27527553882675</v>
      </c>
      <c r="AN125" s="145">
        <f t="shared" si="292"/>
        <v>255.1001573737766</v>
      </c>
      <c r="AO125" s="145">
        <f t="shared" si="292"/>
        <v>250.71986499752379</v>
      </c>
      <c r="AP125" s="145">
        <f t="shared" si="292"/>
        <v>249.2141833382473</v>
      </c>
      <c r="AQ125" s="145">
        <f t="shared" si="292"/>
        <v>242.01912947185292</v>
      </c>
      <c r="AR125" s="146">
        <f t="shared" si="292"/>
        <v>37.261907916302903</v>
      </c>
      <c r="AS125" s="147">
        <f t="shared" si="243"/>
        <v>2927.9536988184905</v>
      </c>
      <c r="AT125" s="148">
        <f t="shared" ref="AT125:BE125" si="293">+AT123-AT124</f>
        <v>167.76387523931379</v>
      </c>
      <c r="AU125" s="145">
        <f t="shared" si="293"/>
        <v>162.25727837738935</v>
      </c>
      <c r="AV125" s="145">
        <f t="shared" si="293"/>
        <v>153.40156003950989</v>
      </c>
      <c r="AW125" s="145">
        <f t="shared" si="293"/>
        <v>144.40938026244993</v>
      </c>
      <c r="AX125" s="145">
        <f t="shared" si="293"/>
        <v>135.30760708525287</v>
      </c>
      <c r="AY125" s="145">
        <f t="shared" si="293"/>
        <v>326.1237632700545</v>
      </c>
      <c r="AZ125" s="145">
        <f t="shared" si="293"/>
        <v>-87.114196433308109</v>
      </c>
      <c r="BA125" s="145">
        <f t="shared" si="293"/>
        <v>-102.39811150648831</v>
      </c>
      <c r="BB125" s="145">
        <f t="shared" si="293"/>
        <v>-117.70994354427006</v>
      </c>
      <c r="BC125" s="145">
        <f t="shared" si="293"/>
        <v>-333.02195446391426</v>
      </c>
      <c r="BD125" s="145">
        <f t="shared" si="293"/>
        <v>-249.30688246135804</v>
      </c>
      <c r="BE125" s="146">
        <f t="shared" si="293"/>
        <v>-264.00131990294841</v>
      </c>
      <c r="BF125" s="147">
        <f t="shared" si="244"/>
        <v>-64.288944038316743</v>
      </c>
      <c r="BG125" s="148">
        <f t="shared" ref="BG125:BR125" si="294">+BG123-BG124</f>
        <v>-278.65562135234387</v>
      </c>
      <c r="BH125" s="145">
        <f t="shared" si="294"/>
        <v>-290.7830462003821</v>
      </c>
      <c r="BI125" s="145">
        <f t="shared" si="294"/>
        <v>-306.25022401479038</v>
      </c>
      <c r="BJ125" s="145">
        <f t="shared" si="294"/>
        <v>-320.69384782842576</v>
      </c>
      <c r="BK125" s="145">
        <f t="shared" si="294"/>
        <v>-336.00250078669433</v>
      </c>
      <c r="BL125" s="145">
        <f t="shared" si="294"/>
        <v>-351.24631137303373</v>
      </c>
      <c r="BM125" s="145">
        <f t="shared" si="294"/>
        <v>-366.40633549231239</v>
      </c>
      <c r="BN125" s="145">
        <f t="shared" si="294"/>
        <v>-381.46482259928814</v>
      </c>
      <c r="BO125" s="145">
        <f t="shared" si="294"/>
        <v>-396.40536121031425</v>
      </c>
      <c r="BP125" s="145">
        <f t="shared" si="294"/>
        <v>-411.21301364668233</v>
      </c>
      <c r="BQ125" s="145">
        <f t="shared" si="294"/>
        <v>-424.14943892479278</v>
      </c>
      <c r="BR125" s="146">
        <f t="shared" si="294"/>
        <v>-438.72324390047913</v>
      </c>
      <c r="BS125" s="147">
        <f t="shared" si="245"/>
        <v>-4301.993767329539</v>
      </c>
      <c r="BT125" s="146">
        <f>+BT123-BT124</f>
        <v>-60.236804713458355</v>
      </c>
      <c r="BU125" s="98">
        <f t="shared" si="200"/>
        <v>1953.5725370250843</v>
      </c>
      <c r="BV125" s="99">
        <f t="shared" si="246"/>
        <v>1953.5725370250839</v>
      </c>
      <c r="BW125" s="100">
        <f t="shared" si="247"/>
        <v>0</v>
      </c>
    </row>
    <row r="126" spans="1:76" ht="15" customHeight="1">
      <c r="A126" s="638"/>
      <c r="B126" s="593" t="s">
        <v>113</v>
      </c>
      <c r="C126" s="152" t="s">
        <v>62</v>
      </c>
      <c r="D126" s="235"/>
      <c r="E126" s="153">
        <f>+BU126</f>
        <v>0</v>
      </c>
      <c r="F126" s="128"/>
      <c r="G126" s="129">
        <v>0</v>
      </c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1"/>
      <c r="S126" s="132">
        <f t="shared" si="241"/>
        <v>0</v>
      </c>
      <c r="T126" s="133"/>
      <c r="U126" s="130"/>
      <c r="V126" s="130"/>
      <c r="W126" s="130"/>
      <c r="X126" s="130"/>
      <c r="Y126" s="130"/>
      <c r="Z126" s="130"/>
      <c r="AA126" s="130"/>
      <c r="AB126" s="130"/>
      <c r="AC126" s="130"/>
      <c r="AD126" s="130"/>
      <c r="AE126" s="131"/>
      <c r="AF126" s="132">
        <f t="shared" si="242"/>
        <v>0</v>
      </c>
      <c r="AG126" s="129"/>
      <c r="AH126" s="130"/>
      <c r="AI126" s="130"/>
      <c r="AJ126" s="130"/>
      <c r="AK126" s="130"/>
      <c r="AL126" s="130"/>
      <c r="AM126" s="130"/>
      <c r="AN126" s="130"/>
      <c r="AO126" s="130"/>
      <c r="AP126" s="130"/>
      <c r="AQ126" s="130"/>
      <c r="AR126" s="131"/>
      <c r="AS126" s="132">
        <f t="shared" si="243"/>
        <v>0</v>
      </c>
      <c r="AT126" s="133"/>
      <c r="AU126" s="130"/>
      <c r="AV126" s="130"/>
      <c r="AW126" s="130"/>
      <c r="AX126" s="130"/>
      <c r="AY126" s="130"/>
      <c r="AZ126" s="130"/>
      <c r="BA126" s="130"/>
      <c r="BB126" s="130"/>
      <c r="BC126" s="130"/>
      <c r="BD126" s="130"/>
      <c r="BE126" s="131"/>
      <c r="BF126" s="132">
        <f t="shared" si="244"/>
        <v>0</v>
      </c>
      <c r="BG126" s="133"/>
      <c r="BH126" s="130"/>
      <c r="BI126" s="130"/>
      <c r="BJ126" s="130"/>
      <c r="BK126" s="130"/>
      <c r="BL126" s="130"/>
      <c r="BM126" s="130"/>
      <c r="BN126" s="130"/>
      <c r="BO126" s="130"/>
      <c r="BP126" s="130"/>
      <c r="BQ126" s="130"/>
      <c r="BR126" s="131"/>
      <c r="BS126" s="132">
        <f t="shared" si="245"/>
        <v>0</v>
      </c>
      <c r="BT126" s="278"/>
      <c r="BU126" s="159">
        <f t="shared" si="200"/>
        <v>0</v>
      </c>
      <c r="BV126" s="160">
        <f t="shared" si="246"/>
        <v>0</v>
      </c>
      <c r="BW126" s="161">
        <f t="shared" si="247"/>
        <v>0</v>
      </c>
    </row>
    <row r="127" spans="1:76" ht="15" customHeight="1">
      <c r="A127" s="638"/>
      <c r="B127" s="548"/>
      <c r="C127" s="135" t="s">
        <v>63</v>
      </c>
      <c r="D127" s="233"/>
      <c r="E127" s="136">
        <f>+BU127</f>
        <v>11594.529810114196</v>
      </c>
      <c r="F127" s="136"/>
      <c r="G127" s="137">
        <v>-120.045915808814</v>
      </c>
      <c r="H127" s="138">
        <v>303.87641176887001</v>
      </c>
      <c r="I127" s="138">
        <v>-297.896571884053</v>
      </c>
      <c r="J127" s="138">
        <v>-9.9071555421560298</v>
      </c>
      <c r="K127" s="138">
        <v>30.4</v>
      </c>
      <c r="L127" s="138">
        <v>88.969388530892999</v>
      </c>
      <c r="M127" s="138">
        <v>99.133653049455859</v>
      </c>
      <c r="N127" s="138"/>
      <c r="O127" s="138"/>
      <c r="P127" s="138"/>
      <c r="Q127" s="138"/>
      <c r="R127" s="139"/>
      <c r="S127" s="140">
        <f t="shared" si="241"/>
        <v>94.529810114195826</v>
      </c>
      <c r="T127" s="141"/>
      <c r="U127" s="138"/>
      <c r="V127" s="138"/>
      <c r="W127" s="138"/>
      <c r="X127" s="138"/>
      <c r="Y127" s="138"/>
      <c r="Z127" s="138"/>
      <c r="AA127" s="138"/>
      <c r="AB127" s="138"/>
      <c r="AC127" s="138"/>
      <c r="AD127" s="138"/>
      <c r="AE127" s="139"/>
      <c r="AF127" s="140">
        <f t="shared" si="242"/>
        <v>0</v>
      </c>
      <c r="AG127" s="137"/>
      <c r="AH127" s="138"/>
      <c r="AI127" s="138"/>
      <c r="AJ127" s="138"/>
      <c r="AK127" s="138"/>
      <c r="AL127" s="138"/>
      <c r="AM127" s="138"/>
      <c r="AN127" s="138"/>
      <c r="AO127" s="138"/>
      <c r="AP127" s="138"/>
      <c r="AQ127" s="138"/>
      <c r="AR127" s="139"/>
      <c r="AS127" s="140">
        <f t="shared" si="243"/>
        <v>0</v>
      </c>
      <c r="AT127" s="141"/>
      <c r="AU127" s="138">
        <v>500</v>
      </c>
      <c r="AV127" s="138">
        <v>500</v>
      </c>
      <c r="AW127" s="138">
        <v>500</v>
      </c>
      <c r="AX127" s="138">
        <v>500</v>
      </c>
      <c r="AY127" s="138">
        <v>500</v>
      </c>
      <c r="AZ127" s="138">
        <v>500</v>
      </c>
      <c r="BA127" s="138">
        <v>500</v>
      </c>
      <c r="BB127" s="138">
        <v>500</v>
      </c>
      <c r="BC127" s="138">
        <v>500</v>
      </c>
      <c r="BD127" s="138">
        <v>500</v>
      </c>
      <c r="BE127" s="139">
        <v>500</v>
      </c>
      <c r="BF127" s="140">
        <f t="shared" si="244"/>
        <v>5500</v>
      </c>
      <c r="BG127" s="141"/>
      <c r="BH127" s="138">
        <v>500</v>
      </c>
      <c r="BI127" s="138">
        <v>500</v>
      </c>
      <c r="BJ127" s="138">
        <v>500</v>
      </c>
      <c r="BK127" s="138">
        <v>500</v>
      </c>
      <c r="BL127" s="138">
        <v>500</v>
      </c>
      <c r="BM127" s="138">
        <v>500</v>
      </c>
      <c r="BN127" s="138">
        <v>500</v>
      </c>
      <c r="BO127" s="138">
        <v>500</v>
      </c>
      <c r="BP127" s="138">
        <v>500</v>
      </c>
      <c r="BQ127" s="138">
        <v>500</v>
      </c>
      <c r="BR127" s="139">
        <v>500</v>
      </c>
      <c r="BS127" s="140">
        <f t="shared" si="245"/>
        <v>5500</v>
      </c>
      <c r="BT127" s="279">
        <v>500</v>
      </c>
      <c r="BU127" s="90">
        <f t="shared" si="200"/>
        <v>11594.529810114196</v>
      </c>
      <c r="BV127" s="91">
        <f t="shared" si="246"/>
        <v>11594.529810114196</v>
      </c>
      <c r="BW127" s="92">
        <f t="shared" si="247"/>
        <v>0</v>
      </c>
      <c r="BX127" s="64" t="e">
        <f>+BU127/BU126</f>
        <v>#DIV/0!</v>
      </c>
    </row>
    <row r="128" spans="1:76" ht="15" customHeight="1">
      <c r="A128" s="638"/>
      <c r="B128" s="549"/>
      <c r="C128" s="286" t="s">
        <v>11</v>
      </c>
      <c r="D128" s="236"/>
      <c r="E128" s="143">
        <f t="shared" ref="E128:R128" si="295">+E126-E127</f>
        <v>-11594.529810114196</v>
      </c>
      <c r="F128" s="144">
        <f t="shared" si="295"/>
        <v>0</v>
      </c>
      <c r="G128" s="145">
        <f t="shared" si="295"/>
        <v>120.045915808814</v>
      </c>
      <c r="H128" s="145">
        <f t="shared" si="295"/>
        <v>-303.87641176887001</v>
      </c>
      <c r="I128" s="145">
        <f t="shared" si="295"/>
        <v>297.896571884053</v>
      </c>
      <c r="J128" s="145">
        <f t="shared" si="295"/>
        <v>9.9071555421560298</v>
      </c>
      <c r="K128" s="145">
        <f t="shared" si="295"/>
        <v>-30.4</v>
      </c>
      <c r="L128" s="145">
        <f t="shared" si="295"/>
        <v>-88.969388530892999</v>
      </c>
      <c r="M128" s="145">
        <f t="shared" si="295"/>
        <v>-99.133653049455859</v>
      </c>
      <c r="N128" s="145">
        <f t="shared" si="295"/>
        <v>0</v>
      </c>
      <c r="O128" s="145">
        <f t="shared" si="295"/>
        <v>0</v>
      </c>
      <c r="P128" s="145">
        <f t="shared" si="295"/>
        <v>0</v>
      </c>
      <c r="Q128" s="145">
        <f t="shared" si="295"/>
        <v>0</v>
      </c>
      <c r="R128" s="146">
        <f t="shared" si="295"/>
        <v>0</v>
      </c>
      <c r="S128" s="147">
        <f t="shared" si="241"/>
        <v>-94.529810114195826</v>
      </c>
      <c r="T128" s="148">
        <f t="shared" ref="T128:AE128" si="296">+T126-T127</f>
        <v>0</v>
      </c>
      <c r="U128" s="145">
        <f t="shared" si="296"/>
        <v>0</v>
      </c>
      <c r="V128" s="145">
        <f t="shared" si="296"/>
        <v>0</v>
      </c>
      <c r="W128" s="145">
        <f t="shared" si="296"/>
        <v>0</v>
      </c>
      <c r="X128" s="145">
        <f t="shared" si="296"/>
        <v>0</v>
      </c>
      <c r="Y128" s="145">
        <f t="shared" si="296"/>
        <v>0</v>
      </c>
      <c r="Z128" s="145">
        <f t="shared" si="296"/>
        <v>0</v>
      </c>
      <c r="AA128" s="145">
        <f t="shared" si="296"/>
        <v>0</v>
      </c>
      <c r="AB128" s="145">
        <f t="shared" si="296"/>
        <v>0</v>
      </c>
      <c r="AC128" s="145">
        <f t="shared" si="296"/>
        <v>0</v>
      </c>
      <c r="AD128" s="145">
        <f t="shared" si="296"/>
        <v>0</v>
      </c>
      <c r="AE128" s="146">
        <f t="shared" si="296"/>
        <v>0</v>
      </c>
      <c r="AF128" s="147">
        <f t="shared" si="242"/>
        <v>0</v>
      </c>
      <c r="AG128" s="148">
        <f t="shared" ref="AG128:AR128" si="297">+AG126-AG127</f>
        <v>0</v>
      </c>
      <c r="AH128" s="145">
        <f t="shared" si="297"/>
        <v>0</v>
      </c>
      <c r="AI128" s="145">
        <f t="shared" si="297"/>
        <v>0</v>
      </c>
      <c r="AJ128" s="145">
        <f t="shared" si="297"/>
        <v>0</v>
      </c>
      <c r="AK128" s="145">
        <f t="shared" si="297"/>
        <v>0</v>
      </c>
      <c r="AL128" s="145">
        <f t="shared" si="297"/>
        <v>0</v>
      </c>
      <c r="AM128" s="145">
        <f t="shared" si="297"/>
        <v>0</v>
      </c>
      <c r="AN128" s="145">
        <f t="shared" si="297"/>
        <v>0</v>
      </c>
      <c r="AO128" s="145">
        <f t="shared" si="297"/>
        <v>0</v>
      </c>
      <c r="AP128" s="145">
        <f t="shared" si="297"/>
        <v>0</v>
      </c>
      <c r="AQ128" s="145">
        <f t="shared" si="297"/>
        <v>0</v>
      </c>
      <c r="AR128" s="146">
        <f t="shared" si="297"/>
        <v>0</v>
      </c>
      <c r="AS128" s="147">
        <f t="shared" si="243"/>
        <v>0</v>
      </c>
      <c r="AT128" s="148">
        <f t="shared" ref="AT128:BE128" si="298">+AT126-AT127</f>
        <v>0</v>
      </c>
      <c r="AU128" s="145">
        <f t="shared" si="298"/>
        <v>-500</v>
      </c>
      <c r="AV128" s="145">
        <f t="shared" si="298"/>
        <v>-500</v>
      </c>
      <c r="AW128" s="145">
        <f t="shared" si="298"/>
        <v>-500</v>
      </c>
      <c r="AX128" s="145">
        <f t="shared" si="298"/>
        <v>-500</v>
      </c>
      <c r="AY128" s="145">
        <f t="shared" si="298"/>
        <v>-500</v>
      </c>
      <c r="AZ128" s="145">
        <f t="shared" si="298"/>
        <v>-500</v>
      </c>
      <c r="BA128" s="145">
        <f t="shared" si="298"/>
        <v>-500</v>
      </c>
      <c r="BB128" s="145">
        <f t="shared" si="298"/>
        <v>-500</v>
      </c>
      <c r="BC128" s="145">
        <f t="shared" si="298"/>
        <v>-500</v>
      </c>
      <c r="BD128" s="145">
        <f t="shared" si="298"/>
        <v>-500</v>
      </c>
      <c r="BE128" s="146">
        <f t="shared" si="298"/>
        <v>-500</v>
      </c>
      <c r="BF128" s="147">
        <f t="shared" si="244"/>
        <v>-5500</v>
      </c>
      <c r="BG128" s="148">
        <f t="shared" ref="BG128:BR128" si="299">+BG126-BG127</f>
        <v>0</v>
      </c>
      <c r="BH128" s="145">
        <f t="shared" si="299"/>
        <v>-500</v>
      </c>
      <c r="BI128" s="145">
        <f t="shared" si="299"/>
        <v>-500</v>
      </c>
      <c r="BJ128" s="145">
        <f t="shared" si="299"/>
        <v>-500</v>
      </c>
      <c r="BK128" s="145">
        <f t="shared" si="299"/>
        <v>-500</v>
      </c>
      <c r="BL128" s="145">
        <f t="shared" si="299"/>
        <v>-500</v>
      </c>
      <c r="BM128" s="145">
        <f t="shared" si="299"/>
        <v>-500</v>
      </c>
      <c r="BN128" s="145">
        <f t="shared" si="299"/>
        <v>-500</v>
      </c>
      <c r="BO128" s="145">
        <f t="shared" si="299"/>
        <v>-500</v>
      </c>
      <c r="BP128" s="145">
        <f t="shared" si="299"/>
        <v>-500</v>
      </c>
      <c r="BQ128" s="145">
        <f t="shared" si="299"/>
        <v>-500</v>
      </c>
      <c r="BR128" s="146">
        <f t="shared" si="299"/>
        <v>-500</v>
      </c>
      <c r="BS128" s="147">
        <f t="shared" si="245"/>
        <v>-5500</v>
      </c>
      <c r="BT128" s="146">
        <f>+BT126-BT127</f>
        <v>-500</v>
      </c>
      <c r="BU128" s="98">
        <f t="shared" si="200"/>
        <v>-11594.529810114196</v>
      </c>
      <c r="BV128" s="99">
        <f t="shared" si="246"/>
        <v>-11594.529810114196</v>
      </c>
      <c r="BW128" s="100">
        <f t="shared" si="247"/>
        <v>0</v>
      </c>
    </row>
    <row r="129" spans="1:76" ht="15" customHeight="1">
      <c r="A129" s="638"/>
      <c r="B129" s="614" t="s">
        <v>65</v>
      </c>
      <c r="C129" s="217" t="s">
        <v>62</v>
      </c>
      <c r="D129" s="240"/>
      <c r="E129" s="128">
        <f t="shared" ref="E129:R130" si="300">E108+E111+E114+E117+E120+E123+E126</f>
        <v>655002.57253702509</v>
      </c>
      <c r="F129" s="128">
        <f t="shared" si="300"/>
        <v>0</v>
      </c>
      <c r="G129" s="154">
        <f t="shared" si="300"/>
        <v>267</v>
      </c>
      <c r="H129" s="133">
        <f t="shared" si="300"/>
        <v>30</v>
      </c>
      <c r="I129" s="130">
        <f t="shared" si="300"/>
        <v>31.690435910652898</v>
      </c>
      <c r="J129" s="130">
        <f t="shared" si="300"/>
        <v>30.818565921787702</v>
      </c>
      <c r="K129" s="130">
        <f t="shared" si="300"/>
        <v>27.487747982832619</v>
      </c>
      <c r="L129" s="130">
        <f t="shared" si="300"/>
        <v>23.602976832656552</v>
      </c>
      <c r="M129" s="130">
        <f t="shared" si="300"/>
        <v>725.21884549904235</v>
      </c>
      <c r="N129" s="130">
        <f t="shared" si="300"/>
        <v>23.04250690810747</v>
      </c>
      <c r="O129" s="130">
        <f t="shared" si="300"/>
        <v>23.687386310788774</v>
      </c>
      <c r="P129" s="130">
        <f t="shared" si="300"/>
        <v>23.04250690810747</v>
      </c>
      <c r="Q129" s="130">
        <f t="shared" si="300"/>
        <v>23.656887530131105</v>
      </c>
      <c r="R129" s="131">
        <f t="shared" si="300"/>
        <v>23.04250690810747</v>
      </c>
      <c r="S129" s="163">
        <f t="shared" si="241"/>
        <v>1252.2903667122146</v>
      </c>
      <c r="T129" s="154">
        <f>T108+T111+T114+T117+T120+T123+T126</f>
        <v>76.180337331270124</v>
      </c>
      <c r="U129" s="133">
        <f t="shared" ref="U129:AE130" si="301">U108+U111+U114+U117+U120+U123+U126</f>
        <v>196.11078778289985</v>
      </c>
      <c r="V129" s="130">
        <f t="shared" si="301"/>
        <v>319.85732205488927</v>
      </c>
      <c r="W129" s="130">
        <f t="shared" si="301"/>
        <v>476.06896964038765</v>
      </c>
      <c r="X129" s="130">
        <f t="shared" si="301"/>
        <v>170.16604923811806</v>
      </c>
      <c r="Y129" s="130">
        <f t="shared" si="301"/>
        <v>168.24577707468634</v>
      </c>
      <c r="Z129" s="130">
        <f t="shared" si="301"/>
        <v>131.54483564352648</v>
      </c>
      <c r="AA129" s="130">
        <f t="shared" si="301"/>
        <v>130.39586236983538</v>
      </c>
      <c r="AB129" s="130">
        <f t="shared" si="301"/>
        <v>132.07935851956111</v>
      </c>
      <c r="AC129" s="130">
        <f t="shared" si="301"/>
        <v>134.80416081212661</v>
      </c>
      <c r="AD129" s="130">
        <f t="shared" si="301"/>
        <v>133.38688631999702</v>
      </c>
      <c r="AE129" s="131">
        <f t="shared" si="301"/>
        <v>30131.007640788393</v>
      </c>
      <c r="AF129" s="163">
        <f t="shared" si="242"/>
        <v>32199.847987575693</v>
      </c>
      <c r="AG129" s="154">
        <f>AG108+AG111+AG114+AG117+AG120+AG123+AG126</f>
        <v>280.92635624570931</v>
      </c>
      <c r="AH129" s="133">
        <f t="shared" ref="AH129:AR130" si="302">AH108+AH111+AH114+AH117+AH120+AH123+AH126</f>
        <v>279.5614221763077</v>
      </c>
      <c r="AI129" s="130">
        <f t="shared" si="302"/>
        <v>274.37098466085547</v>
      </c>
      <c r="AJ129" s="130">
        <f t="shared" si="302"/>
        <v>270.89429670793641</v>
      </c>
      <c r="AK129" s="130">
        <f t="shared" si="302"/>
        <v>265.25423835994354</v>
      </c>
      <c r="AL129" s="130">
        <f t="shared" si="302"/>
        <v>261.3558820312075</v>
      </c>
      <c r="AM129" s="130">
        <f t="shared" si="302"/>
        <v>261.27527553882675</v>
      </c>
      <c r="AN129" s="130">
        <f t="shared" si="302"/>
        <v>255.1001573737766</v>
      </c>
      <c r="AO129" s="130">
        <f t="shared" si="302"/>
        <v>250.71986499752379</v>
      </c>
      <c r="AP129" s="130">
        <f t="shared" si="302"/>
        <v>249.2141833382473</v>
      </c>
      <c r="AQ129" s="130">
        <f t="shared" si="302"/>
        <v>242.01912947185292</v>
      </c>
      <c r="AR129" s="131">
        <f t="shared" si="302"/>
        <v>50237.261907916305</v>
      </c>
      <c r="AS129" s="163">
        <f t="shared" si="243"/>
        <v>53127.953698818492</v>
      </c>
      <c r="AT129" s="154">
        <f>AT108+AT111+AT114+AT117+AT120+AT123+AT126</f>
        <v>367.76387523931379</v>
      </c>
      <c r="AU129" s="133">
        <f t="shared" ref="AU129:BE130" si="303">AU108+AU111+AU114+AU117+AU120+AU123+AU126</f>
        <v>362.25727837738935</v>
      </c>
      <c r="AV129" s="130">
        <f t="shared" si="303"/>
        <v>353.40156003950989</v>
      </c>
      <c r="AW129" s="130">
        <f t="shared" si="303"/>
        <v>344.40938026244993</v>
      </c>
      <c r="AX129" s="130">
        <f t="shared" si="303"/>
        <v>100335.30760708525</v>
      </c>
      <c r="AY129" s="130">
        <f t="shared" si="303"/>
        <v>30826.123763270054</v>
      </c>
      <c r="AZ129" s="130">
        <f t="shared" si="303"/>
        <v>412.88580356669189</v>
      </c>
      <c r="BA129" s="130">
        <f t="shared" si="303"/>
        <v>397.60188849351169</v>
      </c>
      <c r="BB129" s="130">
        <f t="shared" si="303"/>
        <v>382.29005645572994</v>
      </c>
      <c r="BC129" s="130">
        <f t="shared" si="303"/>
        <v>20366.978045536085</v>
      </c>
      <c r="BD129" s="130">
        <f t="shared" si="303"/>
        <v>450.69311753864196</v>
      </c>
      <c r="BE129" s="131">
        <f t="shared" si="303"/>
        <v>435.99868009705159</v>
      </c>
      <c r="BF129" s="163">
        <f t="shared" si="244"/>
        <v>155035.7110559617</v>
      </c>
      <c r="BG129" s="154">
        <f>BG108+BG111+BG114+BG117+BG120+BG123+BG126</f>
        <v>421.34437864765613</v>
      </c>
      <c r="BH129" s="133">
        <f t="shared" ref="BH129:BR130" si="304">BH108+BH111+BH114+BH117+BH120+BH123+BH126</f>
        <v>409.2169537996179</v>
      </c>
      <c r="BI129" s="130">
        <f t="shared" si="304"/>
        <v>393.74977598520962</v>
      </c>
      <c r="BJ129" s="130">
        <f t="shared" si="304"/>
        <v>379.30615217157424</v>
      </c>
      <c r="BK129" s="130">
        <f t="shared" si="304"/>
        <v>363.99749921330567</v>
      </c>
      <c r="BL129" s="130">
        <f t="shared" si="304"/>
        <v>348.75368862696627</v>
      </c>
      <c r="BM129" s="130">
        <f t="shared" si="304"/>
        <v>333.59366450768761</v>
      </c>
      <c r="BN129" s="130">
        <f t="shared" si="304"/>
        <v>318.53517740071186</v>
      </c>
      <c r="BO129" s="130">
        <f t="shared" si="304"/>
        <v>303.59463878968575</v>
      </c>
      <c r="BP129" s="130">
        <f t="shared" si="304"/>
        <v>288.78698635331767</v>
      </c>
      <c r="BQ129" s="130">
        <f t="shared" si="304"/>
        <v>275.85056107520722</v>
      </c>
      <c r="BR129" s="131">
        <f t="shared" si="304"/>
        <v>78771.276756099527</v>
      </c>
      <c r="BS129" s="163">
        <f t="shared" si="245"/>
        <v>82608.006232670465</v>
      </c>
      <c r="BT129" s="278">
        <f>BT108+BT111+BT114+BT117+BT120+BT123+BT126</f>
        <v>330778.76319528656</v>
      </c>
      <c r="BU129" s="164">
        <f t="shared" si="200"/>
        <v>655002.5725370252</v>
      </c>
      <c r="BV129" s="165">
        <f t="shared" si="246"/>
        <v>655002.57253702509</v>
      </c>
      <c r="BW129" s="166">
        <f t="shared" si="247"/>
        <v>0</v>
      </c>
    </row>
    <row r="130" spans="1:76" ht="15" customHeight="1">
      <c r="A130" s="638"/>
      <c r="B130" s="615"/>
      <c r="C130" s="218" t="s">
        <v>63</v>
      </c>
      <c r="D130" s="241"/>
      <c r="E130" s="136">
        <f t="shared" si="300"/>
        <v>506354.02981011418</v>
      </c>
      <c r="F130" s="136">
        <f t="shared" si="300"/>
        <v>0</v>
      </c>
      <c r="G130" s="137">
        <f t="shared" si="300"/>
        <v>-120.045915808814</v>
      </c>
      <c r="H130" s="141">
        <f t="shared" si="300"/>
        <v>303.87641176887001</v>
      </c>
      <c r="I130" s="138">
        <f t="shared" si="300"/>
        <v>-297.896571884053</v>
      </c>
      <c r="J130" s="138">
        <f t="shared" si="300"/>
        <v>-9.9071555421560298</v>
      </c>
      <c r="K130" s="138">
        <f t="shared" si="300"/>
        <v>30.4</v>
      </c>
      <c r="L130" s="138">
        <f t="shared" si="300"/>
        <v>88.969388530892999</v>
      </c>
      <c r="M130" s="138">
        <f t="shared" si="300"/>
        <v>99.133653049455859</v>
      </c>
      <c r="N130" s="138">
        <f t="shared" si="300"/>
        <v>0</v>
      </c>
      <c r="O130" s="138">
        <f t="shared" si="300"/>
        <v>510</v>
      </c>
      <c r="P130" s="138">
        <f t="shared" si="300"/>
        <v>3900</v>
      </c>
      <c r="Q130" s="138">
        <f t="shared" si="300"/>
        <v>3900</v>
      </c>
      <c r="R130" s="139">
        <f t="shared" si="300"/>
        <v>70</v>
      </c>
      <c r="S130" s="162">
        <f t="shared" si="241"/>
        <v>8474.5298101141962</v>
      </c>
      <c r="T130" s="137">
        <f>T109+T112+T115+T118+T121+T124+T127</f>
        <v>0</v>
      </c>
      <c r="U130" s="141">
        <f t="shared" si="301"/>
        <v>0</v>
      </c>
      <c r="V130" s="138">
        <f t="shared" si="301"/>
        <v>0</v>
      </c>
      <c r="W130" s="138">
        <f t="shared" si="301"/>
        <v>62400</v>
      </c>
      <c r="X130" s="138">
        <f t="shared" si="301"/>
        <v>0</v>
      </c>
      <c r="Y130" s="138">
        <f t="shared" si="301"/>
        <v>7800</v>
      </c>
      <c r="Z130" s="138">
        <f t="shared" si="301"/>
        <v>0</v>
      </c>
      <c r="AA130" s="138">
        <f t="shared" si="301"/>
        <v>0</v>
      </c>
      <c r="AB130" s="138">
        <f t="shared" si="301"/>
        <v>0</v>
      </c>
      <c r="AC130" s="138">
        <f t="shared" si="301"/>
        <v>0</v>
      </c>
      <c r="AD130" s="138">
        <f t="shared" si="301"/>
        <v>0</v>
      </c>
      <c r="AE130" s="139">
        <f t="shared" si="301"/>
        <v>0</v>
      </c>
      <c r="AF130" s="162">
        <f t="shared" si="242"/>
        <v>70200</v>
      </c>
      <c r="AG130" s="137">
        <f>AG109+AG112+AG115+AG118+AG121+AG124+AG127</f>
        <v>300</v>
      </c>
      <c r="AH130" s="141">
        <f t="shared" si="302"/>
        <v>300</v>
      </c>
      <c r="AI130" s="138">
        <f t="shared" si="302"/>
        <v>300</v>
      </c>
      <c r="AJ130" s="138">
        <f t="shared" si="302"/>
        <v>300</v>
      </c>
      <c r="AK130" s="138">
        <f t="shared" si="302"/>
        <v>300</v>
      </c>
      <c r="AL130" s="138">
        <f t="shared" si="302"/>
        <v>300</v>
      </c>
      <c r="AM130" s="138">
        <f t="shared" si="302"/>
        <v>300</v>
      </c>
      <c r="AN130" s="138">
        <f t="shared" si="302"/>
        <v>300</v>
      </c>
      <c r="AO130" s="138">
        <f t="shared" si="302"/>
        <v>300</v>
      </c>
      <c r="AP130" s="138">
        <f t="shared" si="302"/>
        <v>300</v>
      </c>
      <c r="AQ130" s="138">
        <f t="shared" si="302"/>
        <v>300</v>
      </c>
      <c r="AR130" s="139">
        <f t="shared" si="302"/>
        <v>23679.5</v>
      </c>
      <c r="AS130" s="162">
        <f t="shared" si="243"/>
        <v>26979.5</v>
      </c>
      <c r="AT130" s="137">
        <f>AT109+AT112+AT115+AT118+AT121+AT124+AT127</f>
        <v>800</v>
      </c>
      <c r="AU130" s="141">
        <f t="shared" si="303"/>
        <v>1300</v>
      </c>
      <c r="AV130" s="138">
        <f t="shared" si="303"/>
        <v>1300</v>
      </c>
      <c r="AW130" s="138">
        <f t="shared" si="303"/>
        <v>1300</v>
      </c>
      <c r="AX130" s="138">
        <f t="shared" si="303"/>
        <v>1300</v>
      </c>
      <c r="AY130" s="138">
        <f t="shared" si="303"/>
        <v>112600</v>
      </c>
      <c r="AZ130" s="138">
        <f t="shared" si="303"/>
        <v>2600</v>
      </c>
      <c r="BA130" s="138">
        <f t="shared" si="303"/>
        <v>2600</v>
      </c>
      <c r="BB130" s="138">
        <f t="shared" si="303"/>
        <v>2600</v>
      </c>
      <c r="BC130" s="138">
        <f t="shared" si="303"/>
        <v>2800</v>
      </c>
      <c r="BD130" s="138">
        <f t="shared" si="303"/>
        <v>2800</v>
      </c>
      <c r="BE130" s="139">
        <f t="shared" si="303"/>
        <v>2800</v>
      </c>
      <c r="BF130" s="162">
        <f t="shared" si="244"/>
        <v>134800</v>
      </c>
      <c r="BG130" s="137">
        <f>BG109+BG112+BG115+BG118+BG121+BG124+BG127</f>
        <v>2300</v>
      </c>
      <c r="BH130" s="141">
        <f t="shared" si="304"/>
        <v>2800</v>
      </c>
      <c r="BI130" s="138">
        <f t="shared" si="304"/>
        <v>2800</v>
      </c>
      <c r="BJ130" s="138">
        <f t="shared" si="304"/>
        <v>2800</v>
      </c>
      <c r="BK130" s="138">
        <f t="shared" si="304"/>
        <v>2800</v>
      </c>
      <c r="BL130" s="138">
        <f t="shared" si="304"/>
        <v>2800</v>
      </c>
      <c r="BM130" s="138">
        <f t="shared" si="304"/>
        <v>2800</v>
      </c>
      <c r="BN130" s="138">
        <f t="shared" si="304"/>
        <v>2800</v>
      </c>
      <c r="BO130" s="138">
        <f t="shared" si="304"/>
        <v>2800</v>
      </c>
      <c r="BP130" s="138">
        <f t="shared" si="304"/>
        <v>2800</v>
      </c>
      <c r="BQ130" s="138">
        <f t="shared" si="304"/>
        <v>2800</v>
      </c>
      <c r="BR130" s="139">
        <f t="shared" si="304"/>
        <v>2800</v>
      </c>
      <c r="BS130" s="162">
        <f t="shared" si="245"/>
        <v>33100</v>
      </c>
      <c r="BT130" s="279">
        <f>BT109+BT112+BT115+BT118+BT121+BT124+BT127</f>
        <v>232800</v>
      </c>
      <c r="BU130" s="90">
        <f t="shared" si="200"/>
        <v>506354.02981011418</v>
      </c>
      <c r="BV130" s="91">
        <f t="shared" si="246"/>
        <v>506354.02981011418</v>
      </c>
      <c r="BW130" s="92">
        <f t="shared" si="247"/>
        <v>0</v>
      </c>
      <c r="BX130" s="64">
        <f>+BU130/BU129</f>
        <v>0.7730565512878067</v>
      </c>
    </row>
    <row r="131" spans="1:76" ht="15" customHeight="1">
      <c r="A131" s="639"/>
      <c r="B131" s="616"/>
      <c r="C131" s="219" t="s">
        <v>11</v>
      </c>
      <c r="D131" s="242"/>
      <c r="E131" s="220">
        <f t="shared" ref="E131:R131" si="305">+E129-E130</f>
        <v>148648.54272691091</v>
      </c>
      <c r="F131" s="221">
        <f t="shared" si="305"/>
        <v>0</v>
      </c>
      <c r="G131" s="222">
        <f t="shared" si="305"/>
        <v>387.04591580881402</v>
      </c>
      <c r="H131" s="222">
        <f t="shared" si="305"/>
        <v>-273.87641176887001</v>
      </c>
      <c r="I131" s="222">
        <f t="shared" si="305"/>
        <v>329.58700779470593</v>
      </c>
      <c r="J131" s="222">
        <f t="shared" si="305"/>
        <v>40.725721463943728</v>
      </c>
      <c r="K131" s="222">
        <f t="shared" si="305"/>
        <v>-2.9122520171673791</v>
      </c>
      <c r="L131" s="222">
        <f t="shared" si="305"/>
        <v>-65.366411698236448</v>
      </c>
      <c r="M131" s="222">
        <f t="shared" si="305"/>
        <v>626.08519244958643</v>
      </c>
      <c r="N131" s="222">
        <f t="shared" si="305"/>
        <v>23.04250690810747</v>
      </c>
      <c r="O131" s="222">
        <f t="shared" si="305"/>
        <v>-486.31261368921122</v>
      </c>
      <c r="P131" s="222">
        <f t="shared" si="305"/>
        <v>-3876.9574930918925</v>
      </c>
      <c r="Q131" s="222">
        <f t="shared" si="305"/>
        <v>-3876.3431124698691</v>
      </c>
      <c r="R131" s="223">
        <f t="shared" si="305"/>
        <v>-46.95749309189253</v>
      </c>
      <c r="S131" s="224">
        <f t="shared" si="241"/>
        <v>-7222.2394434019816</v>
      </c>
      <c r="T131" s="225">
        <f t="shared" ref="T131:AE131" si="306">+T129-T130</f>
        <v>76.180337331270124</v>
      </c>
      <c r="U131" s="222">
        <f t="shared" si="306"/>
        <v>196.11078778289985</v>
      </c>
      <c r="V131" s="222">
        <f t="shared" si="306"/>
        <v>319.85732205488927</v>
      </c>
      <c r="W131" s="222">
        <f t="shared" si="306"/>
        <v>-61923.931030359614</v>
      </c>
      <c r="X131" s="222">
        <f t="shared" si="306"/>
        <v>170.16604923811806</v>
      </c>
      <c r="Y131" s="222">
        <f t="shared" si="306"/>
        <v>-7631.754222925314</v>
      </c>
      <c r="Z131" s="222">
        <f t="shared" si="306"/>
        <v>131.54483564352648</v>
      </c>
      <c r="AA131" s="222">
        <f t="shared" si="306"/>
        <v>130.39586236983538</v>
      </c>
      <c r="AB131" s="222">
        <f t="shared" si="306"/>
        <v>132.07935851956111</v>
      </c>
      <c r="AC131" s="222">
        <f t="shared" si="306"/>
        <v>134.80416081212661</v>
      </c>
      <c r="AD131" s="222">
        <f t="shared" si="306"/>
        <v>133.38688631999702</v>
      </c>
      <c r="AE131" s="223">
        <f t="shared" si="306"/>
        <v>30131.007640788393</v>
      </c>
      <c r="AF131" s="224">
        <f t="shared" si="242"/>
        <v>-38000.152012424296</v>
      </c>
      <c r="AG131" s="225">
        <f t="shared" ref="AG131:AR131" si="307">+AG129-AG130</f>
        <v>-19.073643754290686</v>
      </c>
      <c r="AH131" s="222">
        <f t="shared" si="307"/>
        <v>-20.438577823692299</v>
      </c>
      <c r="AI131" s="222">
        <f t="shared" si="307"/>
        <v>-25.62901533914453</v>
      </c>
      <c r="AJ131" s="222">
        <f t="shared" si="307"/>
        <v>-29.105703292063595</v>
      </c>
      <c r="AK131" s="222">
        <f t="shared" si="307"/>
        <v>-34.745761640056458</v>
      </c>
      <c r="AL131" s="222">
        <f t="shared" si="307"/>
        <v>-38.6441179687925</v>
      </c>
      <c r="AM131" s="222">
        <f t="shared" si="307"/>
        <v>-38.724724461173253</v>
      </c>
      <c r="AN131" s="222">
        <f t="shared" si="307"/>
        <v>-44.899842626223403</v>
      </c>
      <c r="AO131" s="222">
        <f t="shared" si="307"/>
        <v>-49.280135002476214</v>
      </c>
      <c r="AP131" s="222">
        <f t="shared" si="307"/>
        <v>-50.785816661752705</v>
      </c>
      <c r="AQ131" s="222">
        <f t="shared" si="307"/>
        <v>-57.980870528147079</v>
      </c>
      <c r="AR131" s="223">
        <f t="shared" si="307"/>
        <v>26557.761907916305</v>
      </c>
      <c r="AS131" s="224">
        <f t="shared" si="243"/>
        <v>26148.453698818492</v>
      </c>
      <c r="AT131" s="225">
        <f t="shared" ref="AT131:BE131" si="308">+AT129-AT130</f>
        <v>-432.23612476068621</v>
      </c>
      <c r="AU131" s="222">
        <f t="shared" si="308"/>
        <v>-937.74272162261059</v>
      </c>
      <c r="AV131" s="222">
        <f t="shared" si="308"/>
        <v>-946.59843996049017</v>
      </c>
      <c r="AW131" s="222">
        <f t="shared" si="308"/>
        <v>-955.59061973755001</v>
      </c>
      <c r="AX131" s="222">
        <f t="shared" si="308"/>
        <v>99035.307607085255</v>
      </c>
      <c r="AY131" s="222">
        <f t="shared" si="308"/>
        <v>-81773.87623672995</v>
      </c>
      <c r="AZ131" s="222">
        <f t="shared" si="308"/>
        <v>-2187.1141964333083</v>
      </c>
      <c r="BA131" s="222">
        <f t="shared" si="308"/>
        <v>-2202.3981115064885</v>
      </c>
      <c r="BB131" s="222">
        <f t="shared" si="308"/>
        <v>-2217.7099435442701</v>
      </c>
      <c r="BC131" s="222">
        <f t="shared" si="308"/>
        <v>17566.978045536085</v>
      </c>
      <c r="BD131" s="222">
        <f t="shared" si="308"/>
        <v>-2349.3068824613579</v>
      </c>
      <c r="BE131" s="223">
        <f t="shared" si="308"/>
        <v>-2364.0013199029486</v>
      </c>
      <c r="BF131" s="224">
        <f t="shared" si="244"/>
        <v>20235.711055961685</v>
      </c>
      <c r="BG131" s="225">
        <f t="shared" ref="BG131:BR131" si="309">+BG129-BG130</f>
        <v>-1878.6556213523438</v>
      </c>
      <c r="BH131" s="222">
        <f t="shared" si="309"/>
        <v>-2390.7830462003822</v>
      </c>
      <c r="BI131" s="222">
        <f t="shared" si="309"/>
        <v>-2406.2502240147905</v>
      </c>
      <c r="BJ131" s="222">
        <f t="shared" si="309"/>
        <v>-2420.6938478284255</v>
      </c>
      <c r="BK131" s="222">
        <f t="shared" si="309"/>
        <v>-2436.0025007866943</v>
      </c>
      <c r="BL131" s="222">
        <f t="shared" si="309"/>
        <v>-2451.2463113730337</v>
      </c>
      <c r="BM131" s="222">
        <f t="shared" si="309"/>
        <v>-2466.4063354923123</v>
      </c>
      <c r="BN131" s="222">
        <f t="shared" si="309"/>
        <v>-2481.4648225992883</v>
      </c>
      <c r="BO131" s="222">
        <f t="shared" si="309"/>
        <v>-2496.4053612103144</v>
      </c>
      <c r="BP131" s="222">
        <f t="shared" si="309"/>
        <v>-2511.2130136466822</v>
      </c>
      <c r="BQ131" s="222">
        <f t="shared" si="309"/>
        <v>-2524.1494389247928</v>
      </c>
      <c r="BR131" s="223">
        <f t="shared" si="309"/>
        <v>75971.276756099527</v>
      </c>
      <c r="BS131" s="224">
        <f t="shared" si="245"/>
        <v>49508.006232670465</v>
      </c>
      <c r="BT131" s="223">
        <f>+BT129-BT130</f>
        <v>97978.763195286563</v>
      </c>
      <c r="BU131" s="98">
        <f t="shared" si="200"/>
        <v>148648.54272691094</v>
      </c>
      <c r="BV131" s="99">
        <f t="shared" si="246"/>
        <v>148648.54272691091</v>
      </c>
      <c r="BW131" s="100">
        <f t="shared" si="247"/>
        <v>0</v>
      </c>
    </row>
    <row r="132" spans="1:76">
      <c r="A132" s="207"/>
      <c r="B132" s="208"/>
      <c r="C132" s="209"/>
      <c r="D132" s="209"/>
      <c r="E132" s="210"/>
      <c r="F132" s="211"/>
      <c r="G132" s="212"/>
      <c r="H132" s="212"/>
      <c r="I132" s="212"/>
      <c r="J132" s="212"/>
      <c r="K132" s="212"/>
      <c r="L132" s="212"/>
      <c r="M132" s="212"/>
      <c r="N132" s="212"/>
      <c r="O132" s="212"/>
      <c r="P132" s="212"/>
      <c r="Q132" s="212"/>
      <c r="R132" s="212"/>
      <c r="S132" s="211"/>
      <c r="T132" s="212"/>
      <c r="U132" s="212"/>
      <c r="V132" s="212"/>
      <c r="W132" s="212"/>
      <c r="X132" s="212"/>
      <c r="Y132" s="212"/>
      <c r="Z132" s="212"/>
      <c r="AA132" s="212"/>
      <c r="AB132" s="212"/>
      <c r="AC132" s="212"/>
      <c r="AD132" s="212"/>
      <c r="AE132" s="212"/>
      <c r="AF132" s="211"/>
      <c r="AG132" s="212"/>
      <c r="AH132" s="212"/>
      <c r="AI132" s="212"/>
      <c r="AJ132" s="212"/>
      <c r="AK132" s="212"/>
      <c r="AL132" s="212"/>
      <c r="AM132" s="212"/>
      <c r="AN132" s="212"/>
      <c r="AO132" s="212"/>
      <c r="AP132" s="212"/>
      <c r="AQ132" s="212"/>
      <c r="AR132" s="212"/>
      <c r="AS132" s="211"/>
      <c r="AT132" s="212"/>
      <c r="AU132" s="212"/>
      <c r="AV132" s="212"/>
      <c r="AW132" s="212"/>
      <c r="AX132" s="212"/>
      <c r="AY132" s="212"/>
      <c r="AZ132" s="212"/>
      <c r="BA132" s="212"/>
      <c r="BB132" s="212"/>
      <c r="BC132" s="212"/>
      <c r="BD132" s="212"/>
      <c r="BE132" s="212"/>
      <c r="BF132" s="211"/>
      <c r="BG132" s="212"/>
      <c r="BH132" s="212"/>
      <c r="BI132" s="212"/>
      <c r="BJ132" s="212"/>
      <c r="BK132" s="212"/>
      <c r="BL132" s="212"/>
      <c r="BM132" s="212"/>
      <c r="BN132" s="212"/>
      <c r="BO132" s="212"/>
      <c r="BP132" s="212"/>
      <c r="BQ132" s="212"/>
      <c r="BR132" s="212"/>
      <c r="BS132" s="211"/>
      <c r="BT132" s="212"/>
      <c r="BU132" s="213"/>
      <c r="BV132" s="213"/>
      <c r="BW132" s="213"/>
    </row>
    <row r="133" spans="1:76">
      <c r="E133" s="604" t="s">
        <v>85</v>
      </c>
      <c r="F133" s="66" t="s">
        <v>87</v>
      </c>
      <c r="G133" s="214">
        <f t="shared" ref="G133:BR133" si="310">+F13</f>
        <v>21579</v>
      </c>
      <c r="H133" s="214">
        <f t="shared" si="310"/>
        <v>22491.933616797636</v>
      </c>
      <c r="I133" s="214">
        <f t="shared" si="310"/>
        <v>23217.746883456341</v>
      </c>
      <c r="J133" s="214">
        <f t="shared" si="310"/>
        <v>23154.823851861012</v>
      </c>
      <c r="K133" s="214">
        <f t="shared" si="310"/>
        <v>23136.326162495563</v>
      </c>
      <c r="L133" s="214">
        <f t="shared" si="310"/>
        <v>22010.014862710155</v>
      </c>
      <c r="M133" s="214">
        <f t="shared" si="310"/>
        <v>23391.584071101683</v>
      </c>
      <c r="N133" s="214">
        <f t="shared" si="310"/>
        <v>23644.140975915601</v>
      </c>
      <c r="O133" s="214">
        <f t="shared" si="310"/>
        <v>23299.296585229757</v>
      </c>
      <c r="P133" s="214">
        <f t="shared" si="310"/>
        <v>22119.106133678441</v>
      </c>
      <c r="Q133" s="214">
        <f t="shared" si="310"/>
        <v>18203.577397428991</v>
      </c>
      <c r="R133" s="214">
        <f t="shared" si="310"/>
        <v>14460.594900933223</v>
      </c>
      <c r="S133" s="214">
        <f t="shared" si="310"/>
        <v>15236.067466254026</v>
      </c>
      <c r="T133" s="214">
        <f t="shared" si="310"/>
        <v>15236.067466254026</v>
      </c>
      <c r="U133" s="214">
        <f t="shared" si="310"/>
        <v>39222.157556579972</v>
      </c>
      <c r="V133" s="214">
        <f t="shared" si="310"/>
        <v>63971.46441097786</v>
      </c>
      <c r="W133" s="214">
        <f t="shared" si="310"/>
        <v>95213.793928077532</v>
      </c>
      <c r="X133" s="214">
        <f t="shared" si="310"/>
        <v>34033.209847623613</v>
      </c>
      <c r="Y133" s="214">
        <f t="shared" si="310"/>
        <v>33649.155414937268</v>
      </c>
      <c r="Z133" s="214">
        <f t="shared" si="310"/>
        <v>26308.967128705299</v>
      </c>
      <c r="AA133" s="214">
        <f t="shared" si="310"/>
        <v>26079.172473967079</v>
      </c>
      <c r="AB133" s="214">
        <f t="shared" si="310"/>
        <v>26415.871703912224</v>
      </c>
      <c r="AC133" s="214">
        <f t="shared" si="310"/>
        <v>26960.832162425322</v>
      </c>
      <c r="AD133" s="214">
        <f t="shared" si="310"/>
        <v>26677.377263999406</v>
      </c>
      <c r="AE133" s="214">
        <f t="shared" si="310"/>
        <v>26201.528157679026</v>
      </c>
      <c r="AF133" s="214">
        <f t="shared" si="310"/>
        <v>56185.271249141864</v>
      </c>
      <c r="AG133" s="214">
        <f t="shared" si="310"/>
        <v>56185.271249141864</v>
      </c>
      <c r="AH133" s="214">
        <f t="shared" si="310"/>
        <v>55912.284435261543</v>
      </c>
      <c r="AI133" s="214">
        <f t="shared" si="310"/>
        <v>54874.196932171093</v>
      </c>
      <c r="AJ133" s="214">
        <f t="shared" si="310"/>
        <v>54178.859341587282</v>
      </c>
      <c r="AK133" s="214">
        <f t="shared" si="310"/>
        <v>53050.847671988711</v>
      </c>
      <c r="AL133" s="214">
        <f t="shared" si="310"/>
        <v>52271.176406241502</v>
      </c>
      <c r="AM133" s="214">
        <f t="shared" si="310"/>
        <v>52255.055107765351</v>
      </c>
      <c r="AN133" s="214">
        <f t="shared" si="310"/>
        <v>51020.03147475532</v>
      </c>
      <c r="AO133" s="214">
        <f t="shared" si="310"/>
        <v>50143.97299950476</v>
      </c>
      <c r="AP133" s="214">
        <f t="shared" si="310"/>
        <v>49842.836667649462</v>
      </c>
      <c r="AQ133" s="214">
        <f t="shared" si="310"/>
        <v>48403.825894370588</v>
      </c>
      <c r="AR133" s="214">
        <f t="shared" si="310"/>
        <v>47452.381583260583</v>
      </c>
      <c r="AS133" s="214">
        <f t="shared" si="310"/>
        <v>73552.775047862757</v>
      </c>
      <c r="AT133" s="214">
        <f t="shared" si="310"/>
        <v>73552.775047862757</v>
      </c>
      <c r="AU133" s="214">
        <f t="shared" si="310"/>
        <v>72451.455675477875</v>
      </c>
      <c r="AV133" s="214">
        <f t="shared" si="310"/>
        <v>70680.312007901986</v>
      </c>
      <c r="AW133" s="214">
        <f t="shared" si="310"/>
        <v>68881.876052489984</v>
      </c>
      <c r="AX133" s="214">
        <f t="shared" si="310"/>
        <v>67061.521417050579</v>
      </c>
      <c r="AY133" s="214">
        <f t="shared" si="310"/>
        <v>165224.7526540109</v>
      </c>
      <c r="AZ133" s="214">
        <f t="shared" si="310"/>
        <v>82577.16071333838</v>
      </c>
      <c r="BA133" s="214">
        <f t="shared" si="310"/>
        <v>79520.377698702345</v>
      </c>
      <c r="BB133" s="214">
        <f t="shared" si="310"/>
        <v>76458.011291145987</v>
      </c>
      <c r="BC133" s="214">
        <f t="shared" si="310"/>
        <v>73395.609107217155</v>
      </c>
      <c r="BD133" s="214">
        <f t="shared" si="310"/>
        <v>90138.623507728393</v>
      </c>
      <c r="BE133" s="214">
        <f t="shared" si="310"/>
        <v>87199.736019410324</v>
      </c>
      <c r="BF133" s="214">
        <f t="shared" si="310"/>
        <v>84268.875729531224</v>
      </c>
      <c r="BG133" s="214">
        <f t="shared" si="310"/>
        <v>84268.875729531224</v>
      </c>
      <c r="BH133" s="214">
        <f t="shared" si="310"/>
        <v>81843.390759923583</v>
      </c>
      <c r="BI133" s="214">
        <f t="shared" si="310"/>
        <v>78749.955197041927</v>
      </c>
      <c r="BJ133" s="214">
        <f t="shared" si="310"/>
        <v>75861.230434314857</v>
      </c>
      <c r="BK133" s="214">
        <f t="shared" si="310"/>
        <v>72799.499842661142</v>
      </c>
      <c r="BL133" s="214">
        <f t="shared" si="310"/>
        <v>69750.73772539325</v>
      </c>
      <c r="BM133" s="214">
        <f t="shared" si="310"/>
        <v>66718.732901537529</v>
      </c>
      <c r="BN133" s="214">
        <f t="shared" si="310"/>
        <v>63707.035480142375</v>
      </c>
      <c r="BO133" s="214">
        <f t="shared" si="310"/>
        <v>60718.927757937148</v>
      </c>
      <c r="BP133" s="214">
        <f t="shared" si="310"/>
        <v>57757.39727066354</v>
      </c>
      <c r="BQ133" s="214">
        <f t="shared" si="310"/>
        <v>55170.112215041445</v>
      </c>
      <c r="BR133" s="214">
        <f t="shared" si="310"/>
        <v>52255.351219904172</v>
      </c>
      <c r="BS133" s="214">
        <f>+BR13</f>
        <v>127952.63905730832</v>
      </c>
      <c r="BT133" s="214">
        <f>+BS13</f>
        <v>127952.63905730832</v>
      </c>
    </row>
    <row r="134" spans="1:76">
      <c r="E134" s="604"/>
      <c r="F134" s="66" t="s">
        <v>86</v>
      </c>
      <c r="G134" s="215">
        <f>+G133*4%/12</f>
        <v>71.929999999999993</v>
      </c>
      <c r="H134" s="215">
        <f>+H133*4%/12</f>
        <v>74.973112055992118</v>
      </c>
      <c r="I134" s="215">
        <f t="shared" ref="I134:BE134" si="311">+I133*6%/12</f>
        <v>116.08873441728169</v>
      </c>
      <c r="J134" s="215">
        <f t="shared" si="311"/>
        <v>115.77411925930505</v>
      </c>
      <c r="K134" s="215">
        <f t="shared" si="311"/>
        <v>115.68163081247781</v>
      </c>
      <c r="L134" s="215">
        <f t="shared" si="311"/>
        <v>110.05007431355078</v>
      </c>
      <c r="M134" s="215">
        <f t="shared" si="311"/>
        <v>116.95792035550841</v>
      </c>
      <c r="N134" s="215">
        <f t="shared" si="311"/>
        <v>118.22070487957801</v>
      </c>
      <c r="O134" s="215">
        <f t="shared" si="311"/>
        <v>116.49648292614877</v>
      </c>
      <c r="P134" s="215">
        <f t="shared" si="311"/>
        <v>110.5955306683922</v>
      </c>
      <c r="Q134" s="215">
        <f t="shared" si="311"/>
        <v>91.017886987144948</v>
      </c>
      <c r="R134" s="215">
        <f t="shared" si="311"/>
        <v>72.302974504666111</v>
      </c>
      <c r="S134" s="215">
        <f t="shared" si="311"/>
        <v>76.180337331270124</v>
      </c>
      <c r="T134" s="215">
        <f t="shared" si="311"/>
        <v>76.180337331270124</v>
      </c>
      <c r="U134" s="215">
        <f t="shared" si="311"/>
        <v>196.11078778289985</v>
      </c>
      <c r="V134" s="215">
        <f t="shared" si="311"/>
        <v>319.85732205488927</v>
      </c>
      <c r="W134" s="215">
        <f t="shared" si="311"/>
        <v>476.06896964038765</v>
      </c>
      <c r="X134" s="215">
        <f t="shared" si="311"/>
        <v>170.16604923811806</v>
      </c>
      <c r="Y134" s="215">
        <f t="shared" si="311"/>
        <v>168.24577707468634</v>
      </c>
      <c r="Z134" s="215">
        <f t="shared" si="311"/>
        <v>131.54483564352648</v>
      </c>
      <c r="AA134" s="215">
        <f t="shared" si="311"/>
        <v>130.39586236983538</v>
      </c>
      <c r="AB134" s="215">
        <f t="shared" si="311"/>
        <v>132.07935851956111</v>
      </c>
      <c r="AC134" s="215">
        <f t="shared" si="311"/>
        <v>134.80416081212661</v>
      </c>
      <c r="AD134" s="215">
        <f t="shared" si="311"/>
        <v>133.38688631999702</v>
      </c>
      <c r="AE134" s="215">
        <f t="shared" si="311"/>
        <v>131.00764078839512</v>
      </c>
      <c r="AF134" s="215">
        <f t="shared" si="311"/>
        <v>280.92635624570931</v>
      </c>
      <c r="AG134" s="215">
        <f t="shared" si="311"/>
        <v>280.92635624570931</v>
      </c>
      <c r="AH134" s="215">
        <f t="shared" si="311"/>
        <v>279.5614221763077</v>
      </c>
      <c r="AI134" s="215">
        <f t="shared" si="311"/>
        <v>274.37098466085547</v>
      </c>
      <c r="AJ134" s="215">
        <f t="shared" si="311"/>
        <v>270.89429670793641</v>
      </c>
      <c r="AK134" s="215">
        <f t="shared" si="311"/>
        <v>265.25423835994354</v>
      </c>
      <c r="AL134" s="215">
        <f t="shared" si="311"/>
        <v>261.3558820312075</v>
      </c>
      <c r="AM134" s="215">
        <f t="shared" si="311"/>
        <v>261.27527553882675</v>
      </c>
      <c r="AN134" s="215">
        <f t="shared" si="311"/>
        <v>255.1001573737766</v>
      </c>
      <c r="AO134" s="215">
        <f t="shared" si="311"/>
        <v>250.71986499752379</v>
      </c>
      <c r="AP134" s="215">
        <f t="shared" si="311"/>
        <v>249.2141833382473</v>
      </c>
      <c r="AQ134" s="215">
        <f t="shared" si="311"/>
        <v>242.01912947185292</v>
      </c>
      <c r="AR134" s="215">
        <f t="shared" si="311"/>
        <v>237.2619079163029</v>
      </c>
      <c r="AS134" s="215">
        <f t="shared" si="311"/>
        <v>367.76387523931379</v>
      </c>
      <c r="AT134" s="215">
        <f t="shared" si="311"/>
        <v>367.76387523931379</v>
      </c>
      <c r="AU134" s="215">
        <f t="shared" si="311"/>
        <v>362.25727837738935</v>
      </c>
      <c r="AV134" s="215">
        <f t="shared" si="311"/>
        <v>353.40156003950989</v>
      </c>
      <c r="AW134" s="215">
        <f t="shared" si="311"/>
        <v>344.40938026244993</v>
      </c>
      <c r="AX134" s="215">
        <f t="shared" si="311"/>
        <v>335.30760708525287</v>
      </c>
      <c r="AY134" s="215">
        <f t="shared" si="311"/>
        <v>826.1237632700545</v>
      </c>
      <c r="AZ134" s="215">
        <f t="shared" si="311"/>
        <v>412.88580356669189</v>
      </c>
      <c r="BA134" s="215">
        <f t="shared" si="311"/>
        <v>397.60188849351169</v>
      </c>
      <c r="BB134" s="215">
        <f t="shared" si="311"/>
        <v>382.29005645572994</v>
      </c>
      <c r="BC134" s="215">
        <f t="shared" si="311"/>
        <v>366.97804553608574</v>
      </c>
      <c r="BD134" s="215">
        <f t="shared" si="311"/>
        <v>450.69311753864196</v>
      </c>
      <c r="BE134" s="215">
        <f t="shared" si="311"/>
        <v>435.99868009705159</v>
      </c>
      <c r="BF134" s="215"/>
      <c r="BG134" s="215">
        <f t="shared" ref="BG134:BR134" si="312">+BG133*6%/12</f>
        <v>421.34437864765613</v>
      </c>
      <c r="BH134" s="215">
        <f t="shared" si="312"/>
        <v>409.2169537996179</v>
      </c>
      <c r="BI134" s="215">
        <f t="shared" si="312"/>
        <v>393.74977598520962</v>
      </c>
      <c r="BJ134" s="215">
        <f t="shared" si="312"/>
        <v>379.30615217157424</v>
      </c>
      <c r="BK134" s="215">
        <f t="shared" si="312"/>
        <v>363.99749921330567</v>
      </c>
      <c r="BL134" s="215">
        <f t="shared" si="312"/>
        <v>348.75368862696627</v>
      </c>
      <c r="BM134" s="215">
        <f t="shared" si="312"/>
        <v>333.59366450768761</v>
      </c>
      <c r="BN134" s="215">
        <f t="shared" si="312"/>
        <v>318.53517740071186</v>
      </c>
      <c r="BO134" s="215">
        <f t="shared" si="312"/>
        <v>303.59463878968575</v>
      </c>
      <c r="BP134" s="215">
        <f t="shared" si="312"/>
        <v>288.78698635331767</v>
      </c>
      <c r="BQ134" s="215">
        <f t="shared" si="312"/>
        <v>275.85056107520722</v>
      </c>
      <c r="BR134" s="215">
        <f t="shared" si="312"/>
        <v>261.27675609952087</v>
      </c>
      <c r="BS134" s="215"/>
      <c r="BT134" s="215">
        <f>+BT133*6%/12</f>
        <v>639.76319528654165</v>
      </c>
      <c r="BU134" s="196"/>
      <c r="BV134" s="197"/>
      <c r="BW134" s="198"/>
    </row>
    <row r="135" spans="1:76">
      <c r="E135" s="604" t="s">
        <v>88</v>
      </c>
      <c r="F135" s="66" t="s">
        <v>90</v>
      </c>
      <c r="G135" s="214">
        <f t="shared" ref="G135:BR135" si="313">+G114</f>
        <v>0</v>
      </c>
      <c r="H135" s="214">
        <f t="shared" si="313"/>
        <v>0</v>
      </c>
      <c r="I135" s="214">
        <f t="shared" si="313"/>
        <v>0</v>
      </c>
      <c r="J135" s="214">
        <f t="shared" si="313"/>
        <v>0</v>
      </c>
      <c r="K135" s="214">
        <f t="shared" si="313"/>
        <v>0</v>
      </c>
      <c r="L135" s="214">
        <f t="shared" si="313"/>
        <v>0</v>
      </c>
      <c r="M135" s="214">
        <f t="shared" si="313"/>
        <v>0</v>
      </c>
      <c r="N135" s="214">
        <f t="shared" si="313"/>
        <v>0</v>
      </c>
      <c r="O135" s="214">
        <f t="shared" si="313"/>
        <v>0</v>
      </c>
      <c r="P135" s="214">
        <f t="shared" si="313"/>
        <v>0</v>
      </c>
      <c r="Q135" s="214">
        <f t="shared" si="313"/>
        <v>0</v>
      </c>
      <c r="R135" s="214">
        <f t="shared" si="313"/>
        <v>0</v>
      </c>
      <c r="S135" s="214">
        <f t="shared" si="313"/>
        <v>0</v>
      </c>
      <c r="T135" s="214">
        <f t="shared" si="313"/>
        <v>0</v>
      </c>
      <c r="U135" s="214">
        <f t="shared" si="313"/>
        <v>0</v>
      </c>
      <c r="V135" s="214">
        <f t="shared" si="313"/>
        <v>0</v>
      </c>
      <c r="W135" s="214">
        <f t="shared" si="313"/>
        <v>0</v>
      </c>
      <c r="X135" s="214">
        <f t="shared" si="313"/>
        <v>0</v>
      </c>
      <c r="Y135" s="214">
        <f t="shared" si="313"/>
        <v>0</v>
      </c>
      <c r="Z135" s="214">
        <f t="shared" si="313"/>
        <v>0</v>
      </c>
      <c r="AA135" s="214">
        <f t="shared" si="313"/>
        <v>0</v>
      </c>
      <c r="AB135" s="214">
        <f t="shared" si="313"/>
        <v>0</v>
      </c>
      <c r="AC135" s="214">
        <f t="shared" si="313"/>
        <v>0</v>
      </c>
      <c r="AD135" s="214">
        <f t="shared" si="313"/>
        <v>0</v>
      </c>
      <c r="AE135" s="214">
        <f t="shared" si="313"/>
        <v>0</v>
      </c>
      <c r="AF135" s="214">
        <f t="shared" si="313"/>
        <v>0</v>
      </c>
      <c r="AG135" s="214">
        <f t="shared" si="313"/>
        <v>0</v>
      </c>
      <c r="AH135" s="214">
        <f t="shared" si="313"/>
        <v>0</v>
      </c>
      <c r="AI135" s="214">
        <f t="shared" si="313"/>
        <v>0</v>
      </c>
      <c r="AJ135" s="214">
        <f t="shared" si="313"/>
        <v>0</v>
      </c>
      <c r="AK135" s="214">
        <f t="shared" si="313"/>
        <v>0</v>
      </c>
      <c r="AL135" s="214">
        <f t="shared" si="313"/>
        <v>0</v>
      </c>
      <c r="AM135" s="214">
        <f t="shared" si="313"/>
        <v>0</v>
      </c>
      <c r="AN135" s="214">
        <f t="shared" si="313"/>
        <v>0</v>
      </c>
      <c r="AO135" s="214">
        <f t="shared" si="313"/>
        <v>0</v>
      </c>
      <c r="AP135" s="214">
        <f t="shared" si="313"/>
        <v>0</v>
      </c>
      <c r="AQ135" s="214">
        <f t="shared" si="313"/>
        <v>0</v>
      </c>
      <c r="AR135" s="214">
        <f t="shared" si="313"/>
        <v>20000</v>
      </c>
      <c r="AS135" s="214">
        <f t="shared" si="313"/>
        <v>20000</v>
      </c>
      <c r="AT135" s="214">
        <f t="shared" si="313"/>
        <v>0</v>
      </c>
      <c r="AU135" s="214">
        <f t="shared" si="313"/>
        <v>0</v>
      </c>
      <c r="AV135" s="214">
        <f t="shared" si="313"/>
        <v>0</v>
      </c>
      <c r="AW135" s="214">
        <f t="shared" si="313"/>
        <v>0</v>
      </c>
      <c r="AX135" s="214">
        <f t="shared" si="313"/>
        <v>0</v>
      </c>
      <c r="AY135" s="214">
        <f t="shared" si="313"/>
        <v>30000</v>
      </c>
      <c r="AZ135" s="214">
        <f t="shared" si="313"/>
        <v>0</v>
      </c>
      <c r="BA135" s="214">
        <f t="shared" si="313"/>
        <v>0</v>
      </c>
      <c r="BB135" s="214">
        <f t="shared" si="313"/>
        <v>0</v>
      </c>
      <c r="BC135" s="214">
        <f t="shared" si="313"/>
        <v>20000</v>
      </c>
      <c r="BD135" s="214">
        <f t="shared" si="313"/>
        <v>0</v>
      </c>
      <c r="BE135" s="214">
        <f t="shared" si="313"/>
        <v>0</v>
      </c>
      <c r="BF135" s="214">
        <f t="shared" si="313"/>
        <v>50000</v>
      </c>
      <c r="BG135" s="214">
        <f t="shared" si="313"/>
        <v>0</v>
      </c>
      <c r="BH135" s="214">
        <f t="shared" si="313"/>
        <v>0</v>
      </c>
      <c r="BI135" s="214">
        <f t="shared" si="313"/>
        <v>0</v>
      </c>
      <c r="BJ135" s="214">
        <f t="shared" si="313"/>
        <v>0</v>
      </c>
      <c r="BK135" s="214">
        <f t="shared" si="313"/>
        <v>0</v>
      </c>
      <c r="BL135" s="214">
        <f t="shared" si="313"/>
        <v>0</v>
      </c>
      <c r="BM135" s="214">
        <f t="shared" si="313"/>
        <v>0</v>
      </c>
      <c r="BN135" s="214">
        <f t="shared" si="313"/>
        <v>0</v>
      </c>
      <c r="BO135" s="214">
        <f t="shared" si="313"/>
        <v>0</v>
      </c>
      <c r="BP135" s="214">
        <f t="shared" si="313"/>
        <v>0</v>
      </c>
      <c r="BQ135" s="214">
        <f t="shared" si="313"/>
        <v>0</v>
      </c>
      <c r="BR135" s="214">
        <f t="shared" si="313"/>
        <v>0</v>
      </c>
      <c r="BS135" s="214">
        <f>+BS114</f>
        <v>0</v>
      </c>
      <c r="BT135" s="214">
        <f>+BT114</f>
        <v>0</v>
      </c>
    </row>
    <row r="136" spans="1:76">
      <c r="E136" s="604"/>
      <c r="F136" s="66" t="s">
        <v>89</v>
      </c>
      <c r="G136" s="214">
        <f>+G135</f>
        <v>0</v>
      </c>
      <c r="H136" s="214">
        <f>+G136+H135</f>
        <v>0</v>
      </c>
      <c r="I136" s="214">
        <f t="shared" ref="I136:BE136" si="314">+H136+I135</f>
        <v>0</v>
      </c>
      <c r="J136" s="214">
        <f t="shared" si="314"/>
        <v>0</v>
      </c>
      <c r="K136" s="214">
        <f t="shared" si="314"/>
        <v>0</v>
      </c>
      <c r="L136" s="214">
        <f t="shared" si="314"/>
        <v>0</v>
      </c>
      <c r="M136" s="214">
        <f t="shared" si="314"/>
        <v>0</v>
      </c>
      <c r="N136" s="214">
        <f t="shared" si="314"/>
        <v>0</v>
      </c>
      <c r="O136" s="214">
        <f t="shared" si="314"/>
        <v>0</v>
      </c>
      <c r="P136" s="214">
        <f t="shared" si="314"/>
        <v>0</v>
      </c>
      <c r="Q136" s="214">
        <f t="shared" si="314"/>
        <v>0</v>
      </c>
      <c r="R136" s="214">
        <f t="shared" si="314"/>
        <v>0</v>
      </c>
      <c r="S136" s="214">
        <f>+R136</f>
        <v>0</v>
      </c>
      <c r="T136" s="214">
        <f t="shared" si="314"/>
        <v>0</v>
      </c>
      <c r="U136" s="214">
        <f t="shared" si="314"/>
        <v>0</v>
      </c>
      <c r="V136" s="214">
        <f t="shared" si="314"/>
        <v>0</v>
      </c>
      <c r="W136" s="214">
        <f t="shared" si="314"/>
        <v>0</v>
      </c>
      <c r="X136" s="214">
        <f t="shared" si="314"/>
        <v>0</v>
      </c>
      <c r="Y136" s="214">
        <f t="shared" si="314"/>
        <v>0</v>
      </c>
      <c r="Z136" s="214">
        <f t="shared" si="314"/>
        <v>0</v>
      </c>
      <c r="AA136" s="214">
        <f t="shared" si="314"/>
        <v>0</v>
      </c>
      <c r="AB136" s="214">
        <f t="shared" si="314"/>
        <v>0</v>
      </c>
      <c r="AC136" s="214">
        <f t="shared" si="314"/>
        <v>0</v>
      </c>
      <c r="AD136" s="214">
        <f t="shared" si="314"/>
        <v>0</v>
      </c>
      <c r="AE136" s="214">
        <f t="shared" si="314"/>
        <v>0</v>
      </c>
      <c r="AF136" s="214">
        <f>+AE136</f>
        <v>0</v>
      </c>
      <c r="AG136" s="214">
        <f t="shared" si="314"/>
        <v>0</v>
      </c>
      <c r="AH136" s="214">
        <f t="shared" si="314"/>
        <v>0</v>
      </c>
      <c r="AI136" s="214">
        <f t="shared" si="314"/>
        <v>0</v>
      </c>
      <c r="AJ136" s="214">
        <f t="shared" si="314"/>
        <v>0</v>
      </c>
      <c r="AK136" s="214">
        <f t="shared" si="314"/>
        <v>0</v>
      </c>
      <c r="AL136" s="214">
        <f t="shared" si="314"/>
        <v>0</v>
      </c>
      <c r="AM136" s="214">
        <f t="shared" si="314"/>
        <v>0</v>
      </c>
      <c r="AN136" s="214">
        <f t="shared" si="314"/>
        <v>0</v>
      </c>
      <c r="AO136" s="214">
        <f t="shared" si="314"/>
        <v>0</v>
      </c>
      <c r="AP136" s="214">
        <f t="shared" si="314"/>
        <v>0</v>
      </c>
      <c r="AQ136" s="214">
        <f t="shared" si="314"/>
        <v>0</v>
      </c>
      <c r="AR136" s="214">
        <f t="shared" si="314"/>
        <v>20000</v>
      </c>
      <c r="AS136" s="214">
        <f>+AR136</f>
        <v>20000</v>
      </c>
      <c r="AT136" s="214">
        <f t="shared" si="314"/>
        <v>20000</v>
      </c>
      <c r="AU136" s="214">
        <f t="shared" si="314"/>
        <v>20000</v>
      </c>
      <c r="AV136" s="214">
        <f t="shared" si="314"/>
        <v>20000</v>
      </c>
      <c r="AW136" s="214">
        <f t="shared" si="314"/>
        <v>20000</v>
      </c>
      <c r="AX136" s="214">
        <f t="shared" si="314"/>
        <v>20000</v>
      </c>
      <c r="AY136" s="214">
        <f t="shared" si="314"/>
        <v>50000</v>
      </c>
      <c r="AZ136" s="214">
        <f t="shared" si="314"/>
        <v>50000</v>
      </c>
      <c r="BA136" s="214">
        <f t="shared" si="314"/>
        <v>50000</v>
      </c>
      <c r="BB136" s="214">
        <f t="shared" si="314"/>
        <v>50000</v>
      </c>
      <c r="BC136" s="214">
        <f t="shared" si="314"/>
        <v>70000</v>
      </c>
      <c r="BD136" s="214">
        <f t="shared" si="314"/>
        <v>70000</v>
      </c>
      <c r="BE136" s="214">
        <f t="shared" si="314"/>
        <v>70000</v>
      </c>
      <c r="BF136" s="214">
        <f>+BE136</f>
        <v>70000</v>
      </c>
      <c r="BG136" s="214">
        <f t="shared" ref="BG136:BT136" si="315">+BF136+BG135</f>
        <v>70000</v>
      </c>
      <c r="BH136" s="214">
        <f t="shared" si="315"/>
        <v>70000</v>
      </c>
      <c r="BI136" s="214">
        <f t="shared" si="315"/>
        <v>70000</v>
      </c>
      <c r="BJ136" s="214">
        <f t="shared" si="315"/>
        <v>70000</v>
      </c>
      <c r="BK136" s="214">
        <f t="shared" si="315"/>
        <v>70000</v>
      </c>
      <c r="BL136" s="214">
        <f t="shared" si="315"/>
        <v>70000</v>
      </c>
      <c r="BM136" s="214">
        <f t="shared" si="315"/>
        <v>70000</v>
      </c>
      <c r="BN136" s="214">
        <f t="shared" si="315"/>
        <v>70000</v>
      </c>
      <c r="BO136" s="214">
        <f t="shared" si="315"/>
        <v>70000</v>
      </c>
      <c r="BP136" s="214">
        <f t="shared" si="315"/>
        <v>70000</v>
      </c>
      <c r="BQ136" s="214">
        <f t="shared" si="315"/>
        <v>70000</v>
      </c>
      <c r="BR136" s="214">
        <f t="shared" si="315"/>
        <v>70000</v>
      </c>
      <c r="BS136" s="214">
        <f>+BR136</f>
        <v>70000</v>
      </c>
      <c r="BT136" s="214">
        <f t="shared" si="315"/>
        <v>70000</v>
      </c>
    </row>
    <row r="137" spans="1:76">
      <c r="E137" s="604"/>
      <c r="F137" s="66" t="s">
        <v>88</v>
      </c>
      <c r="G137" s="214">
        <f>+G136*12%/12</f>
        <v>0</v>
      </c>
      <c r="H137" s="214">
        <f t="shared" ref="H137:BE137" si="316">+H136*12%/12</f>
        <v>0</v>
      </c>
      <c r="I137" s="214">
        <f t="shared" si="316"/>
        <v>0</v>
      </c>
      <c r="J137" s="214">
        <f t="shared" si="316"/>
        <v>0</v>
      </c>
      <c r="K137" s="214">
        <f t="shared" si="316"/>
        <v>0</v>
      </c>
      <c r="L137" s="214">
        <f t="shared" si="316"/>
        <v>0</v>
      </c>
      <c r="M137" s="214">
        <f t="shared" si="316"/>
        <v>0</v>
      </c>
      <c r="N137" s="214">
        <f t="shared" si="316"/>
        <v>0</v>
      </c>
      <c r="O137" s="214">
        <f t="shared" si="316"/>
        <v>0</v>
      </c>
      <c r="P137" s="214">
        <f t="shared" si="316"/>
        <v>0</v>
      </c>
      <c r="Q137" s="214">
        <f t="shared" si="316"/>
        <v>0</v>
      </c>
      <c r="R137" s="214">
        <f t="shared" si="316"/>
        <v>0</v>
      </c>
      <c r="S137" s="214"/>
      <c r="T137" s="214">
        <f t="shared" si="316"/>
        <v>0</v>
      </c>
      <c r="U137" s="214">
        <f t="shared" si="316"/>
        <v>0</v>
      </c>
      <c r="V137" s="214">
        <f t="shared" si="316"/>
        <v>0</v>
      </c>
      <c r="W137" s="214">
        <f t="shared" si="316"/>
        <v>0</v>
      </c>
      <c r="X137" s="214">
        <f t="shared" si="316"/>
        <v>0</v>
      </c>
      <c r="Y137" s="214">
        <f t="shared" si="316"/>
        <v>0</v>
      </c>
      <c r="Z137" s="214">
        <f t="shared" si="316"/>
        <v>0</v>
      </c>
      <c r="AA137" s="214">
        <f t="shared" si="316"/>
        <v>0</v>
      </c>
      <c r="AB137" s="214">
        <f t="shared" si="316"/>
        <v>0</v>
      </c>
      <c r="AC137" s="214">
        <f t="shared" si="316"/>
        <v>0</v>
      </c>
      <c r="AD137" s="214">
        <f t="shared" si="316"/>
        <v>0</v>
      </c>
      <c r="AE137" s="214">
        <f t="shared" si="316"/>
        <v>0</v>
      </c>
      <c r="AF137" s="214"/>
      <c r="AG137" s="214">
        <f t="shared" si="316"/>
        <v>0</v>
      </c>
      <c r="AH137" s="214">
        <f t="shared" si="316"/>
        <v>0</v>
      </c>
      <c r="AI137" s="214">
        <f t="shared" si="316"/>
        <v>0</v>
      </c>
      <c r="AJ137" s="214">
        <f t="shared" si="316"/>
        <v>0</v>
      </c>
      <c r="AK137" s="214">
        <f t="shared" si="316"/>
        <v>0</v>
      </c>
      <c r="AL137" s="214">
        <f t="shared" si="316"/>
        <v>0</v>
      </c>
      <c r="AM137" s="214">
        <f t="shared" si="316"/>
        <v>0</v>
      </c>
      <c r="AN137" s="214">
        <f t="shared" si="316"/>
        <v>0</v>
      </c>
      <c r="AO137" s="214">
        <f t="shared" si="316"/>
        <v>0</v>
      </c>
      <c r="AP137" s="214">
        <f t="shared" si="316"/>
        <v>0</v>
      </c>
      <c r="AQ137" s="214">
        <f t="shared" si="316"/>
        <v>0</v>
      </c>
      <c r="AR137" s="214">
        <f t="shared" si="316"/>
        <v>200</v>
      </c>
      <c r="AS137" s="214"/>
      <c r="AT137" s="214">
        <f t="shared" si="316"/>
        <v>200</v>
      </c>
      <c r="AU137" s="214">
        <f t="shared" si="316"/>
        <v>200</v>
      </c>
      <c r="AV137" s="214">
        <f t="shared" si="316"/>
        <v>200</v>
      </c>
      <c r="AW137" s="214">
        <f t="shared" si="316"/>
        <v>200</v>
      </c>
      <c r="AX137" s="214">
        <f t="shared" si="316"/>
        <v>200</v>
      </c>
      <c r="AY137" s="214">
        <f t="shared" si="316"/>
        <v>500</v>
      </c>
      <c r="AZ137" s="214">
        <f t="shared" si="316"/>
        <v>500</v>
      </c>
      <c r="BA137" s="214">
        <f t="shared" si="316"/>
        <v>500</v>
      </c>
      <c r="BB137" s="214">
        <f t="shared" si="316"/>
        <v>500</v>
      </c>
      <c r="BC137" s="214">
        <f t="shared" si="316"/>
        <v>700</v>
      </c>
      <c r="BD137" s="214">
        <f t="shared" si="316"/>
        <v>700</v>
      </c>
      <c r="BE137" s="214">
        <f t="shared" si="316"/>
        <v>700</v>
      </c>
      <c r="BF137" s="214"/>
      <c r="BG137" s="214">
        <f t="shared" ref="BG137:BR137" si="317">+BG136*12%/12</f>
        <v>700</v>
      </c>
      <c r="BH137" s="214">
        <f t="shared" si="317"/>
        <v>700</v>
      </c>
      <c r="BI137" s="214">
        <f t="shared" si="317"/>
        <v>700</v>
      </c>
      <c r="BJ137" s="214">
        <f t="shared" si="317"/>
        <v>700</v>
      </c>
      <c r="BK137" s="214">
        <f t="shared" si="317"/>
        <v>700</v>
      </c>
      <c r="BL137" s="214">
        <f t="shared" si="317"/>
        <v>700</v>
      </c>
      <c r="BM137" s="214">
        <f t="shared" si="317"/>
        <v>700</v>
      </c>
      <c r="BN137" s="214">
        <f t="shared" si="317"/>
        <v>700</v>
      </c>
      <c r="BO137" s="214">
        <f t="shared" si="317"/>
        <v>700</v>
      </c>
      <c r="BP137" s="214">
        <f t="shared" si="317"/>
        <v>700</v>
      </c>
      <c r="BQ137" s="214">
        <f t="shared" si="317"/>
        <v>700</v>
      </c>
      <c r="BR137" s="214">
        <f t="shared" si="317"/>
        <v>700</v>
      </c>
      <c r="BS137" s="214"/>
      <c r="BT137" s="214">
        <f>+BT136*12%/12</f>
        <v>700</v>
      </c>
    </row>
    <row r="138" spans="1:76">
      <c r="E138" s="604" t="s">
        <v>83</v>
      </c>
      <c r="F138" s="66" t="s">
        <v>91</v>
      </c>
      <c r="G138" s="214">
        <f t="shared" ref="G138:R138" si="318">+G108</f>
        <v>0</v>
      </c>
      <c r="H138" s="214">
        <f t="shared" si="318"/>
        <v>0</v>
      </c>
      <c r="I138" s="214">
        <f t="shared" si="318"/>
        <v>0</v>
      </c>
      <c r="J138" s="214">
        <f t="shared" si="318"/>
        <v>0</v>
      </c>
      <c r="K138" s="214">
        <f t="shared" si="318"/>
        <v>0</v>
      </c>
      <c r="L138" s="214">
        <f t="shared" si="318"/>
        <v>0</v>
      </c>
      <c r="M138" s="214">
        <f t="shared" si="318"/>
        <v>0</v>
      </c>
      <c r="N138" s="214">
        <f t="shared" si="318"/>
        <v>0</v>
      </c>
      <c r="O138" s="214">
        <f t="shared" si="318"/>
        <v>0</v>
      </c>
      <c r="P138" s="214">
        <f t="shared" si="318"/>
        <v>0</v>
      </c>
      <c r="Q138" s="214">
        <f t="shared" si="318"/>
        <v>0</v>
      </c>
      <c r="R138" s="214">
        <f t="shared" si="318"/>
        <v>0</v>
      </c>
      <c r="S138" s="214"/>
      <c r="T138" s="214">
        <f t="shared" ref="T138:AE138" si="319">+T108</f>
        <v>0</v>
      </c>
      <c r="U138" s="214">
        <f t="shared" si="319"/>
        <v>0</v>
      </c>
      <c r="V138" s="214">
        <f t="shared" si="319"/>
        <v>0</v>
      </c>
      <c r="W138" s="214">
        <f t="shared" si="319"/>
        <v>0</v>
      </c>
      <c r="X138" s="214">
        <f t="shared" si="319"/>
        <v>0</v>
      </c>
      <c r="Y138" s="214">
        <f t="shared" si="319"/>
        <v>0</v>
      </c>
      <c r="Z138" s="214">
        <f t="shared" si="319"/>
        <v>0</v>
      </c>
      <c r="AA138" s="214">
        <f t="shared" si="319"/>
        <v>0</v>
      </c>
      <c r="AB138" s="214">
        <f t="shared" si="319"/>
        <v>0</v>
      </c>
      <c r="AC138" s="214">
        <f t="shared" si="319"/>
        <v>0</v>
      </c>
      <c r="AD138" s="214">
        <f t="shared" si="319"/>
        <v>0</v>
      </c>
      <c r="AE138" s="214">
        <f t="shared" si="319"/>
        <v>30000</v>
      </c>
      <c r="AF138" s="214"/>
      <c r="AG138" s="214">
        <f t="shared" ref="AG138:AR138" si="320">+AG108</f>
        <v>0</v>
      </c>
      <c r="AH138" s="214">
        <f t="shared" si="320"/>
        <v>0</v>
      </c>
      <c r="AI138" s="214">
        <f t="shared" si="320"/>
        <v>0</v>
      </c>
      <c r="AJ138" s="214">
        <f t="shared" si="320"/>
        <v>0</v>
      </c>
      <c r="AK138" s="214">
        <f t="shared" si="320"/>
        <v>0</v>
      </c>
      <c r="AL138" s="214">
        <f t="shared" si="320"/>
        <v>0</v>
      </c>
      <c r="AM138" s="214">
        <f t="shared" si="320"/>
        <v>0</v>
      </c>
      <c r="AN138" s="214">
        <f t="shared" si="320"/>
        <v>0</v>
      </c>
      <c r="AO138" s="214">
        <f t="shared" si="320"/>
        <v>0</v>
      </c>
      <c r="AP138" s="214">
        <f t="shared" si="320"/>
        <v>0</v>
      </c>
      <c r="AQ138" s="214">
        <f t="shared" si="320"/>
        <v>0</v>
      </c>
      <c r="AR138" s="214">
        <f t="shared" si="320"/>
        <v>30000</v>
      </c>
      <c r="AS138" s="214"/>
      <c r="AT138" s="214">
        <f t="shared" ref="AT138:BE138" si="321">+AT108</f>
        <v>0</v>
      </c>
      <c r="AU138" s="214">
        <f t="shared" si="321"/>
        <v>0</v>
      </c>
      <c r="AV138" s="214">
        <f t="shared" si="321"/>
        <v>0</v>
      </c>
      <c r="AW138" s="214">
        <f t="shared" si="321"/>
        <v>0</v>
      </c>
      <c r="AX138" s="214">
        <f t="shared" si="321"/>
        <v>100000</v>
      </c>
      <c r="AY138" s="214">
        <f t="shared" si="321"/>
        <v>0</v>
      </c>
      <c r="AZ138" s="214">
        <f t="shared" si="321"/>
        <v>0</v>
      </c>
      <c r="BA138" s="214">
        <f t="shared" si="321"/>
        <v>0</v>
      </c>
      <c r="BB138" s="214">
        <f t="shared" si="321"/>
        <v>0</v>
      </c>
      <c r="BC138" s="214">
        <f t="shared" si="321"/>
        <v>0</v>
      </c>
      <c r="BD138" s="214">
        <f t="shared" si="321"/>
        <v>0</v>
      </c>
      <c r="BE138" s="214">
        <f t="shared" si="321"/>
        <v>0</v>
      </c>
      <c r="BF138" s="214"/>
      <c r="BG138" s="214">
        <f t="shared" ref="BG138:BR138" si="322">+BG108</f>
        <v>0</v>
      </c>
      <c r="BH138" s="214">
        <f t="shared" si="322"/>
        <v>0</v>
      </c>
      <c r="BI138" s="214">
        <f t="shared" si="322"/>
        <v>0</v>
      </c>
      <c r="BJ138" s="214">
        <f t="shared" si="322"/>
        <v>0</v>
      </c>
      <c r="BK138" s="214">
        <f t="shared" si="322"/>
        <v>0</v>
      </c>
      <c r="BL138" s="214">
        <f t="shared" si="322"/>
        <v>0</v>
      </c>
      <c r="BM138" s="214">
        <f t="shared" si="322"/>
        <v>0</v>
      </c>
      <c r="BN138" s="214">
        <f t="shared" si="322"/>
        <v>0</v>
      </c>
      <c r="BO138" s="214">
        <f t="shared" si="322"/>
        <v>0</v>
      </c>
      <c r="BP138" s="214">
        <f t="shared" si="322"/>
        <v>0</v>
      </c>
      <c r="BQ138" s="214">
        <f t="shared" si="322"/>
        <v>0</v>
      </c>
      <c r="BR138" s="214">
        <f t="shared" si="322"/>
        <v>0</v>
      </c>
      <c r="BS138" s="214"/>
      <c r="BT138" s="214">
        <f>+BT108</f>
        <v>0</v>
      </c>
    </row>
    <row r="139" spans="1:76">
      <c r="E139" s="604"/>
      <c r="F139" s="66" t="s">
        <v>92</v>
      </c>
      <c r="G139" s="214">
        <f>+G138</f>
        <v>0</v>
      </c>
      <c r="H139" s="214">
        <f>+G139+H138</f>
        <v>0</v>
      </c>
      <c r="I139" s="214">
        <f t="shared" ref="I139:T139" si="323">+H139+I138</f>
        <v>0</v>
      </c>
      <c r="J139" s="214">
        <f t="shared" si="323"/>
        <v>0</v>
      </c>
      <c r="K139" s="214">
        <f t="shared" si="323"/>
        <v>0</v>
      </c>
      <c r="L139" s="214">
        <f t="shared" si="323"/>
        <v>0</v>
      </c>
      <c r="M139" s="214">
        <f t="shared" si="323"/>
        <v>0</v>
      </c>
      <c r="N139" s="214">
        <f t="shared" si="323"/>
        <v>0</v>
      </c>
      <c r="O139" s="214">
        <f t="shared" si="323"/>
        <v>0</v>
      </c>
      <c r="P139" s="214">
        <f t="shared" si="323"/>
        <v>0</v>
      </c>
      <c r="Q139" s="214">
        <f t="shared" si="323"/>
        <v>0</v>
      </c>
      <c r="R139" s="214">
        <f t="shared" si="323"/>
        <v>0</v>
      </c>
      <c r="S139" s="214">
        <f t="shared" si="323"/>
        <v>0</v>
      </c>
      <c r="T139" s="214">
        <f t="shared" si="323"/>
        <v>0</v>
      </c>
      <c r="U139" s="214">
        <f>+U138</f>
        <v>0</v>
      </c>
      <c r="V139" s="214">
        <f>+U139+V138</f>
        <v>0</v>
      </c>
      <c r="W139" s="214">
        <f>+W138</f>
        <v>0</v>
      </c>
      <c r="X139" s="214">
        <f>+W139+X138</f>
        <v>0</v>
      </c>
      <c r="Y139" s="214">
        <f>+Y138</f>
        <v>0</v>
      </c>
      <c r="Z139" s="214">
        <f>+Y139+Z138</f>
        <v>0</v>
      </c>
      <c r="AA139" s="214">
        <f>+AA138</f>
        <v>0</v>
      </c>
      <c r="AB139" s="214">
        <f>+AA139+AB138</f>
        <v>0</v>
      </c>
      <c r="AC139" s="214">
        <f>+AC138</f>
        <v>0</v>
      </c>
      <c r="AD139" s="214">
        <f>+AC139+AD138</f>
        <v>0</v>
      </c>
      <c r="AE139" s="214">
        <f>+AE138</f>
        <v>30000</v>
      </c>
      <c r="AF139" s="214">
        <f t="shared" ref="AF139:BT139" si="324">+AE139+AF138</f>
        <v>30000</v>
      </c>
      <c r="AG139" s="214">
        <f t="shared" si="324"/>
        <v>30000</v>
      </c>
      <c r="AH139" s="214">
        <f t="shared" si="324"/>
        <v>30000</v>
      </c>
      <c r="AI139" s="214">
        <f t="shared" si="324"/>
        <v>30000</v>
      </c>
      <c r="AJ139" s="214">
        <f t="shared" si="324"/>
        <v>30000</v>
      </c>
      <c r="AK139" s="214">
        <f t="shared" si="324"/>
        <v>30000</v>
      </c>
      <c r="AL139" s="214">
        <f t="shared" si="324"/>
        <v>30000</v>
      </c>
      <c r="AM139" s="214">
        <f t="shared" si="324"/>
        <v>30000</v>
      </c>
      <c r="AN139" s="214">
        <f t="shared" si="324"/>
        <v>30000</v>
      </c>
      <c r="AO139" s="214">
        <f t="shared" si="324"/>
        <v>30000</v>
      </c>
      <c r="AP139" s="214">
        <f t="shared" si="324"/>
        <v>30000</v>
      </c>
      <c r="AQ139" s="214">
        <f t="shared" si="324"/>
        <v>30000</v>
      </c>
      <c r="AR139" s="214">
        <f t="shared" si="324"/>
        <v>60000</v>
      </c>
      <c r="AS139" s="214">
        <f t="shared" si="324"/>
        <v>60000</v>
      </c>
      <c r="AT139" s="214">
        <f t="shared" si="324"/>
        <v>60000</v>
      </c>
      <c r="AU139" s="214">
        <f t="shared" si="324"/>
        <v>60000</v>
      </c>
      <c r="AV139" s="214">
        <f t="shared" si="324"/>
        <v>60000</v>
      </c>
      <c r="AW139" s="214">
        <f t="shared" si="324"/>
        <v>60000</v>
      </c>
      <c r="AX139" s="214">
        <f t="shared" si="324"/>
        <v>160000</v>
      </c>
      <c r="AY139" s="214">
        <f t="shared" si="324"/>
        <v>160000</v>
      </c>
      <c r="AZ139" s="214">
        <f t="shared" si="324"/>
        <v>160000</v>
      </c>
      <c r="BA139" s="214">
        <f t="shared" si="324"/>
        <v>160000</v>
      </c>
      <c r="BB139" s="214">
        <f t="shared" si="324"/>
        <v>160000</v>
      </c>
      <c r="BC139" s="214">
        <f t="shared" si="324"/>
        <v>160000</v>
      </c>
      <c r="BD139" s="214">
        <f t="shared" si="324"/>
        <v>160000</v>
      </c>
      <c r="BE139" s="214">
        <f t="shared" si="324"/>
        <v>160000</v>
      </c>
      <c r="BF139" s="214">
        <f t="shared" si="324"/>
        <v>160000</v>
      </c>
      <c r="BG139" s="214">
        <f t="shared" si="324"/>
        <v>160000</v>
      </c>
      <c r="BH139" s="214">
        <f t="shared" si="324"/>
        <v>160000</v>
      </c>
      <c r="BI139" s="214">
        <f t="shared" si="324"/>
        <v>160000</v>
      </c>
      <c r="BJ139" s="214">
        <f t="shared" si="324"/>
        <v>160000</v>
      </c>
      <c r="BK139" s="214">
        <f t="shared" si="324"/>
        <v>160000</v>
      </c>
      <c r="BL139" s="214">
        <f t="shared" si="324"/>
        <v>160000</v>
      </c>
      <c r="BM139" s="214">
        <f t="shared" si="324"/>
        <v>160000</v>
      </c>
      <c r="BN139" s="214">
        <f t="shared" si="324"/>
        <v>160000</v>
      </c>
      <c r="BO139" s="214">
        <f t="shared" si="324"/>
        <v>160000</v>
      </c>
      <c r="BP139" s="214">
        <f t="shared" si="324"/>
        <v>160000</v>
      </c>
      <c r="BQ139" s="214">
        <f t="shared" si="324"/>
        <v>160000</v>
      </c>
      <c r="BR139" s="214">
        <f t="shared" si="324"/>
        <v>160000</v>
      </c>
      <c r="BS139" s="214">
        <f t="shared" si="324"/>
        <v>160000</v>
      </c>
      <c r="BT139" s="214">
        <f t="shared" si="324"/>
        <v>160000</v>
      </c>
    </row>
    <row r="140" spans="1:76">
      <c r="E140" s="604"/>
      <c r="F140" s="66" t="s">
        <v>83</v>
      </c>
      <c r="G140" s="214">
        <f>+G139*12%/12</f>
        <v>0</v>
      </c>
      <c r="H140" s="214">
        <f t="shared" ref="H140:O140" si="325">+H139*12%/12</f>
        <v>0</v>
      </c>
      <c r="I140" s="214">
        <f t="shared" si="325"/>
        <v>0</v>
      </c>
      <c r="J140" s="214">
        <f t="shared" si="325"/>
        <v>0</v>
      </c>
      <c r="K140" s="214">
        <f t="shared" si="325"/>
        <v>0</v>
      </c>
      <c r="L140" s="214">
        <f t="shared" si="325"/>
        <v>0</v>
      </c>
      <c r="M140" s="214">
        <f t="shared" si="325"/>
        <v>0</v>
      </c>
      <c r="N140" s="214">
        <f t="shared" si="325"/>
        <v>0</v>
      </c>
      <c r="O140" s="214">
        <f t="shared" si="325"/>
        <v>0</v>
      </c>
      <c r="P140" s="214">
        <f t="shared" ref="P140:AD140" si="326">+O139*12%/12</f>
        <v>0</v>
      </c>
      <c r="Q140" s="214">
        <f t="shared" si="326"/>
        <v>0</v>
      </c>
      <c r="R140" s="214">
        <f t="shared" si="326"/>
        <v>0</v>
      </c>
      <c r="S140" s="214">
        <f t="shared" si="326"/>
        <v>0</v>
      </c>
      <c r="T140" s="214">
        <f t="shared" si="326"/>
        <v>0</v>
      </c>
      <c r="U140" s="214">
        <f t="shared" si="326"/>
        <v>0</v>
      </c>
      <c r="V140" s="214">
        <f t="shared" si="326"/>
        <v>0</v>
      </c>
      <c r="W140" s="214">
        <f t="shared" si="326"/>
        <v>0</v>
      </c>
      <c r="X140" s="214">
        <f t="shared" si="326"/>
        <v>0</v>
      </c>
      <c r="Y140" s="214">
        <f t="shared" si="326"/>
        <v>0</v>
      </c>
      <c r="Z140" s="214">
        <f t="shared" si="326"/>
        <v>0</v>
      </c>
      <c r="AA140" s="214">
        <f t="shared" si="326"/>
        <v>0</v>
      </c>
      <c r="AB140" s="214">
        <f t="shared" si="326"/>
        <v>0</v>
      </c>
      <c r="AC140" s="214">
        <f t="shared" si="326"/>
        <v>0</v>
      </c>
      <c r="AD140" s="214">
        <f t="shared" si="326"/>
        <v>0</v>
      </c>
      <c r="AE140" s="214">
        <f>+AD139*12%/12</f>
        <v>0</v>
      </c>
      <c r="AF140" s="214">
        <f>+AE139*12%/12</f>
        <v>300</v>
      </c>
      <c r="AG140" s="214">
        <f t="shared" ref="AG140:BE140" si="327">+AF139*12%/12</f>
        <v>300</v>
      </c>
      <c r="AH140" s="214">
        <f t="shared" si="327"/>
        <v>300</v>
      </c>
      <c r="AI140" s="214">
        <f t="shared" si="327"/>
        <v>300</v>
      </c>
      <c r="AJ140" s="214">
        <f t="shared" si="327"/>
        <v>300</v>
      </c>
      <c r="AK140" s="214">
        <f t="shared" si="327"/>
        <v>300</v>
      </c>
      <c r="AL140" s="214">
        <f t="shared" si="327"/>
        <v>300</v>
      </c>
      <c r="AM140" s="214">
        <f t="shared" si="327"/>
        <v>300</v>
      </c>
      <c r="AN140" s="214">
        <f t="shared" si="327"/>
        <v>300</v>
      </c>
      <c r="AO140" s="214">
        <f t="shared" si="327"/>
        <v>300</v>
      </c>
      <c r="AP140" s="214">
        <f t="shared" si="327"/>
        <v>300</v>
      </c>
      <c r="AQ140" s="214">
        <f t="shared" si="327"/>
        <v>300</v>
      </c>
      <c r="AR140" s="214">
        <f t="shared" si="327"/>
        <v>300</v>
      </c>
      <c r="AS140" s="214">
        <f t="shared" si="327"/>
        <v>600</v>
      </c>
      <c r="AT140" s="214">
        <f t="shared" si="327"/>
        <v>600</v>
      </c>
      <c r="AU140" s="214">
        <f t="shared" si="327"/>
        <v>600</v>
      </c>
      <c r="AV140" s="214">
        <f t="shared" si="327"/>
        <v>600</v>
      </c>
      <c r="AW140" s="214">
        <f t="shared" si="327"/>
        <v>600</v>
      </c>
      <c r="AX140" s="214">
        <f t="shared" si="327"/>
        <v>600</v>
      </c>
      <c r="AY140" s="214">
        <f t="shared" si="327"/>
        <v>1600</v>
      </c>
      <c r="AZ140" s="214">
        <f t="shared" si="327"/>
        <v>1600</v>
      </c>
      <c r="BA140" s="214">
        <f t="shared" si="327"/>
        <v>1600</v>
      </c>
      <c r="BB140" s="214">
        <f t="shared" si="327"/>
        <v>1600</v>
      </c>
      <c r="BC140" s="214">
        <f t="shared" si="327"/>
        <v>1600</v>
      </c>
      <c r="BD140" s="214">
        <f t="shared" si="327"/>
        <v>1600</v>
      </c>
      <c r="BE140" s="214">
        <f t="shared" si="327"/>
        <v>1600</v>
      </c>
      <c r="BF140" s="214"/>
      <c r="BG140" s="214">
        <f t="shared" ref="BG140:BT140" si="328">+BF139*12%/12</f>
        <v>1600</v>
      </c>
      <c r="BH140" s="214">
        <f t="shared" si="328"/>
        <v>1600</v>
      </c>
      <c r="BI140" s="214">
        <f t="shared" si="328"/>
        <v>1600</v>
      </c>
      <c r="BJ140" s="214">
        <f t="shared" si="328"/>
        <v>1600</v>
      </c>
      <c r="BK140" s="214">
        <f t="shared" si="328"/>
        <v>1600</v>
      </c>
      <c r="BL140" s="214">
        <f t="shared" si="328"/>
        <v>1600</v>
      </c>
      <c r="BM140" s="214">
        <f t="shared" si="328"/>
        <v>1600</v>
      </c>
      <c r="BN140" s="214">
        <f t="shared" si="328"/>
        <v>1600</v>
      </c>
      <c r="BO140" s="214">
        <f t="shared" si="328"/>
        <v>1600</v>
      </c>
      <c r="BP140" s="214">
        <f t="shared" si="328"/>
        <v>1600</v>
      </c>
      <c r="BQ140" s="214">
        <f t="shared" si="328"/>
        <v>1600</v>
      </c>
      <c r="BR140" s="214">
        <f t="shared" si="328"/>
        <v>1600</v>
      </c>
      <c r="BS140" s="214"/>
      <c r="BT140" s="214">
        <f t="shared" si="328"/>
        <v>1600</v>
      </c>
    </row>
    <row r="141" spans="1:76">
      <c r="E141" s="604" t="s">
        <v>105</v>
      </c>
      <c r="F141" s="604"/>
      <c r="G141" s="134">
        <f>+G136+G139</f>
        <v>0</v>
      </c>
      <c r="H141" s="134">
        <f t="shared" ref="H141:BS141" si="329">+H136+H139</f>
        <v>0</v>
      </c>
      <c r="I141" s="134">
        <f t="shared" si="329"/>
        <v>0</v>
      </c>
      <c r="J141" s="134">
        <f t="shared" si="329"/>
        <v>0</v>
      </c>
      <c r="K141" s="134">
        <f t="shared" si="329"/>
        <v>0</v>
      </c>
      <c r="L141" s="134">
        <f t="shared" si="329"/>
        <v>0</v>
      </c>
      <c r="M141" s="134">
        <f t="shared" si="329"/>
        <v>0</v>
      </c>
      <c r="N141" s="134">
        <f t="shared" si="329"/>
        <v>0</v>
      </c>
      <c r="O141" s="134">
        <f t="shared" si="329"/>
        <v>0</v>
      </c>
      <c r="P141" s="134">
        <f t="shared" si="329"/>
        <v>0</v>
      </c>
      <c r="Q141" s="134">
        <f t="shared" si="329"/>
        <v>0</v>
      </c>
      <c r="R141" s="134">
        <f t="shared" si="329"/>
        <v>0</v>
      </c>
      <c r="S141" s="134">
        <f t="shared" si="329"/>
        <v>0</v>
      </c>
      <c r="T141" s="134">
        <f t="shared" si="329"/>
        <v>0</v>
      </c>
      <c r="U141" s="134">
        <f t="shared" si="329"/>
        <v>0</v>
      </c>
      <c r="V141" s="134">
        <f t="shared" si="329"/>
        <v>0</v>
      </c>
      <c r="W141" s="134">
        <f t="shared" si="329"/>
        <v>0</v>
      </c>
      <c r="X141" s="134">
        <f t="shared" si="329"/>
        <v>0</v>
      </c>
      <c r="Y141" s="134">
        <f t="shared" si="329"/>
        <v>0</v>
      </c>
      <c r="Z141" s="134">
        <f t="shared" si="329"/>
        <v>0</v>
      </c>
      <c r="AA141" s="134">
        <f t="shared" si="329"/>
        <v>0</v>
      </c>
      <c r="AB141" s="134">
        <f t="shared" si="329"/>
        <v>0</v>
      </c>
      <c r="AC141" s="134">
        <f t="shared" si="329"/>
        <v>0</v>
      </c>
      <c r="AD141" s="134">
        <f t="shared" si="329"/>
        <v>0</v>
      </c>
      <c r="AE141" s="134">
        <f t="shared" si="329"/>
        <v>30000</v>
      </c>
      <c r="AF141" s="134">
        <f t="shared" si="329"/>
        <v>30000</v>
      </c>
      <c r="AG141" s="134">
        <f t="shared" si="329"/>
        <v>30000</v>
      </c>
      <c r="AH141" s="134">
        <f t="shared" si="329"/>
        <v>30000</v>
      </c>
      <c r="AI141" s="134">
        <f t="shared" si="329"/>
        <v>30000</v>
      </c>
      <c r="AJ141" s="134">
        <f t="shared" si="329"/>
        <v>30000</v>
      </c>
      <c r="AK141" s="134">
        <f t="shared" si="329"/>
        <v>30000</v>
      </c>
      <c r="AL141" s="134">
        <f t="shared" si="329"/>
        <v>30000</v>
      </c>
      <c r="AM141" s="134">
        <f t="shared" si="329"/>
        <v>30000</v>
      </c>
      <c r="AN141" s="134">
        <f t="shared" si="329"/>
        <v>30000</v>
      </c>
      <c r="AO141" s="134">
        <f t="shared" si="329"/>
        <v>30000</v>
      </c>
      <c r="AP141" s="134">
        <f t="shared" si="329"/>
        <v>30000</v>
      </c>
      <c r="AQ141" s="134">
        <f t="shared" si="329"/>
        <v>30000</v>
      </c>
      <c r="AR141" s="134">
        <f t="shared" si="329"/>
        <v>80000</v>
      </c>
      <c r="AS141" s="134">
        <f t="shared" si="329"/>
        <v>80000</v>
      </c>
      <c r="AT141" s="134">
        <f t="shared" si="329"/>
        <v>80000</v>
      </c>
      <c r="AU141" s="134">
        <f t="shared" si="329"/>
        <v>80000</v>
      </c>
      <c r="AV141" s="134">
        <f t="shared" si="329"/>
        <v>80000</v>
      </c>
      <c r="AW141" s="134">
        <f t="shared" si="329"/>
        <v>80000</v>
      </c>
      <c r="AX141" s="134">
        <f t="shared" si="329"/>
        <v>180000</v>
      </c>
      <c r="AY141" s="134">
        <f t="shared" si="329"/>
        <v>210000</v>
      </c>
      <c r="AZ141" s="134">
        <f t="shared" si="329"/>
        <v>210000</v>
      </c>
      <c r="BA141" s="134">
        <f t="shared" si="329"/>
        <v>210000</v>
      </c>
      <c r="BB141" s="134">
        <f t="shared" si="329"/>
        <v>210000</v>
      </c>
      <c r="BC141" s="134">
        <f t="shared" si="329"/>
        <v>230000</v>
      </c>
      <c r="BD141" s="134">
        <f t="shared" si="329"/>
        <v>230000</v>
      </c>
      <c r="BE141" s="134">
        <f t="shared" si="329"/>
        <v>230000</v>
      </c>
      <c r="BF141" s="134">
        <f t="shared" si="329"/>
        <v>230000</v>
      </c>
      <c r="BG141" s="134">
        <f t="shared" si="329"/>
        <v>230000</v>
      </c>
      <c r="BH141" s="134">
        <f t="shared" si="329"/>
        <v>230000</v>
      </c>
      <c r="BI141" s="134">
        <f t="shared" si="329"/>
        <v>230000</v>
      </c>
      <c r="BJ141" s="134">
        <f t="shared" si="329"/>
        <v>230000</v>
      </c>
      <c r="BK141" s="134">
        <f t="shared" si="329"/>
        <v>230000</v>
      </c>
      <c r="BL141" s="134">
        <f t="shared" si="329"/>
        <v>230000</v>
      </c>
      <c r="BM141" s="134">
        <f t="shared" si="329"/>
        <v>230000</v>
      </c>
      <c r="BN141" s="134">
        <f t="shared" si="329"/>
        <v>230000</v>
      </c>
      <c r="BO141" s="134">
        <f t="shared" si="329"/>
        <v>230000</v>
      </c>
      <c r="BP141" s="134">
        <f t="shared" si="329"/>
        <v>230000</v>
      </c>
      <c r="BQ141" s="134">
        <f t="shared" si="329"/>
        <v>230000</v>
      </c>
      <c r="BR141" s="134">
        <f t="shared" si="329"/>
        <v>230000</v>
      </c>
      <c r="BS141" s="134">
        <f t="shared" si="329"/>
        <v>230000</v>
      </c>
      <c r="BT141" s="134">
        <f>+BT136+BT139</f>
        <v>230000</v>
      </c>
    </row>
    <row r="142" spans="1:76">
      <c r="E142" s="604" t="s">
        <v>106</v>
      </c>
      <c r="F142" s="604"/>
      <c r="G142" s="134">
        <f>-G134+G137+G140</f>
        <v>-71.929999999999993</v>
      </c>
      <c r="H142" s="134">
        <f t="shared" ref="H142:BE142" si="330">-H134+H137+H140</f>
        <v>-74.973112055992118</v>
      </c>
      <c r="I142" s="134">
        <f t="shared" si="330"/>
        <v>-116.08873441728169</v>
      </c>
      <c r="J142" s="134">
        <f t="shared" si="330"/>
        <v>-115.77411925930505</v>
      </c>
      <c r="K142" s="134">
        <f t="shared" si="330"/>
        <v>-115.68163081247781</v>
      </c>
      <c r="L142" s="134">
        <f t="shared" si="330"/>
        <v>-110.05007431355078</v>
      </c>
      <c r="M142" s="134">
        <f t="shared" si="330"/>
        <v>-116.95792035550841</v>
      </c>
      <c r="N142" s="134">
        <f t="shared" si="330"/>
        <v>-118.22070487957801</v>
      </c>
      <c r="O142" s="134">
        <f t="shared" si="330"/>
        <v>-116.49648292614877</v>
      </c>
      <c r="P142" s="134">
        <f t="shared" si="330"/>
        <v>-110.5955306683922</v>
      </c>
      <c r="Q142" s="134">
        <f t="shared" si="330"/>
        <v>-91.017886987144948</v>
      </c>
      <c r="R142" s="134">
        <f t="shared" si="330"/>
        <v>-72.302974504666111</v>
      </c>
      <c r="S142" s="134">
        <f t="shared" si="330"/>
        <v>-76.180337331270124</v>
      </c>
      <c r="T142" s="134">
        <f t="shared" si="330"/>
        <v>-76.180337331270124</v>
      </c>
      <c r="U142" s="134">
        <f t="shared" si="330"/>
        <v>-196.11078778289985</v>
      </c>
      <c r="V142" s="134">
        <f t="shared" si="330"/>
        <v>-319.85732205488927</v>
      </c>
      <c r="W142" s="134">
        <f t="shared" si="330"/>
        <v>-476.06896964038765</v>
      </c>
      <c r="X142" s="134">
        <f t="shared" si="330"/>
        <v>-170.16604923811806</v>
      </c>
      <c r="Y142" s="134">
        <f t="shared" si="330"/>
        <v>-168.24577707468634</v>
      </c>
      <c r="Z142" s="134">
        <f t="shared" si="330"/>
        <v>-131.54483564352648</v>
      </c>
      <c r="AA142" s="134">
        <f t="shared" si="330"/>
        <v>-130.39586236983538</v>
      </c>
      <c r="AB142" s="134">
        <f t="shared" si="330"/>
        <v>-132.07935851956111</v>
      </c>
      <c r="AC142" s="134">
        <f t="shared" si="330"/>
        <v>-134.80416081212661</v>
      </c>
      <c r="AD142" s="134">
        <f t="shared" si="330"/>
        <v>-133.38688631999702</v>
      </c>
      <c r="AE142" s="134">
        <f t="shared" si="330"/>
        <v>-131.00764078839512</v>
      </c>
      <c r="AF142" s="134">
        <f t="shared" si="330"/>
        <v>19.073643754290686</v>
      </c>
      <c r="AG142" s="134">
        <f t="shared" si="330"/>
        <v>19.073643754290686</v>
      </c>
      <c r="AH142" s="134">
        <f t="shared" si="330"/>
        <v>20.438577823692299</v>
      </c>
      <c r="AI142" s="134">
        <f t="shared" si="330"/>
        <v>25.62901533914453</v>
      </c>
      <c r="AJ142" s="134">
        <f t="shared" si="330"/>
        <v>29.105703292063595</v>
      </c>
      <c r="AK142" s="134">
        <f t="shared" si="330"/>
        <v>34.745761640056458</v>
      </c>
      <c r="AL142" s="134">
        <f t="shared" si="330"/>
        <v>38.6441179687925</v>
      </c>
      <c r="AM142" s="134">
        <f t="shared" si="330"/>
        <v>38.724724461173253</v>
      </c>
      <c r="AN142" s="134">
        <f t="shared" si="330"/>
        <v>44.899842626223403</v>
      </c>
      <c r="AO142" s="134">
        <f t="shared" si="330"/>
        <v>49.280135002476214</v>
      </c>
      <c r="AP142" s="134">
        <f t="shared" si="330"/>
        <v>50.785816661752705</v>
      </c>
      <c r="AQ142" s="134">
        <f t="shared" si="330"/>
        <v>57.980870528147079</v>
      </c>
      <c r="AR142" s="134">
        <f t="shared" si="330"/>
        <v>262.7380920836971</v>
      </c>
      <c r="AS142" s="134">
        <f t="shared" si="330"/>
        <v>232.23612476068621</v>
      </c>
      <c r="AT142" s="134">
        <f t="shared" si="330"/>
        <v>432.23612476068621</v>
      </c>
      <c r="AU142" s="134">
        <f t="shared" si="330"/>
        <v>437.74272162261065</v>
      </c>
      <c r="AV142" s="134">
        <f t="shared" si="330"/>
        <v>446.59843996049011</v>
      </c>
      <c r="AW142" s="134">
        <f t="shared" si="330"/>
        <v>455.59061973755007</v>
      </c>
      <c r="AX142" s="134">
        <f t="shared" si="330"/>
        <v>464.69239291474713</v>
      </c>
      <c r="AY142" s="134">
        <f t="shared" si="330"/>
        <v>1273.8762367299455</v>
      </c>
      <c r="AZ142" s="134">
        <f t="shared" si="330"/>
        <v>1687.1141964333081</v>
      </c>
      <c r="BA142" s="134">
        <f t="shared" si="330"/>
        <v>1702.3981115064882</v>
      </c>
      <c r="BB142" s="134">
        <f t="shared" si="330"/>
        <v>1717.7099435442701</v>
      </c>
      <c r="BC142" s="134">
        <f t="shared" si="330"/>
        <v>1933.0219544639142</v>
      </c>
      <c r="BD142" s="134">
        <f t="shared" si="330"/>
        <v>1849.3068824613581</v>
      </c>
      <c r="BE142" s="134">
        <f t="shared" si="330"/>
        <v>1864.0013199029484</v>
      </c>
      <c r="BF142" s="134"/>
      <c r="BG142" s="134">
        <f t="shared" ref="BG142:BR142" si="331">-BG134+BG137+BG140</f>
        <v>1878.6556213523438</v>
      </c>
      <c r="BH142" s="134">
        <f t="shared" si="331"/>
        <v>1890.7830462003822</v>
      </c>
      <c r="BI142" s="134">
        <f t="shared" si="331"/>
        <v>1906.2502240147903</v>
      </c>
      <c r="BJ142" s="134">
        <f t="shared" si="331"/>
        <v>1920.6938478284258</v>
      </c>
      <c r="BK142" s="134">
        <f t="shared" si="331"/>
        <v>1936.0025007866943</v>
      </c>
      <c r="BL142" s="134">
        <f t="shared" si="331"/>
        <v>1951.2463113730337</v>
      </c>
      <c r="BM142" s="134">
        <f t="shared" si="331"/>
        <v>1966.4063354923123</v>
      </c>
      <c r="BN142" s="134">
        <f t="shared" si="331"/>
        <v>1981.4648225992883</v>
      </c>
      <c r="BO142" s="134">
        <f t="shared" si="331"/>
        <v>1996.4053612103144</v>
      </c>
      <c r="BP142" s="134">
        <f t="shared" si="331"/>
        <v>2011.2130136466824</v>
      </c>
      <c r="BQ142" s="134">
        <f t="shared" si="331"/>
        <v>2024.1494389247928</v>
      </c>
      <c r="BR142" s="134">
        <f t="shared" si="331"/>
        <v>2038.7232439004792</v>
      </c>
      <c r="BS142" s="134"/>
      <c r="BT142" s="134">
        <f>-BT134+BT137+BT140</f>
        <v>1660.2368047134582</v>
      </c>
    </row>
    <row r="144" spans="1:76">
      <c r="G144" s="227"/>
    </row>
    <row r="145" spans="7:7">
      <c r="G145" s="227"/>
    </row>
    <row r="146" spans="7:7">
      <c r="G146" s="227"/>
    </row>
  </sheetData>
  <mergeCells count="94">
    <mergeCell ref="BU2:BW2"/>
    <mergeCell ref="A3:B3"/>
    <mergeCell ref="C3:D3"/>
    <mergeCell ref="A4:B6"/>
    <mergeCell ref="C4:D4"/>
    <mergeCell ref="C5:D5"/>
    <mergeCell ref="C6:D6"/>
    <mergeCell ref="A7:B9"/>
    <mergeCell ref="C7:D7"/>
    <mergeCell ref="C8:D8"/>
    <mergeCell ref="C9:D9"/>
    <mergeCell ref="A10:B13"/>
    <mergeCell ref="C10:D10"/>
    <mergeCell ref="C11:D11"/>
    <mergeCell ref="C12:D12"/>
    <mergeCell ref="C13:D13"/>
    <mergeCell ref="A15:B15"/>
    <mergeCell ref="A16:A33"/>
    <mergeCell ref="B16:B18"/>
    <mergeCell ref="C18:D18"/>
    <mergeCell ref="B19:B21"/>
    <mergeCell ref="C21:D21"/>
    <mergeCell ref="B22:B24"/>
    <mergeCell ref="C24:D24"/>
    <mergeCell ref="B25:B27"/>
    <mergeCell ref="C27:D27"/>
    <mergeCell ref="B28:B30"/>
    <mergeCell ref="C30:D30"/>
    <mergeCell ref="B31:B33"/>
    <mergeCell ref="C33:D33"/>
    <mergeCell ref="A35:A70"/>
    <mergeCell ref="B35:B37"/>
    <mergeCell ref="C37:D37"/>
    <mergeCell ref="B38:B40"/>
    <mergeCell ref="C40:D40"/>
    <mergeCell ref="B41:B43"/>
    <mergeCell ref="B50:B52"/>
    <mergeCell ref="C52:D52"/>
    <mergeCell ref="C43:D43"/>
    <mergeCell ref="B44:B46"/>
    <mergeCell ref="C46:D46"/>
    <mergeCell ref="B47:B49"/>
    <mergeCell ref="C49:D49"/>
    <mergeCell ref="B53:B55"/>
    <mergeCell ref="C55:D55"/>
    <mergeCell ref="B56:B58"/>
    <mergeCell ref="C58:D58"/>
    <mergeCell ref="B59:B61"/>
    <mergeCell ref="C61:D61"/>
    <mergeCell ref="B62:B64"/>
    <mergeCell ref="C64:D64"/>
    <mergeCell ref="B65:B67"/>
    <mergeCell ref="C67:D67"/>
    <mergeCell ref="B68:B70"/>
    <mergeCell ref="C70:D70"/>
    <mergeCell ref="C80:D80"/>
    <mergeCell ref="C85:D85"/>
    <mergeCell ref="B86:B89"/>
    <mergeCell ref="C86:D86"/>
    <mergeCell ref="C87:C88"/>
    <mergeCell ref="C89:D89"/>
    <mergeCell ref="B80:B85"/>
    <mergeCell ref="B90:B96"/>
    <mergeCell ref="C90:D90"/>
    <mergeCell ref="C91:C95"/>
    <mergeCell ref="C96:D96"/>
    <mergeCell ref="A98:B98"/>
    <mergeCell ref="C98:D98"/>
    <mergeCell ref="A72:A96"/>
    <mergeCell ref="B72:B75"/>
    <mergeCell ref="C72:D72"/>
    <mergeCell ref="C73:C74"/>
    <mergeCell ref="C75:D75"/>
    <mergeCell ref="B76:B79"/>
    <mergeCell ref="C76:D76"/>
    <mergeCell ref="C77:C78"/>
    <mergeCell ref="C79:D79"/>
    <mergeCell ref="C81:C84"/>
    <mergeCell ref="E142:F142"/>
    <mergeCell ref="A100:B102"/>
    <mergeCell ref="A104:B106"/>
    <mergeCell ref="A108:A131"/>
    <mergeCell ref="B108:B110"/>
    <mergeCell ref="B111:B113"/>
    <mergeCell ref="B114:B116"/>
    <mergeCell ref="B117:B119"/>
    <mergeCell ref="B120:B122"/>
    <mergeCell ref="B123:B125"/>
    <mergeCell ref="B126:B128"/>
    <mergeCell ref="B129:B131"/>
    <mergeCell ref="E133:E134"/>
    <mergeCell ref="E135:E137"/>
    <mergeCell ref="E138:E140"/>
    <mergeCell ref="E141:F141"/>
  </mergeCells>
  <phoneticPr fontId="18" type="noConversion"/>
  <pageMargins left="0.19685039370078741" right="0.19685039370078741" top="0.19685039370078741" bottom="0.19685039370078741" header="0.31496062992125984" footer="0.31496062992125984"/>
  <pageSetup paperSize="8" scale="57" fitToWidth="3" orientation="portrait" r:id="rId1"/>
  <colBreaks count="1" manualBreakCount="1">
    <brk id="45" max="124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  <pageSetUpPr fitToPage="1"/>
  </sheetPr>
  <dimension ref="A1:BN28"/>
  <sheetViews>
    <sheetView showZeros="0" view="pageBreakPreview" zoomScale="55" zoomScaleNormal="55" zoomScaleSheetLayoutView="55" workbookViewId="0">
      <pane xSplit="3" ySplit="4" topLeftCell="N5" activePane="bottomRight" state="frozen"/>
      <selection activeCell="T21" sqref="T21"/>
      <selection pane="topRight" activeCell="T21" sqref="T21"/>
      <selection pane="bottomLeft" activeCell="T21" sqref="T21"/>
      <selection pane="bottomRight" activeCell="T21" sqref="T21"/>
    </sheetView>
  </sheetViews>
  <sheetFormatPr defaultColWidth="9" defaultRowHeight="17.25" outlineLevelCol="1"/>
  <cols>
    <col min="1" max="2" width="9" style="1"/>
    <col min="3" max="3" width="25.625" style="1" customWidth="1"/>
    <col min="4" max="4" width="20.625" style="1" hidden="1" customWidth="1" outlineLevel="1"/>
    <col min="5" max="7" width="20.625" style="1" hidden="1" customWidth="1" outlineLevel="1" collapsed="1"/>
    <col min="8" max="8" width="20.625" style="1" customWidth="1" collapsed="1"/>
    <col min="9" max="34" width="20.625" style="1" customWidth="1"/>
    <col min="35" max="42" width="20.625" style="1" customWidth="1" outlineLevel="1"/>
    <col min="43" max="58" width="20.625" style="1" customWidth="1"/>
    <col min="59" max="66" width="20.625" style="1" customWidth="1" outlineLevel="1"/>
    <col min="67" max="16384" width="9" style="1"/>
  </cols>
  <sheetData>
    <row r="1" spans="1:66" ht="30" customHeight="1">
      <c r="A1" s="11" t="s">
        <v>24</v>
      </c>
      <c r="B1" s="12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13"/>
      <c r="AP1" s="13"/>
      <c r="AQ1" s="4"/>
      <c r="AR1" s="4"/>
      <c r="AS1" s="4"/>
      <c r="AT1" s="4"/>
      <c r="AU1" s="4"/>
      <c r="AV1" s="4"/>
      <c r="AW1" s="4"/>
      <c r="AX1" s="4"/>
      <c r="AY1" s="4"/>
      <c r="AZ1" s="4"/>
      <c r="BA1" s="13"/>
      <c r="BB1" s="13"/>
      <c r="BC1" s="4"/>
      <c r="BD1" s="4"/>
      <c r="BE1" s="4"/>
      <c r="BF1" s="4"/>
      <c r="BG1" s="4"/>
      <c r="BH1" s="4"/>
      <c r="BI1" s="4"/>
      <c r="BJ1" s="4"/>
      <c r="BK1" s="4"/>
      <c r="BL1" s="4"/>
      <c r="BM1" s="13"/>
      <c r="BN1" s="13"/>
    </row>
    <row r="2" spans="1:66" s="14" customFormat="1" ht="24.95" customHeight="1">
      <c r="A2" s="15" t="s">
        <v>23</v>
      </c>
      <c r="B2" s="20"/>
      <c r="C2" s="20"/>
      <c r="D2" s="22" t="s">
        <v>25</v>
      </c>
      <c r="E2" s="23"/>
      <c r="F2" s="24"/>
      <c r="G2" s="39" t="s">
        <v>26</v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4"/>
      <c r="S2" s="22" t="s">
        <v>27</v>
      </c>
      <c r="T2" s="23"/>
      <c r="U2" s="23"/>
      <c r="V2" s="23"/>
      <c r="W2" s="23"/>
      <c r="X2" s="23"/>
      <c r="Y2" s="23"/>
      <c r="Z2" s="23"/>
      <c r="AA2" s="23"/>
      <c r="AB2" s="23"/>
      <c r="AC2" s="23"/>
      <c r="AD2" s="24"/>
      <c r="AE2" s="22" t="s">
        <v>28</v>
      </c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4"/>
      <c r="AQ2" s="22" t="s">
        <v>39</v>
      </c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4"/>
      <c r="BC2" s="22" t="s">
        <v>45</v>
      </c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4"/>
    </row>
    <row r="3" spans="1:66" s="14" customFormat="1" ht="24.95" customHeight="1">
      <c r="A3" s="272"/>
      <c r="B3" s="21"/>
      <c r="C3" s="21" t="s">
        <v>37</v>
      </c>
      <c r="D3" s="17">
        <v>10</v>
      </c>
      <c r="E3" s="16">
        <v>11</v>
      </c>
      <c r="F3" s="25">
        <v>12</v>
      </c>
      <c r="G3" s="40">
        <v>1</v>
      </c>
      <c r="H3" s="16">
        <v>2</v>
      </c>
      <c r="I3" s="16">
        <v>3</v>
      </c>
      <c r="J3" s="16">
        <v>4</v>
      </c>
      <c r="K3" s="16">
        <v>5</v>
      </c>
      <c r="L3" s="16">
        <v>6</v>
      </c>
      <c r="M3" s="16">
        <v>7</v>
      </c>
      <c r="N3" s="16">
        <v>8</v>
      </c>
      <c r="O3" s="16">
        <v>9</v>
      </c>
      <c r="P3" s="16">
        <v>10</v>
      </c>
      <c r="Q3" s="16">
        <v>11</v>
      </c>
      <c r="R3" s="25">
        <v>12</v>
      </c>
      <c r="S3" s="17">
        <v>1</v>
      </c>
      <c r="T3" s="16">
        <v>2</v>
      </c>
      <c r="U3" s="16">
        <v>3</v>
      </c>
      <c r="V3" s="16">
        <v>4</v>
      </c>
      <c r="W3" s="16">
        <v>5</v>
      </c>
      <c r="X3" s="16">
        <v>6</v>
      </c>
      <c r="Y3" s="16">
        <v>7</v>
      </c>
      <c r="Z3" s="16">
        <v>8</v>
      </c>
      <c r="AA3" s="16">
        <v>9</v>
      </c>
      <c r="AB3" s="16">
        <v>10</v>
      </c>
      <c r="AC3" s="16">
        <v>11</v>
      </c>
      <c r="AD3" s="25">
        <v>12</v>
      </c>
      <c r="AE3" s="17">
        <v>1</v>
      </c>
      <c r="AF3" s="16">
        <v>2</v>
      </c>
      <c r="AG3" s="16">
        <v>3</v>
      </c>
      <c r="AH3" s="16">
        <v>4</v>
      </c>
      <c r="AI3" s="16">
        <v>5</v>
      </c>
      <c r="AJ3" s="16">
        <v>6</v>
      </c>
      <c r="AK3" s="16">
        <v>7</v>
      </c>
      <c r="AL3" s="16">
        <v>8</v>
      </c>
      <c r="AM3" s="16">
        <v>9</v>
      </c>
      <c r="AN3" s="16">
        <v>10</v>
      </c>
      <c r="AO3" s="16">
        <v>11</v>
      </c>
      <c r="AP3" s="25">
        <v>12</v>
      </c>
      <c r="AQ3" s="17">
        <v>1</v>
      </c>
      <c r="AR3" s="16">
        <v>2</v>
      </c>
      <c r="AS3" s="16">
        <v>3</v>
      </c>
      <c r="AT3" s="16">
        <v>4</v>
      </c>
      <c r="AU3" s="16">
        <v>5</v>
      </c>
      <c r="AV3" s="16">
        <v>6</v>
      </c>
      <c r="AW3" s="16">
        <v>7</v>
      </c>
      <c r="AX3" s="16">
        <v>8</v>
      </c>
      <c r="AY3" s="16">
        <v>9</v>
      </c>
      <c r="AZ3" s="16">
        <v>10</v>
      </c>
      <c r="BA3" s="16">
        <v>11</v>
      </c>
      <c r="BB3" s="25">
        <v>12</v>
      </c>
      <c r="BC3" s="17">
        <v>1</v>
      </c>
      <c r="BD3" s="16">
        <v>2</v>
      </c>
      <c r="BE3" s="16">
        <v>3</v>
      </c>
      <c r="BF3" s="16">
        <v>4</v>
      </c>
      <c r="BG3" s="16">
        <v>5</v>
      </c>
      <c r="BH3" s="16">
        <v>6</v>
      </c>
      <c r="BI3" s="16">
        <v>7</v>
      </c>
      <c r="BJ3" s="16">
        <v>8</v>
      </c>
      <c r="BK3" s="16">
        <v>9</v>
      </c>
      <c r="BL3" s="16">
        <v>10</v>
      </c>
      <c r="BM3" s="16">
        <v>11</v>
      </c>
      <c r="BN3" s="25">
        <v>12</v>
      </c>
    </row>
    <row r="4" spans="1:66" s="14" customFormat="1" ht="24.95" customHeight="1">
      <c r="A4" s="272"/>
      <c r="B4" s="21"/>
      <c r="C4" s="21" t="s">
        <v>128</v>
      </c>
      <c r="D4" s="17"/>
      <c r="E4" s="36">
        <f>[1]DECV법인_취합!N8</f>
        <v>44887</v>
      </c>
      <c r="F4" s="37">
        <f>[1]DECV법인_취합!O8</f>
        <v>44917</v>
      </c>
      <c r="G4" s="41">
        <f>[1]DECV법인_취합!P8</f>
        <v>44948</v>
      </c>
      <c r="H4" s="36">
        <f>[1]DECV법인_취합!Q8</f>
        <v>44979</v>
      </c>
      <c r="I4" s="36">
        <f>[1]DECV법인_취합!R8</f>
        <v>45007</v>
      </c>
      <c r="J4" s="36">
        <f>[1]DECV법인_취합!S8</f>
        <v>45038</v>
      </c>
      <c r="K4" s="36">
        <f>[1]DECV법인_취합!T8</f>
        <v>45068</v>
      </c>
      <c r="L4" s="36">
        <f>[1]DECV법인_취합!U8</f>
        <v>45099</v>
      </c>
      <c r="M4" s="36">
        <f>[1]DECV법인_취합!V8</f>
        <v>45129</v>
      </c>
      <c r="N4" s="36">
        <f>[1]DECV법인_취합!W8</f>
        <v>45160</v>
      </c>
      <c r="O4" s="36">
        <f>[1]DECV법인_취합!X8</f>
        <v>45191</v>
      </c>
      <c r="P4" s="36">
        <f>[1]DECV법인_취합!Y8</f>
        <v>45221</v>
      </c>
      <c r="Q4" s="36">
        <f>[1]DECV법인_취합!Z8</f>
        <v>45252</v>
      </c>
      <c r="R4" s="37">
        <f>[1]DECV법인_취합!AA8</f>
        <v>45282</v>
      </c>
      <c r="S4" s="38">
        <f>[1]DECV법인_취합!AB8</f>
        <v>45313</v>
      </c>
      <c r="T4" s="36">
        <f>[1]DECV법인_취합!AC8</f>
        <v>45344</v>
      </c>
      <c r="U4" s="36">
        <f>[1]DECV법인_취합!AD8</f>
        <v>45373</v>
      </c>
      <c r="V4" s="36">
        <f>[1]DECV법인_취합!AE8</f>
        <v>45404</v>
      </c>
      <c r="W4" s="36">
        <f>[1]DECV법인_취합!AF8</f>
        <v>45434</v>
      </c>
      <c r="X4" s="36">
        <f>[1]DECV법인_취합!AG8</f>
        <v>45465</v>
      </c>
      <c r="Y4" s="36">
        <f>[1]DECV법인_취합!AH8</f>
        <v>45495</v>
      </c>
      <c r="Z4" s="36">
        <f>[1]DECV법인_취합!AI8</f>
        <v>45526</v>
      </c>
      <c r="AA4" s="36">
        <f>[1]DECV법인_취합!AJ8</f>
        <v>45557</v>
      </c>
      <c r="AB4" s="36">
        <f>[1]DECV법인_취합!AK8</f>
        <v>45587</v>
      </c>
      <c r="AC4" s="36">
        <f>[1]DECV법인_취합!AL8</f>
        <v>45618</v>
      </c>
      <c r="AD4" s="37">
        <f>[1]DECV법인_취합!AM8</f>
        <v>45648</v>
      </c>
      <c r="AE4" s="38">
        <f>[1]DECV법인_취합!AN8</f>
        <v>45682</v>
      </c>
      <c r="AF4" s="36">
        <f>[1]DECV법인_취합!AO8</f>
        <v>45713</v>
      </c>
      <c r="AG4" s="36">
        <f>[1]DECV법인_취합!AP8</f>
        <v>45741</v>
      </c>
      <c r="AH4" s="36">
        <f>[1]DECV법인_취합!AQ8</f>
        <v>45772</v>
      </c>
      <c r="AI4" s="36">
        <f>[1]DECV법인_취합!AR8</f>
        <v>45802</v>
      </c>
      <c r="AJ4" s="36">
        <f>[1]DECV법인_취합!AS8</f>
        <v>45833</v>
      </c>
      <c r="AK4" s="36">
        <f>[1]DECV법인_취합!AT8</f>
        <v>45863</v>
      </c>
      <c r="AL4" s="36">
        <f>[1]DECV법인_취합!AU8</f>
        <v>45894</v>
      </c>
      <c r="AM4" s="36">
        <f>[1]DECV법인_취합!AV8</f>
        <v>45925</v>
      </c>
      <c r="AN4" s="36">
        <f>[1]DECV법인_취합!AW8</f>
        <v>45955</v>
      </c>
      <c r="AO4" s="36">
        <f>[1]DECV법인_취합!AX8</f>
        <v>45986</v>
      </c>
      <c r="AP4" s="37">
        <f>[1]DECV법인_취합!AY8</f>
        <v>46016</v>
      </c>
      <c r="AQ4" s="38">
        <f>[1]DECV법인_취합!AZ8</f>
        <v>46047</v>
      </c>
      <c r="AR4" s="36">
        <f>[1]DECV법인_취합!BA8</f>
        <v>46078</v>
      </c>
      <c r="AS4" s="36">
        <f>[1]DECV법인_취합!BB8</f>
        <v>46106</v>
      </c>
      <c r="AT4" s="36">
        <f>[1]DECV법인_취합!BC8</f>
        <v>46137</v>
      </c>
      <c r="AU4" s="36">
        <f>[1]DECV법인_취합!BD8</f>
        <v>46167</v>
      </c>
      <c r="AV4" s="36">
        <f>[1]DECV법인_취합!BE8</f>
        <v>46198</v>
      </c>
      <c r="AW4" s="36">
        <f>[1]DECV법인_취합!BF8</f>
        <v>46228</v>
      </c>
      <c r="AX4" s="36">
        <f>[1]DECV법인_취합!BG8</f>
        <v>46259</v>
      </c>
      <c r="AY4" s="36">
        <f>[1]DECV법인_취합!BH8</f>
        <v>46290</v>
      </c>
      <c r="AZ4" s="36">
        <f>[1]DECV법인_취합!BI8</f>
        <v>46320</v>
      </c>
      <c r="BA4" s="36">
        <f>[1]DECV법인_취합!BJ8</f>
        <v>46351</v>
      </c>
      <c r="BB4" s="37">
        <f>[1]DECV법인_취합!BK8</f>
        <v>46381</v>
      </c>
      <c r="BC4" s="38">
        <f>[1]DECV법인_취합!BL8</f>
        <v>46412</v>
      </c>
      <c r="BD4" s="36">
        <f>[1]DECV법인_취합!BM8</f>
        <v>46443</v>
      </c>
      <c r="BE4" s="36">
        <f>[1]DECV법인_취합!BN8</f>
        <v>46471</v>
      </c>
      <c r="BF4" s="36">
        <f>[1]DECV법인_취합!BO8</f>
        <v>46502</v>
      </c>
      <c r="BG4" s="36">
        <f>[1]DECV법인_취합!BP8</f>
        <v>46532</v>
      </c>
      <c r="BH4" s="36">
        <f>[1]DECV법인_취합!BQ8</f>
        <v>46563</v>
      </c>
      <c r="BI4" s="36">
        <f>[1]DECV법인_취합!BR8</f>
        <v>46593</v>
      </c>
      <c r="BJ4" s="36">
        <f>[1]DECV법인_취합!BS8</f>
        <v>46624</v>
      </c>
      <c r="BK4" s="36">
        <f>[1]DECV법인_취합!BT8</f>
        <v>46655</v>
      </c>
      <c r="BL4" s="36">
        <f>[1]DECV법인_취합!BU8</f>
        <v>46685</v>
      </c>
      <c r="BM4" s="36">
        <f>[1]DECV법인_취합!BV8</f>
        <v>46716</v>
      </c>
      <c r="BN4" s="37">
        <f>[1]DECV법인_취합!BW8</f>
        <v>46746</v>
      </c>
    </row>
    <row r="5" spans="1:66" s="33" customFormat="1" ht="50.1" customHeight="1">
      <c r="A5" s="654" t="s">
        <v>29</v>
      </c>
      <c r="B5" s="288" t="s">
        <v>62</v>
      </c>
      <c r="C5" s="28" t="s">
        <v>129</v>
      </c>
      <c r="D5" s="30"/>
      <c r="E5" s="34"/>
      <c r="F5" s="32"/>
      <c r="G5" s="43" t="s">
        <v>19</v>
      </c>
      <c r="H5" s="31"/>
      <c r="I5" s="34"/>
      <c r="J5" s="31"/>
      <c r="K5" s="31"/>
      <c r="L5" s="31"/>
      <c r="M5" s="31"/>
      <c r="N5" s="31"/>
      <c r="O5" s="31"/>
      <c r="P5" s="31"/>
      <c r="Q5" s="31"/>
      <c r="R5" s="32"/>
      <c r="S5" s="46"/>
      <c r="T5" s="31"/>
      <c r="U5" s="31"/>
      <c r="V5" s="34"/>
      <c r="W5" s="34"/>
      <c r="X5" s="31"/>
      <c r="Y5" s="31"/>
      <c r="Z5" s="31"/>
      <c r="AA5" s="34"/>
      <c r="AB5" s="31"/>
      <c r="AC5" s="31"/>
      <c r="AD5" s="32"/>
      <c r="AE5" s="30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2"/>
      <c r="AQ5" s="30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2"/>
      <c r="BC5" s="30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2"/>
    </row>
    <row r="6" spans="1:66" s="33" customFormat="1" ht="20.100000000000001" customHeight="1">
      <c r="A6" s="655"/>
      <c r="B6" s="288"/>
      <c r="C6" s="289">
        <f>C8</f>
        <v>120070</v>
      </c>
      <c r="D6" s="290"/>
      <c r="E6" s="291"/>
      <c r="F6" s="292"/>
      <c r="G6" s="293"/>
      <c r="H6" s="294">
        <f>IFERROR([1]DECV법인_취합!Q45,)</f>
        <v>0</v>
      </c>
      <c r="I6" s="291">
        <f>IFERROR([1]DECV법인_취합!R45,)</f>
        <v>0</v>
      </c>
      <c r="J6" s="294">
        <f>IFERROR([1]DECV법인_취합!S45,)</f>
        <v>0</v>
      </c>
      <c r="K6" s="294">
        <f>IFERROR([1]DECV법인_취합!T45,)</f>
        <v>0</v>
      </c>
      <c r="L6" s="294">
        <f>IFERROR([1]DECV법인_취합!U45,)</f>
        <v>0</v>
      </c>
      <c r="M6" s="294">
        <f>IFERROR([1]DECV법인_취합!V45,)</f>
        <v>0</v>
      </c>
      <c r="N6" s="294">
        <f>IFERROR([1]DECV법인_취합!W45,)</f>
        <v>0</v>
      </c>
      <c r="O6" s="294">
        <f>IFERROR([1]DECV법인_취합!X45,)</f>
        <v>0</v>
      </c>
      <c r="P6" s="294">
        <f>IFERROR([1]DECV법인_취합!Y45,)</f>
        <v>0</v>
      </c>
      <c r="Q6" s="294">
        <f>IFERROR([1]DECV법인_취합!Z45,)</f>
        <v>0</v>
      </c>
      <c r="R6" s="292">
        <f>IFERROR([1]DECV법인_취합!AA45,)</f>
        <v>0</v>
      </c>
      <c r="S6" s="295">
        <f>IFERROR([1]DECV법인_취합!AB45,)</f>
        <v>0</v>
      </c>
      <c r="T6" s="294">
        <f>IFERROR([1]DECV법인_취합!AC45,)</f>
        <v>0</v>
      </c>
      <c r="U6" s="294">
        <f>IFERROR([1]DECV법인_취합!AD45,)</f>
        <v>0</v>
      </c>
      <c r="V6" s="291">
        <f>IFERROR([1]DECV법인_취합!AE45,)</f>
        <v>0</v>
      </c>
      <c r="W6" s="291">
        <f>IFERROR([1]DECV법인_취합!AF45,)</f>
        <v>0</v>
      </c>
      <c r="X6" s="294">
        <f>IFERROR([1]DECV법인_취합!AG45,)</f>
        <v>0</v>
      </c>
      <c r="Y6" s="294">
        <f>IFERROR([1]DECV법인_취합!AH45,)</f>
        <v>0</v>
      </c>
      <c r="Z6" s="294">
        <f>IFERROR([1]DECV법인_취합!AI45,)</f>
        <v>0</v>
      </c>
      <c r="AA6" s="291">
        <f>IFERROR([1]DECV법인_취합!AJ45,)</f>
        <v>0</v>
      </c>
      <c r="AB6" s="294">
        <f>IFERROR([1]DECV법인_취합!AK45,)</f>
        <v>0</v>
      </c>
      <c r="AC6" s="294">
        <f>IFERROR([1]DECV법인_취합!AL45,)</f>
        <v>0</v>
      </c>
      <c r="AD6" s="292">
        <f>IFERROR([1]DECV법인_취합!AM45,)</f>
        <v>0</v>
      </c>
      <c r="AE6" s="290">
        <f>IFERROR([1]DECV법인_취합!AN45,)</f>
        <v>0</v>
      </c>
      <c r="AF6" s="294">
        <f>IFERROR([1]DECV법인_취합!AO45,)</f>
        <v>0</v>
      </c>
      <c r="AG6" s="294">
        <f>IFERROR([1]DECV법인_취합!AP45,)</f>
        <v>0</v>
      </c>
      <c r="AH6" s="294">
        <f>IFERROR([1]DECV법인_취합!AQ45,)</f>
        <v>0</v>
      </c>
      <c r="AI6" s="294">
        <f>IFERROR([1]DECV법인_취합!AR45,)</f>
        <v>0</v>
      </c>
      <c r="AJ6" s="294">
        <f>IFERROR([1]DECV법인_취합!AS45,)</f>
        <v>0</v>
      </c>
      <c r="AK6" s="294">
        <f>IFERROR([1]DECV법인_취합!AT45,)</f>
        <v>0</v>
      </c>
      <c r="AL6" s="294">
        <f>IFERROR([1]DECV법인_취합!AU45,)</f>
        <v>0</v>
      </c>
      <c r="AM6" s="294">
        <f>IFERROR([1]DECV법인_취합!AV45,)</f>
        <v>0</v>
      </c>
      <c r="AN6" s="294">
        <f>IFERROR([1]DECV법인_취합!AW45,)</f>
        <v>0</v>
      </c>
      <c r="AO6" s="294">
        <f>IFERROR([1]DECV법인_취합!AX45,)</f>
        <v>0</v>
      </c>
      <c r="AP6" s="292">
        <f>IFERROR([1]DECV법인_취합!AY45,)</f>
        <v>0</v>
      </c>
      <c r="AQ6" s="290">
        <f>IFERROR([1]DECV법인_취합!AZ45,)</f>
        <v>0</v>
      </c>
      <c r="AR6" s="294">
        <f>IFERROR([1]DECV법인_취합!BA45,)</f>
        <v>0</v>
      </c>
      <c r="AS6" s="294">
        <f>IFERROR([1]DECV법인_취합!BB45,)</f>
        <v>0</v>
      </c>
      <c r="AT6" s="294">
        <f>IFERROR([1]DECV법인_취합!BC45,)</f>
        <v>0</v>
      </c>
      <c r="AU6" s="294">
        <f>IFERROR([1]DECV법인_취합!BD45,)</f>
        <v>0</v>
      </c>
      <c r="AV6" s="294">
        <f>IFERROR([1]DECV법인_취합!BE45,)</f>
        <v>0</v>
      </c>
      <c r="AW6" s="294">
        <f>IFERROR([1]DECV법인_취합!BF45,)</f>
        <v>0</v>
      </c>
      <c r="AX6" s="294">
        <f>IFERROR([1]DECV법인_취합!BG45,)</f>
        <v>0</v>
      </c>
      <c r="AY6" s="294">
        <f>IFERROR([1]DECV법인_취합!BH45,)</f>
        <v>0</v>
      </c>
      <c r="AZ6" s="294">
        <f>IFERROR([1]DECV법인_취합!BI45,)</f>
        <v>0</v>
      </c>
      <c r="BA6" s="294">
        <f>IFERROR([1]DECV법인_취합!BJ45,)</f>
        <v>0</v>
      </c>
      <c r="BB6" s="292">
        <f>IFERROR([1]DECV법인_취합!BK45,)</f>
        <v>0</v>
      </c>
      <c r="BC6" s="290">
        <f>IFERROR([1]DECV법인_취합!BL45,)</f>
        <v>0</v>
      </c>
      <c r="BD6" s="294">
        <f>IFERROR([1]DECV법인_취합!BM45,)</f>
        <v>0</v>
      </c>
      <c r="BE6" s="294">
        <f>IFERROR([1]DECV법인_취합!BN45,)</f>
        <v>0</v>
      </c>
      <c r="BF6" s="294">
        <f>IFERROR([1]DECV법인_취합!BO45,)</f>
        <v>0</v>
      </c>
      <c r="BG6" s="294">
        <f>IFERROR([1]DECV법인_취합!BP45,)</f>
        <v>0</v>
      </c>
      <c r="BH6" s="294">
        <f>IFERROR([1]DECV법인_취합!BQ45,)</f>
        <v>0</v>
      </c>
      <c r="BI6" s="294">
        <f>IFERROR([1]DECV법인_취합!BR45,)</f>
        <v>0</v>
      </c>
      <c r="BJ6" s="294">
        <f>IFERROR([1]DECV법인_취합!BS45,)</f>
        <v>0</v>
      </c>
      <c r="BK6" s="294">
        <f>IFERROR([1]DECV법인_취합!BT45,)</f>
        <v>0</v>
      </c>
      <c r="BL6" s="294">
        <f>IFERROR([1]DECV법인_취합!BU45,)</f>
        <v>0</v>
      </c>
      <c r="BM6" s="294">
        <f>IFERROR([1]DECV법인_취합!BV45,)</f>
        <v>0</v>
      </c>
      <c r="BN6" s="292">
        <f>IFERROR([1]DECV법인_취합!BW45,)</f>
        <v>0</v>
      </c>
    </row>
    <row r="7" spans="1:66" ht="50.1" customHeight="1">
      <c r="A7" s="655"/>
      <c r="B7" s="296" t="s">
        <v>63</v>
      </c>
      <c r="C7" s="29" t="s">
        <v>130</v>
      </c>
      <c r="D7" s="18"/>
      <c r="E7" s="3"/>
      <c r="F7" s="26"/>
      <c r="G7" s="44" t="s">
        <v>19</v>
      </c>
      <c r="H7" s="2"/>
      <c r="I7" s="3"/>
      <c r="J7" s="2"/>
      <c r="K7" s="2"/>
      <c r="L7" s="2"/>
      <c r="M7" s="2"/>
      <c r="N7" s="2"/>
      <c r="O7" s="297" t="s">
        <v>131</v>
      </c>
      <c r="P7" s="2"/>
      <c r="Q7" s="2"/>
      <c r="R7" s="26"/>
      <c r="S7" s="19"/>
      <c r="T7" s="2"/>
      <c r="U7" s="2"/>
      <c r="V7" s="3"/>
      <c r="W7" s="3"/>
      <c r="X7" s="2"/>
      <c r="Y7" s="2"/>
      <c r="Z7" s="2"/>
      <c r="AA7" s="3" t="s">
        <v>34</v>
      </c>
      <c r="AB7" s="2"/>
      <c r="AC7" s="2"/>
      <c r="AD7" s="26"/>
      <c r="AE7" s="18"/>
      <c r="AF7" s="2"/>
      <c r="AG7" s="2"/>
      <c r="AH7" s="2"/>
      <c r="AI7" s="2"/>
      <c r="AJ7" s="2"/>
      <c r="AK7" s="2"/>
      <c r="AL7" s="2"/>
      <c r="AM7" s="2"/>
      <c r="AN7" s="2"/>
      <c r="AO7" s="2"/>
      <c r="AP7" s="26"/>
      <c r="AQ7" s="18"/>
      <c r="AR7" s="2"/>
      <c r="AS7" s="2"/>
      <c r="AT7" s="2"/>
      <c r="AU7" s="2"/>
      <c r="AV7" s="3" t="s">
        <v>132</v>
      </c>
      <c r="AW7" s="2"/>
      <c r="AX7" s="2"/>
      <c r="AY7" s="2"/>
      <c r="AZ7" s="2"/>
      <c r="BA7" s="2"/>
      <c r="BB7" s="26"/>
      <c r="BC7" s="18"/>
      <c r="BD7" s="2"/>
      <c r="BE7" s="2"/>
      <c r="BF7" s="2"/>
      <c r="BG7" s="2"/>
      <c r="BH7" s="2"/>
      <c r="BI7" s="2"/>
      <c r="BJ7" s="2"/>
      <c r="BK7" s="2"/>
      <c r="BL7" s="2"/>
      <c r="BM7" s="2"/>
      <c r="BN7" s="26"/>
    </row>
    <row r="8" spans="1:66" ht="20.100000000000001" customHeight="1">
      <c r="A8" s="655"/>
      <c r="B8" s="296"/>
      <c r="C8" s="298">
        <f>SUM(D8:BN8)</f>
        <v>120070</v>
      </c>
      <c r="D8" s="299">
        <f>IFERROR([1]DECV법인_취합!#REF!/10^3,)</f>
        <v>0</v>
      </c>
      <c r="E8" s="300">
        <f>IFERROR([1]DECV법인_취합!#REF!/10^3,)</f>
        <v>0</v>
      </c>
      <c r="F8" s="301">
        <f>IFERROR([1]DECV법인_취합!#REF!/10^3,)</f>
        <v>0</v>
      </c>
      <c r="G8" s="302">
        <f>IFERROR([1]DECV법인_취합!P85/10^3,)</f>
        <v>0</v>
      </c>
      <c r="H8" s="303">
        <f>IFERROR([1]DECV법인_취합!Q85,)</f>
        <v>0</v>
      </c>
      <c r="I8" s="300">
        <f>IFERROR([1]DECV법인_취합!R85,)</f>
        <v>0</v>
      </c>
      <c r="J8" s="303">
        <f>IFERROR([1]DECV법인_취합!S85,)</f>
        <v>0</v>
      </c>
      <c r="K8" s="303">
        <f>IFERROR([1]DECV법인_취합!T85,)</f>
        <v>0</v>
      </c>
      <c r="L8" s="303">
        <f>IFERROR([1]DECV법인_취합!U85,)</f>
        <v>0</v>
      </c>
      <c r="M8" s="303">
        <f>IFERROR([1]DECV법인_취합!V85,)</f>
        <v>0</v>
      </c>
      <c r="N8" s="303">
        <f>IFERROR([1]DECV법인_취합!W85,)</f>
        <v>0</v>
      </c>
      <c r="O8" s="303">
        <f>IFERROR([1]DECV법인_취합!X85,)</f>
        <v>70</v>
      </c>
      <c r="P8" s="303">
        <f>IFERROR([1]DECV법인_취합!Y85,)</f>
        <v>0</v>
      </c>
      <c r="Q8" s="303">
        <f>IFERROR([1]DECV법인_취합!Z85,)</f>
        <v>0</v>
      </c>
      <c r="R8" s="301">
        <f>IFERROR([1]DECV법인_취합!AA85,)</f>
        <v>0</v>
      </c>
      <c r="S8" s="304">
        <f>IFERROR([1]DECV법인_취합!AB85,)</f>
        <v>0</v>
      </c>
      <c r="T8" s="303">
        <f>IFERROR([1]DECV법인_취합!AC85,)</f>
        <v>0</v>
      </c>
      <c r="U8" s="303">
        <f>IFERROR([1]DECV법인_취합!AD85,)</f>
        <v>0</v>
      </c>
      <c r="V8" s="300">
        <f>IFERROR([1]DECV법인_취합!AE85,)</f>
        <v>0</v>
      </c>
      <c r="W8" s="300">
        <f>IFERROR([1]DECV법인_취합!AF85,)</f>
        <v>0</v>
      </c>
      <c r="X8" s="303">
        <f>IFERROR([1]DECV법인_취합!AG85,)</f>
        <v>0</v>
      </c>
      <c r="Y8" s="303">
        <f>IFERROR([1]DECV법인_취합!AH85,)</f>
        <v>0</v>
      </c>
      <c r="Z8" s="303">
        <f>IFERROR([1]DECV법인_취합!AI85,)</f>
        <v>0</v>
      </c>
      <c r="AA8" s="300">
        <f>IFERROR([1]DECV법인_취합!AJ85,)</f>
        <v>0</v>
      </c>
      <c r="AB8" s="303">
        <f>IFERROR([1]DECV법인_취합!AK85,)</f>
        <v>0</v>
      </c>
      <c r="AC8" s="303">
        <f>IFERROR([1]DECV법인_취합!AL85,)</f>
        <v>0</v>
      </c>
      <c r="AD8" s="301">
        <f>IFERROR([1]DECV법인_취합!AM85,)</f>
        <v>0</v>
      </c>
      <c r="AE8" s="299">
        <f>IFERROR([1]DECV법인_취합!AN85,)</f>
        <v>0</v>
      </c>
      <c r="AF8" s="303">
        <f>IFERROR([1]DECV법인_취합!AO85,)</f>
        <v>0</v>
      </c>
      <c r="AG8" s="303">
        <f>IFERROR([1]DECV법인_취합!AP85,)</f>
        <v>0</v>
      </c>
      <c r="AH8" s="303">
        <f>IFERROR([1]DECV법인_취합!AQ85,)</f>
        <v>0</v>
      </c>
      <c r="AI8" s="303">
        <f>IFERROR([1]DECV법인_취합!AR85,)</f>
        <v>0</v>
      </c>
      <c r="AJ8" s="303">
        <f>IFERROR([1]DECV법인_취합!AS85,)</f>
        <v>0</v>
      </c>
      <c r="AK8" s="303">
        <f>IFERROR([1]DECV법인_취합!AT85,)</f>
        <v>0</v>
      </c>
      <c r="AL8" s="303">
        <f>IFERROR([1]DECV법인_취합!AU85,)</f>
        <v>0</v>
      </c>
      <c r="AM8" s="303">
        <f>IFERROR([1]DECV법인_취합!AV85,)</f>
        <v>0</v>
      </c>
      <c r="AN8" s="303">
        <f>IFERROR([1]DECV법인_취합!AW85,)</f>
        <v>0</v>
      </c>
      <c r="AO8" s="303">
        <f>IFERROR([1]DECV법인_취합!AX85,)</f>
        <v>0</v>
      </c>
      <c r="AP8" s="301">
        <f>IFERROR([1]DECV법인_취합!AY85,)</f>
        <v>0</v>
      </c>
      <c r="AQ8" s="299">
        <f>IFERROR([1]DECV법인_취합!AZ85,)</f>
        <v>0</v>
      </c>
      <c r="AR8" s="303">
        <f>IFERROR([1]DECV법인_취합!BA85,)</f>
        <v>0</v>
      </c>
      <c r="AS8" s="303">
        <f>IFERROR([1]DECV법인_취합!BB85,)</f>
        <v>0</v>
      </c>
      <c r="AT8" s="303">
        <f>IFERROR([1]DECV법인_취합!BC85,)</f>
        <v>0</v>
      </c>
      <c r="AU8" s="303">
        <f>IFERROR([1]DECV법인_취합!BD85,)</f>
        <v>0</v>
      </c>
      <c r="AV8" s="303">
        <f>IFERROR([1]DECV법인_취합!BE85,)</f>
        <v>120000</v>
      </c>
      <c r="AW8" s="303">
        <f>IFERROR([1]DECV법인_취합!BF85,)</f>
        <v>0</v>
      </c>
      <c r="AX8" s="303">
        <f>IFERROR([1]DECV법인_취합!BG85,)</f>
        <v>0</v>
      </c>
      <c r="AY8" s="303">
        <f>IFERROR([1]DECV법인_취합!BH85,)</f>
        <v>0</v>
      </c>
      <c r="AZ8" s="303">
        <f>IFERROR([1]DECV법인_취합!BI85,)</f>
        <v>0</v>
      </c>
      <c r="BA8" s="303">
        <f>IFERROR([1]DECV법인_취합!BJ85,)</f>
        <v>0</v>
      </c>
      <c r="BB8" s="301">
        <f>IFERROR([1]DECV법인_취합!BK85,)</f>
        <v>0</v>
      </c>
      <c r="BC8" s="299">
        <f>IFERROR([1]DECV법인_취합!BL85,)</f>
        <v>0</v>
      </c>
      <c r="BD8" s="303">
        <f>IFERROR([1]DECV법인_취합!BM85,)</f>
        <v>0</v>
      </c>
      <c r="BE8" s="303">
        <f>IFERROR([1]DECV법인_취합!BN85,)</f>
        <v>0</v>
      </c>
      <c r="BF8" s="303">
        <f>IFERROR([1]DECV법인_취합!BO85,)</f>
        <v>0</v>
      </c>
      <c r="BG8" s="303">
        <f>IFERROR([1]DECV법인_취합!BP85,)</f>
        <v>0</v>
      </c>
      <c r="BH8" s="303">
        <f>IFERROR([1]DECV법인_취합!BQ85,)</f>
        <v>0</v>
      </c>
      <c r="BI8" s="303">
        <f>IFERROR([1]DECV법인_취합!BR85,)</f>
        <v>0</v>
      </c>
      <c r="BJ8" s="303">
        <f>IFERROR([1]DECV법인_취합!BS85,)</f>
        <v>0</v>
      </c>
      <c r="BK8" s="303">
        <f>IFERROR([1]DECV법인_취합!BT85,)</f>
        <v>0</v>
      </c>
      <c r="BL8" s="303">
        <f>IFERROR([1]DECV법인_취합!BU85,)</f>
        <v>0</v>
      </c>
      <c r="BM8" s="303">
        <f>IFERROR([1]DECV법인_취합!BV85,)</f>
        <v>0</v>
      </c>
      <c r="BN8" s="301">
        <f>IFERROR([1]DECV법인_취합!BW85,)</f>
        <v>0</v>
      </c>
    </row>
    <row r="9" spans="1:66" ht="50.1" customHeight="1">
      <c r="A9" s="655"/>
      <c r="B9" s="296" t="s">
        <v>63</v>
      </c>
      <c r="C9" s="29" t="s">
        <v>133</v>
      </c>
      <c r="D9" s="18"/>
      <c r="E9" s="3"/>
      <c r="F9" s="26"/>
      <c r="G9" s="3" t="s">
        <v>33</v>
      </c>
      <c r="H9" s="44"/>
      <c r="I9" s="3"/>
      <c r="J9" s="44"/>
      <c r="K9" s="2"/>
      <c r="L9" s="2"/>
      <c r="M9" s="2"/>
      <c r="N9" s="2"/>
      <c r="O9" s="2"/>
      <c r="P9" s="2"/>
      <c r="Q9" s="2"/>
      <c r="R9" s="26"/>
      <c r="S9" s="19"/>
      <c r="T9" s="3" t="s">
        <v>134</v>
      </c>
      <c r="U9" s="2"/>
      <c r="V9" s="3"/>
      <c r="W9" s="3" t="s">
        <v>135</v>
      </c>
      <c r="X9" s="2"/>
      <c r="Y9" s="2"/>
      <c r="Z9" s="2"/>
      <c r="AA9" s="2"/>
      <c r="AB9" s="2"/>
      <c r="AC9" s="2"/>
      <c r="AD9" s="27" t="s">
        <v>136</v>
      </c>
      <c r="AE9" s="18"/>
      <c r="AF9" s="3" t="s">
        <v>137</v>
      </c>
      <c r="AG9" s="3"/>
      <c r="AH9" s="3" t="s">
        <v>138</v>
      </c>
      <c r="AI9" s="3"/>
      <c r="AJ9" s="2"/>
      <c r="AK9" s="3" t="s">
        <v>139</v>
      </c>
      <c r="AL9" s="2"/>
      <c r="AM9" s="2"/>
      <c r="AN9" s="3" t="s">
        <v>140</v>
      </c>
      <c r="AO9" s="2"/>
      <c r="AP9" s="26"/>
      <c r="AQ9" s="18"/>
      <c r="AR9" s="2"/>
      <c r="AS9" s="2"/>
      <c r="AT9" s="2"/>
      <c r="AU9" s="2"/>
      <c r="AV9" s="2"/>
      <c r="AW9" s="2"/>
      <c r="AX9" s="2"/>
      <c r="AY9" s="2"/>
      <c r="AZ9" s="2"/>
      <c r="BA9" s="2"/>
      <c r="BB9" s="26"/>
      <c r="BC9" s="18"/>
      <c r="BD9" s="2"/>
      <c r="BE9" s="2"/>
      <c r="BF9" s="2"/>
      <c r="BG9" s="2"/>
      <c r="BH9" s="2"/>
      <c r="BI9" s="2"/>
      <c r="BJ9" s="2"/>
      <c r="BK9" s="2"/>
      <c r="BL9" s="2"/>
      <c r="BM9" s="2"/>
      <c r="BN9" s="26"/>
    </row>
    <row r="10" spans="1:66" ht="20.100000000000001" customHeight="1">
      <c r="A10" s="656"/>
      <c r="B10" s="296"/>
      <c r="C10" s="298">
        <f>SUM(D10:BN10)</f>
        <v>3900</v>
      </c>
      <c r="D10" s="299">
        <f>IFERROR([1]DECV법인_취합!M87/10^3,)</f>
        <v>0</v>
      </c>
      <c r="E10" s="300">
        <f>IFERROR([1]DECV법인_취합!N87/10^3,)</f>
        <v>0</v>
      </c>
      <c r="F10" s="301">
        <f>IFERROR([1]DECV법인_취합!O87/10^3,)</f>
        <v>0</v>
      </c>
      <c r="G10" s="302">
        <f>IFERROR([1]DECV법인_취합!P86/10^3,)</f>
        <v>0</v>
      </c>
      <c r="H10" s="303">
        <f>IFERROR([1]DECV법인_취합!Q86,)</f>
        <v>0</v>
      </c>
      <c r="I10" s="300">
        <f>IFERROR([1]DECV법인_취합!R86,)</f>
        <v>0</v>
      </c>
      <c r="J10" s="303">
        <f>IFERROR([1]DECV법인_취합!S86,)</f>
        <v>0</v>
      </c>
      <c r="K10" s="303">
        <f>IFERROR([1]DECV법인_취합!T86,)</f>
        <v>0</v>
      </c>
      <c r="L10" s="303">
        <f>IFERROR([1]DECV법인_취합!U86,)</f>
        <v>0</v>
      </c>
      <c r="M10" s="303">
        <f>IFERROR([1]DECV법인_취합!V86,)</f>
        <v>0</v>
      </c>
      <c r="N10" s="303">
        <f>IFERROR([1]DECV법인_취합!W86,)</f>
        <v>0</v>
      </c>
      <c r="O10" s="303">
        <f>IFERROR([1]DECV법인_취합!X86,)</f>
        <v>0</v>
      </c>
      <c r="P10" s="303">
        <f>IFERROR([1]DECV법인_취합!Y86,)</f>
        <v>0</v>
      </c>
      <c r="Q10" s="303">
        <f>IFERROR([1]DECV법인_취합!Z86,)</f>
        <v>0</v>
      </c>
      <c r="R10" s="301">
        <f>IFERROR([1]DECV법인_취합!AA86,)</f>
        <v>0</v>
      </c>
      <c r="S10" s="304">
        <f>IFERROR([1]DECV법인_취합!AB86,)</f>
        <v>0</v>
      </c>
      <c r="T10" s="303">
        <f>IFERROR([1]DECV법인_취합!AC86,)</f>
        <v>1170</v>
      </c>
      <c r="U10" s="303">
        <f>IFERROR([1]DECV법인_취합!AD86,)</f>
        <v>0</v>
      </c>
      <c r="V10" s="300">
        <f>IFERROR([1]DECV법인_취합!AE86,)</f>
        <v>0</v>
      </c>
      <c r="W10" s="300">
        <f>IFERROR([1]DECV법인_취합!AF86,)</f>
        <v>520</v>
      </c>
      <c r="X10" s="303">
        <f>IFERROR([1]DECV법인_취합!AG86,)</f>
        <v>0</v>
      </c>
      <c r="Y10" s="303">
        <f>IFERROR([1]DECV법인_취합!AH86,)</f>
        <v>0</v>
      </c>
      <c r="Z10" s="303">
        <f>IFERROR([1]DECV법인_취합!AI86,)</f>
        <v>0</v>
      </c>
      <c r="AA10" s="300">
        <f>IFERROR([1]DECV법인_취합!AJ86,)</f>
        <v>0</v>
      </c>
      <c r="AB10" s="303">
        <f>IFERROR([1]DECV법인_취합!AK86,)</f>
        <v>0</v>
      </c>
      <c r="AC10" s="303">
        <f>IFERROR([1]DECV법인_취합!AL86,)</f>
        <v>0</v>
      </c>
      <c r="AD10" s="301">
        <f>IFERROR([1]DECV법인_취합!AM86,)</f>
        <v>520</v>
      </c>
      <c r="AE10" s="299">
        <f>IFERROR([1]DECV법인_취합!AN86,)</f>
        <v>0</v>
      </c>
      <c r="AF10" s="303">
        <f>IFERROR([1]DECV법인_취합!AO86,)</f>
        <v>390</v>
      </c>
      <c r="AG10" s="303">
        <f>IFERROR([1]DECV법인_취합!AP86,)</f>
        <v>0</v>
      </c>
      <c r="AH10" s="303">
        <f>IFERROR([1]DECV법인_취합!AQ86,)</f>
        <v>390</v>
      </c>
      <c r="AI10" s="303">
        <f>IFERROR([1]DECV법인_취합!AR86,)</f>
        <v>0</v>
      </c>
      <c r="AJ10" s="303">
        <f>IFERROR([1]DECV법인_취합!AS86,)</f>
        <v>0</v>
      </c>
      <c r="AK10" s="303">
        <f>IFERROR([1]DECV법인_취합!AT86,)</f>
        <v>390</v>
      </c>
      <c r="AL10" s="303">
        <f>IFERROR([1]DECV법인_취합!AU86,)</f>
        <v>0</v>
      </c>
      <c r="AM10" s="303">
        <f>IFERROR([1]DECV법인_취합!AV86,)</f>
        <v>0</v>
      </c>
      <c r="AN10" s="303">
        <f>IFERROR([1]DECV법인_취합!AW86,)</f>
        <v>520</v>
      </c>
      <c r="AO10" s="303">
        <f>IFERROR([1]DECV법인_취합!AX86,)</f>
        <v>0</v>
      </c>
      <c r="AP10" s="301">
        <f>IFERROR([1]DECV법인_취합!AY86,)</f>
        <v>0</v>
      </c>
      <c r="AQ10" s="299">
        <f>IFERROR([1]DECV법인_취합!AZ86,)</f>
        <v>0</v>
      </c>
      <c r="AR10" s="303">
        <f>IFERROR([1]DECV법인_취합!BA86,)</f>
        <v>0</v>
      </c>
      <c r="AS10" s="303">
        <f>IFERROR([1]DECV법인_취합!BB86,)</f>
        <v>0</v>
      </c>
      <c r="AT10" s="303">
        <f>IFERROR([1]DECV법인_취합!BC86,)</f>
        <v>0</v>
      </c>
      <c r="AU10" s="303">
        <f>IFERROR([1]DECV법인_취합!BD86,)</f>
        <v>0</v>
      </c>
      <c r="AV10" s="303">
        <f>IFERROR([1]DECV법인_취합!BE86,)</f>
        <v>0</v>
      </c>
      <c r="AW10" s="303">
        <f>IFERROR([1]DECV법인_취합!BF86,)</f>
        <v>0</v>
      </c>
      <c r="AX10" s="303">
        <f>IFERROR([1]DECV법인_취합!BG86,)</f>
        <v>0</v>
      </c>
      <c r="AY10" s="303">
        <f>IFERROR([1]DECV법인_취합!BH86,)</f>
        <v>0</v>
      </c>
      <c r="AZ10" s="303">
        <f>IFERROR([1]DECV법인_취합!BI86,)</f>
        <v>0</v>
      </c>
      <c r="BA10" s="303">
        <f>IFERROR([1]DECV법인_취합!BJ86,)</f>
        <v>0</v>
      </c>
      <c r="BB10" s="301">
        <f>IFERROR([1]DECV법인_취합!BK86,)</f>
        <v>0</v>
      </c>
      <c r="BC10" s="299">
        <f>IFERROR([1]DECV법인_취합!BL86,)</f>
        <v>0</v>
      </c>
      <c r="BD10" s="303">
        <f>IFERROR([1]DECV법인_취합!BM86,)</f>
        <v>0</v>
      </c>
      <c r="BE10" s="303">
        <f>IFERROR([1]DECV법인_취합!BN86,)</f>
        <v>0</v>
      </c>
      <c r="BF10" s="303">
        <f>IFERROR([1]DECV법인_취합!BO86,)</f>
        <v>0</v>
      </c>
      <c r="BG10" s="303">
        <f>IFERROR([1]DECV법인_취합!BP86,)</f>
        <v>0</v>
      </c>
      <c r="BH10" s="303">
        <f>IFERROR([1]DECV법인_취합!BQ86,)</f>
        <v>0</v>
      </c>
      <c r="BI10" s="303">
        <f>IFERROR([1]DECV법인_취합!BR86,)</f>
        <v>0</v>
      </c>
      <c r="BJ10" s="303">
        <f>IFERROR([1]DECV법인_취합!BS86,)</f>
        <v>0</v>
      </c>
      <c r="BK10" s="303">
        <f>IFERROR([1]DECV법인_취합!BT86,)</f>
        <v>0</v>
      </c>
      <c r="BL10" s="303">
        <f>IFERROR([1]DECV법인_취합!BU86,)</f>
        <v>0</v>
      </c>
      <c r="BM10" s="303">
        <f>IFERROR([1]DECV법인_취합!BV86,)</f>
        <v>0</v>
      </c>
      <c r="BN10" s="301">
        <f>IFERROR([1]DECV법인_취합!BW86,)</f>
        <v>0</v>
      </c>
    </row>
    <row r="11" spans="1:66" s="33" customFormat="1" ht="50.1" customHeight="1">
      <c r="A11" s="654" t="s">
        <v>30</v>
      </c>
      <c r="B11" s="288" t="s">
        <v>5</v>
      </c>
      <c r="C11" s="28" t="s">
        <v>129</v>
      </c>
      <c r="D11" s="30"/>
      <c r="E11" s="31"/>
      <c r="F11" s="32"/>
      <c r="G11" s="42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2"/>
      <c r="S11" s="30"/>
      <c r="T11" s="31"/>
      <c r="U11" s="31"/>
      <c r="V11" s="31"/>
      <c r="W11" s="34"/>
      <c r="X11" s="31"/>
      <c r="Y11" s="31"/>
      <c r="Z11" s="31"/>
      <c r="AA11" s="31"/>
      <c r="AB11" s="31"/>
      <c r="AC11" s="31"/>
      <c r="AD11" s="35"/>
      <c r="AE11" s="30"/>
      <c r="AF11" s="31"/>
      <c r="AG11" s="31"/>
      <c r="AH11" s="34"/>
      <c r="AI11" s="31"/>
      <c r="AJ11" s="31"/>
      <c r="AK11" s="31"/>
      <c r="AL11" s="31"/>
      <c r="AM11" s="31"/>
      <c r="AN11" s="31"/>
      <c r="AO11" s="31"/>
      <c r="AP11" s="32"/>
      <c r="AQ11" s="30"/>
      <c r="AR11" s="31"/>
      <c r="AS11" s="31"/>
      <c r="AT11" s="34"/>
      <c r="AU11" s="31"/>
      <c r="AV11" s="31"/>
      <c r="AW11" s="31"/>
      <c r="AX11" s="31"/>
      <c r="AY11" s="31"/>
      <c r="AZ11" s="31"/>
      <c r="BA11" s="31"/>
      <c r="BB11" s="32"/>
      <c r="BC11" s="30"/>
      <c r="BD11" s="31"/>
      <c r="BE11" s="31"/>
      <c r="BF11" s="34"/>
      <c r="BG11" s="31"/>
      <c r="BH11" s="31"/>
      <c r="BI11" s="31"/>
      <c r="BJ11" s="31"/>
      <c r="BK11" s="31"/>
      <c r="BL11" s="31"/>
      <c r="BM11" s="31"/>
      <c r="BN11" s="32"/>
    </row>
    <row r="12" spans="1:66" s="33" customFormat="1" ht="20.100000000000001" customHeight="1">
      <c r="A12" s="655"/>
      <c r="B12" s="288"/>
      <c r="C12" s="289">
        <f>SUM(D12:BN12)</f>
        <v>0</v>
      </c>
      <c r="D12" s="290">
        <f>IFERROR([1]DECV법인_취합!M86/10^3,)</f>
        <v>0</v>
      </c>
      <c r="E12" s="294">
        <f>IFERROR([1]DECV법인_취합!N86/10^3,)</f>
        <v>0</v>
      </c>
      <c r="F12" s="292">
        <f>IFERROR([1]DECV법인_취합!O86/10^3,)</f>
        <v>0</v>
      </c>
      <c r="G12" s="294"/>
      <c r="H12" s="294"/>
      <c r="I12" s="294"/>
      <c r="J12" s="294"/>
      <c r="K12" s="294"/>
      <c r="L12" s="294"/>
      <c r="M12" s="294"/>
      <c r="N12" s="294"/>
      <c r="O12" s="294"/>
      <c r="P12" s="294"/>
      <c r="Q12" s="294"/>
      <c r="R12" s="292"/>
      <c r="S12" s="290"/>
      <c r="T12" s="294"/>
      <c r="U12" s="294"/>
      <c r="V12" s="294"/>
      <c r="W12" s="294"/>
      <c r="X12" s="294"/>
      <c r="Y12" s="294"/>
      <c r="Z12" s="294"/>
      <c r="AA12" s="294"/>
      <c r="AB12" s="294"/>
      <c r="AC12" s="294"/>
      <c r="AD12" s="292"/>
      <c r="AE12" s="290"/>
      <c r="AF12" s="294"/>
      <c r="AG12" s="294"/>
      <c r="AH12" s="294"/>
      <c r="AI12" s="294"/>
      <c r="AJ12" s="294"/>
      <c r="AK12" s="294"/>
      <c r="AL12" s="294"/>
      <c r="AM12" s="294"/>
      <c r="AN12" s="294"/>
      <c r="AO12" s="294"/>
      <c r="AP12" s="292"/>
      <c r="AQ12" s="290"/>
      <c r="AR12" s="294"/>
      <c r="AS12" s="294"/>
      <c r="AT12" s="294"/>
      <c r="AU12" s="294"/>
      <c r="AV12" s="294"/>
      <c r="AW12" s="294"/>
      <c r="AX12" s="294"/>
      <c r="AY12" s="294"/>
      <c r="AZ12" s="294"/>
      <c r="BA12" s="294"/>
      <c r="BB12" s="292"/>
      <c r="BC12" s="290"/>
      <c r="BD12" s="294"/>
      <c r="BE12" s="294"/>
      <c r="BF12" s="294"/>
      <c r="BG12" s="294"/>
      <c r="BH12" s="294"/>
      <c r="BI12" s="294"/>
      <c r="BJ12" s="294"/>
      <c r="BK12" s="294"/>
      <c r="BL12" s="294"/>
      <c r="BM12" s="294"/>
      <c r="BN12" s="292"/>
    </row>
    <row r="13" spans="1:66" ht="50.1" customHeight="1">
      <c r="A13" s="655"/>
      <c r="B13" s="296" t="s">
        <v>9</v>
      </c>
      <c r="C13" s="29" t="s">
        <v>130</v>
      </c>
      <c r="D13" s="18"/>
      <c r="E13" s="2"/>
      <c r="F13" s="26"/>
      <c r="G13" s="45"/>
      <c r="H13" s="2"/>
      <c r="I13" s="2"/>
      <c r="J13" s="2"/>
      <c r="K13" s="2"/>
      <c r="L13" s="2"/>
      <c r="M13" s="2"/>
      <c r="N13" s="2"/>
      <c r="O13" s="2"/>
      <c r="P13" s="2"/>
      <c r="Q13" s="2"/>
      <c r="R13" s="26"/>
      <c r="S13" s="18"/>
      <c r="T13" s="2"/>
      <c r="U13" s="2"/>
      <c r="V13" s="2"/>
      <c r="W13" s="3" t="s">
        <v>21</v>
      </c>
      <c r="X13" s="2"/>
      <c r="Y13" s="2"/>
      <c r="Z13" s="2"/>
      <c r="AA13" s="2"/>
      <c r="AB13" s="2"/>
      <c r="AC13" s="2"/>
      <c r="AD13" s="27"/>
      <c r="AE13" s="18"/>
      <c r="AF13" s="2"/>
      <c r="AG13" s="2"/>
      <c r="AH13" s="3"/>
      <c r="AI13" s="2"/>
      <c r="AJ13" s="2"/>
      <c r="AK13" s="2"/>
      <c r="AL13" s="2"/>
      <c r="AM13" s="2" t="s">
        <v>35</v>
      </c>
      <c r="AN13" s="2"/>
      <c r="AO13" s="2"/>
      <c r="AP13" s="26"/>
      <c r="AQ13" s="18"/>
      <c r="AR13" s="2"/>
      <c r="AS13" s="2"/>
      <c r="AT13" s="3"/>
      <c r="AU13" s="2"/>
      <c r="AV13" s="2"/>
      <c r="AW13" s="2"/>
      <c r="AX13" s="2"/>
      <c r="AY13" s="2"/>
      <c r="AZ13" s="2"/>
      <c r="BA13" s="2"/>
      <c r="BB13" s="26"/>
      <c r="BC13" s="18"/>
      <c r="BD13" s="2"/>
      <c r="BE13" s="2"/>
      <c r="BF13" s="3"/>
      <c r="BG13" s="2"/>
      <c r="BH13" s="2"/>
      <c r="BI13" s="2"/>
      <c r="BJ13" s="2"/>
      <c r="BK13" s="2"/>
      <c r="BL13" s="2"/>
      <c r="BM13" s="2"/>
      <c r="BN13" s="26"/>
    </row>
    <row r="14" spans="1:66" ht="20.100000000000001" customHeight="1">
      <c r="A14" s="655"/>
      <c r="B14" s="296"/>
      <c r="C14" s="298">
        <f>SUM(D14:BN14)</f>
        <v>0</v>
      </c>
      <c r="D14" s="299">
        <f>IFERROR([1]DECV법인_취합!M88/10^3,)</f>
        <v>0</v>
      </c>
      <c r="E14" s="303">
        <f>IFERROR([1]DECV법인_취합!N88/10^3,)</f>
        <v>0</v>
      </c>
      <c r="F14" s="301">
        <f>IFERROR([1]DECV법인_취합!O88/10^3,)</f>
        <v>0</v>
      </c>
      <c r="G14" s="303"/>
      <c r="H14" s="303"/>
      <c r="I14" s="303"/>
      <c r="J14" s="303"/>
      <c r="K14" s="303"/>
      <c r="L14" s="303"/>
      <c r="M14" s="303"/>
      <c r="N14" s="303"/>
      <c r="O14" s="303"/>
      <c r="P14" s="303"/>
      <c r="Q14" s="303"/>
      <c r="R14" s="301"/>
      <c r="S14" s="299"/>
      <c r="T14" s="303"/>
      <c r="U14" s="303"/>
      <c r="V14" s="303"/>
      <c r="W14" s="303"/>
      <c r="X14" s="303"/>
      <c r="Y14" s="303"/>
      <c r="Z14" s="303"/>
      <c r="AA14" s="303"/>
      <c r="AB14" s="303"/>
      <c r="AC14" s="303"/>
      <c r="AD14" s="301"/>
      <c r="AE14" s="299"/>
      <c r="AF14" s="303"/>
      <c r="AG14" s="303"/>
      <c r="AH14" s="303"/>
      <c r="AI14" s="303"/>
      <c r="AJ14" s="303"/>
      <c r="AK14" s="303"/>
      <c r="AL14" s="303"/>
      <c r="AM14" s="303"/>
      <c r="AN14" s="303"/>
      <c r="AO14" s="303"/>
      <c r="AP14" s="301"/>
      <c r="AQ14" s="299"/>
      <c r="AR14" s="303"/>
      <c r="AS14" s="303"/>
      <c r="AT14" s="303"/>
      <c r="AU14" s="303"/>
      <c r="AV14" s="303"/>
      <c r="AW14" s="303"/>
      <c r="AX14" s="303"/>
      <c r="AY14" s="303"/>
      <c r="AZ14" s="303"/>
      <c r="BA14" s="303"/>
      <c r="BB14" s="301"/>
      <c r="BC14" s="299"/>
      <c r="BD14" s="303"/>
      <c r="BE14" s="303"/>
      <c r="BF14" s="303"/>
      <c r="BG14" s="303"/>
      <c r="BH14" s="303"/>
      <c r="BI14" s="303"/>
      <c r="BJ14" s="303"/>
      <c r="BK14" s="303"/>
      <c r="BL14" s="303"/>
      <c r="BM14" s="303"/>
      <c r="BN14" s="301"/>
    </row>
    <row r="15" spans="1:66" ht="50.1" customHeight="1">
      <c r="A15" s="655"/>
      <c r="B15" s="296" t="s">
        <v>9</v>
      </c>
      <c r="C15" s="29" t="s">
        <v>141</v>
      </c>
      <c r="D15" s="18"/>
      <c r="E15" s="2"/>
      <c r="F15" s="26"/>
      <c r="G15" s="45"/>
      <c r="H15" s="2"/>
      <c r="I15" s="2"/>
      <c r="J15" s="2"/>
      <c r="K15" s="2"/>
      <c r="L15" s="2"/>
      <c r="M15" s="2"/>
      <c r="N15" s="2"/>
      <c r="O15" s="2"/>
      <c r="P15" s="2"/>
      <c r="Q15" s="3" t="s">
        <v>48</v>
      </c>
      <c r="R15" s="26"/>
      <c r="S15" s="18"/>
      <c r="T15" s="2"/>
      <c r="U15" s="2"/>
      <c r="V15" s="2" t="s">
        <v>20</v>
      </c>
      <c r="W15" s="3"/>
      <c r="X15" s="2"/>
      <c r="Y15" s="2"/>
      <c r="Z15" s="2"/>
      <c r="AA15" s="2"/>
      <c r="AB15" s="2"/>
      <c r="AC15" s="2"/>
      <c r="AD15" s="27" t="s">
        <v>49</v>
      </c>
      <c r="AE15" s="19"/>
      <c r="AF15" s="2"/>
      <c r="AG15" s="2"/>
      <c r="AH15" s="297"/>
      <c r="AI15" s="2"/>
      <c r="AJ15" s="2"/>
      <c r="AK15" s="2"/>
      <c r="AL15" s="2"/>
      <c r="AM15" s="2"/>
      <c r="AN15" s="2"/>
      <c r="AO15" s="2"/>
      <c r="AP15" s="27" t="s">
        <v>50</v>
      </c>
      <c r="AQ15" s="19"/>
      <c r="AR15" s="2"/>
      <c r="AS15" s="2"/>
      <c r="AT15" s="2" t="s">
        <v>40</v>
      </c>
      <c r="AU15" s="297"/>
      <c r="AV15" s="2"/>
      <c r="AW15" s="297" t="s">
        <v>20</v>
      </c>
      <c r="AX15" s="2"/>
      <c r="AY15" s="2"/>
      <c r="AZ15" s="2"/>
      <c r="BA15" s="2"/>
      <c r="BB15" s="26"/>
      <c r="BC15" s="19"/>
      <c r="BD15" s="2"/>
      <c r="BE15" s="2"/>
      <c r="BF15" s="2"/>
      <c r="BG15" s="3" t="s">
        <v>142</v>
      </c>
      <c r="BH15" s="2"/>
      <c r="BI15" s="297"/>
      <c r="BJ15" s="2"/>
      <c r="BK15" s="2"/>
      <c r="BL15" s="2"/>
      <c r="BM15" s="2"/>
      <c r="BN15" s="26"/>
    </row>
    <row r="16" spans="1:66" ht="20.100000000000001" customHeight="1">
      <c r="A16" s="656"/>
      <c r="B16" s="296"/>
      <c r="C16" s="298">
        <f>SUM(D16:BN16)</f>
        <v>85715</v>
      </c>
      <c r="D16" s="299">
        <f>IFERROR([1]DECV법인_취합!M89/10^3,)</f>
        <v>0</v>
      </c>
      <c r="E16" s="303">
        <f>IFERROR([1]DECV법인_취합!N89/10^3,)</f>
        <v>0</v>
      </c>
      <c r="F16" s="301">
        <f>IFERROR([1]DECV법인_취합!O89/10^3,)</f>
        <v>0</v>
      </c>
      <c r="G16" s="303">
        <f>IFERROR([1]DECV법인_취합!P62/10^3,)</f>
        <v>0</v>
      </c>
      <c r="H16" s="303">
        <f>IFERROR([1]DECV법인_취합!Q62,)</f>
        <v>0</v>
      </c>
      <c r="I16" s="303">
        <f>IFERROR([1]DECV법인_취합!R62,)</f>
        <v>0</v>
      </c>
      <c r="J16" s="303">
        <f>IFERROR([1]DECV법인_취합!S62,)</f>
        <v>0</v>
      </c>
      <c r="K16" s="303">
        <f>IFERROR([1]DECV법인_취합!T62,)</f>
        <v>0</v>
      </c>
      <c r="L16" s="303">
        <f>IFERROR([1]DECV법인_취합!U62,)</f>
        <v>0</v>
      </c>
      <c r="M16" s="303">
        <f>IFERROR([1]DECV법인_취합!V62,)</f>
        <v>0</v>
      </c>
      <c r="N16" s="303">
        <f>IFERROR([1]DECV법인_취합!W62,)</f>
        <v>0</v>
      </c>
      <c r="O16" s="303">
        <f>IFERROR([1]DECV법인_취합!X62,)</f>
        <v>0</v>
      </c>
      <c r="P16" s="303">
        <f>IFERROR([1]DECV법인_취합!Y62,)</f>
        <v>0</v>
      </c>
      <c r="Q16" s="303">
        <f>IFERROR([1]DECV법인_취합!Z62,)</f>
        <v>3517.7000000000003</v>
      </c>
      <c r="R16" s="301">
        <f>IFERROR([1]DECV법인_취합!AA62,)</f>
        <v>0</v>
      </c>
      <c r="S16" s="299">
        <f>IFERROR([1]DECV법인_취합!AB62,)</f>
        <v>0</v>
      </c>
      <c r="T16" s="303">
        <f>IFERROR([1]DECV법인_취합!AC62,)</f>
        <v>0</v>
      </c>
      <c r="U16" s="303">
        <f>IFERROR([1]DECV법인_취합!AD62,)</f>
        <v>0</v>
      </c>
      <c r="V16" s="303">
        <f>IFERROR([1]DECV법인_취합!AE62,)</f>
        <v>0</v>
      </c>
      <c r="W16" s="303">
        <f>IFERROR([1]DECV법인_취합!AF62,)</f>
        <v>0</v>
      </c>
      <c r="X16" s="303">
        <f>IFERROR([1]DECV법인_취합!AG62,)</f>
        <v>0</v>
      </c>
      <c r="Y16" s="303">
        <f>IFERROR([1]DECV법인_취합!AH62,)</f>
        <v>0</v>
      </c>
      <c r="Z16" s="303">
        <f>IFERROR([1]DECV법인_취합!AI62,)</f>
        <v>0</v>
      </c>
      <c r="AA16" s="303">
        <f>IFERROR([1]DECV법인_취합!AJ62,)</f>
        <v>0</v>
      </c>
      <c r="AB16" s="303">
        <f>IFERROR([1]DECV법인_취합!AK62,)</f>
        <v>0</v>
      </c>
      <c r="AC16" s="303">
        <f>IFERROR([1]DECV법인_취합!AL62,)</f>
        <v>0</v>
      </c>
      <c r="AD16" s="301">
        <f>IFERROR([1]DECV법인_취합!AM62,)</f>
        <v>14070.800000000001</v>
      </c>
      <c r="AE16" s="299">
        <f>IFERROR([1]DECV법인_취합!AN62,)</f>
        <v>0</v>
      </c>
      <c r="AF16" s="303">
        <f>IFERROR([1]DECV법인_취합!AO62,)</f>
        <v>0</v>
      </c>
      <c r="AG16" s="303">
        <f>IFERROR([1]DECV법인_취합!AP62,)</f>
        <v>0</v>
      </c>
      <c r="AH16" s="303">
        <f>IFERROR([1]DECV법인_취합!AQ62,)</f>
        <v>0</v>
      </c>
      <c r="AI16" s="303">
        <f>IFERROR([1]DECV법인_취합!AR62,)</f>
        <v>0</v>
      </c>
      <c r="AJ16" s="303">
        <f>IFERROR([1]DECV법인_취합!AS62,)</f>
        <v>0</v>
      </c>
      <c r="AK16" s="303">
        <f>IFERROR([1]DECV법인_취합!AT62,)</f>
        <v>0</v>
      </c>
      <c r="AL16" s="303">
        <f>IFERROR([1]DECV법인_취합!AU62,)</f>
        <v>0</v>
      </c>
      <c r="AM16" s="303">
        <f>IFERROR([1]DECV법인_취합!AV62,)</f>
        <v>0</v>
      </c>
      <c r="AN16" s="303">
        <f>IFERROR([1]DECV법인_취합!AW62,)</f>
        <v>0</v>
      </c>
      <c r="AO16" s="303">
        <f>IFERROR([1]DECV법인_취합!AX62,)</f>
        <v>0</v>
      </c>
      <c r="AP16" s="301">
        <f>IFERROR([1]DECV법인_취합!AY62,)</f>
        <v>17588.5</v>
      </c>
      <c r="AQ16" s="299">
        <f>IFERROR([1]DECV법인_취합!AZ62,)</f>
        <v>0</v>
      </c>
      <c r="AR16" s="303">
        <f>IFERROR([1]DECV법인_취합!BA62,)</f>
        <v>0</v>
      </c>
      <c r="AS16" s="303">
        <f>IFERROR([1]DECV법인_취합!BB62,)</f>
        <v>0</v>
      </c>
      <c r="AT16" s="303">
        <f>IFERROR([1]DECV법인_취합!BC62,)</f>
        <v>0</v>
      </c>
      <c r="AU16" s="303">
        <f>IFERROR([1]DECV법인_취합!BD62,)</f>
        <v>0</v>
      </c>
      <c r="AV16" s="303">
        <f>IFERROR([1]DECV법인_취합!BE62,)</f>
        <v>0</v>
      </c>
      <c r="AW16" s="303">
        <f>IFERROR([1]DECV법인_취합!BF62,)</f>
        <v>0</v>
      </c>
      <c r="AX16" s="303">
        <f>IFERROR([1]DECV법인_취합!BG62,)</f>
        <v>0</v>
      </c>
      <c r="AY16" s="303">
        <f>IFERROR([1]DECV법인_취합!BH62,)</f>
        <v>0</v>
      </c>
      <c r="AZ16" s="303">
        <f>IFERROR([1]DECV법인_취합!BI62,)</f>
        <v>0</v>
      </c>
      <c r="BA16" s="303">
        <f>IFERROR([1]DECV법인_취합!BJ62,)</f>
        <v>0</v>
      </c>
      <c r="BB16" s="301">
        <f>IFERROR([1]DECV법인_취합!BK62,)</f>
        <v>0</v>
      </c>
      <c r="BC16" s="299">
        <f>IFERROR([1]DECV법인_취합!BL62,)</f>
        <v>0</v>
      </c>
      <c r="BD16" s="303">
        <f>IFERROR([1]DECV법인_취합!BM62,)</f>
        <v>0</v>
      </c>
      <c r="BE16" s="303">
        <f>IFERROR([1]DECV법인_취합!BN62,)</f>
        <v>0</v>
      </c>
      <c r="BF16" s="303">
        <f>IFERROR([1]DECV법인_취합!BO62,)</f>
        <v>0</v>
      </c>
      <c r="BG16" s="303">
        <f>IFERROR([1]DECV법인_취합!BP62,)</f>
        <v>50538</v>
      </c>
      <c r="BH16" s="303">
        <f>IFERROR([1]DECV법인_취합!BQ62,)</f>
        <v>0</v>
      </c>
      <c r="BI16" s="303">
        <f>IFERROR([1]DECV법인_취합!BR62,)</f>
        <v>0</v>
      </c>
      <c r="BJ16" s="303">
        <f>IFERROR([1]DECV법인_취합!BS62,)</f>
        <v>0</v>
      </c>
      <c r="BK16" s="303">
        <f>IFERROR([1]DECV법인_취합!BT62,)</f>
        <v>0</v>
      </c>
      <c r="BL16" s="303">
        <f>IFERROR([1]DECV법인_취합!BU62,)</f>
        <v>0</v>
      </c>
      <c r="BM16" s="303">
        <f>IFERROR([1]DECV법인_취합!BV62,)</f>
        <v>0</v>
      </c>
      <c r="BN16" s="301">
        <f>IFERROR([1]DECV법인_취합!BW62,)</f>
        <v>0</v>
      </c>
    </row>
    <row r="17" spans="1:66" ht="50.1" customHeight="1">
      <c r="A17" s="657" t="s">
        <v>31</v>
      </c>
      <c r="B17" s="288" t="s">
        <v>62</v>
      </c>
      <c r="C17" s="28" t="s">
        <v>143</v>
      </c>
      <c r="D17" s="30"/>
      <c r="E17" s="31"/>
      <c r="F17" s="32"/>
      <c r="G17" s="42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2"/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5"/>
      <c r="AE17" s="46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2"/>
      <c r="AQ17" s="30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2"/>
      <c r="BC17" s="46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2"/>
    </row>
    <row r="18" spans="1:66" ht="20.100000000000001" customHeight="1">
      <c r="A18" s="658"/>
      <c r="B18" s="305"/>
      <c r="C18" s="289">
        <f>C20</f>
        <v>43605</v>
      </c>
      <c r="D18" s="290">
        <f>IFERROR([1]DECV법인_취합!#REF!/10^3,)</f>
        <v>0</v>
      </c>
      <c r="E18" s="291">
        <f>IFERROR([1]DECV법인_취합!#REF!/10^3,)</f>
        <v>0</v>
      </c>
      <c r="F18" s="292">
        <f>IFERROR([1]DECV법인_취합!#REF!/10^3,)</f>
        <v>0</v>
      </c>
      <c r="G18" s="293">
        <f>IFERROR([1]DECV법인_취합!P85/10^3,)</f>
        <v>0</v>
      </c>
      <c r="H18" s="294">
        <f>IFERROR([1]DECV법인_취합!Q46,)</f>
        <v>0</v>
      </c>
      <c r="I18" s="291">
        <f>IFERROR([1]DECV법인_취합!R46,)</f>
        <v>0</v>
      </c>
      <c r="J18" s="294">
        <f>IFERROR([1]DECV법인_취합!S46,)</f>
        <v>0</v>
      </c>
      <c r="K18" s="294">
        <f>IFERROR([1]DECV법인_취합!T46,)</f>
        <v>0</v>
      </c>
      <c r="L18" s="294">
        <f>IFERROR([1]DECV법인_취합!U46,)</f>
        <v>0</v>
      </c>
      <c r="M18" s="294">
        <f>IFERROR([1]DECV법인_취합!V46,)</f>
        <v>0</v>
      </c>
      <c r="N18" s="294">
        <f>IFERROR([1]DECV법인_취합!W46,)</f>
        <v>0</v>
      </c>
      <c r="O18" s="294">
        <f>IFERROR([1]DECV법인_취합!X46,)</f>
        <v>0</v>
      </c>
      <c r="P18" s="294">
        <f>IFERROR([1]DECV법인_취합!Y46,)</f>
        <v>0</v>
      </c>
      <c r="Q18" s="294">
        <f>IFERROR([1]DECV법인_취합!Z46,)</f>
        <v>0</v>
      </c>
      <c r="R18" s="292">
        <f>IFERROR([1]DECV법인_취합!AA46,)</f>
        <v>0</v>
      </c>
      <c r="S18" s="295">
        <f>IFERROR([1]DECV법인_취합!AB46,)</f>
        <v>0</v>
      </c>
      <c r="T18" s="294">
        <f>IFERROR([1]DECV법인_취합!AC46,)</f>
        <v>0</v>
      </c>
      <c r="U18" s="294">
        <f>IFERROR([1]DECV법인_취합!AD46,)</f>
        <v>0</v>
      </c>
      <c r="V18" s="291">
        <f>IFERROR([1]DECV법인_취합!AE46,)</f>
        <v>0</v>
      </c>
      <c r="W18" s="291">
        <f>IFERROR([1]DECV법인_취합!AF46,)</f>
        <v>0</v>
      </c>
      <c r="X18" s="294">
        <f>IFERROR([1]DECV법인_취합!AG46,)</f>
        <v>0</v>
      </c>
      <c r="Y18" s="294">
        <f>IFERROR([1]DECV법인_취합!AH46,)</f>
        <v>0</v>
      </c>
      <c r="Z18" s="294">
        <f>IFERROR([1]DECV법인_취합!AI46,)</f>
        <v>0</v>
      </c>
      <c r="AA18" s="291">
        <f>IFERROR([1]DECV법인_취합!AJ46,)</f>
        <v>0</v>
      </c>
      <c r="AB18" s="294">
        <f>IFERROR([1]DECV법인_취합!AK46,)</f>
        <v>0</v>
      </c>
      <c r="AC18" s="294">
        <f>IFERROR([1]DECV법인_취합!AL46,)</f>
        <v>0</v>
      </c>
      <c r="AD18" s="292">
        <f>IFERROR([1]DECV법인_취합!AM46,)</f>
        <v>0</v>
      </c>
      <c r="AE18" s="290">
        <f>IFERROR([1]DECV법인_취합!AN46,)</f>
        <v>0</v>
      </c>
      <c r="AF18" s="294">
        <f>IFERROR([1]DECV법인_취합!AO46,)</f>
        <v>0</v>
      </c>
      <c r="AG18" s="294">
        <f>IFERROR([1]DECV법인_취합!AP46,)</f>
        <v>0</v>
      </c>
      <c r="AH18" s="294">
        <f>IFERROR([1]DECV법인_취합!AQ46,)</f>
        <v>0</v>
      </c>
      <c r="AI18" s="294">
        <f>IFERROR([1]DECV법인_취합!AR46,)</f>
        <v>0</v>
      </c>
      <c r="AJ18" s="294">
        <f>IFERROR([1]DECV법인_취합!AS46,)</f>
        <v>0</v>
      </c>
      <c r="AK18" s="294">
        <f>IFERROR([1]DECV법인_취합!AT46,)</f>
        <v>0</v>
      </c>
      <c r="AL18" s="294">
        <f>IFERROR([1]DECV법인_취합!AU46,)</f>
        <v>0</v>
      </c>
      <c r="AM18" s="294">
        <f>IFERROR([1]DECV법인_취합!AV46,)</f>
        <v>0</v>
      </c>
      <c r="AN18" s="294">
        <f>IFERROR([1]DECV법인_취합!AW46,)</f>
        <v>0</v>
      </c>
      <c r="AO18" s="294">
        <f>IFERROR([1]DECV법인_취합!AX46,)</f>
        <v>0</v>
      </c>
      <c r="AP18" s="292">
        <f>IFERROR([1]DECV법인_취합!AY46,)</f>
        <v>0</v>
      </c>
      <c r="AQ18" s="290">
        <f>IFERROR([1]DECV법인_취합!AZ46,)</f>
        <v>0</v>
      </c>
      <c r="AR18" s="294">
        <f>IFERROR([1]DECV법인_취합!BA46,)</f>
        <v>0</v>
      </c>
      <c r="AS18" s="294">
        <f>IFERROR([1]DECV법인_취합!BB46,)</f>
        <v>0</v>
      </c>
      <c r="AT18" s="294">
        <f>IFERROR([1]DECV법인_취합!BC46,)</f>
        <v>0</v>
      </c>
      <c r="AU18" s="294">
        <f>IFERROR([1]DECV법인_취합!BD46,)</f>
        <v>0</v>
      </c>
      <c r="AV18" s="294">
        <f>IFERROR([1]DECV법인_취합!BE46,)</f>
        <v>0</v>
      </c>
      <c r="AW18" s="294">
        <f>IFERROR([1]DECV법인_취합!BF46,)</f>
        <v>0</v>
      </c>
      <c r="AX18" s="294">
        <f>IFERROR([1]DECV법인_취합!BG46,)</f>
        <v>0</v>
      </c>
      <c r="AY18" s="294">
        <f>IFERROR([1]DECV법인_취합!BH46,)</f>
        <v>0</v>
      </c>
      <c r="AZ18" s="294">
        <f>IFERROR([1]DECV법인_취합!BI46,)</f>
        <v>0</v>
      </c>
      <c r="BA18" s="294">
        <f>IFERROR([1]DECV법인_취합!BJ46,)</f>
        <v>0</v>
      </c>
      <c r="BB18" s="292">
        <f>IFERROR([1]DECV법인_취합!BK46,)</f>
        <v>0</v>
      </c>
      <c r="BC18" s="290">
        <f>IFERROR([1]DECV법인_취합!BL46,)</f>
        <v>0</v>
      </c>
      <c r="BD18" s="294">
        <f>IFERROR([1]DECV법인_취합!BM46,)</f>
        <v>0</v>
      </c>
      <c r="BE18" s="294">
        <f>IFERROR([1]DECV법인_취합!BN46,)</f>
        <v>0</v>
      </c>
      <c r="BF18" s="294">
        <f>IFERROR([1]DECV법인_취합!BO46,)</f>
        <v>0</v>
      </c>
      <c r="BG18" s="294">
        <f>IFERROR([1]DECV법인_취합!BP46,)</f>
        <v>0</v>
      </c>
      <c r="BH18" s="294">
        <f>IFERROR([1]DECV법인_취합!BQ46,)</f>
        <v>0</v>
      </c>
      <c r="BI18" s="294">
        <f>IFERROR([1]DECV법인_취합!BR46,)</f>
        <v>0</v>
      </c>
      <c r="BJ18" s="294">
        <f>IFERROR([1]DECV법인_취합!BS46,)</f>
        <v>0</v>
      </c>
      <c r="BK18" s="294">
        <f>IFERROR([1]DECV법인_취합!BT46,)</f>
        <v>0</v>
      </c>
      <c r="BL18" s="294">
        <f>IFERROR([1]DECV법인_취합!BU46,)</f>
        <v>0</v>
      </c>
      <c r="BM18" s="294">
        <f>IFERROR([1]DECV법인_취합!BV46,)</f>
        <v>0</v>
      </c>
      <c r="BN18" s="292">
        <f>IFERROR([1]DECV법인_취합!BW46,)</f>
        <v>0</v>
      </c>
    </row>
    <row r="19" spans="1:66" ht="50.1" customHeight="1">
      <c r="A19" s="658"/>
      <c r="B19" s="296" t="s">
        <v>9</v>
      </c>
      <c r="C19" s="29" t="s">
        <v>144</v>
      </c>
      <c r="D19" s="18"/>
      <c r="E19" s="2"/>
      <c r="F19" s="26"/>
      <c r="G19" s="45"/>
      <c r="H19" s="2"/>
      <c r="I19" s="2"/>
      <c r="J19" s="2"/>
      <c r="K19" s="2"/>
      <c r="L19" s="2"/>
      <c r="M19" s="2"/>
      <c r="N19" s="2"/>
      <c r="O19" s="2"/>
      <c r="P19" s="2"/>
      <c r="Q19" s="2"/>
      <c r="R19" s="26"/>
      <c r="S19" s="18"/>
      <c r="T19" s="2"/>
      <c r="U19" s="2"/>
      <c r="V19" s="2"/>
      <c r="W19" s="2"/>
      <c r="X19" s="2"/>
      <c r="Y19" s="2"/>
      <c r="Z19" s="2"/>
      <c r="AA19" s="2"/>
      <c r="AB19" s="2"/>
      <c r="AC19" s="2"/>
      <c r="AD19" s="27"/>
      <c r="AE19" s="19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7" t="s">
        <v>145</v>
      </c>
      <c r="AQ19" s="18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6"/>
      <c r="BC19" s="19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6"/>
    </row>
    <row r="20" spans="1:66" ht="20.100000000000001" customHeight="1">
      <c r="A20" s="658"/>
      <c r="B20" s="306"/>
      <c r="C20" s="298">
        <f>SUM(D20:BN20)</f>
        <v>43605</v>
      </c>
      <c r="D20" s="299">
        <f>IFERROR([1]DECV법인_취합!#REF!/10^3,)</f>
        <v>0</v>
      </c>
      <c r="E20" s="300">
        <f>IFERROR([1]DECV법인_취합!#REF!/10^3,)</f>
        <v>0</v>
      </c>
      <c r="F20" s="301">
        <f>IFERROR([1]DECV법인_취합!#REF!/10^3,)</f>
        <v>0</v>
      </c>
      <c r="G20" s="302">
        <f>IFERROR([1]DECV법인_취합!P87/10^3,)</f>
        <v>0</v>
      </c>
      <c r="H20" s="303"/>
      <c r="I20" s="300"/>
      <c r="J20" s="303"/>
      <c r="K20" s="303"/>
      <c r="L20" s="303"/>
      <c r="M20" s="303"/>
      <c r="N20" s="303"/>
      <c r="O20" s="303"/>
      <c r="P20" s="303"/>
      <c r="Q20" s="303"/>
      <c r="R20" s="301"/>
      <c r="S20" s="304"/>
      <c r="T20" s="303"/>
      <c r="U20" s="303"/>
      <c r="V20" s="300"/>
      <c r="W20" s="300"/>
      <c r="X20" s="303"/>
      <c r="Y20" s="303"/>
      <c r="Z20" s="303"/>
      <c r="AA20" s="300"/>
      <c r="AB20" s="303"/>
      <c r="AC20" s="303"/>
      <c r="AD20" s="301"/>
      <c r="AE20" s="299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301">
        <v>43605</v>
      </c>
      <c r="AQ20" s="299">
        <f>IFERROR([1]DECV법인_취합!AZ87,)</f>
        <v>0</v>
      </c>
      <c r="AR20" s="303">
        <f>IFERROR([1]DECV법인_취합!BA87,)</f>
        <v>0</v>
      </c>
      <c r="AS20" s="303">
        <f>IFERROR([1]DECV법인_취합!BB87,)</f>
        <v>0</v>
      </c>
      <c r="AT20" s="303">
        <f>IFERROR([1]DECV법인_취합!BC87,)</f>
        <v>0</v>
      </c>
      <c r="AU20" s="303">
        <f>IFERROR([1]DECV법인_취합!BD87,)</f>
        <v>0</v>
      </c>
      <c r="AV20" s="303">
        <f>IFERROR([1]DECV법인_취합!BE87,)</f>
        <v>0</v>
      </c>
      <c r="AW20" s="303">
        <f>IFERROR([1]DECV법인_취합!BF87,)</f>
        <v>0</v>
      </c>
      <c r="AX20" s="303">
        <f>IFERROR([1]DECV법인_취합!BG87,)</f>
        <v>0</v>
      </c>
      <c r="AY20" s="303">
        <f>IFERROR([1]DECV법인_취합!BH87,)</f>
        <v>0</v>
      </c>
      <c r="AZ20" s="303">
        <f>IFERROR([1]DECV법인_취합!BI87,)</f>
        <v>0</v>
      </c>
      <c r="BA20" s="303">
        <f>IFERROR([1]DECV법인_취합!BJ87,)</f>
        <v>0</v>
      </c>
      <c r="BB20" s="301">
        <f>IFERROR([1]DECV법인_취합!BK87,)</f>
        <v>0</v>
      </c>
      <c r="BC20" s="299">
        <f>IFERROR([1]DECV법인_취합!BL87,)</f>
        <v>0</v>
      </c>
      <c r="BD20" s="303">
        <f>IFERROR([1]DECV법인_취합!BM87,)</f>
        <v>0</v>
      </c>
      <c r="BE20" s="303">
        <f>IFERROR([1]DECV법인_취합!BN87,)</f>
        <v>0</v>
      </c>
      <c r="BF20" s="303">
        <f>IFERROR([1]DECV법인_취합!BO87,)</f>
        <v>0</v>
      </c>
      <c r="BG20" s="303">
        <f>IFERROR([1]DECV법인_취합!BP87,)</f>
        <v>0</v>
      </c>
      <c r="BH20" s="303">
        <f>IFERROR([1]DECV법인_취합!BQ87,)</f>
        <v>0</v>
      </c>
      <c r="BI20" s="303">
        <f>IFERROR([1]DECV법인_취합!BR87,)</f>
        <v>0</v>
      </c>
      <c r="BJ20" s="303">
        <f>IFERROR([1]DECV법인_취합!BS87,)</f>
        <v>0</v>
      </c>
      <c r="BK20" s="303">
        <f>IFERROR([1]DECV법인_취합!BT87,)</f>
        <v>0</v>
      </c>
      <c r="BL20" s="303">
        <f>IFERROR([1]DECV법인_취합!BU87,)</f>
        <v>0</v>
      </c>
      <c r="BM20" s="303">
        <f>IFERROR([1]DECV법인_취합!BV87,)</f>
        <v>0</v>
      </c>
      <c r="BN20" s="301">
        <f>IFERROR([1]DECV법인_취합!BW87,)</f>
        <v>0</v>
      </c>
    </row>
    <row r="21" spans="1:66" ht="50.1" customHeight="1">
      <c r="A21" s="658"/>
      <c r="B21" s="296" t="s">
        <v>9</v>
      </c>
      <c r="C21" s="29" t="s">
        <v>146</v>
      </c>
      <c r="D21" s="18"/>
      <c r="E21" s="2"/>
      <c r="F21" s="26"/>
      <c r="G21" s="45"/>
      <c r="H21" s="2"/>
      <c r="I21" s="3"/>
      <c r="J21" s="2"/>
      <c r="K21" s="2"/>
      <c r="L21" s="2"/>
      <c r="M21" s="3"/>
      <c r="N21" s="2"/>
      <c r="O21" s="2"/>
      <c r="P21" s="2"/>
      <c r="Q21" s="2"/>
      <c r="R21" s="3" t="s">
        <v>36</v>
      </c>
      <c r="S21" s="18"/>
      <c r="T21" s="2"/>
      <c r="U21" s="2"/>
      <c r="V21" s="2"/>
      <c r="W21" s="2"/>
      <c r="X21" s="2"/>
      <c r="Y21" s="2"/>
      <c r="Z21" s="2"/>
      <c r="AA21" s="2"/>
      <c r="AB21" s="2"/>
      <c r="AC21" s="2"/>
      <c r="AD21" s="26"/>
      <c r="AE21" s="18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6"/>
      <c r="AQ21" s="18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6"/>
      <c r="BC21" s="18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6"/>
    </row>
    <row r="22" spans="1:66" ht="20.100000000000001" customHeight="1">
      <c r="A22" s="659"/>
      <c r="B22" s="306"/>
      <c r="C22" s="298">
        <f>SUM(D22:BN22)</f>
        <v>400</v>
      </c>
      <c r="D22" s="299">
        <f>IFERROR([1]DECV법인_취합!#REF!/10^3,)</f>
        <v>0</v>
      </c>
      <c r="E22" s="300">
        <f>IFERROR([1]DECV법인_취합!#REF!/10^3,)</f>
        <v>0</v>
      </c>
      <c r="F22" s="301">
        <f>IFERROR([1]DECV법인_취합!#REF!/10^3,)</f>
        <v>0</v>
      </c>
      <c r="G22" s="302">
        <f>IFERROR([1]DECV법인_취합!P88/10^3,)</f>
        <v>0</v>
      </c>
      <c r="H22" s="303"/>
      <c r="I22" s="300"/>
      <c r="J22" s="303"/>
      <c r="K22" s="303"/>
      <c r="L22" s="303"/>
      <c r="M22" s="303"/>
      <c r="N22" s="303"/>
      <c r="O22" s="303"/>
      <c r="P22" s="303"/>
      <c r="Q22" s="303"/>
      <c r="R22" s="303">
        <v>400</v>
      </c>
      <c r="S22" s="304">
        <f>IFERROR([1]DECV법인_취합!AB88,)</f>
        <v>0</v>
      </c>
      <c r="T22" s="303">
        <f>IFERROR([1]DECV법인_취합!AC88,)</f>
        <v>0</v>
      </c>
      <c r="U22" s="303">
        <f>IFERROR([1]DECV법인_취합!AD88,)</f>
        <v>0</v>
      </c>
      <c r="V22" s="300">
        <f>IFERROR([1]DECV법인_취합!AE88,)</f>
        <v>0</v>
      </c>
      <c r="W22" s="300">
        <f>IFERROR([1]DECV법인_취합!AF88,)</f>
        <v>0</v>
      </c>
      <c r="X22" s="303">
        <f>IFERROR([1]DECV법인_취합!AG88,)</f>
        <v>0</v>
      </c>
      <c r="Y22" s="303">
        <f>IFERROR([1]DECV법인_취합!AH88,)</f>
        <v>0</v>
      </c>
      <c r="Z22" s="303">
        <f>IFERROR([1]DECV법인_취합!AI88,)</f>
        <v>0</v>
      </c>
      <c r="AA22" s="300">
        <f>IFERROR([1]DECV법인_취합!AJ88,)</f>
        <v>0</v>
      </c>
      <c r="AB22" s="303">
        <f>IFERROR([1]DECV법인_취합!AK88,)</f>
        <v>0</v>
      </c>
      <c r="AC22" s="303">
        <f>IFERROR([1]DECV법인_취합!AL88,)</f>
        <v>0</v>
      </c>
      <c r="AD22" s="301">
        <f>IFERROR([1]DECV법인_취합!AM88,)</f>
        <v>0</v>
      </c>
      <c r="AE22" s="299">
        <f>IFERROR([1]DECV법인_취합!AN88,)</f>
        <v>0</v>
      </c>
      <c r="AF22" s="303">
        <f>IFERROR([1]DECV법인_취합!AO88,)</f>
        <v>0</v>
      </c>
      <c r="AG22" s="303">
        <f>IFERROR([1]DECV법인_취합!AP88,)</f>
        <v>0</v>
      </c>
      <c r="AH22" s="303">
        <f>IFERROR([1]DECV법인_취합!AQ88,)</f>
        <v>0</v>
      </c>
      <c r="AI22" s="303">
        <f>IFERROR([1]DECV법인_취합!AR88,)</f>
        <v>0</v>
      </c>
      <c r="AJ22" s="303">
        <f>IFERROR([1]DECV법인_취합!AS88,)</f>
        <v>0</v>
      </c>
      <c r="AK22" s="303">
        <f>IFERROR([1]DECV법인_취합!AT88,)</f>
        <v>0</v>
      </c>
      <c r="AL22" s="303">
        <f>IFERROR([1]DECV법인_취합!AU88,)</f>
        <v>0</v>
      </c>
      <c r="AM22" s="303">
        <f>IFERROR([1]DECV법인_취합!AV88,)</f>
        <v>0</v>
      </c>
      <c r="AN22" s="303">
        <f>IFERROR([1]DECV법인_취합!AW88,)</f>
        <v>0</v>
      </c>
      <c r="AO22" s="303">
        <f>IFERROR([1]DECV법인_취합!AX88,)</f>
        <v>0</v>
      </c>
      <c r="AP22" s="301">
        <f>IFERROR([1]DECV법인_취합!AY88,)</f>
        <v>0</v>
      </c>
      <c r="AQ22" s="299">
        <f>IFERROR([1]DECV법인_취합!AZ88,)</f>
        <v>0</v>
      </c>
      <c r="AR22" s="303">
        <f>IFERROR([1]DECV법인_취합!BA88,)</f>
        <v>0</v>
      </c>
      <c r="AS22" s="303">
        <f>IFERROR([1]DECV법인_취합!BB88,)</f>
        <v>0</v>
      </c>
      <c r="AT22" s="303">
        <f>IFERROR([1]DECV법인_취합!BC88,)</f>
        <v>0</v>
      </c>
      <c r="AU22" s="303">
        <f>IFERROR([1]DECV법인_취합!BD88,)</f>
        <v>0</v>
      </c>
      <c r="AV22" s="303">
        <f>IFERROR([1]DECV법인_취합!BE88,)</f>
        <v>0</v>
      </c>
      <c r="AW22" s="303">
        <f>IFERROR([1]DECV법인_취합!BF88,)</f>
        <v>0</v>
      </c>
      <c r="AX22" s="303">
        <f>IFERROR([1]DECV법인_취합!BG88,)</f>
        <v>0</v>
      </c>
      <c r="AY22" s="303">
        <f>IFERROR([1]DECV법인_취합!BH88,)</f>
        <v>0</v>
      </c>
      <c r="AZ22" s="303">
        <f>IFERROR([1]DECV법인_취합!BI88,)</f>
        <v>0</v>
      </c>
      <c r="BA22" s="303">
        <f>IFERROR([1]DECV법인_취합!BJ88,)</f>
        <v>0</v>
      </c>
      <c r="BB22" s="301">
        <f>IFERROR([1]DECV법인_취합!BK88,)</f>
        <v>0</v>
      </c>
      <c r="BC22" s="299">
        <f>IFERROR([1]DECV법인_취합!BL88,)</f>
        <v>0</v>
      </c>
      <c r="BD22" s="303">
        <f>IFERROR([1]DECV법인_취합!BM88,)</f>
        <v>0</v>
      </c>
      <c r="BE22" s="303">
        <f>IFERROR([1]DECV법인_취합!BN88,)</f>
        <v>0</v>
      </c>
      <c r="BF22" s="303">
        <f>IFERROR([1]DECV법인_취합!BO88,)</f>
        <v>0</v>
      </c>
      <c r="BG22" s="303">
        <f>IFERROR([1]DECV법인_취합!BP88,)</f>
        <v>0</v>
      </c>
      <c r="BH22" s="303">
        <f>IFERROR([1]DECV법인_취합!BQ88,)</f>
        <v>0</v>
      </c>
      <c r="BI22" s="303">
        <f>IFERROR([1]DECV법인_취합!BR88,)</f>
        <v>0</v>
      </c>
      <c r="BJ22" s="303">
        <f>IFERROR([1]DECV법인_취합!BS88,)</f>
        <v>0</v>
      </c>
      <c r="BK22" s="303">
        <f>IFERROR([1]DECV법인_취합!BT88,)</f>
        <v>0</v>
      </c>
      <c r="BL22" s="303">
        <f>IFERROR([1]DECV법인_취합!BU88,)</f>
        <v>0</v>
      </c>
      <c r="BM22" s="303">
        <f>IFERROR([1]DECV법인_취합!BV88,)</f>
        <v>0</v>
      </c>
      <c r="BN22" s="301">
        <f>IFERROR([1]DECV법인_취합!BW88,)</f>
        <v>0</v>
      </c>
    </row>
    <row r="23" spans="1:66" s="33" customFormat="1" ht="50.1" customHeight="1">
      <c r="A23" s="660" t="s">
        <v>32</v>
      </c>
      <c r="B23" s="307" t="s">
        <v>5</v>
      </c>
      <c r="C23" s="28" t="s">
        <v>147</v>
      </c>
      <c r="D23" s="30"/>
      <c r="E23" s="34" t="s">
        <v>38</v>
      </c>
      <c r="F23" s="35"/>
      <c r="G23" s="43"/>
      <c r="H23" s="31"/>
      <c r="I23" s="34"/>
      <c r="J23" s="31"/>
      <c r="K23" s="31"/>
      <c r="L23" s="31"/>
      <c r="M23" s="43"/>
      <c r="N23" s="31"/>
      <c r="O23" s="34"/>
      <c r="P23" s="34"/>
      <c r="Q23" s="31"/>
      <c r="R23" s="35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2"/>
      <c r="AE23" s="30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2" t="s">
        <v>148</v>
      </c>
      <c r="AQ23" s="30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2"/>
      <c r="BC23" s="30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2"/>
    </row>
    <row r="24" spans="1:66" s="33" customFormat="1" ht="20.100000000000001" customHeight="1">
      <c r="A24" s="661"/>
      <c r="B24" s="307"/>
      <c r="C24" s="289">
        <f>SUM(D24:BN24)</f>
        <v>78600</v>
      </c>
      <c r="D24" s="290">
        <f>IFERROR([1]DECV법인_취합!#REF!/10^3,)</f>
        <v>0</v>
      </c>
      <c r="E24" s="294">
        <f>IFERROR([1]DECV법인_취합!#REF!/10^3,)</f>
        <v>0</v>
      </c>
      <c r="F24" s="292">
        <f>IFERROR([1]DECV법인_취합!#REF!/10^3,)</f>
        <v>0</v>
      </c>
      <c r="G24" s="294">
        <f>IFERROR([1]DECV법인_취합!P87/10^3,)</f>
        <v>0</v>
      </c>
      <c r="H24" s="294">
        <f>IFERROR([1]DECV법인_취합!Q47,)</f>
        <v>0</v>
      </c>
      <c r="I24" s="294">
        <f>IFERROR([1]DECV법인_취합!R47,)</f>
        <v>0</v>
      </c>
      <c r="J24" s="294">
        <f>IFERROR([1]DECV법인_취합!S47,)</f>
        <v>0</v>
      </c>
      <c r="K24" s="294">
        <f>IFERROR([1]DECV법인_취합!T47,)</f>
        <v>0</v>
      </c>
      <c r="L24" s="294">
        <f>IFERROR([1]DECV법인_취합!U47,)</f>
        <v>0</v>
      </c>
      <c r="M24" s="294">
        <f>IFERROR([1]DECV법인_취합!V47,)</f>
        <v>0</v>
      </c>
      <c r="N24" s="294">
        <f>IFERROR([1]DECV법인_취합!W47,)</f>
        <v>0</v>
      </c>
      <c r="O24" s="294">
        <f>IFERROR([1]DECV법인_취합!X47,)</f>
        <v>0</v>
      </c>
      <c r="P24" s="294">
        <f>IFERROR([1]DECV법인_취합!Y47,)</f>
        <v>0</v>
      </c>
      <c r="Q24" s="294">
        <f>IFERROR([1]DECV법인_취합!Z47,)</f>
        <v>0</v>
      </c>
      <c r="R24" s="292">
        <f>IFERROR([1]DECV법인_취합!AA47,)</f>
        <v>0</v>
      </c>
      <c r="S24" s="290">
        <f>IFERROR([1]DECV법인_취합!AB47,)</f>
        <v>0</v>
      </c>
      <c r="T24" s="294">
        <f>IFERROR([1]DECV법인_취합!AC47,)</f>
        <v>0</v>
      </c>
      <c r="U24" s="294">
        <f>IFERROR([1]DECV법인_취합!AD47,)</f>
        <v>0</v>
      </c>
      <c r="V24" s="294">
        <f>IFERROR([1]DECV법인_취합!AE47,)</f>
        <v>0</v>
      </c>
      <c r="W24" s="294">
        <f>IFERROR([1]DECV법인_취합!AF47,)</f>
        <v>0</v>
      </c>
      <c r="X24" s="294">
        <f>IFERROR([1]DECV법인_취합!AG47,)</f>
        <v>0</v>
      </c>
      <c r="Y24" s="294">
        <f>IFERROR([1]DECV법인_취합!AH47,)</f>
        <v>0</v>
      </c>
      <c r="Z24" s="294">
        <f>IFERROR([1]DECV법인_취합!AI47,)</f>
        <v>0</v>
      </c>
      <c r="AA24" s="294">
        <f>IFERROR([1]DECV법인_취합!AJ47,)</f>
        <v>0</v>
      </c>
      <c r="AB24" s="294">
        <f>IFERROR([1]DECV법인_취합!AK47,)</f>
        <v>0</v>
      </c>
      <c r="AC24" s="294">
        <f>IFERROR([1]DECV법인_취합!AL47,)</f>
        <v>0</v>
      </c>
      <c r="AD24" s="292">
        <f>IFERROR([1]DECV법인_취합!AM47,)</f>
        <v>0</v>
      </c>
      <c r="AE24" s="290">
        <f>IFERROR([1]DECV법인_취합!AN47,)</f>
        <v>0</v>
      </c>
      <c r="AF24" s="294">
        <f>IFERROR([1]DECV법인_취합!AO47,)</f>
        <v>0</v>
      </c>
      <c r="AG24" s="294">
        <f>IFERROR([1]DECV법인_취합!AP47,)</f>
        <v>0</v>
      </c>
      <c r="AH24" s="294">
        <f>IFERROR([1]DECV법인_취합!AQ47,)</f>
        <v>0</v>
      </c>
      <c r="AI24" s="294">
        <f>IFERROR([1]DECV법인_취합!AR47,)</f>
        <v>0</v>
      </c>
      <c r="AJ24" s="294">
        <f>IFERROR([1]DECV법인_취합!AS47,)</f>
        <v>0</v>
      </c>
      <c r="AK24" s="294">
        <f>IFERROR([1]DECV법인_취합!AT47,)</f>
        <v>0</v>
      </c>
      <c r="AL24" s="294">
        <f>IFERROR([1]DECV법인_취합!AU47,)</f>
        <v>0</v>
      </c>
      <c r="AM24" s="294">
        <f>IFERROR([1]DECV법인_취합!AV47,)</f>
        <v>0</v>
      </c>
      <c r="AN24" s="294">
        <f>IFERROR([1]DECV법인_취합!AW47,)</f>
        <v>0</v>
      </c>
      <c r="AO24" s="294">
        <f>IFERROR([1]DECV법인_취합!AX47,)</f>
        <v>0</v>
      </c>
      <c r="AP24" s="292">
        <f>IFERROR([1]DECV법인_취합!AY47,)</f>
        <v>0</v>
      </c>
      <c r="AQ24" s="290">
        <f>IFERROR([1]DECV법인_취합!AZ47,)</f>
        <v>0</v>
      </c>
      <c r="AR24" s="294">
        <f>IFERROR([1]DECV법인_취합!BA47,)</f>
        <v>0</v>
      </c>
      <c r="AS24" s="294">
        <f>IFERROR([1]DECV법인_취합!BB47,)</f>
        <v>0</v>
      </c>
      <c r="AT24" s="294">
        <f>IFERROR([1]DECV법인_취합!BC47,)</f>
        <v>0</v>
      </c>
      <c r="AU24" s="294">
        <f>IFERROR([1]DECV법인_취합!BD47,)</f>
        <v>0</v>
      </c>
      <c r="AV24" s="294">
        <f>IFERROR([1]DECV법인_취합!BE47,)</f>
        <v>0</v>
      </c>
      <c r="AW24" s="294">
        <f>IFERROR([1]DECV법인_취합!BF47,)</f>
        <v>0</v>
      </c>
      <c r="AX24" s="294">
        <f>IFERROR([1]DECV법인_취합!BG47,)</f>
        <v>0</v>
      </c>
      <c r="AY24" s="294">
        <f>IFERROR([1]DECV법인_취합!BH47,)</f>
        <v>0</v>
      </c>
      <c r="AZ24" s="294">
        <f>IFERROR([1]DECV법인_취합!BI47,)</f>
        <v>0</v>
      </c>
      <c r="BA24" s="294">
        <f>IFERROR([1]DECV법인_취합!BJ47,)</f>
        <v>0</v>
      </c>
      <c r="BB24" s="292">
        <f>IFERROR([1]DECV법인_취합!BK47,)</f>
        <v>0</v>
      </c>
      <c r="BC24" s="290">
        <f>IFERROR([1]DECV법인_취합!BL47,)</f>
        <v>0</v>
      </c>
      <c r="BD24" s="294">
        <f>IFERROR([1]DECV법인_취합!BM47,)</f>
        <v>0</v>
      </c>
      <c r="BE24" s="294">
        <f>IFERROR([1]DECV법인_취합!BN47,)</f>
        <v>0</v>
      </c>
      <c r="BF24" s="294">
        <f>IFERROR([1]DECV법인_취합!BO47,)</f>
        <v>0</v>
      </c>
      <c r="BG24" s="294">
        <f>IFERROR([1]DECV법인_취합!BP47,)</f>
        <v>78600</v>
      </c>
      <c r="BH24" s="294">
        <f>IFERROR([1]DECV법인_취합!BQ47,)</f>
        <v>0</v>
      </c>
      <c r="BI24" s="294">
        <f>IFERROR([1]DECV법인_취합!BR47,)</f>
        <v>0</v>
      </c>
      <c r="BJ24" s="294">
        <f>IFERROR([1]DECV법인_취합!BS47,)</f>
        <v>0</v>
      </c>
      <c r="BK24" s="294">
        <f>IFERROR([1]DECV법인_취합!BT47,)</f>
        <v>0</v>
      </c>
      <c r="BL24" s="294">
        <f>IFERROR([1]DECV법인_취합!BU47,)</f>
        <v>0</v>
      </c>
      <c r="BM24" s="294">
        <f>IFERROR([1]DECV법인_취합!BV47,)</f>
        <v>0</v>
      </c>
      <c r="BN24" s="292">
        <f>IFERROR([1]DECV법인_취합!BW47,)</f>
        <v>0</v>
      </c>
    </row>
    <row r="25" spans="1:66" ht="50.1" customHeight="1">
      <c r="A25" s="661"/>
      <c r="B25" s="308" t="s">
        <v>9</v>
      </c>
      <c r="C25" s="29" t="s">
        <v>144</v>
      </c>
      <c r="D25" s="18"/>
      <c r="E25" s="3" t="s">
        <v>38</v>
      </c>
      <c r="F25" s="27"/>
      <c r="G25" s="44"/>
      <c r="H25" s="2"/>
      <c r="I25" s="3"/>
      <c r="J25" s="2"/>
      <c r="K25" s="2" t="s">
        <v>47</v>
      </c>
      <c r="L25" s="2"/>
      <c r="M25" s="44" t="s">
        <v>46</v>
      </c>
      <c r="N25" s="2"/>
      <c r="O25" s="3" t="s">
        <v>41</v>
      </c>
      <c r="P25" s="3"/>
      <c r="Q25" s="2"/>
      <c r="R25" s="27"/>
      <c r="S25" s="18"/>
      <c r="T25" s="2"/>
      <c r="U25" s="2"/>
      <c r="V25" s="2" t="s">
        <v>42</v>
      </c>
      <c r="W25" s="2"/>
      <c r="X25" s="2" t="s">
        <v>43</v>
      </c>
      <c r="Y25" s="2"/>
      <c r="Z25" s="2"/>
      <c r="AA25" s="2"/>
      <c r="AB25" s="2"/>
      <c r="AC25" s="2"/>
      <c r="AD25" s="26"/>
      <c r="AE25" s="18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6"/>
      <c r="AQ25" s="18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6"/>
      <c r="BC25" s="18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6"/>
    </row>
    <row r="26" spans="1:66" ht="20.100000000000001" customHeight="1">
      <c r="A26" s="661"/>
      <c r="B26" s="308"/>
      <c r="C26" s="298">
        <f>SUM(D26:BN26)</f>
        <v>78600</v>
      </c>
      <c r="D26" s="299">
        <f>IFERROR([1]DECV법인_취합!#REF!/10^3,)</f>
        <v>0</v>
      </c>
      <c r="E26" s="303">
        <f>IFERROR([1]DECV법인_취합!#REF!/10^3,)</f>
        <v>0</v>
      </c>
      <c r="F26" s="301">
        <f>IFERROR([1]DECV법인_취합!#REF!/10^3,)</f>
        <v>0</v>
      </c>
      <c r="G26" s="303">
        <f>IFERROR([1]DECV법인_취합!P89/10^3,)</f>
        <v>0</v>
      </c>
      <c r="H26" s="303">
        <f>IFERROR([1]DECV법인_취합!Q89,)</f>
        <v>0</v>
      </c>
      <c r="I26" s="303">
        <f>IFERROR([1]DECV법인_취합!R89,)</f>
        <v>0</v>
      </c>
      <c r="J26" s="303">
        <f>IFERROR([1]DECV법인_취합!S89,)</f>
        <v>0</v>
      </c>
      <c r="K26" s="303">
        <f>IFERROR([1]DECV법인_취합!T89,)</f>
        <v>600</v>
      </c>
      <c r="L26" s="303">
        <f>IFERROR([1]DECV법인_취합!U89,)</f>
        <v>0</v>
      </c>
      <c r="M26" s="303">
        <f>IFERROR([1]DECV법인_취합!V89,)</f>
        <v>3900</v>
      </c>
      <c r="N26" s="303">
        <f>IFERROR([1]DECV법인_취합!W89,)</f>
        <v>0</v>
      </c>
      <c r="O26" s="303">
        <f>IFERROR([1]DECV법인_취합!X89,)</f>
        <v>3900</v>
      </c>
      <c r="P26" s="303">
        <f>IFERROR([1]DECV법인_취합!Y89,)</f>
        <v>0</v>
      </c>
      <c r="Q26" s="303">
        <f>IFERROR([1]DECV법인_취합!Z89,)</f>
        <v>0</v>
      </c>
      <c r="R26" s="301">
        <f>IFERROR([1]DECV법인_취합!AA89,)</f>
        <v>0</v>
      </c>
      <c r="S26" s="299">
        <f>IFERROR([1]DECV법인_취합!AB89,)</f>
        <v>0</v>
      </c>
      <c r="T26" s="303">
        <f>IFERROR([1]DECV법인_취합!AC89,)</f>
        <v>0</v>
      </c>
      <c r="U26" s="303">
        <f>IFERROR([1]DECV법인_취합!AD89,)</f>
        <v>0</v>
      </c>
      <c r="V26" s="303">
        <f>IFERROR([1]DECV법인_취합!AE89,)</f>
        <v>62400</v>
      </c>
      <c r="W26" s="303">
        <f>IFERROR([1]DECV법인_취합!AF89,)</f>
        <v>0</v>
      </c>
      <c r="X26" s="303">
        <f>IFERROR([1]DECV법인_취합!AG89,)</f>
        <v>7800</v>
      </c>
      <c r="Y26" s="303">
        <f>IFERROR([1]DECV법인_취합!AH89,)</f>
        <v>0</v>
      </c>
      <c r="Z26" s="303">
        <f>IFERROR([1]DECV법인_취합!AI89,)</f>
        <v>0</v>
      </c>
      <c r="AA26" s="303">
        <f>IFERROR([1]DECV법인_취합!AJ89,)</f>
        <v>0</v>
      </c>
      <c r="AB26" s="303">
        <f>IFERROR([1]DECV법인_취합!AK89,)</f>
        <v>0</v>
      </c>
      <c r="AC26" s="303">
        <f>IFERROR([1]DECV법인_취합!AL89,)</f>
        <v>0</v>
      </c>
      <c r="AD26" s="301">
        <f>IFERROR([1]DECV법인_취합!AM89,)</f>
        <v>0</v>
      </c>
      <c r="AE26" s="299">
        <f>IFERROR([1]DECV법인_취합!AN89,)</f>
        <v>0</v>
      </c>
      <c r="AF26" s="303">
        <f>IFERROR([1]DECV법인_취합!AO89,)</f>
        <v>0</v>
      </c>
      <c r="AG26" s="303">
        <f>IFERROR([1]DECV법인_취합!AP89,)</f>
        <v>0</v>
      </c>
      <c r="AH26" s="303">
        <f>IFERROR([1]DECV법인_취합!AQ89,)</f>
        <v>0</v>
      </c>
      <c r="AI26" s="303">
        <f>IFERROR([1]DECV법인_취합!AR89,)</f>
        <v>0</v>
      </c>
      <c r="AJ26" s="303">
        <f>IFERROR([1]DECV법인_취합!AS89,)</f>
        <v>0</v>
      </c>
      <c r="AK26" s="303">
        <f>IFERROR([1]DECV법인_취합!AT89,)</f>
        <v>0</v>
      </c>
      <c r="AL26" s="303">
        <f>IFERROR([1]DECV법인_취합!AU89,)</f>
        <v>0</v>
      </c>
      <c r="AM26" s="303">
        <f>IFERROR([1]DECV법인_취합!AV89,)</f>
        <v>0</v>
      </c>
      <c r="AN26" s="303">
        <f>IFERROR([1]DECV법인_취합!AW89,)</f>
        <v>0</v>
      </c>
      <c r="AO26" s="303">
        <f>IFERROR([1]DECV법인_취합!AX89,)</f>
        <v>0</v>
      </c>
      <c r="AP26" s="301">
        <f>IFERROR([1]DECV법인_취합!AY89,)</f>
        <v>0</v>
      </c>
      <c r="AQ26" s="299">
        <f>IFERROR([1]DECV법인_취합!AZ89,)</f>
        <v>0</v>
      </c>
      <c r="AR26" s="303">
        <f>IFERROR([1]DECV법인_취합!BA89,)</f>
        <v>0</v>
      </c>
      <c r="AS26" s="303">
        <f>IFERROR([1]DECV법인_취합!BB89,)</f>
        <v>0</v>
      </c>
      <c r="AT26" s="303">
        <f>IFERROR([1]DECV법인_취합!BC89,)</f>
        <v>0</v>
      </c>
      <c r="AU26" s="303">
        <f>IFERROR([1]DECV법인_취합!BD89,)</f>
        <v>0</v>
      </c>
      <c r="AV26" s="303">
        <f>IFERROR([1]DECV법인_취합!BE89,)</f>
        <v>0</v>
      </c>
      <c r="AW26" s="303">
        <f>IFERROR([1]DECV법인_취합!BF89,)</f>
        <v>0</v>
      </c>
      <c r="AX26" s="303">
        <f>IFERROR([1]DECV법인_취합!BG89,)</f>
        <v>0</v>
      </c>
      <c r="AY26" s="303">
        <f>IFERROR([1]DECV법인_취합!BH89,)</f>
        <v>0</v>
      </c>
      <c r="AZ26" s="303">
        <f>IFERROR([1]DECV법인_취합!BI89,)</f>
        <v>0</v>
      </c>
      <c r="BA26" s="303">
        <f>IFERROR([1]DECV법인_취합!BJ89,)</f>
        <v>0</v>
      </c>
      <c r="BB26" s="301">
        <f>IFERROR([1]DECV법인_취합!BK89,)</f>
        <v>0</v>
      </c>
      <c r="BC26" s="299">
        <f>IFERROR([1]DECV법인_취합!BL89,)</f>
        <v>0</v>
      </c>
      <c r="BD26" s="303">
        <f>IFERROR([1]DECV법인_취합!BM89,)</f>
        <v>0</v>
      </c>
      <c r="BE26" s="303">
        <f>IFERROR([1]DECV법인_취합!BN89,)</f>
        <v>0</v>
      </c>
      <c r="BF26" s="303">
        <f>IFERROR([1]DECV법인_취합!BO89,)</f>
        <v>0</v>
      </c>
      <c r="BG26" s="303">
        <f>IFERROR([1]DECV법인_취합!BP89,)</f>
        <v>0</v>
      </c>
      <c r="BH26" s="303">
        <f>IFERROR([1]DECV법인_취합!BQ89,)</f>
        <v>0</v>
      </c>
      <c r="BI26" s="303">
        <f>IFERROR([1]DECV법인_취합!BR89,)</f>
        <v>0</v>
      </c>
      <c r="BJ26" s="303">
        <f>IFERROR([1]DECV법인_취합!BS89,)</f>
        <v>0</v>
      </c>
      <c r="BK26" s="303">
        <f>IFERROR([1]DECV법인_취합!BT89,)</f>
        <v>0</v>
      </c>
      <c r="BL26" s="303">
        <f>IFERROR([1]DECV법인_취합!BU89,)</f>
        <v>0</v>
      </c>
      <c r="BM26" s="303">
        <f>IFERROR([1]DECV법인_취합!BV89,)</f>
        <v>0</v>
      </c>
      <c r="BN26" s="301">
        <f>IFERROR([1]DECV법인_취합!BW89,)</f>
        <v>0</v>
      </c>
    </row>
    <row r="27" spans="1:66" ht="50.1" customHeight="1">
      <c r="A27" s="661"/>
      <c r="B27" s="308" t="s">
        <v>9</v>
      </c>
      <c r="C27" s="29" t="s">
        <v>149</v>
      </c>
      <c r="D27" s="18"/>
      <c r="E27" s="2" t="s">
        <v>22</v>
      </c>
      <c r="F27" s="26" t="s">
        <v>22</v>
      </c>
      <c r="G27" s="45"/>
      <c r="H27" s="2"/>
      <c r="I27" s="45"/>
      <c r="J27" s="2"/>
      <c r="K27" s="45" t="s">
        <v>44</v>
      </c>
      <c r="L27" s="2"/>
      <c r="M27" s="2"/>
      <c r="N27" s="2"/>
      <c r="O27" s="2"/>
      <c r="P27" s="2"/>
      <c r="Q27" s="2"/>
      <c r="R27" s="26"/>
      <c r="S27" s="18"/>
      <c r="T27" s="2"/>
      <c r="U27" s="2"/>
      <c r="V27" s="2"/>
      <c r="W27" s="2"/>
      <c r="X27" s="2"/>
      <c r="Y27" s="2"/>
      <c r="Z27" s="2"/>
      <c r="AA27" s="2"/>
      <c r="AB27" s="2"/>
      <c r="AC27" s="2"/>
      <c r="AD27" s="26"/>
      <c r="AE27" s="18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6"/>
      <c r="AQ27" s="18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6"/>
      <c r="BC27" s="18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6"/>
    </row>
    <row r="28" spans="1:66" ht="20.100000000000001" customHeight="1">
      <c r="A28" s="662"/>
      <c r="B28" s="308"/>
      <c r="C28" s="298">
        <f>SUM(D28:BN28)</f>
        <v>100</v>
      </c>
      <c r="D28" s="299">
        <f>IFERROR([1]DECV법인_취합!#REF!/10^3,)</f>
        <v>0</v>
      </c>
      <c r="E28" s="303">
        <f>IFERROR([1]DECV법인_취합!#REF!/10^3,)</f>
        <v>0</v>
      </c>
      <c r="F28" s="301">
        <f>IFERROR([1]DECV법인_취합!#REF!/10^3,)</f>
        <v>0</v>
      </c>
      <c r="G28" s="303">
        <f>IFERROR([1]DECV법인_취합!P90/10^3,)</f>
        <v>0</v>
      </c>
      <c r="H28" s="303">
        <f>IFERROR([1]DECV법인_취합!Q90,)</f>
        <v>0</v>
      </c>
      <c r="I28" s="303">
        <f>IFERROR([1]DECV법인_취합!R90,)</f>
        <v>0</v>
      </c>
      <c r="J28" s="303">
        <f>IFERROR([1]DECV법인_취합!S90,)</f>
        <v>0</v>
      </c>
      <c r="K28" s="303">
        <f>IFERROR([1]DECV법인_취합!T90,)</f>
        <v>100</v>
      </c>
      <c r="L28" s="303">
        <f>IFERROR([1]DECV법인_취합!U90,)</f>
        <v>0</v>
      </c>
      <c r="M28" s="303">
        <f>IFERROR([1]DECV법인_취합!V90,)</f>
        <v>0</v>
      </c>
      <c r="N28" s="303">
        <f>IFERROR([1]DECV법인_취합!W90,)</f>
        <v>0</v>
      </c>
      <c r="O28" s="303">
        <f>IFERROR([1]DECV법인_취합!X90,)</f>
        <v>0</v>
      </c>
      <c r="P28" s="303">
        <f>IFERROR([1]DECV법인_취합!Y90,)</f>
        <v>0</v>
      </c>
      <c r="Q28" s="303">
        <f>IFERROR([1]DECV법인_취합!Z90,)</f>
        <v>0</v>
      </c>
      <c r="R28" s="301">
        <f>IFERROR([1]DECV법인_취합!AA90,)</f>
        <v>0</v>
      </c>
      <c r="S28" s="299">
        <f>IFERROR([1]DECV법인_취합!AB90,)</f>
        <v>0</v>
      </c>
      <c r="T28" s="303">
        <f>IFERROR([1]DECV법인_취합!AC90,)</f>
        <v>0</v>
      </c>
      <c r="U28" s="303">
        <f>IFERROR([1]DECV법인_취합!AD90,)</f>
        <v>0</v>
      </c>
      <c r="V28" s="303">
        <f>IFERROR([1]DECV법인_취합!AE90,)</f>
        <v>0</v>
      </c>
      <c r="W28" s="303">
        <f>IFERROR([1]DECV법인_취합!AF90,)</f>
        <v>0</v>
      </c>
      <c r="X28" s="303">
        <f>IFERROR([1]DECV법인_취합!AG90,)</f>
        <v>0</v>
      </c>
      <c r="Y28" s="303">
        <f>IFERROR([1]DECV법인_취합!AH90,)</f>
        <v>0</v>
      </c>
      <c r="Z28" s="303">
        <f>IFERROR([1]DECV법인_취합!AI90,)</f>
        <v>0</v>
      </c>
      <c r="AA28" s="303">
        <f>IFERROR([1]DECV법인_취합!AJ90,)</f>
        <v>0</v>
      </c>
      <c r="AB28" s="303">
        <f>IFERROR([1]DECV법인_취합!AK90,)</f>
        <v>0</v>
      </c>
      <c r="AC28" s="303">
        <f>IFERROR([1]DECV법인_취합!AL90,)</f>
        <v>0</v>
      </c>
      <c r="AD28" s="301">
        <f>IFERROR([1]DECV법인_취합!AM90,)</f>
        <v>0</v>
      </c>
      <c r="AE28" s="299">
        <f>IFERROR([1]DECV법인_취합!AN90,)</f>
        <v>0</v>
      </c>
      <c r="AF28" s="303">
        <f>IFERROR([1]DECV법인_취합!AO90,)</f>
        <v>0</v>
      </c>
      <c r="AG28" s="303">
        <f>IFERROR([1]DECV법인_취합!AP90,)</f>
        <v>0</v>
      </c>
      <c r="AH28" s="303">
        <f>IFERROR([1]DECV법인_취합!AQ90,)</f>
        <v>0</v>
      </c>
      <c r="AI28" s="303">
        <f>IFERROR([1]DECV법인_취합!AR90,)</f>
        <v>0</v>
      </c>
      <c r="AJ28" s="303">
        <f>IFERROR([1]DECV법인_취합!AS90,)</f>
        <v>0</v>
      </c>
      <c r="AK28" s="303">
        <f>IFERROR([1]DECV법인_취합!AT90,)</f>
        <v>0</v>
      </c>
      <c r="AL28" s="303">
        <f>IFERROR([1]DECV법인_취합!AU90,)</f>
        <v>0</v>
      </c>
      <c r="AM28" s="303">
        <f>IFERROR([1]DECV법인_취합!AV90,)</f>
        <v>0</v>
      </c>
      <c r="AN28" s="303">
        <f>IFERROR([1]DECV법인_취합!AW90,)</f>
        <v>0</v>
      </c>
      <c r="AO28" s="303">
        <f>IFERROR([1]DECV법인_취합!AX90,)</f>
        <v>0</v>
      </c>
      <c r="AP28" s="301">
        <f>IFERROR([1]DECV법인_취합!AY90,)</f>
        <v>0</v>
      </c>
      <c r="AQ28" s="299">
        <f>IFERROR([1]DECV법인_취합!AZ90,)</f>
        <v>0</v>
      </c>
      <c r="AR28" s="303">
        <f>IFERROR([1]DECV법인_취합!BA90,)</f>
        <v>0</v>
      </c>
      <c r="AS28" s="303">
        <f>IFERROR([1]DECV법인_취합!BB90,)</f>
        <v>0</v>
      </c>
      <c r="AT28" s="303">
        <f>IFERROR([1]DECV법인_취합!BC90,)</f>
        <v>0</v>
      </c>
      <c r="AU28" s="303">
        <f>IFERROR([1]DECV법인_취합!BD90,)</f>
        <v>0</v>
      </c>
      <c r="AV28" s="303">
        <f>IFERROR([1]DECV법인_취합!BE90,)</f>
        <v>0</v>
      </c>
      <c r="AW28" s="303">
        <f>IFERROR([1]DECV법인_취합!BF90,)</f>
        <v>0</v>
      </c>
      <c r="AX28" s="303">
        <f>IFERROR([1]DECV법인_취합!BG90,)</f>
        <v>0</v>
      </c>
      <c r="AY28" s="303">
        <f>IFERROR([1]DECV법인_취합!BH90,)</f>
        <v>0</v>
      </c>
      <c r="AZ28" s="303">
        <f>IFERROR([1]DECV법인_취합!BI90,)</f>
        <v>0</v>
      </c>
      <c r="BA28" s="303">
        <f>IFERROR([1]DECV법인_취합!BJ90,)</f>
        <v>0</v>
      </c>
      <c r="BB28" s="301">
        <f>IFERROR([1]DECV법인_취합!BK90,)</f>
        <v>0</v>
      </c>
      <c r="BC28" s="299">
        <f>IFERROR([1]DECV법인_취합!BL90,)</f>
        <v>0</v>
      </c>
      <c r="BD28" s="303">
        <f>IFERROR([1]DECV법인_취합!BM90,)</f>
        <v>0</v>
      </c>
      <c r="BE28" s="303">
        <f>IFERROR([1]DECV법인_취합!BN90,)</f>
        <v>0</v>
      </c>
      <c r="BF28" s="303">
        <f>IFERROR([1]DECV법인_취합!BO90,)</f>
        <v>0</v>
      </c>
      <c r="BG28" s="303">
        <f>IFERROR([1]DECV법인_취합!BP90,)</f>
        <v>0</v>
      </c>
      <c r="BH28" s="303">
        <f>IFERROR([1]DECV법인_취합!BQ90,)</f>
        <v>0</v>
      </c>
      <c r="BI28" s="303">
        <f>IFERROR([1]DECV법인_취합!BR90,)</f>
        <v>0</v>
      </c>
      <c r="BJ28" s="303">
        <f>IFERROR([1]DECV법인_취합!BS90,)</f>
        <v>0</v>
      </c>
      <c r="BK28" s="303">
        <f>IFERROR([1]DECV법인_취합!BT90,)</f>
        <v>0</v>
      </c>
      <c r="BL28" s="303">
        <f>IFERROR([1]DECV법인_취합!BU90,)</f>
        <v>0</v>
      </c>
      <c r="BM28" s="303">
        <f>IFERROR([1]DECV법인_취합!BV90,)</f>
        <v>0</v>
      </c>
      <c r="BN28" s="301">
        <f>IFERROR([1]DECV법인_취합!BW90,)</f>
        <v>0</v>
      </c>
    </row>
  </sheetData>
  <autoFilter ref="A4:AP28" xr:uid="{00000000-0009-0000-0000-000003000000}"/>
  <mergeCells count="4">
    <mergeCell ref="A5:A10"/>
    <mergeCell ref="A11:A16"/>
    <mergeCell ref="A17:A22"/>
    <mergeCell ref="A23:A28"/>
  </mergeCells>
  <phoneticPr fontId="18" type="noConversion"/>
  <pageMargins left="0.23622047244094491" right="0.23622047244094491" top="0.74803149606299213" bottom="0.74803149606299213" header="0.31496062992125984" footer="0.31496062992125984"/>
  <pageSetup paperSize="8" scale="27" fitToWidth="2" fitToHeight="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99389629810485"/>
  </sheetPr>
  <dimension ref="B2:F7"/>
  <sheetViews>
    <sheetView zoomScale="85" zoomScaleNormal="85" workbookViewId="0">
      <selection activeCell="T21" sqref="T21"/>
    </sheetView>
  </sheetViews>
  <sheetFormatPr defaultRowHeight="16.5"/>
  <cols>
    <col min="2" max="4" width="15.125" customWidth="1"/>
    <col min="5" max="5" width="16.125" customWidth="1"/>
    <col min="6" max="6" width="61.75" bestFit="1" customWidth="1"/>
  </cols>
  <sheetData>
    <row r="2" spans="2:6" ht="17.25">
      <c r="B2" s="309" t="s">
        <v>150</v>
      </c>
      <c r="C2" s="309" t="s">
        <v>151</v>
      </c>
      <c r="D2" s="309" t="s">
        <v>152</v>
      </c>
      <c r="E2" s="309" t="s">
        <v>153</v>
      </c>
      <c r="F2" s="310" t="s">
        <v>154</v>
      </c>
    </row>
    <row r="3" spans="2:6" ht="60.75" customHeight="1">
      <c r="B3" s="311" t="s">
        <v>82</v>
      </c>
      <c r="C3" s="311" t="s">
        <v>155</v>
      </c>
      <c r="D3" s="311" t="s">
        <v>5</v>
      </c>
      <c r="E3" s="312">
        <v>160000</v>
      </c>
      <c r="F3" s="313" t="s">
        <v>156</v>
      </c>
    </row>
    <row r="4" spans="2:6" ht="60.75" customHeight="1">
      <c r="B4" s="311" t="s">
        <v>157</v>
      </c>
      <c r="C4" s="311" t="s">
        <v>109</v>
      </c>
      <c r="D4" s="311" t="s">
        <v>9</v>
      </c>
      <c r="E4" s="312">
        <v>78000</v>
      </c>
      <c r="F4" s="314" t="s">
        <v>158</v>
      </c>
    </row>
    <row r="5" spans="2:6" ht="60.75" customHeight="1">
      <c r="B5" s="311" t="s">
        <v>159</v>
      </c>
      <c r="C5" s="311" t="s">
        <v>109</v>
      </c>
      <c r="D5" s="311" t="s">
        <v>9</v>
      </c>
      <c r="E5" s="318">
        <v>120070</v>
      </c>
      <c r="F5" s="313" t="s">
        <v>160</v>
      </c>
    </row>
    <row r="6" spans="2:6" ht="60.75" customHeight="1">
      <c r="B6" s="311" t="s">
        <v>161</v>
      </c>
      <c r="C6" s="311" t="s">
        <v>109</v>
      </c>
      <c r="D6" s="311" t="s">
        <v>9</v>
      </c>
      <c r="E6" s="312">
        <v>23180</v>
      </c>
      <c r="F6" s="313" t="s">
        <v>160</v>
      </c>
    </row>
    <row r="7" spans="2:6" ht="60.75" customHeight="1">
      <c r="B7" s="315" t="s">
        <v>162</v>
      </c>
      <c r="C7" s="315" t="s">
        <v>163</v>
      </c>
      <c r="D7" s="315" t="s">
        <v>164</v>
      </c>
      <c r="E7" s="316">
        <v>70000</v>
      </c>
      <c r="F7" s="317" t="s">
        <v>165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59999389629810485"/>
  </sheetPr>
  <dimension ref="A1:L10"/>
  <sheetViews>
    <sheetView workbookViewId="0">
      <selection activeCell="T21" sqref="T21"/>
    </sheetView>
  </sheetViews>
  <sheetFormatPr defaultRowHeight="16.5"/>
  <sheetData>
    <row r="1" spans="1:12">
      <c r="A1" s="4"/>
      <c r="B1" s="4"/>
      <c r="C1" s="4"/>
      <c r="D1" s="4"/>
      <c r="E1" s="4"/>
      <c r="F1" s="4"/>
      <c r="G1" s="4"/>
    </row>
    <row r="2" spans="1:12">
      <c r="A2" s="4"/>
      <c r="B2" s="4"/>
      <c r="C2" s="4"/>
      <c r="D2" s="4"/>
      <c r="E2" s="4"/>
      <c r="F2" s="4"/>
      <c r="G2" s="4"/>
    </row>
    <row r="3" spans="1:12">
      <c r="A3" s="4" t="s">
        <v>16</v>
      </c>
      <c r="B3" s="4"/>
      <c r="C3" s="4"/>
      <c r="D3" s="4"/>
      <c r="E3" s="4"/>
      <c r="F3" s="4"/>
      <c r="G3" s="4"/>
    </row>
    <row r="4" spans="1:12">
      <c r="A4" s="5"/>
      <c r="B4" s="6">
        <v>2</v>
      </c>
      <c r="C4" s="6">
        <v>3</v>
      </c>
      <c r="D4" s="6">
        <v>4</v>
      </c>
      <c r="E4" s="6">
        <v>5</v>
      </c>
      <c r="F4" s="6">
        <v>6</v>
      </c>
      <c r="G4" s="6">
        <v>7</v>
      </c>
      <c r="H4" s="6">
        <v>8</v>
      </c>
      <c r="I4" s="6">
        <v>9</v>
      </c>
      <c r="J4" s="6">
        <v>10</v>
      </c>
      <c r="K4" s="6">
        <v>11</v>
      </c>
      <c r="L4" s="6">
        <v>12</v>
      </c>
    </row>
    <row r="5" spans="1:12">
      <c r="A5" s="9" t="s">
        <v>17</v>
      </c>
      <c r="B5" s="10">
        <v>23</v>
      </c>
      <c r="C5" s="10">
        <v>23</v>
      </c>
      <c r="D5" s="10">
        <v>20</v>
      </c>
      <c r="E5" s="10">
        <v>25</v>
      </c>
      <c r="F5" s="10">
        <v>22</v>
      </c>
      <c r="G5" s="10">
        <v>25</v>
      </c>
      <c r="H5" s="10">
        <v>29</v>
      </c>
      <c r="I5" s="10">
        <v>26</v>
      </c>
      <c r="J5" s="10">
        <v>24</v>
      </c>
      <c r="K5" s="10">
        <v>28</v>
      </c>
      <c r="L5" s="47">
        <v>26</v>
      </c>
    </row>
    <row r="7" spans="1:12">
      <c r="A7" s="4" t="s">
        <v>13</v>
      </c>
      <c r="B7" s="4"/>
      <c r="C7" s="4"/>
      <c r="D7" s="4"/>
      <c r="E7" s="4"/>
      <c r="F7" s="4"/>
      <c r="G7" s="4"/>
    </row>
    <row r="8" spans="1:12">
      <c r="A8" s="5"/>
      <c r="B8" s="6">
        <v>2</v>
      </c>
      <c r="C8" s="6">
        <v>3</v>
      </c>
      <c r="D8" s="6">
        <v>4</v>
      </c>
      <c r="E8" s="6">
        <v>5</v>
      </c>
      <c r="F8" s="6">
        <v>6</v>
      </c>
      <c r="G8" s="6">
        <v>7</v>
      </c>
      <c r="H8" s="6">
        <v>8</v>
      </c>
      <c r="I8" s="6">
        <v>9</v>
      </c>
      <c r="J8" s="6">
        <v>10</v>
      </c>
      <c r="K8" s="6">
        <v>11</v>
      </c>
      <c r="L8" s="6">
        <v>12</v>
      </c>
    </row>
    <row r="9" spans="1:12">
      <c r="A9" s="7" t="s">
        <v>14</v>
      </c>
      <c r="B9" s="8">
        <v>10</v>
      </c>
      <c r="C9" s="8">
        <v>10</v>
      </c>
      <c r="D9" s="8">
        <v>14</v>
      </c>
      <c r="E9" s="8">
        <v>12</v>
      </c>
      <c r="F9" s="8">
        <v>16</v>
      </c>
      <c r="G9" s="8">
        <v>12</v>
      </c>
      <c r="H9" s="8">
        <v>9</v>
      </c>
      <c r="I9" s="8">
        <v>13</v>
      </c>
      <c r="J9" s="8">
        <v>11</v>
      </c>
      <c r="K9" s="8">
        <v>15</v>
      </c>
      <c r="L9" s="8">
        <v>13</v>
      </c>
    </row>
    <row r="10" spans="1:12">
      <c r="A10" s="9" t="s">
        <v>15</v>
      </c>
      <c r="B10" s="10">
        <v>28</v>
      </c>
      <c r="C10" s="10">
        <v>31</v>
      </c>
      <c r="D10" s="10">
        <v>28</v>
      </c>
      <c r="E10" s="10">
        <v>31</v>
      </c>
      <c r="F10" s="10">
        <v>30</v>
      </c>
      <c r="G10" s="10">
        <v>31</v>
      </c>
      <c r="H10" s="10">
        <v>30</v>
      </c>
      <c r="I10" s="10">
        <v>30</v>
      </c>
      <c r="J10" s="10">
        <v>30</v>
      </c>
      <c r="K10" s="10">
        <v>29</v>
      </c>
      <c r="L10" s="10">
        <v>31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CH33"/>
  <sheetViews>
    <sheetView zoomScale="85" zoomScaleNormal="85" workbookViewId="0">
      <selection activeCell="T21" sqref="T21"/>
    </sheetView>
  </sheetViews>
  <sheetFormatPr defaultRowHeight="16.5"/>
  <cols>
    <col min="4" max="4" width="10.5" style="432" bestFit="1" customWidth="1"/>
    <col min="5" max="10" width="9" style="54" hidden="1" customWidth="1"/>
    <col min="11" max="11" width="9" style="432" customWidth="1"/>
    <col min="12" max="12" width="0" style="54" hidden="1" customWidth="1"/>
    <col min="13" max="17" width="9" style="54" hidden="1" customWidth="1"/>
    <col min="18" max="18" width="9" style="432" customWidth="1"/>
    <col min="19" max="19" width="0" style="54" hidden="1" customWidth="1"/>
    <col min="20" max="24" width="9" style="54" hidden="1" customWidth="1"/>
    <col min="25" max="25" width="9" style="432" customWidth="1"/>
    <col min="26" max="27" width="9" style="54" hidden="1" customWidth="1"/>
    <col min="28" max="28" width="0" style="54" hidden="1" customWidth="1"/>
    <col min="29" max="31" width="9" style="54" hidden="1" customWidth="1"/>
    <col min="32" max="32" width="9" style="432" customWidth="1"/>
    <col min="33" max="34" width="9" style="54" hidden="1" customWidth="1"/>
    <col min="35" max="35" width="0" style="54" hidden="1" customWidth="1"/>
    <col min="36" max="38" width="9" style="54" hidden="1" customWidth="1"/>
    <col min="39" max="39" width="9" style="432" customWidth="1"/>
    <col min="40" max="43" width="9" style="54" hidden="1" customWidth="1"/>
    <col min="44" max="44" width="0" style="54" hidden="1" customWidth="1"/>
    <col min="45" max="45" width="9" style="54" hidden="1" customWidth="1"/>
    <col min="46" max="46" width="9" style="432" customWidth="1"/>
    <col min="47" max="50" width="9" style="54" hidden="1" customWidth="1"/>
    <col min="51" max="51" width="0" style="54" hidden="1" customWidth="1"/>
    <col min="52" max="52" width="9" style="54" hidden="1" customWidth="1"/>
    <col min="53" max="53" width="9" style="432" customWidth="1"/>
    <col min="54" max="59" width="9" style="54" hidden="1" customWidth="1"/>
    <col min="60" max="60" width="9" style="432" customWidth="1"/>
    <col min="61" max="66" width="9" style="54" hidden="1" customWidth="1"/>
    <col min="67" max="67" width="9" style="432" customWidth="1"/>
    <col min="68" max="68" width="0" style="54" hidden="1" customWidth="1"/>
    <col min="69" max="73" width="9" style="54" hidden="1" customWidth="1"/>
    <col min="74" max="74" width="10.5" style="432" bestFit="1" customWidth="1"/>
    <col min="76" max="76" width="9.875" bestFit="1" customWidth="1"/>
    <col min="77" max="78" width="9.125" bestFit="1" customWidth="1"/>
    <col min="79" max="79" width="9.875" bestFit="1" customWidth="1"/>
    <col min="80" max="81" width="10" bestFit="1" customWidth="1"/>
    <col min="82" max="86" width="9.875" bestFit="1" customWidth="1"/>
  </cols>
  <sheetData>
    <row r="3" spans="2:86">
      <c r="B3" s="419"/>
      <c r="C3" s="419" t="s">
        <v>150</v>
      </c>
      <c r="D3" s="424" t="s">
        <v>274</v>
      </c>
      <c r="E3" s="425" t="s">
        <v>275</v>
      </c>
      <c r="F3" s="425" t="s">
        <v>276</v>
      </c>
      <c r="G3" s="425" t="s">
        <v>215</v>
      </c>
      <c r="H3" s="425" t="s">
        <v>216</v>
      </c>
      <c r="I3" s="425" t="s">
        <v>217</v>
      </c>
      <c r="J3" s="425" t="s">
        <v>218</v>
      </c>
      <c r="K3" s="426" t="s">
        <v>295</v>
      </c>
      <c r="L3" s="425" t="s">
        <v>219</v>
      </c>
      <c r="M3" s="425" t="s">
        <v>220</v>
      </c>
      <c r="N3" s="425" t="s">
        <v>221</v>
      </c>
      <c r="O3" s="425" t="s">
        <v>222</v>
      </c>
      <c r="P3" s="425" t="s">
        <v>223</v>
      </c>
      <c r="Q3" s="425" t="s">
        <v>224</v>
      </c>
      <c r="R3" s="426" t="s">
        <v>296</v>
      </c>
      <c r="S3" s="425" t="s">
        <v>277</v>
      </c>
      <c r="T3" s="425" t="s">
        <v>225</v>
      </c>
      <c r="U3" s="425" t="s">
        <v>226</v>
      </c>
      <c r="V3" s="425" t="s">
        <v>227</v>
      </c>
      <c r="W3" s="425" t="s">
        <v>228</v>
      </c>
      <c r="X3" s="425" t="s">
        <v>229</v>
      </c>
      <c r="Y3" s="426" t="s">
        <v>297</v>
      </c>
      <c r="Z3" s="425" t="s">
        <v>230</v>
      </c>
      <c r="AA3" s="425" t="s">
        <v>231</v>
      </c>
      <c r="AB3" s="425" t="s">
        <v>232</v>
      </c>
      <c r="AC3" s="425" t="s">
        <v>233</v>
      </c>
      <c r="AD3" s="425" t="s">
        <v>234</v>
      </c>
      <c r="AE3" s="425" t="s">
        <v>235</v>
      </c>
      <c r="AF3" s="426" t="s">
        <v>298</v>
      </c>
      <c r="AG3" s="425" t="s">
        <v>278</v>
      </c>
      <c r="AH3" s="425" t="s">
        <v>236</v>
      </c>
      <c r="AI3" s="425" t="s">
        <v>237</v>
      </c>
      <c r="AJ3" s="425" t="s">
        <v>238</v>
      </c>
      <c r="AK3" s="425" t="s">
        <v>239</v>
      </c>
      <c r="AL3" s="425" t="s">
        <v>240</v>
      </c>
      <c r="AM3" s="426" t="s">
        <v>299</v>
      </c>
      <c r="AN3" s="425" t="s">
        <v>241</v>
      </c>
      <c r="AO3" s="425" t="s">
        <v>242</v>
      </c>
      <c r="AP3" s="425" t="s">
        <v>243</v>
      </c>
      <c r="AQ3" s="425" t="s">
        <v>244</v>
      </c>
      <c r="AR3" s="425" t="s">
        <v>245</v>
      </c>
      <c r="AS3" s="425" t="s">
        <v>246</v>
      </c>
      <c r="AT3" s="426" t="s">
        <v>300</v>
      </c>
      <c r="AU3" s="425" t="s">
        <v>279</v>
      </c>
      <c r="AV3" s="425" t="s">
        <v>247</v>
      </c>
      <c r="AW3" s="425" t="s">
        <v>248</v>
      </c>
      <c r="AX3" s="425" t="s">
        <v>249</v>
      </c>
      <c r="AY3" s="425" t="s">
        <v>250</v>
      </c>
      <c r="AZ3" s="425" t="s">
        <v>251</v>
      </c>
      <c r="BA3" s="426" t="s">
        <v>301</v>
      </c>
      <c r="BB3" s="425" t="s">
        <v>252</v>
      </c>
      <c r="BC3" s="425" t="s">
        <v>253</v>
      </c>
      <c r="BD3" s="425" t="s">
        <v>254</v>
      </c>
      <c r="BE3" s="425" t="s">
        <v>255</v>
      </c>
      <c r="BF3" s="425" t="s">
        <v>256</v>
      </c>
      <c r="BG3" s="425" t="s">
        <v>257</v>
      </c>
      <c r="BH3" s="426" t="s">
        <v>302</v>
      </c>
      <c r="BI3" s="425" t="s">
        <v>280</v>
      </c>
      <c r="BJ3" s="425" t="s">
        <v>258</v>
      </c>
      <c r="BK3" s="425" t="s">
        <v>259</v>
      </c>
      <c r="BL3" s="425" t="s">
        <v>260</v>
      </c>
      <c r="BM3" s="425" t="s">
        <v>261</v>
      </c>
      <c r="BN3" s="425" t="s">
        <v>262</v>
      </c>
      <c r="BO3" s="426" t="s">
        <v>303</v>
      </c>
      <c r="BP3" s="425" t="s">
        <v>263</v>
      </c>
      <c r="BQ3" s="425" t="s">
        <v>264</v>
      </c>
      <c r="BR3" s="425" t="s">
        <v>265</v>
      </c>
      <c r="BS3" s="425" t="s">
        <v>266</v>
      </c>
      <c r="BT3" s="425" t="s">
        <v>267</v>
      </c>
      <c r="BU3" s="425" t="s">
        <v>268</v>
      </c>
      <c r="BV3" s="426" t="s">
        <v>304</v>
      </c>
      <c r="BX3" t="s">
        <v>274</v>
      </c>
      <c r="BY3" t="s">
        <v>281</v>
      </c>
      <c r="BZ3" t="s">
        <v>282</v>
      </c>
      <c r="CA3" t="s">
        <v>283</v>
      </c>
      <c r="CB3" t="s">
        <v>284</v>
      </c>
      <c r="CC3" t="s">
        <v>285</v>
      </c>
      <c r="CD3" t="s">
        <v>286</v>
      </c>
      <c r="CE3" t="s">
        <v>287</v>
      </c>
      <c r="CF3" t="s">
        <v>288</v>
      </c>
      <c r="CG3" t="s">
        <v>289</v>
      </c>
      <c r="CH3" t="s">
        <v>290</v>
      </c>
    </row>
    <row r="4" spans="2:86">
      <c r="B4" s="663" t="s">
        <v>62</v>
      </c>
      <c r="C4" s="419" t="s">
        <v>122</v>
      </c>
      <c r="D4" s="427">
        <v>5810</v>
      </c>
      <c r="E4" s="428">
        <v>5401.5000157522882</v>
      </c>
      <c r="F4" s="428">
        <v>2974.8177243867976</v>
      </c>
      <c r="G4" s="428">
        <v>2195.7564385873566</v>
      </c>
      <c r="H4" s="428">
        <v>3141.7255398542352</v>
      </c>
      <c r="I4" s="428">
        <v>3583.271224129267</v>
      </c>
      <c r="J4" s="428">
        <v>5154.9799139751085</v>
      </c>
      <c r="K4" s="427">
        <f>SUM(E4:J4)</f>
        <v>22452.050856685051</v>
      </c>
      <c r="L4" s="428">
        <v>3550.9619388240285</v>
      </c>
      <c r="M4" s="428">
        <v>4009.8534847500532</v>
      </c>
      <c r="N4" s="428">
        <v>4757.2241894140152</v>
      </c>
      <c r="O4" s="428">
        <v>4291.8593153979546</v>
      </c>
      <c r="P4" s="428">
        <v>4730.7226983097116</v>
      </c>
      <c r="Q4" s="428">
        <v>6100.6209434311095</v>
      </c>
      <c r="R4" s="427">
        <f>SUM(L4:Q4)</f>
        <v>27441.242570126873</v>
      </c>
      <c r="S4" s="428">
        <v>8644.8959179375815</v>
      </c>
      <c r="T4" s="428">
        <v>8643.0188874721243</v>
      </c>
      <c r="U4" s="428">
        <v>10249.597238204207</v>
      </c>
      <c r="V4" s="428">
        <v>10548.336019733599</v>
      </c>
      <c r="W4" s="428">
        <v>10521.046039376504</v>
      </c>
      <c r="X4" s="428">
        <v>12064.873678595883</v>
      </c>
      <c r="Y4" s="427">
        <f>SUM(S4:X4)</f>
        <v>60671.767781319897</v>
      </c>
      <c r="Z4" s="428">
        <v>12489.557340390398</v>
      </c>
      <c r="AA4" s="428">
        <v>13530.417668066306</v>
      </c>
      <c r="AB4" s="428">
        <v>31034.019363424704</v>
      </c>
      <c r="AC4" s="428">
        <v>15250.999389864957</v>
      </c>
      <c r="AD4" s="428">
        <v>16629.646434766059</v>
      </c>
      <c r="AE4" s="428">
        <v>17666.192762088867</v>
      </c>
      <c r="AF4" s="427">
        <f>SUM(Z4:AE4)</f>
        <v>106600.8329586013</v>
      </c>
      <c r="AG4" s="428">
        <v>17671.874722692519</v>
      </c>
      <c r="AH4" s="428">
        <v>21325.562161788366</v>
      </c>
      <c r="AI4" s="428">
        <v>23118.269722265573</v>
      </c>
      <c r="AJ4" s="428">
        <v>25945.965951533784</v>
      </c>
      <c r="AK4" s="428">
        <v>26673.990995714859</v>
      </c>
      <c r="AL4" s="428">
        <v>27934.870003444306</v>
      </c>
      <c r="AM4" s="427">
        <f>SUM(AG4:AL4)</f>
        <v>142670.53355743943</v>
      </c>
      <c r="AN4" s="428">
        <v>27998.385014535277</v>
      </c>
      <c r="AO4" s="428">
        <v>30224.491012172246</v>
      </c>
      <c r="AP4" s="428">
        <v>32087.31570106489</v>
      </c>
      <c r="AQ4" s="428">
        <v>33570.11324292441</v>
      </c>
      <c r="AR4" s="428">
        <v>34663.057227670317</v>
      </c>
      <c r="AS4" s="428">
        <v>36249.648110651142</v>
      </c>
      <c r="AT4" s="427">
        <f>SUM(AN4:AS4)</f>
        <v>194793.01030901828</v>
      </c>
      <c r="AU4" s="428">
        <v>37454.23357048192</v>
      </c>
      <c r="AV4" s="428">
        <v>38445.363633792811</v>
      </c>
      <c r="AW4" s="428">
        <v>38999.020968819321</v>
      </c>
      <c r="AX4" s="428">
        <v>39111.965592427798</v>
      </c>
      <c r="AY4" s="428">
        <v>38790.08762454406</v>
      </c>
      <c r="AZ4" s="428">
        <v>38048.188148300775</v>
      </c>
      <c r="BA4" s="427">
        <f t="shared" ref="BA4:BA15" si="0">SUM(AU4:AZ4)</f>
        <v>230848.8595383667</v>
      </c>
      <c r="BB4" s="428">
        <v>36909.466603628396</v>
      </c>
      <c r="BC4" s="428">
        <v>36515.660149014373</v>
      </c>
      <c r="BD4" s="428">
        <v>36870.390933267263</v>
      </c>
      <c r="BE4" s="428">
        <v>37098.448852417459</v>
      </c>
      <c r="BF4" s="428">
        <v>37176.55842147216</v>
      </c>
      <c r="BG4" s="428">
        <v>37062.903414288674</v>
      </c>
      <c r="BH4" s="427">
        <f>SUM(BB4:BG4)</f>
        <v>221633.42837408834</v>
      </c>
      <c r="BI4" s="428">
        <v>36892.14873199023</v>
      </c>
      <c r="BJ4" s="428">
        <v>36112.104444410215</v>
      </c>
      <c r="BK4" s="428">
        <v>34943.867122343341</v>
      </c>
      <c r="BL4" s="428">
        <v>26613.406031131126</v>
      </c>
      <c r="BM4" s="428">
        <v>24692.915789251263</v>
      </c>
      <c r="BN4" s="428">
        <v>23042.061799642644</v>
      </c>
      <c r="BO4" s="427">
        <f>SUM(BI4:BN4)</f>
        <v>182296.50391876884</v>
      </c>
      <c r="BP4" s="428">
        <v>21683.16017460878</v>
      </c>
      <c r="BQ4" s="428">
        <v>20348.884036958407</v>
      </c>
      <c r="BR4" s="428">
        <v>18972.217328548362</v>
      </c>
      <c r="BS4" s="428">
        <v>11155.847415060975</v>
      </c>
      <c r="BT4" s="428">
        <v>10337.108648013638</v>
      </c>
      <c r="BU4" s="428">
        <v>9373.8339386973312</v>
      </c>
      <c r="BV4" s="422">
        <f>SUM(BP4:BU4)</f>
        <v>91871.051541887486</v>
      </c>
      <c r="BX4" s="421">
        <v>5810</v>
      </c>
      <c r="BY4" s="421">
        <v>22452.050856685051</v>
      </c>
      <c r="BZ4" s="421">
        <v>27441.242570126873</v>
      </c>
      <c r="CA4" s="421">
        <v>60671.767781319897</v>
      </c>
      <c r="CB4" s="421">
        <v>106600.8329586013</v>
      </c>
      <c r="CC4" s="421">
        <v>142670.53355743943</v>
      </c>
      <c r="CD4" s="421">
        <v>194793.01030901828</v>
      </c>
      <c r="CE4" s="421">
        <v>230848.8595383667</v>
      </c>
      <c r="CF4" s="421">
        <v>221633.42837408834</v>
      </c>
      <c r="CG4" s="421">
        <v>182296.50391876884</v>
      </c>
      <c r="CH4" s="421">
        <v>91871.051541887486</v>
      </c>
    </row>
    <row r="5" spans="2:86">
      <c r="B5" s="664"/>
      <c r="C5" s="419" t="s">
        <v>269</v>
      </c>
      <c r="D5" s="427">
        <v>26490</v>
      </c>
      <c r="E5" s="428">
        <v>15672.5</v>
      </c>
      <c r="F5" s="428"/>
      <c r="G5" s="428"/>
      <c r="H5" s="428"/>
      <c r="I5" s="428"/>
      <c r="J5" s="428"/>
      <c r="K5" s="427">
        <f t="shared" ref="K5:K15" si="1">SUM(E5:J5)</f>
        <v>15672.5</v>
      </c>
      <c r="L5" s="428"/>
      <c r="M5" s="428"/>
      <c r="N5" s="428"/>
      <c r="O5" s="428"/>
      <c r="P5" s="428"/>
      <c r="Q5" s="428"/>
      <c r="R5" s="427">
        <f t="shared" ref="R5:R15" si="2">SUM(L5:Q5)</f>
        <v>0</v>
      </c>
      <c r="S5" s="428"/>
      <c r="T5" s="428"/>
      <c r="U5" s="428"/>
      <c r="V5" s="428"/>
      <c r="W5" s="428"/>
      <c r="X5" s="428"/>
      <c r="Y5" s="427">
        <f t="shared" ref="Y5:Y15" si="3">SUM(S5:X5)</f>
        <v>0</v>
      </c>
      <c r="Z5" s="428"/>
      <c r="AA5" s="428"/>
      <c r="AB5" s="428"/>
      <c r="AC5" s="428"/>
      <c r="AD5" s="428"/>
      <c r="AE5" s="428"/>
      <c r="AF5" s="427">
        <f t="shared" ref="AF5:AF15" si="4">SUM(Z5:AE5)</f>
        <v>0</v>
      </c>
      <c r="AG5" s="428"/>
      <c r="AH5" s="428"/>
      <c r="AI5" s="428"/>
      <c r="AJ5" s="428"/>
      <c r="AK5" s="428"/>
      <c r="AL5" s="428"/>
      <c r="AM5" s="427">
        <f t="shared" ref="AM5:AM15" si="5">SUM(AG5:AL5)</f>
        <v>0</v>
      </c>
      <c r="AN5" s="428"/>
      <c r="AO5" s="428"/>
      <c r="AP5" s="428"/>
      <c r="AQ5" s="428"/>
      <c r="AR5" s="428"/>
      <c r="AS5" s="428"/>
      <c r="AT5" s="427">
        <f t="shared" ref="AT5:AT15" si="6">SUM(AN5:AS5)</f>
        <v>0</v>
      </c>
      <c r="AU5" s="428"/>
      <c r="AV5" s="428"/>
      <c r="AW5" s="428"/>
      <c r="AX5" s="428"/>
      <c r="AY5" s="428"/>
      <c r="AZ5" s="428"/>
      <c r="BA5" s="427">
        <f t="shared" si="0"/>
        <v>0</v>
      </c>
      <c r="BB5" s="428"/>
      <c r="BC5" s="428"/>
      <c r="BD5" s="428"/>
      <c r="BE5" s="428"/>
      <c r="BF5" s="428"/>
      <c r="BG5" s="428"/>
      <c r="BH5" s="427">
        <f t="shared" ref="BH5:BH15" si="7">SUM(BB5:BG5)</f>
        <v>0</v>
      </c>
      <c r="BI5" s="428"/>
      <c r="BJ5" s="428"/>
      <c r="BK5" s="428"/>
      <c r="BL5" s="428"/>
      <c r="BM5" s="428"/>
      <c r="BN5" s="428"/>
      <c r="BO5" s="427">
        <f t="shared" ref="BO5:BO15" si="8">SUM(BI5:BN5)</f>
        <v>0</v>
      </c>
      <c r="BP5" s="428"/>
      <c r="BQ5" s="428"/>
      <c r="BR5" s="428"/>
      <c r="BS5" s="428"/>
      <c r="BT5" s="428"/>
      <c r="BU5" s="428"/>
      <c r="BV5" s="422">
        <f t="shared" ref="BV5:BV15" si="9">SUM(BP5:BU5)</f>
        <v>0</v>
      </c>
      <c r="BX5" s="421">
        <v>26490</v>
      </c>
      <c r="BY5" s="421">
        <v>15672.5</v>
      </c>
      <c r="BZ5" s="421">
        <v>0</v>
      </c>
      <c r="CA5" s="421">
        <v>0</v>
      </c>
      <c r="CB5" s="421">
        <v>0</v>
      </c>
      <c r="CC5" s="421">
        <v>0</v>
      </c>
      <c r="CD5" s="421">
        <v>0</v>
      </c>
      <c r="CE5" s="421">
        <v>0</v>
      </c>
      <c r="CF5" s="421">
        <v>0</v>
      </c>
      <c r="CG5" s="421">
        <v>0</v>
      </c>
      <c r="CH5" s="421">
        <v>0</v>
      </c>
    </row>
    <row r="6" spans="2:86">
      <c r="B6" s="664"/>
      <c r="C6" s="419" t="s">
        <v>270</v>
      </c>
      <c r="D6" s="427">
        <v>409</v>
      </c>
      <c r="E6" s="428">
        <v>419.48289325849731</v>
      </c>
      <c r="F6" s="428">
        <v>469.51722082117118</v>
      </c>
      <c r="G6" s="428">
        <v>470.53835941205972</v>
      </c>
      <c r="H6" s="428">
        <v>470.59843251386883</v>
      </c>
      <c r="I6" s="428">
        <v>469.99832606722885</v>
      </c>
      <c r="J6" s="428">
        <v>470.92870174883416</v>
      </c>
      <c r="K6" s="427">
        <f t="shared" si="1"/>
        <v>2771.0639338216597</v>
      </c>
      <c r="L6" s="428">
        <v>266.55370139082157</v>
      </c>
      <c r="M6" s="428">
        <v>267.58705978809598</v>
      </c>
      <c r="N6" s="428">
        <v>178.57562115794258</v>
      </c>
      <c r="O6" s="428">
        <v>168.20923491382555</v>
      </c>
      <c r="P6" s="428">
        <v>168.5095536664281</v>
      </c>
      <c r="Q6" s="428">
        <v>49.174943228795819</v>
      </c>
      <c r="R6" s="427">
        <f t="shared" si="2"/>
        <v>1098.6101141459096</v>
      </c>
      <c r="S6" s="428">
        <v>51.672053298382231</v>
      </c>
      <c r="T6" s="428">
        <v>50.043528106074717</v>
      </c>
      <c r="U6" s="428">
        <v>48.143490943858382</v>
      </c>
      <c r="V6" s="428">
        <v>46.497365015386031</v>
      </c>
      <c r="W6" s="428">
        <v>46.23543455110029</v>
      </c>
      <c r="X6" s="428">
        <v>45.832888695988366</v>
      </c>
      <c r="Y6" s="427">
        <f t="shared" si="3"/>
        <v>288.42476061079003</v>
      </c>
      <c r="Z6" s="428">
        <v>47.93440603193455</v>
      </c>
      <c r="AA6" s="428">
        <v>48.014473795844737</v>
      </c>
      <c r="AB6" s="428">
        <v>48.200141508807668</v>
      </c>
      <c r="AC6" s="428">
        <v>105.02610688367467</v>
      </c>
      <c r="AD6" s="428">
        <v>105.99356794478267</v>
      </c>
      <c r="AE6" s="428">
        <v>107.54417716587794</v>
      </c>
      <c r="AF6" s="427">
        <f t="shared" si="4"/>
        <v>462.71287333092226</v>
      </c>
      <c r="AG6" s="428">
        <v>111.39612688195264</v>
      </c>
      <c r="AH6" s="428">
        <v>116.58565580641358</v>
      </c>
      <c r="AI6" s="428">
        <v>122.60705612499515</v>
      </c>
      <c r="AJ6" s="428">
        <v>129.70780844342713</v>
      </c>
      <c r="AK6" s="428">
        <v>32.045586792323071</v>
      </c>
      <c r="AL6" s="428">
        <v>40.830483399918279</v>
      </c>
      <c r="AM6" s="427">
        <f t="shared" si="5"/>
        <v>553.17271744902985</v>
      </c>
      <c r="AN6" s="428">
        <v>49.93881492076499</v>
      </c>
      <c r="AO6" s="428">
        <v>60.296852649752388</v>
      </c>
      <c r="AP6" s="428">
        <v>71.577725561756566</v>
      </c>
      <c r="AQ6" s="428">
        <v>83.644413591816843</v>
      </c>
      <c r="AR6" s="428">
        <v>96.352833286923797</v>
      </c>
      <c r="AS6" s="428">
        <v>109.55428198406469</v>
      </c>
      <c r="AT6" s="427">
        <f t="shared" si="6"/>
        <v>471.36492199507927</v>
      </c>
      <c r="AU6" s="428">
        <v>124.3713662333563</v>
      </c>
      <c r="AV6" s="428">
        <v>137.83530726857859</v>
      </c>
      <c r="AW6" s="428">
        <v>151.63872671322426</v>
      </c>
      <c r="AX6" s="428">
        <v>165.62214673125649</v>
      </c>
      <c r="AY6" s="428">
        <v>313.29155167185797</v>
      </c>
      <c r="AZ6" s="428">
        <v>327.93376540826557</v>
      </c>
      <c r="BA6" s="427">
        <f t="shared" si="0"/>
        <v>1220.6928640265392</v>
      </c>
      <c r="BB6" s="428">
        <v>342.28546934461173</v>
      </c>
      <c r="BC6" s="428">
        <v>356.20094117264676</v>
      </c>
      <c r="BD6" s="428">
        <v>369.91539324652325</v>
      </c>
      <c r="BE6" s="428">
        <v>383.66696440202355</v>
      </c>
      <c r="BF6" s="428">
        <v>397.40387180561953</v>
      </c>
      <c r="BG6" s="428">
        <v>411.06750071122173</v>
      </c>
      <c r="BH6" s="427">
        <f t="shared" si="7"/>
        <v>2260.5401406826463</v>
      </c>
      <c r="BI6" s="428">
        <v>424.62626150691068</v>
      </c>
      <c r="BJ6" s="428">
        <v>438.05364248493976</v>
      </c>
      <c r="BK6" s="428">
        <v>451.18084795120831</v>
      </c>
      <c r="BL6" s="428">
        <v>463.87229102044921</v>
      </c>
      <c r="BM6" s="428">
        <v>673.73464809728591</v>
      </c>
      <c r="BN6" s="428">
        <v>683.55811080608407</v>
      </c>
      <c r="BO6" s="427">
        <f t="shared" si="8"/>
        <v>3135.0258018668783</v>
      </c>
      <c r="BP6" s="428">
        <v>692.76285110712627</v>
      </c>
      <c r="BQ6" s="428">
        <v>701.44202823429521</v>
      </c>
      <c r="BR6" s="428">
        <v>709.64791381452426</v>
      </c>
      <c r="BS6" s="428">
        <v>717.32270152564433</v>
      </c>
      <c r="BT6" s="428">
        <v>722.41761522463901</v>
      </c>
      <c r="BU6" s="428">
        <v>727.25659904694794</v>
      </c>
      <c r="BV6" s="422">
        <f t="shared" si="9"/>
        <v>4270.8497089531775</v>
      </c>
      <c r="BX6" s="421">
        <v>409</v>
      </c>
      <c r="BY6" s="421">
        <v>2771.0639338216597</v>
      </c>
      <c r="BZ6" s="421">
        <v>1098.6101141459096</v>
      </c>
      <c r="CA6" s="421">
        <v>288.42476061079003</v>
      </c>
      <c r="CB6" s="421">
        <v>462.71287333092226</v>
      </c>
      <c r="CC6" s="421">
        <v>553.17271744902985</v>
      </c>
      <c r="CD6" s="421">
        <v>471.36492199507927</v>
      </c>
      <c r="CE6" s="421">
        <v>1220.6928640265392</v>
      </c>
      <c r="CF6" s="421">
        <v>2260.5401406826463</v>
      </c>
      <c r="CG6" s="421">
        <v>3135.0258018668783</v>
      </c>
      <c r="CH6" s="421">
        <v>4270.8497089531775</v>
      </c>
    </row>
    <row r="7" spans="2:86">
      <c r="B7" s="664"/>
      <c r="C7" s="419" t="s">
        <v>167</v>
      </c>
      <c r="D7" s="427"/>
      <c r="E7" s="428"/>
      <c r="F7" s="428"/>
      <c r="G7" s="428"/>
      <c r="H7" s="428"/>
      <c r="I7" s="428"/>
      <c r="J7" s="428"/>
      <c r="K7" s="427">
        <f t="shared" si="1"/>
        <v>0</v>
      </c>
      <c r="L7" s="428"/>
      <c r="M7" s="428"/>
      <c r="N7" s="428"/>
      <c r="O7" s="428"/>
      <c r="P7" s="428">
        <v>20000</v>
      </c>
      <c r="Q7" s="428"/>
      <c r="R7" s="427">
        <f t="shared" si="2"/>
        <v>20000</v>
      </c>
      <c r="S7" s="428"/>
      <c r="T7" s="428"/>
      <c r="U7" s="428"/>
      <c r="V7" s="428"/>
      <c r="W7" s="428"/>
      <c r="X7" s="428"/>
      <c r="Y7" s="427">
        <f t="shared" si="3"/>
        <v>0</v>
      </c>
      <c r="Z7" s="428"/>
      <c r="AA7" s="428"/>
      <c r="AB7" s="428"/>
      <c r="AC7" s="428"/>
      <c r="AD7" s="428"/>
      <c r="AE7" s="428"/>
      <c r="AF7" s="427">
        <f t="shared" si="4"/>
        <v>0</v>
      </c>
      <c r="AG7" s="428"/>
      <c r="AH7" s="428"/>
      <c r="AI7" s="428"/>
      <c r="AJ7" s="428"/>
      <c r="AK7" s="428"/>
      <c r="AL7" s="428"/>
      <c r="AM7" s="427">
        <f t="shared" si="5"/>
        <v>0</v>
      </c>
      <c r="AN7" s="428"/>
      <c r="AO7" s="428"/>
      <c r="AP7" s="428"/>
      <c r="AQ7" s="428"/>
      <c r="AR7" s="428"/>
      <c r="AS7" s="428"/>
      <c r="AT7" s="427">
        <f t="shared" si="6"/>
        <v>0</v>
      </c>
      <c r="AU7" s="428"/>
      <c r="AV7" s="428"/>
      <c r="AW7" s="428"/>
      <c r="AX7" s="428">
        <v>60000</v>
      </c>
      <c r="AY7" s="428"/>
      <c r="AZ7" s="428"/>
      <c r="BA7" s="427">
        <f t="shared" si="0"/>
        <v>60000</v>
      </c>
      <c r="BB7" s="428"/>
      <c r="BC7" s="428"/>
      <c r="BD7" s="428"/>
      <c r="BE7" s="428"/>
      <c r="BF7" s="428"/>
      <c r="BG7" s="428"/>
      <c r="BH7" s="427">
        <f t="shared" si="7"/>
        <v>0</v>
      </c>
      <c r="BI7" s="428"/>
      <c r="BJ7" s="428"/>
      <c r="BK7" s="428"/>
      <c r="BL7" s="428">
        <v>60000</v>
      </c>
      <c r="BM7" s="428"/>
      <c r="BN7" s="428"/>
      <c r="BO7" s="427">
        <f t="shared" si="8"/>
        <v>60000</v>
      </c>
      <c r="BP7" s="428"/>
      <c r="BQ7" s="428"/>
      <c r="BR7" s="428"/>
      <c r="BS7" s="428"/>
      <c r="BT7" s="428"/>
      <c r="BU7" s="428"/>
      <c r="BV7" s="422">
        <f t="shared" si="9"/>
        <v>0</v>
      </c>
      <c r="BX7" s="421"/>
      <c r="BY7" s="421">
        <v>0</v>
      </c>
      <c r="BZ7" s="421">
        <v>20000</v>
      </c>
      <c r="CA7" s="421">
        <v>0</v>
      </c>
      <c r="CB7" s="421">
        <v>0</v>
      </c>
      <c r="CC7" s="421">
        <v>0</v>
      </c>
      <c r="CD7" s="421">
        <v>0</v>
      </c>
      <c r="CE7" s="421">
        <v>60000</v>
      </c>
      <c r="CF7" s="421">
        <v>0</v>
      </c>
      <c r="CG7" s="421">
        <v>60000</v>
      </c>
      <c r="CH7" s="421">
        <v>0</v>
      </c>
    </row>
    <row r="8" spans="2:86">
      <c r="B8" s="665"/>
      <c r="C8" s="420" t="s">
        <v>271</v>
      </c>
      <c r="D8" s="429">
        <v>32709</v>
      </c>
      <c r="E8" s="430">
        <v>21493.482909010785</v>
      </c>
      <c r="F8" s="430">
        <v>3444.3349452079688</v>
      </c>
      <c r="G8" s="430">
        <v>2666.2947979994165</v>
      </c>
      <c r="H8" s="430">
        <v>3612.323972368104</v>
      </c>
      <c r="I8" s="430">
        <v>4053.2695501964959</v>
      </c>
      <c r="J8" s="430">
        <v>5625.9086157239426</v>
      </c>
      <c r="K8" s="427">
        <f t="shared" si="1"/>
        <v>40895.614790506712</v>
      </c>
      <c r="L8" s="428">
        <v>3817.51564021485</v>
      </c>
      <c r="M8" s="430">
        <v>4277.440544538149</v>
      </c>
      <c r="N8" s="430">
        <v>4935.799810571958</v>
      </c>
      <c r="O8" s="430">
        <v>4460.0685503117802</v>
      </c>
      <c r="P8" s="430">
        <v>24899.23225197614</v>
      </c>
      <c r="Q8" s="430">
        <v>6149.7958866599056</v>
      </c>
      <c r="R8" s="427">
        <f t="shared" si="2"/>
        <v>48539.852684272788</v>
      </c>
      <c r="S8" s="428">
        <v>8696.5679712359633</v>
      </c>
      <c r="T8" s="430">
        <v>8693.0624155781989</v>
      </c>
      <c r="U8" s="430">
        <v>10297.740729148065</v>
      </c>
      <c r="V8" s="430">
        <v>10594.833384748985</v>
      </c>
      <c r="W8" s="430">
        <v>10567.281473927604</v>
      </c>
      <c r="X8" s="430">
        <v>12110.706567291871</v>
      </c>
      <c r="Y8" s="427">
        <f t="shared" si="3"/>
        <v>60960.192541930679</v>
      </c>
      <c r="Z8" s="430">
        <v>12537.491746422333</v>
      </c>
      <c r="AA8" s="430">
        <v>13578.432141862151</v>
      </c>
      <c r="AB8" s="428">
        <v>31082.219504933513</v>
      </c>
      <c r="AC8" s="430">
        <v>15356.025496748633</v>
      </c>
      <c r="AD8" s="430">
        <v>16735.640002710843</v>
      </c>
      <c r="AE8" s="430">
        <v>17773.736939254744</v>
      </c>
      <c r="AF8" s="427">
        <f t="shared" si="4"/>
        <v>107063.54583193221</v>
      </c>
      <c r="AG8" s="430">
        <v>17783.27084957447</v>
      </c>
      <c r="AH8" s="430">
        <v>21442.147817594781</v>
      </c>
      <c r="AI8" s="428">
        <v>23240.876778390568</v>
      </c>
      <c r="AJ8" s="430">
        <v>26075.673759977213</v>
      </c>
      <c r="AK8" s="430">
        <v>26706.036582507182</v>
      </c>
      <c r="AL8" s="430">
        <v>27975.700486844224</v>
      </c>
      <c r="AM8" s="427">
        <f t="shared" si="5"/>
        <v>143223.70627488845</v>
      </c>
      <c r="AN8" s="430">
        <v>28048.323829456043</v>
      </c>
      <c r="AO8" s="430">
        <v>30284.787864821999</v>
      </c>
      <c r="AP8" s="430">
        <v>32158.893426626648</v>
      </c>
      <c r="AQ8" s="430">
        <v>33653.757656516224</v>
      </c>
      <c r="AR8" s="428">
        <v>34759.410060957242</v>
      </c>
      <c r="AS8" s="430">
        <v>36359.202392635205</v>
      </c>
      <c r="AT8" s="427">
        <f t="shared" si="6"/>
        <v>195264.37523101337</v>
      </c>
      <c r="AU8" s="430">
        <v>37578.604936715274</v>
      </c>
      <c r="AV8" s="430">
        <v>38583.19894106139</v>
      </c>
      <c r="AW8" s="430">
        <v>39150.659695532544</v>
      </c>
      <c r="AX8" s="430">
        <v>99277.587739159062</v>
      </c>
      <c r="AY8" s="428">
        <v>39103.379176215916</v>
      </c>
      <c r="AZ8" s="430">
        <v>38376.121913709037</v>
      </c>
      <c r="BA8" s="427">
        <f t="shared" si="0"/>
        <v>292069.55240239319</v>
      </c>
      <c r="BB8" s="430">
        <v>37251.752072973009</v>
      </c>
      <c r="BC8" s="430">
        <v>36871.86109018702</v>
      </c>
      <c r="BD8" s="430">
        <v>37240.306326513783</v>
      </c>
      <c r="BE8" s="430">
        <v>37482.115816819482</v>
      </c>
      <c r="BF8" s="430">
        <v>37573.962293277778</v>
      </c>
      <c r="BG8" s="430">
        <v>37473.970914999896</v>
      </c>
      <c r="BH8" s="427">
        <f t="shared" si="7"/>
        <v>223893.96851477097</v>
      </c>
      <c r="BI8" s="430">
        <v>37316.774993497143</v>
      </c>
      <c r="BJ8" s="430">
        <v>36550.158086895157</v>
      </c>
      <c r="BK8" s="430">
        <v>35395.047970294552</v>
      </c>
      <c r="BL8" s="430">
        <v>87077.278322151571</v>
      </c>
      <c r="BM8" s="430">
        <v>25366.650437348548</v>
      </c>
      <c r="BN8" s="430">
        <v>23725.619910448728</v>
      </c>
      <c r="BO8" s="427">
        <f t="shared" si="8"/>
        <v>245431.52972063571</v>
      </c>
      <c r="BP8" s="428">
        <v>22375.923025715907</v>
      </c>
      <c r="BQ8" s="430">
        <v>21050.326065192701</v>
      </c>
      <c r="BR8" s="430">
        <v>19681.865242362888</v>
      </c>
      <c r="BS8" s="430">
        <v>11873.170116586618</v>
      </c>
      <c r="BT8" s="430">
        <v>11059.526263238276</v>
      </c>
      <c r="BU8" s="430">
        <v>10101.09053774428</v>
      </c>
      <c r="BV8" s="422">
        <f t="shared" si="9"/>
        <v>96141.901250840674</v>
      </c>
      <c r="BX8" s="421">
        <v>32709</v>
      </c>
      <c r="BY8" s="421">
        <v>40895.614790506712</v>
      </c>
      <c r="BZ8" s="421">
        <v>48539.852684272788</v>
      </c>
      <c r="CA8" s="421">
        <v>60960.192541930679</v>
      </c>
      <c r="CB8" s="421">
        <v>107063.54583193221</v>
      </c>
      <c r="CC8" s="421">
        <v>143223.70627488845</v>
      </c>
      <c r="CD8" s="421">
        <v>195264.37523101337</v>
      </c>
      <c r="CE8" s="421">
        <v>292069.55240239319</v>
      </c>
      <c r="CF8" s="421">
        <v>223893.96851477097</v>
      </c>
      <c r="CG8" s="421">
        <v>245431.52972063571</v>
      </c>
      <c r="CH8" s="421">
        <v>96141.901250840674</v>
      </c>
    </row>
    <row r="9" spans="2:86">
      <c r="B9" s="663" t="s">
        <v>63</v>
      </c>
      <c r="C9" s="419" t="s">
        <v>119</v>
      </c>
      <c r="D9" s="427">
        <v>4013</v>
      </c>
      <c r="E9" s="428">
        <v>4874.9604887918204</v>
      </c>
      <c r="F9" s="428">
        <v>2311.7590006162045</v>
      </c>
      <c r="G9" s="428">
        <v>1909.9502581319234</v>
      </c>
      <c r="H9" s="428">
        <v>2760.5630113029983</v>
      </c>
      <c r="I9" s="428">
        <v>3134.4291018720137</v>
      </c>
      <c r="J9" s="428">
        <v>3627.5740322790048</v>
      </c>
      <c r="K9" s="427">
        <f t="shared" si="1"/>
        <v>18619.235892993966</v>
      </c>
      <c r="L9" s="428">
        <v>2534.2238420735002</v>
      </c>
      <c r="M9" s="428">
        <v>3510.9052840095774</v>
      </c>
      <c r="N9" s="428">
        <v>3789.7288437763859</v>
      </c>
      <c r="O9" s="428">
        <v>3769.0471999309175</v>
      </c>
      <c r="P9" s="428">
        <v>3995.8856015037354</v>
      </c>
      <c r="Q9" s="428">
        <v>4572.7855290719181</v>
      </c>
      <c r="R9" s="427">
        <f t="shared" si="2"/>
        <v>22172.576300366032</v>
      </c>
      <c r="S9" s="428">
        <v>8497.2275289282188</v>
      </c>
      <c r="T9" s="428">
        <v>8575.1755642430981</v>
      </c>
      <c r="U9" s="428">
        <v>10103.680507689769</v>
      </c>
      <c r="V9" s="428">
        <v>9985.5145240347047</v>
      </c>
      <c r="W9" s="428">
        <v>10000.147230461182</v>
      </c>
      <c r="X9" s="428">
        <v>10792.353366508014</v>
      </c>
      <c r="Y9" s="427">
        <f t="shared" si="3"/>
        <v>57954.098721864983</v>
      </c>
      <c r="Z9" s="428">
        <v>11825.573417249274</v>
      </c>
      <c r="AA9" s="428">
        <v>12834.833827973271</v>
      </c>
      <c r="AB9" s="428">
        <v>13346.531892473417</v>
      </c>
      <c r="AC9" s="428">
        <v>14377.88917841623</v>
      </c>
      <c r="AD9" s="428">
        <v>15582.559236382258</v>
      </c>
      <c r="AE9" s="428">
        <v>15930.254024432335</v>
      </c>
      <c r="AF9" s="427">
        <f t="shared" si="4"/>
        <v>83897.641576926777</v>
      </c>
      <c r="AG9" s="428">
        <v>15522.230838902851</v>
      </c>
      <c r="AH9" s="428">
        <v>18931.54638868698</v>
      </c>
      <c r="AI9" s="428">
        <v>20406.469749527641</v>
      </c>
      <c r="AJ9" s="428">
        <v>23011.158921975082</v>
      </c>
      <c r="AK9" s="428">
        <v>23366.386266895286</v>
      </c>
      <c r="AL9" s="428">
        <v>24539.019697256877</v>
      </c>
      <c r="AM9" s="427">
        <f t="shared" si="5"/>
        <v>125776.81186324471</v>
      </c>
      <c r="AN9" s="428">
        <v>24236.731177426489</v>
      </c>
      <c r="AO9" s="428">
        <v>26196.34465788741</v>
      </c>
      <c r="AP9" s="428">
        <v>27834.705684275232</v>
      </c>
      <c r="AQ9" s="428">
        <v>29137.050414650803</v>
      </c>
      <c r="AR9" s="428">
        <v>30094.794118481641</v>
      </c>
      <c r="AS9" s="428">
        <v>31209.895784514389</v>
      </c>
      <c r="AT9" s="427">
        <f t="shared" si="6"/>
        <v>168709.52183723595</v>
      </c>
      <c r="AU9" s="428">
        <v>32746.672626148589</v>
      </c>
      <c r="AV9" s="428">
        <v>33649.423107667681</v>
      </c>
      <c r="AW9" s="428">
        <v>34162.883690122871</v>
      </c>
      <c r="AX9" s="428">
        <v>34284.016256978597</v>
      </c>
      <c r="AY9" s="428">
        <v>34017.965055293644</v>
      </c>
      <c r="AZ9" s="428">
        <v>33377.860732805195</v>
      </c>
      <c r="BA9" s="427">
        <f t="shared" si="0"/>
        <v>202238.82146901655</v>
      </c>
      <c r="BB9" s="428">
        <v>32384.360524562486</v>
      </c>
      <c r="BC9" s="428">
        <v>32064.775468024091</v>
      </c>
      <c r="BD9" s="428">
        <v>32422.084979863681</v>
      </c>
      <c r="BE9" s="428">
        <v>32668.293595740699</v>
      </c>
      <c r="BF9" s="428">
        <v>32782.123621597122</v>
      </c>
      <c r="BG9" s="428">
        <v>32713.592676293192</v>
      </c>
      <c r="BH9" s="427">
        <f t="shared" si="7"/>
        <v>195035.23086608129</v>
      </c>
      <c r="BI9" s="428">
        <v>32447.727366755073</v>
      </c>
      <c r="BJ9" s="428">
        <v>31771.163113681261</v>
      </c>
      <c r="BK9" s="428">
        <v>30746.781716188965</v>
      </c>
      <c r="BL9" s="428">
        <v>23277.737865767253</v>
      </c>
      <c r="BM9" s="428">
        <v>21578.778291375798</v>
      </c>
      <c r="BN9" s="428">
        <v>20123.364486802689</v>
      </c>
      <c r="BO9" s="427">
        <f t="shared" si="8"/>
        <v>159945.55284057104</v>
      </c>
      <c r="BP9" s="428">
        <v>18931.336554231933</v>
      </c>
      <c r="BQ9" s="428">
        <v>17747.727057790642</v>
      </c>
      <c r="BR9" s="428">
        <v>16538.595595693529</v>
      </c>
      <c r="BS9" s="428">
        <v>9503.8626735548769</v>
      </c>
      <c r="BT9" s="428">
        <v>8766.997783212275</v>
      </c>
      <c r="BU9" s="428">
        <v>7900.0505448275981</v>
      </c>
      <c r="BV9" s="422">
        <f t="shared" si="9"/>
        <v>79388.570209310856</v>
      </c>
      <c r="BX9" s="421">
        <v>4013</v>
      </c>
      <c r="BY9" s="421">
        <v>18619.235892993966</v>
      </c>
      <c r="BZ9" s="421">
        <v>22172.576300366032</v>
      </c>
      <c r="CA9" s="421">
        <v>57954.098721864983</v>
      </c>
      <c r="CB9" s="421">
        <v>83897.641576926777</v>
      </c>
      <c r="CC9" s="421">
        <v>125776.81186324471</v>
      </c>
      <c r="CD9" s="421">
        <v>168709.52183723595</v>
      </c>
      <c r="CE9" s="421">
        <v>202238.82146901655</v>
      </c>
      <c r="CF9" s="421">
        <v>195035.23086608129</v>
      </c>
      <c r="CG9" s="421">
        <v>159945.55284057104</v>
      </c>
      <c r="CH9" s="421">
        <v>79388.570209310856</v>
      </c>
    </row>
    <row r="10" spans="2:86">
      <c r="B10" s="664"/>
      <c r="C10" s="419" t="s">
        <v>108</v>
      </c>
      <c r="D10" s="427">
        <v>381</v>
      </c>
      <c r="E10" s="431">
        <v>1417.9446861206657</v>
      </c>
      <c r="F10" s="431">
        <v>584.47841666666659</v>
      </c>
      <c r="G10" s="431">
        <v>430.47841666666665</v>
      </c>
      <c r="H10" s="431">
        <v>822.47841666666659</v>
      </c>
      <c r="I10" s="431">
        <v>430.47841666666665</v>
      </c>
      <c r="J10" s="431">
        <v>610.47841666666659</v>
      </c>
      <c r="K10" s="427">
        <f t="shared" si="1"/>
        <v>4296.3367694539993</v>
      </c>
      <c r="L10" s="428">
        <v>490.47841666666665</v>
      </c>
      <c r="M10" s="431">
        <v>430.47841666666665</v>
      </c>
      <c r="N10" s="431">
        <v>430.47841666666665</v>
      </c>
      <c r="O10" s="431">
        <v>430.47841666666665</v>
      </c>
      <c r="P10" s="431">
        <v>430.47841666666665</v>
      </c>
      <c r="Q10" s="431">
        <v>430.47841666666665</v>
      </c>
      <c r="R10" s="427">
        <f t="shared" si="2"/>
        <v>2642.8705</v>
      </c>
      <c r="S10" s="428">
        <v>313.31466666666665</v>
      </c>
      <c r="T10" s="431">
        <v>313.31466666666665</v>
      </c>
      <c r="U10" s="431">
        <v>313.31466666666665</v>
      </c>
      <c r="V10" s="431">
        <v>313.31466666666665</v>
      </c>
      <c r="W10" s="431">
        <v>313.31466666666665</v>
      </c>
      <c r="X10" s="431">
        <v>313.31466666666665</v>
      </c>
      <c r="Y10" s="427">
        <f t="shared" si="3"/>
        <v>1879.8879999999999</v>
      </c>
      <c r="Z10" s="431">
        <v>313.31466666666665</v>
      </c>
      <c r="AA10" s="431">
        <v>313.31466666666665</v>
      </c>
      <c r="AB10" s="428">
        <v>313.31466666666665</v>
      </c>
      <c r="AC10" s="431">
        <v>313.31466666666665</v>
      </c>
      <c r="AD10" s="431">
        <v>313.31466666666665</v>
      </c>
      <c r="AE10" s="431">
        <v>313.31466666666665</v>
      </c>
      <c r="AF10" s="427">
        <f t="shared" si="4"/>
        <v>1879.8879999999999</v>
      </c>
      <c r="AG10" s="431">
        <v>313.34800000000001</v>
      </c>
      <c r="AH10" s="431">
        <v>313.34800000000001</v>
      </c>
      <c r="AI10" s="428">
        <v>313.34800000000001</v>
      </c>
      <c r="AJ10" s="431">
        <v>313.34800000000001</v>
      </c>
      <c r="AK10" s="431">
        <v>313.34800000000001</v>
      </c>
      <c r="AL10" s="431">
        <v>313.34800000000001</v>
      </c>
      <c r="AM10" s="427">
        <f t="shared" si="5"/>
        <v>1880.088</v>
      </c>
      <c r="AN10" s="431">
        <v>313.34800000000001</v>
      </c>
      <c r="AO10" s="431">
        <v>313.34800000000001</v>
      </c>
      <c r="AP10" s="431">
        <v>313.34800000000001</v>
      </c>
      <c r="AQ10" s="431">
        <v>313.34800000000001</v>
      </c>
      <c r="AR10" s="428">
        <v>313.34800000000001</v>
      </c>
      <c r="AS10" s="431">
        <v>313.34800000000001</v>
      </c>
      <c r="AT10" s="427">
        <f t="shared" si="6"/>
        <v>1880.088</v>
      </c>
      <c r="AU10" s="431">
        <v>390</v>
      </c>
      <c r="AV10" s="431">
        <v>390</v>
      </c>
      <c r="AW10" s="431">
        <v>390</v>
      </c>
      <c r="AX10" s="431">
        <v>390</v>
      </c>
      <c r="AY10" s="428">
        <v>390</v>
      </c>
      <c r="AZ10" s="431">
        <v>390</v>
      </c>
      <c r="BA10" s="427">
        <f t="shared" si="0"/>
        <v>2340</v>
      </c>
      <c r="BB10" s="431">
        <v>390</v>
      </c>
      <c r="BC10" s="431">
        <v>390</v>
      </c>
      <c r="BD10" s="431">
        <v>390</v>
      </c>
      <c r="BE10" s="431">
        <v>390</v>
      </c>
      <c r="BF10" s="431">
        <v>390</v>
      </c>
      <c r="BG10" s="431">
        <v>390</v>
      </c>
      <c r="BH10" s="427">
        <f t="shared" si="7"/>
        <v>2340</v>
      </c>
      <c r="BI10" s="431">
        <v>523</v>
      </c>
      <c r="BJ10" s="431">
        <v>523</v>
      </c>
      <c r="BK10" s="431">
        <v>523</v>
      </c>
      <c r="BL10" s="431">
        <v>523</v>
      </c>
      <c r="BM10" s="431">
        <v>523</v>
      </c>
      <c r="BN10" s="431">
        <v>523</v>
      </c>
      <c r="BO10" s="427">
        <f t="shared" si="8"/>
        <v>3138</v>
      </c>
      <c r="BP10" s="428">
        <v>523</v>
      </c>
      <c r="BQ10" s="431">
        <v>523</v>
      </c>
      <c r="BR10" s="431">
        <v>523</v>
      </c>
      <c r="BS10" s="431">
        <v>523</v>
      </c>
      <c r="BT10" s="431">
        <v>523</v>
      </c>
      <c r="BU10" s="431">
        <v>523</v>
      </c>
      <c r="BV10" s="422">
        <f t="shared" si="9"/>
        <v>3138</v>
      </c>
      <c r="BX10" s="421">
        <v>381</v>
      </c>
      <c r="BY10" s="421">
        <v>4296.3367694539993</v>
      </c>
      <c r="BZ10" s="421">
        <v>2642.8705</v>
      </c>
      <c r="CA10" s="421">
        <v>1879.8879999999999</v>
      </c>
      <c r="CB10" s="421">
        <v>1879.8879999999999</v>
      </c>
      <c r="CC10" s="421">
        <v>1880.088</v>
      </c>
      <c r="CD10" s="421">
        <v>1880.088</v>
      </c>
      <c r="CE10" s="421">
        <v>2340</v>
      </c>
      <c r="CF10" s="421">
        <v>2340</v>
      </c>
      <c r="CG10" s="421">
        <v>3138</v>
      </c>
      <c r="CH10" s="421">
        <v>3138</v>
      </c>
    </row>
    <row r="11" spans="2:86">
      <c r="B11" s="664"/>
      <c r="C11" s="419" t="s">
        <v>107</v>
      </c>
      <c r="D11" s="427">
        <v>24900</v>
      </c>
      <c r="E11" s="428">
        <v>0</v>
      </c>
      <c r="F11" s="428">
        <v>0</v>
      </c>
      <c r="G11" s="428">
        <v>0</v>
      </c>
      <c r="H11" s="428">
        <v>0</v>
      </c>
      <c r="I11" s="428">
        <v>0</v>
      </c>
      <c r="J11" s="428">
        <v>62400</v>
      </c>
      <c r="K11" s="427">
        <f t="shared" si="1"/>
        <v>62400</v>
      </c>
      <c r="L11" s="428">
        <v>0</v>
      </c>
      <c r="M11" s="428">
        <v>26800</v>
      </c>
      <c r="N11" s="428">
        <v>3517.7</v>
      </c>
      <c r="O11" s="428">
        <v>0</v>
      </c>
      <c r="P11" s="428">
        <v>56000</v>
      </c>
      <c r="Q11" s="428">
        <v>0</v>
      </c>
      <c r="R11" s="427">
        <f t="shared" si="2"/>
        <v>86317.7</v>
      </c>
      <c r="S11" s="428">
        <v>0</v>
      </c>
      <c r="T11" s="428">
        <v>0</v>
      </c>
      <c r="U11" s="428">
        <v>0</v>
      </c>
      <c r="V11" s="428">
        <v>0</v>
      </c>
      <c r="W11" s="428">
        <v>0</v>
      </c>
      <c r="X11" s="428">
        <v>0</v>
      </c>
      <c r="Y11" s="427">
        <f t="shared" si="3"/>
        <v>0</v>
      </c>
      <c r="Z11" s="428">
        <v>0</v>
      </c>
      <c r="AA11" s="428">
        <v>0</v>
      </c>
      <c r="AB11" s="428">
        <v>0</v>
      </c>
      <c r="AC11" s="428">
        <v>0</v>
      </c>
      <c r="AD11" s="428">
        <v>0</v>
      </c>
      <c r="AE11" s="428">
        <v>0</v>
      </c>
      <c r="AF11" s="427">
        <f t="shared" si="4"/>
        <v>0</v>
      </c>
      <c r="AG11" s="428">
        <v>0</v>
      </c>
      <c r="AH11" s="428">
        <v>0</v>
      </c>
      <c r="AI11" s="428">
        <v>0</v>
      </c>
      <c r="AJ11" s="428">
        <v>31659</v>
      </c>
      <c r="AK11" s="428">
        <v>0</v>
      </c>
      <c r="AL11" s="428">
        <v>0</v>
      </c>
      <c r="AM11" s="427">
        <f t="shared" si="5"/>
        <v>31659</v>
      </c>
      <c r="AN11" s="428">
        <v>0</v>
      </c>
      <c r="AO11" s="428">
        <v>0</v>
      </c>
      <c r="AP11" s="428">
        <v>0</v>
      </c>
      <c r="AQ11" s="428">
        <v>0</v>
      </c>
      <c r="AR11" s="428">
        <v>0</v>
      </c>
      <c r="AS11" s="428">
        <v>0</v>
      </c>
      <c r="AT11" s="427">
        <f t="shared" si="6"/>
        <v>0</v>
      </c>
      <c r="AU11" s="428">
        <v>0</v>
      </c>
      <c r="AV11" s="428">
        <v>0</v>
      </c>
      <c r="AW11" s="428">
        <v>0</v>
      </c>
      <c r="AX11" s="428">
        <v>0</v>
      </c>
      <c r="AY11" s="428">
        <v>0</v>
      </c>
      <c r="AZ11" s="428">
        <v>0</v>
      </c>
      <c r="BA11" s="427">
        <f t="shared" si="0"/>
        <v>0</v>
      </c>
      <c r="BB11" s="428">
        <v>0</v>
      </c>
      <c r="BC11" s="428">
        <v>0</v>
      </c>
      <c r="BD11" s="428">
        <v>0</v>
      </c>
      <c r="BE11" s="428">
        <v>0</v>
      </c>
      <c r="BF11" s="428">
        <v>0</v>
      </c>
      <c r="BG11" s="428">
        <v>0</v>
      </c>
      <c r="BH11" s="427">
        <f t="shared" si="7"/>
        <v>0</v>
      </c>
      <c r="BI11" s="428">
        <v>0</v>
      </c>
      <c r="BJ11" s="428">
        <v>0</v>
      </c>
      <c r="BK11" s="428">
        <v>0</v>
      </c>
      <c r="BL11" s="428">
        <v>0</v>
      </c>
      <c r="BM11" s="428">
        <v>0</v>
      </c>
      <c r="BN11" s="428">
        <v>0</v>
      </c>
      <c r="BO11" s="427">
        <f t="shared" si="8"/>
        <v>0</v>
      </c>
      <c r="BP11" s="428">
        <v>0</v>
      </c>
      <c r="BQ11" s="428">
        <v>0</v>
      </c>
      <c r="BR11" s="428">
        <v>0</v>
      </c>
      <c r="BS11" s="428">
        <v>0</v>
      </c>
      <c r="BT11" s="428">
        <v>0</v>
      </c>
      <c r="BU11" s="428">
        <v>0</v>
      </c>
      <c r="BV11" s="422">
        <f t="shared" si="9"/>
        <v>0</v>
      </c>
      <c r="BX11" s="421">
        <v>24900</v>
      </c>
      <c r="BY11" s="421">
        <v>62400</v>
      </c>
      <c r="BZ11" s="421">
        <v>86317.7</v>
      </c>
      <c r="CA11" s="421">
        <v>0</v>
      </c>
      <c r="CB11" s="421">
        <v>0</v>
      </c>
      <c r="CC11" s="421">
        <v>31659</v>
      </c>
      <c r="CD11" s="421">
        <v>0</v>
      </c>
      <c r="CE11" s="421">
        <v>0</v>
      </c>
      <c r="CF11" s="421">
        <v>0</v>
      </c>
      <c r="CG11" s="421">
        <v>0</v>
      </c>
      <c r="CH11" s="421">
        <v>0</v>
      </c>
    </row>
    <row r="12" spans="2:86">
      <c r="B12" s="664"/>
      <c r="C12" s="419" t="s">
        <v>272</v>
      </c>
      <c r="D12" s="427"/>
      <c r="E12" s="428">
        <v>0</v>
      </c>
      <c r="F12" s="428">
        <v>0</v>
      </c>
      <c r="G12" s="428">
        <v>0</v>
      </c>
      <c r="H12" s="428">
        <v>0</v>
      </c>
      <c r="I12" s="428">
        <v>0</v>
      </c>
      <c r="J12" s="428">
        <v>0</v>
      </c>
      <c r="K12" s="427">
        <f t="shared" si="1"/>
        <v>0</v>
      </c>
      <c r="L12" s="428">
        <v>0</v>
      </c>
      <c r="M12" s="428">
        <v>0</v>
      </c>
      <c r="N12" s="428">
        <v>0</v>
      </c>
      <c r="O12" s="428">
        <v>0</v>
      </c>
      <c r="P12" s="428">
        <v>100</v>
      </c>
      <c r="Q12" s="428">
        <v>100</v>
      </c>
      <c r="R12" s="427">
        <f t="shared" si="2"/>
        <v>200</v>
      </c>
      <c r="S12" s="428">
        <v>100</v>
      </c>
      <c r="T12" s="428">
        <v>100</v>
      </c>
      <c r="U12" s="428">
        <v>100</v>
      </c>
      <c r="V12" s="428">
        <v>100</v>
      </c>
      <c r="W12" s="428">
        <v>100</v>
      </c>
      <c r="X12" s="428">
        <v>100</v>
      </c>
      <c r="Y12" s="427">
        <f t="shared" si="3"/>
        <v>600</v>
      </c>
      <c r="Z12" s="428">
        <v>100</v>
      </c>
      <c r="AA12" s="428">
        <v>100</v>
      </c>
      <c r="AB12" s="428">
        <v>100</v>
      </c>
      <c r="AC12" s="428">
        <v>100</v>
      </c>
      <c r="AD12" s="428">
        <v>100</v>
      </c>
      <c r="AE12" s="428">
        <v>100</v>
      </c>
      <c r="AF12" s="427">
        <f t="shared" si="4"/>
        <v>600</v>
      </c>
      <c r="AG12" s="428">
        <v>100</v>
      </c>
      <c r="AH12" s="428">
        <v>100</v>
      </c>
      <c r="AI12" s="428">
        <v>100</v>
      </c>
      <c r="AJ12" s="428">
        <v>100</v>
      </c>
      <c r="AK12" s="428">
        <v>100</v>
      </c>
      <c r="AL12" s="428">
        <v>100</v>
      </c>
      <c r="AM12" s="427">
        <f t="shared" si="5"/>
        <v>600</v>
      </c>
      <c r="AN12" s="428">
        <v>100</v>
      </c>
      <c r="AO12" s="428">
        <v>100</v>
      </c>
      <c r="AP12" s="428">
        <v>100</v>
      </c>
      <c r="AQ12" s="428">
        <v>100</v>
      </c>
      <c r="AR12" s="428">
        <v>100</v>
      </c>
      <c r="AS12" s="428">
        <v>100</v>
      </c>
      <c r="AT12" s="427">
        <f t="shared" si="6"/>
        <v>600</v>
      </c>
      <c r="AU12" s="428">
        <v>100</v>
      </c>
      <c r="AV12" s="428">
        <v>100</v>
      </c>
      <c r="AW12" s="428">
        <v>100</v>
      </c>
      <c r="AX12" s="428">
        <v>0</v>
      </c>
      <c r="AY12" s="428">
        <v>0</v>
      </c>
      <c r="AZ12" s="428">
        <v>0</v>
      </c>
      <c r="BA12" s="427">
        <f t="shared" si="0"/>
        <v>300</v>
      </c>
      <c r="BB12" s="428">
        <v>0</v>
      </c>
      <c r="BC12" s="428">
        <v>0</v>
      </c>
      <c r="BD12" s="428"/>
      <c r="BE12" s="428"/>
      <c r="BF12" s="428"/>
      <c r="BG12" s="428"/>
      <c r="BH12" s="427">
        <f t="shared" si="7"/>
        <v>0</v>
      </c>
      <c r="BI12" s="428"/>
      <c r="BJ12" s="428"/>
      <c r="BK12" s="428"/>
      <c r="BL12" s="428"/>
      <c r="BM12" s="428"/>
      <c r="BN12" s="428"/>
      <c r="BO12" s="427">
        <f t="shared" si="8"/>
        <v>0</v>
      </c>
      <c r="BP12" s="428"/>
      <c r="BQ12" s="428"/>
      <c r="BR12" s="428"/>
      <c r="BS12" s="428"/>
      <c r="BT12" s="428"/>
      <c r="BU12" s="428"/>
      <c r="BV12" s="422">
        <f t="shared" si="9"/>
        <v>0</v>
      </c>
      <c r="BX12" s="421"/>
      <c r="BY12" s="421">
        <v>0</v>
      </c>
      <c r="BZ12" s="421">
        <v>200</v>
      </c>
      <c r="CA12" s="421">
        <v>600</v>
      </c>
      <c r="CB12" s="421">
        <v>600</v>
      </c>
      <c r="CC12" s="421">
        <v>600</v>
      </c>
      <c r="CD12" s="421">
        <v>600</v>
      </c>
      <c r="CE12" s="421">
        <v>300</v>
      </c>
      <c r="CF12" s="421">
        <v>0</v>
      </c>
      <c r="CG12" s="421">
        <v>0</v>
      </c>
      <c r="CH12" s="421">
        <v>0</v>
      </c>
    </row>
    <row r="13" spans="2:86">
      <c r="B13" s="664"/>
      <c r="C13" s="419" t="s">
        <v>180</v>
      </c>
      <c r="D13" s="427"/>
      <c r="E13" s="428">
        <v>190.27946529612532</v>
      </c>
      <c r="F13" s="428">
        <v>241.75595065850902</v>
      </c>
      <c r="G13" s="428">
        <v>307.84419265810885</v>
      </c>
      <c r="H13" s="428">
        <v>209.31447839044597</v>
      </c>
      <c r="I13" s="428">
        <v>209.24932717620419</v>
      </c>
      <c r="J13" s="428">
        <v>300.35627418206036</v>
      </c>
      <c r="K13" s="427">
        <f t="shared" si="1"/>
        <v>1458.7996883614537</v>
      </c>
      <c r="L13" s="428">
        <v>482.80586229235342</v>
      </c>
      <c r="M13" s="428">
        <v>239.48843290793559</v>
      </c>
      <c r="N13" s="428">
        <v>307.80842336401531</v>
      </c>
      <c r="O13" s="428">
        <v>170.44730793343408</v>
      </c>
      <c r="P13" s="428">
        <v>173.25136509541079</v>
      </c>
      <c r="Q13" s="428">
        <v>297.39892004539701</v>
      </c>
      <c r="R13" s="427">
        <f t="shared" si="2"/>
        <v>1671.2003116385463</v>
      </c>
      <c r="S13" s="428">
        <v>274.58333333333331</v>
      </c>
      <c r="T13" s="428">
        <v>274.58333333333331</v>
      </c>
      <c r="U13" s="428">
        <v>274.58333333333331</v>
      </c>
      <c r="V13" s="428">
        <v>274.58333333333331</v>
      </c>
      <c r="W13" s="428">
        <v>274.58333333333331</v>
      </c>
      <c r="X13" s="428">
        <v>274.58333333333331</v>
      </c>
      <c r="Y13" s="427">
        <f t="shared" si="3"/>
        <v>1647.4999999999998</v>
      </c>
      <c r="Z13" s="428">
        <v>274.58333333333331</v>
      </c>
      <c r="AA13" s="428">
        <v>274.58333333333331</v>
      </c>
      <c r="AB13" s="428">
        <v>274.58333333333331</v>
      </c>
      <c r="AC13" s="428">
        <v>274.58333333333331</v>
      </c>
      <c r="AD13" s="428">
        <v>274.58333333333331</v>
      </c>
      <c r="AE13" s="428">
        <v>274.58333333333331</v>
      </c>
      <c r="AF13" s="427">
        <f t="shared" si="4"/>
        <v>1647.4999999999998</v>
      </c>
      <c r="AG13" s="428">
        <v>290.83333333333331</v>
      </c>
      <c r="AH13" s="428">
        <v>290.83333333333331</v>
      </c>
      <c r="AI13" s="428">
        <v>290.83333333333331</v>
      </c>
      <c r="AJ13" s="428">
        <v>290.83333333333331</v>
      </c>
      <c r="AK13" s="428">
        <v>290.83333333333331</v>
      </c>
      <c r="AL13" s="428">
        <v>290.83333333333331</v>
      </c>
      <c r="AM13" s="427">
        <f t="shared" si="5"/>
        <v>1744.9999999999998</v>
      </c>
      <c r="AN13" s="428">
        <v>290.83333333333331</v>
      </c>
      <c r="AO13" s="428">
        <v>290.83333333333331</v>
      </c>
      <c r="AP13" s="428">
        <v>290.83333333333331</v>
      </c>
      <c r="AQ13" s="428">
        <v>290.83333333333331</v>
      </c>
      <c r="AR13" s="428">
        <v>290.83333333333331</v>
      </c>
      <c r="AS13" s="428">
        <v>290.83333333333331</v>
      </c>
      <c r="AT13" s="427">
        <f t="shared" si="6"/>
        <v>1744.9999999999998</v>
      </c>
      <c r="AU13" s="428">
        <v>302.75</v>
      </c>
      <c r="AV13" s="428">
        <v>302.75</v>
      </c>
      <c r="AW13" s="428">
        <v>302.75</v>
      </c>
      <c r="AX13" s="428">
        <v>20302.75</v>
      </c>
      <c r="AY13" s="428">
        <v>302.75</v>
      </c>
      <c r="AZ13" s="428">
        <v>302.75</v>
      </c>
      <c r="BA13" s="427">
        <f t="shared" si="0"/>
        <v>21816.5</v>
      </c>
      <c r="BB13" s="428">
        <v>302.75</v>
      </c>
      <c r="BC13" s="428">
        <v>302.75</v>
      </c>
      <c r="BD13" s="428">
        <v>302.75</v>
      </c>
      <c r="BE13" s="428">
        <v>302.75</v>
      </c>
      <c r="BF13" s="428">
        <v>302.75</v>
      </c>
      <c r="BG13" s="428">
        <v>302.75</v>
      </c>
      <c r="BH13" s="427">
        <f t="shared" si="7"/>
        <v>1816.5</v>
      </c>
      <c r="BI13" s="428">
        <v>317.83333333333331</v>
      </c>
      <c r="BJ13" s="428">
        <v>317.83333333333331</v>
      </c>
      <c r="BK13" s="428">
        <v>317.83333333333331</v>
      </c>
      <c r="BL13" s="428">
        <v>317.83333333333331</v>
      </c>
      <c r="BM13" s="428">
        <v>317.83333333333331</v>
      </c>
      <c r="BN13" s="428">
        <v>317.83333333333331</v>
      </c>
      <c r="BO13" s="427">
        <f t="shared" si="8"/>
        <v>1906.9999999999998</v>
      </c>
      <c r="BP13" s="428">
        <v>317.83333333333331</v>
      </c>
      <c r="BQ13" s="428">
        <v>317.83333333333331</v>
      </c>
      <c r="BR13" s="428">
        <v>317.83333333333331</v>
      </c>
      <c r="BS13" s="428">
        <v>317.83333333333331</v>
      </c>
      <c r="BT13" s="428">
        <v>317.83333333333331</v>
      </c>
      <c r="BU13" s="428">
        <v>317.83333333333331</v>
      </c>
      <c r="BV13" s="422">
        <f t="shared" si="9"/>
        <v>1906.9999999999998</v>
      </c>
      <c r="BX13" s="421"/>
      <c r="BY13" s="421">
        <v>1458.7996883614537</v>
      </c>
      <c r="BZ13" s="421">
        <v>1671.2003116385463</v>
      </c>
      <c r="CA13" s="421">
        <v>1647.4999999999998</v>
      </c>
      <c r="CB13" s="421">
        <v>1647.4999999999998</v>
      </c>
      <c r="CC13" s="421">
        <v>1744.9999999999998</v>
      </c>
      <c r="CD13" s="421">
        <v>1744.9999999999998</v>
      </c>
      <c r="CE13" s="421">
        <v>21816.5</v>
      </c>
      <c r="CF13" s="421">
        <v>1816.5</v>
      </c>
      <c r="CG13" s="421">
        <v>1906.9999999999998</v>
      </c>
      <c r="CH13" s="421">
        <v>1906.9999999999998</v>
      </c>
    </row>
    <row r="14" spans="2:86">
      <c r="B14" s="665"/>
      <c r="C14" s="419" t="s">
        <v>271</v>
      </c>
      <c r="D14" s="427">
        <v>29294</v>
      </c>
      <c r="E14" s="428">
        <v>6483.1846402086121</v>
      </c>
      <c r="F14" s="428">
        <v>3137.9933679413803</v>
      </c>
      <c r="G14" s="428">
        <v>2648.2728674566993</v>
      </c>
      <c r="H14" s="428">
        <v>3792.355906360111</v>
      </c>
      <c r="I14" s="428">
        <v>3774.1568457148846</v>
      </c>
      <c r="J14" s="428">
        <v>66938.408723127737</v>
      </c>
      <c r="K14" s="427">
        <f t="shared" si="1"/>
        <v>86774.372350809426</v>
      </c>
      <c r="L14" s="428">
        <v>3507.5081210325206</v>
      </c>
      <c r="M14" s="428">
        <v>30980.87213358418</v>
      </c>
      <c r="N14" s="428">
        <v>8045.7156838070678</v>
      </c>
      <c r="O14" s="428">
        <v>4369.9729245310182</v>
      </c>
      <c r="P14" s="428">
        <v>60699.615383265816</v>
      </c>
      <c r="Q14" s="428">
        <v>5400.6628657839819</v>
      </c>
      <c r="R14" s="427">
        <f t="shared" si="2"/>
        <v>113004.34711200457</v>
      </c>
      <c r="S14" s="428">
        <v>9185.1255289282199</v>
      </c>
      <c r="T14" s="428">
        <v>9263.0735642430991</v>
      </c>
      <c r="U14" s="428">
        <v>10791.57850768977</v>
      </c>
      <c r="V14" s="428">
        <v>10673.412524034706</v>
      </c>
      <c r="W14" s="428">
        <v>10688.045230461183</v>
      </c>
      <c r="X14" s="428">
        <v>11480.251366508015</v>
      </c>
      <c r="Y14" s="427">
        <f t="shared" si="3"/>
        <v>62081.486721864989</v>
      </c>
      <c r="Z14" s="428">
        <v>12513.471417249275</v>
      </c>
      <c r="AA14" s="428">
        <v>13522.731827973272</v>
      </c>
      <c r="AB14" s="428">
        <v>14034.429892473418</v>
      </c>
      <c r="AC14" s="428">
        <v>15065.787178416231</v>
      </c>
      <c r="AD14" s="428">
        <v>16270.457236382259</v>
      </c>
      <c r="AE14" s="428">
        <v>16618.152024432336</v>
      </c>
      <c r="AF14" s="427">
        <f t="shared" si="4"/>
        <v>88025.029576926798</v>
      </c>
      <c r="AG14" s="428">
        <v>16226.412172236185</v>
      </c>
      <c r="AH14" s="428">
        <v>19635.727722020314</v>
      </c>
      <c r="AI14" s="428">
        <v>21110.651082860975</v>
      </c>
      <c r="AJ14" s="428">
        <v>55374.340255308423</v>
      </c>
      <c r="AK14" s="428">
        <v>24070.56760022862</v>
      </c>
      <c r="AL14" s="428">
        <v>25243.201030590211</v>
      </c>
      <c r="AM14" s="427">
        <f t="shared" si="5"/>
        <v>161660.89986324473</v>
      </c>
      <c r="AN14" s="428">
        <v>24940.912510759823</v>
      </c>
      <c r="AO14" s="428">
        <v>26900.525991220744</v>
      </c>
      <c r="AP14" s="428">
        <v>28538.887017608566</v>
      </c>
      <c r="AQ14" s="428">
        <v>29841.231747984137</v>
      </c>
      <c r="AR14" s="428">
        <v>30798.975451814975</v>
      </c>
      <c r="AS14" s="428">
        <v>31914.077117847723</v>
      </c>
      <c r="AT14" s="427">
        <f t="shared" si="6"/>
        <v>172934.60983723594</v>
      </c>
      <c r="AU14" s="428">
        <v>33539.422626148589</v>
      </c>
      <c r="AV14" s="428">
        <v>34442.173107667681</v>
      </c>
      <c r="AW14" s="428">
        <v>34955.633690122871</v>
      </c>
      <c r="AX14" s="428">
        <v>54976.766256978597</v>
      </c>
      <c r="AY14" s="428">
        <v>34710.715055293644</v>
      </c>
      <c r="AZ14" s="428">
        <v>34070.610732805195</v>
      </c>
      <c r="BA14" s="427">
        <f t="shared" si="0"/>
        <v>226695.32146901655</v>
      </c>
      <c r="BB14" s="428">
        <v>33077.110524562486</v>
      </c>
      <c r="BC14" s="428">
        <v>32757.525468024091</v>
      </c>
      <c r="BD14" s="428">
        <v>33114.834979863677</v>
      </c>
      <c r="BE14" s="428">
        <v>33361.043595740703</v>
      </c>
      <c r="BF14" s="428">
        <v>33474.873621597122</v>
      </c>
      <c r="BG14" s="428">
        <v>33406.342676293192</v>
      </c>
      <c r="BH14" s="427">
        <f t="shared" si="7"/>
        <v>199191.73086608129</v>
      </c>
      <c r="BI14" s="428">
        <v>33288.560700088412</v>
      </c>
      <c r="BJ14" s="428">
        <v>32611.996447014593</v>
      </c>
      <c r="BK14" s="428">
        <v>31587.615049522297</v>
      </c>
      <c r="BL14" s="428">
        <v>24118.571199100585</v>
      </c>
      <c r="BM14" s="428">
        <v>22419.61162470913</v>
      </c>
      <c r="BN14" s="428">
        <v>20964.197820136022</v>
      </c>
      <c r="BO14" s="427">
        <f t="shared" si="8"/>
        <v>164990.55284057106</v>
      </c>
      <c r="BP14" s="428">
        <v>19772.169887565266</v>
      </c>
      <c r="BQ14" s="428">
        <v>18588.560391123974</v>
      </c>
      <c r="BR14" s="428">
        <v>17379.428929026861</v>
      </c>
      <c r="BS14" s="428">
        <v>10344.696006888211</v>
      </c>
      <c r="BT14" s="428">
        <v>9607.8311165456089</v>
      </c>
      <c r="BU14" s="428">
        <v>8740.883878160932</v>
      </c>
      <c r="BV14" s="422">
        <f t="shared" si="9"/>
        <v>84433.57020931087</v>
      </c>
      <c r="BX14" s="421">
        <v>29294</v>
      </c>
      <c r="BY14" s="421">
        <v>86774.372350809426</v>
      </c>
      <c r="BZ14" s="421">
        <v>113004.34711200457</v>
      </c>
      <c r="CA14" s="421">
        <v>62081.486721864989</v>
      </c>
      <c r="CB14" s="421">
        <v>88025.029576926798</v>
      </c>
      <c r="CC14" s="421">
        <v>161660.89986324473</v>
      </c>
      <c r="CD14" s="421">
        <v>172934.60983723594</v>
      </c>
      <c r="CE14" s="421">
        <v>226695.32146901655</v>
      </c>
      <c r="CF14" s="421">
        <v>199191.73086608129</v>
      </c>
      <c r="CG14" s="421">
        <v>164990.55284057106</v>
      </c>
      <c r="CH14" s="421">
        <v>84433.57020931087</v>
      </c>
    </row>
    <row r="15" spans="2:86">
      <c r="B15" s="419"/>
      <c r="C15" s="420" t="s">
        <v>11</v>
      </c>
      <c r="D15" s="429">
        <v>3415</v>
      </c>
      <c r="E15" s="430">
        <v>15010.298268802173</v>
      </c>
      <c r="F15" s="430">
        <v>306.3415772665885</v>
      </c>
      <c r="G15" s="430">
        <v>18.0219305427172</v>
      </c>
      <c r="H15" s="430">
        <v>-180.031933992007</v>
      </c>
      <c r="I15" s="430">
        <v>279.11270448161122</v>
      </c>
      <c r="J15" s="430">
        <v>-61312.500107403794</v>
      </c>
      <c r="K15" s="427">
        <f t="shared" si="1"/>
        <v>-45878.757560302707</v>
      </c>
      <c r="L15" s="428">
        <v>310.00751918232936</v>
      </c>
      <c r="M15" s="430">
        <v>-26703.431589046031</v>
      </c>
      <c r="N15" s="430">
        <v>-3109.9158732351098</v>
      </c>
      <c r="O15" s="430">
        <v>90.09562578076202</v>
      </c>
      <c r="P15" s="430">
        <v>-35800.38313128968</v>
      </c>
      <c r="Q15" s="430">
        <v>749.13302087592365</v>
      </c>
      <c r="R15" s="427">
        <f t="shared" si="2"/>
        <v>-64464.494427731806</v>
      </c>
      <c r="S15" s="428">
        <v>-488.55755769225652</v>
      </c>
      <c r="T15" s="430">
        <v>-570.01114866490025</v>
      </c>
      <c r="U15" s="430">
        <v>-493.83777854170512</v>
      </c>
      <c r="V15" s="430">
        <v>-78.579139285720885</v>
      </c>
      <c r="W15" s="430">
        <v>-120.763756533579</v>
      </c>
      <c r="X15" s="430">
        <v>630.45520078385562</v>
      </c>
      <c r="Y15" s="427">
        <f t="shared" si="3"/>
        <v>-1121.2941799343062</v>
      </c>
      <c r="Z15" s="430">
        <v>24.020329173057689</v>
      </c>
      <c r="AA15" s="430">
        <v>55.700313888879464</v>
      </c>
      <c r="AB15" s="428">
        <v>17047.789612460096</v>
      </c>
      <c r="AC15" s="430">
        <v>290.23831833240183</v>
      </c>
      <c r="AD15" s="430">
        <v>465.18276632858397</v>
      </c>
      <c r="AE15" s="430">
        <v>1155.5849148224079</v>
      </c>
      <c r="AF15" s="427">
        <f t="shared" si="4"/>
        <v>19038.516255005427</v>
      </c>
      <c r="AG15" s="430">
        <v>1556.8586773382849</v>
      </c>
      <c r="AH15" s="430">
        <v>1806.4200955744673</v>
      </c>
      <c r="AI15" s="428">
        <v>2130.2256955295925</v>
      </c>
      <c r="AJ15" s="430">
        <v>-29298.66649533121</v>
      </c>
      <c r="AK15" s="430">
        <v>2635.4689822785622</v>
      </c>
      <c r="AL15" s="430">
        <v>2732.4994562540123</v>
      </c>
      <c r="AM15" s="427">
        <f t="shared" si="5"/>
        <v>-18437.193588356291</v>
      </c>
      <c r="AN15" s="430">
        <v>3107.4113186962204</v>
      </c>
      <c r="AO15" s="430">
        <v>3384.2618736012555</v>
      </c>
      <c r="AP15" s="430">
        <v>3620.0064090180822</v>
      </c>
      <c r="AQ15" s="430">
        <v>3812.5259085320868</v>
      </c>
      <c r="AR15" s="428">
        <v>3960.4346091422667</v>
      </c>
      <c r="AS15" s="430">
        <v>4445.1252747874823</v>
      </c>
      <c r="AT15" s="427">
        <f t="shared" si="6"/>
        <v>22329.765393777394</v>
      </c>
      <c r="AU15" s="430">
        <v>4039.1823105666845</v>
      </c>
      <c r="AV15" s="430">
        <v>4141.025833393709</v>
      </c>
      <c r="AW15" s="430">
        <v>4195.0260054096725</v>
      </c>
      <c r="AX15" s="430">
        <v>44300.821482180465</v>
      </c>
      <c r="AY15" s="428">
        <v>4392.6641209222726</v>
      </c>
      <c r="AZ15" s="430">
        <v>4305.5111809038426</v>
      </c>
      <c r="BA15" s="427">
        <f t="shared" si="0"/>
        <v>65374.230933376646</v>
      </c>
      <c r="BB15" s="430">
        <v>4174.6415484105237</v>
      </c>
      <c r="BC15" s="430">
        <v>4114.3356221629292</v>
      </c>
      <c r="BD15" s="430">
        <v>4125.4713466501053</v>
      </c>
      <c r="BE15" s="430">
        <v>4121.072221078779</v>
      </c>
      <c r="BF15" s="430">
        <v>4099.0886716806563</v>
      </c>
      <c r="BG15" s="430">
        <v>4067.628238706704</v>
      </c>
      <c r="BH15" s="427">
        <f t="shared" si="7"/>
        <v>24702.237648689697</v>
      </c>
      <c r="BI15" s="430">
        <v>4028.2142934087315</v>
      </c>
      <c r="BJ15" s="430">
        <v>3938.1616398805636</v>
      </c>
      <c r="BK15" s="430">
        <v>3807.4329207722549</v>
      </c>
      <c r="BL15" s="430">
        <v>62958.70712305099</v>
      </c>
      <c r="BM15" s="430">
        <v>2947.0388126394173</v>
      </c>
      <c r="BN15" s="430">
        <v>2761.4220903127061</v>
      </c>
      <c r="BO15" s="427">
        <f t="shared" si="8"/>
        <v>80440.976880064671</v>
      </c>
      <c r="BP15" s="428">
        <v>2603.7531381506415</v>
      </c>
      <c r="BQ15" s="430">
        <v>2461.7656740687271</v>
      </c>
      <c r="BR15" s="430">
        <v>2302.4363133360275</v>
      </c>
      <c r="BS15" s="430">
        <v>1528.4741096984071</v>
      </c>
      <c r="BT15" s="430">
        <v>1451.6951466926675</v>
      </c>
      <c r="BU15" s="430">
        <v>1360.2066595833476</v>
      </c>
      <c r="BV15" s="422">
        <f t="shared" si="9"/>
        <v>11708.331041529818</v>
      </c>
      <c r="BX15" s="421">
        <v>3415</v>
      </c>
      <c r="BY15" s="421">
        <v>-45878.757560302707</v>
      </c>
      <c r="BZ15" s="421">
        <v>-64464.494427731806</v>
      </c>
      <c r="CA15" s="421">
        <v>-1121.2941799343062</v>
      </c>
      <c r="CB15" s="421">
        <v>19038.516255005427</v>
      </c>
      <c r="CC15" s="421">
        <v>-18437.193588356291</v>
      </c>
      <c r="CD15" s="421">
        <v>22329.765393777394</v>
      </c>
      <c r="CE15" s="421">
        <v>65374.230933376646</v>
      </c>
      <c r="CF15" s="421">
        <v>24702.237648689697</v>
      </c>
      <c r="CG15" s="421">
        <v>80440.976880064671</v>
      </c>
      <c r="CH15" s="421">
        <v>11708.331041529818</v>
      </c>
    </row>
    <row r="16" spans="2:86">
      <c r="B16" s="419"/>
      <c r="C16" s="420" t="s">
        <v>273</v>
      </c>
      <c r="D16" s="429">
        <v>125845</v>
      </c>
      <c r="E16" s="430">
        <v>140855.29826880217</v>
      </c>
      <c r="F16" s="430">
        <v>141161.63984606875</v>
      </c>
      <c r="G16" s="430">
        <v>141179.66177661147</v>
      </c>
      <c r="H16" s="430">
        <v>140999.62984261947</v>
      </c>
      <c r="I16" s="430">
        <v>141278.74254710108</v>
      </c>
      <c r="J16" s="430">
        <v>79966.242439697293</v>
      </c>
      <c r="K16" s="429">
        <f>D16+K15</f>
        <v>79966.242439697293</v>
      </c>
      <c r="L16" s="430">
        <v>80276.24995887962</v>
      </c>
      <c r="M16" s="430">
        <v>53572.818369833592</v>
      </c>
      <c r="N16" s="430">
        <v>50462.902496598486</v>
      </c>
      <c r="O16" s="430">
        <v>50552.998122379249</v>
      </c>
      <c r="P16" s="430">
        <v>14752.614991089569</v>
      </c>
      <c r="Q16" s="430">
        <v>15501.748011965494</v>
      </c>
      <c r="R16" s="429">
        <f>K16+R15</f>
        <v>15501.748011965487</v>
      </c>
      <c r="S16" s="430">
        <v>15013.190454273237</v>
      </c>
      <c r="T16" s="430">
        <v>14443.179305608337</v>
      </c>
      <c r="U16" s="430">
        <v>13949.341527066632</v>
      </c>
      <c r="V16" s="430">
        <v>13870.762387780911</v>
      </c>
      <c r="W16" s="430">
        <v>13749.998631247332</v>
      </c>
      <c r="X16" s="430">
        <v>14380.453832031188</v>
      </c>
      <c r="Y16" s="429">
        <f>R16+Y15</f>
        <v>14380.45383203118</v>
      </c>
      <c r="Z16" s="430">
        <v>14404.474161204245</v>
      </c>
      <c r="AA16" s="430">
        <v>14460.174475093125</v>
      </c>
      <c r="AB16" s="430">
        <v>31507.96408755322</v>
      </c>
      <c r="AC16" s="430">
        <v>31798.202405885622</v>
      </c>
      <c r="AD16" s="430">
        <v>32263.385172214206</v>
      </c>
      <c r="AE16" s="430">
        <v>33418.970087036614</v>
      </c>
      <c r="AF16" s="429">
        <f>Y16+AF15</f>
        <v>33418.970087036607</v>
      </c>
      <c r="AG16" s="430">
        <v>34975.828764374899</v>
      </c>
      <c r="AH16" s="430">
        <v>36782.248859949366</v>
      </c>
      <c r="AI16" s="430">
        <v>38912.474555478955</v>
      </c>
      <c r="AJ16" s="430">
        <v>9613.808060147745</v>
      </c>
      <c r="AK16" s="430">
        <v>12249.277042426307</v>
      </c>
      <c r="AL16" s="430">
        <v>14981.776498680319</v>
      </c>
      <c r="AM16" s="429">
        <f>AF16+AM15</f>
        <v>14981.776498680316</v>
      </c>
      <c r="AN16" s="430">
        <v>18089.18781737654</v>
      </c>
      <c r="AO16" s="430">
        <v>21473.449690977795</v>
      </c>
      <c r="AP16" s="430">
        <v>25093.456099995878</v>
      </c>
      <c r="AQ16" s="430">
        <v>28905.982008527964</v>
      </c>
      <c r="AR16" s="430">
        <v>32866.416617670227</v>
      </c>
      <c r="AS16" s="430">
        <v>37311.54189245771</v>
      </c>
      <c r="AT16" s="429">
        <f>AM16+AT15</f>
        <v>37311.54189245771</v>
      </c>
      <c r="AU16" s="430">
        <v>41350.724203024394</v>
      </c>
      <c r="AV16" s="430">
        <v>45491.750036418103</v>
      </c>
      <c r="AW16" s="430">
        <v>49686.776041827776</v>
      </c>
      <c r="AX16" s="430">
        <v>93987.597524008248</v>
      </c>
      <c r="AY16" s="430">
        <v>98380.261644930521</v>
      </c>
      <c r="AZ16" s="430">
        <v>102685.77282583437</v>
      </c>
      <c r="BA16" s="429">
        <f>AT16+BA15</f>
        <v>102685.77282583436</v>
      </c>
      <c r="BB16" s="430">
        <v>106860.41437424489</v>
      </c>
      <c r="BC16" s="430">
        <v>110974.74999640783</v>
      </c>
      <c r="BD16" s="430">
        <v>115100.22134305793</v>
      </c>
      <c r="BE16" s="430">
        <v>119221.29356413671</v>
      </c>
      <c r="BF16" s="430">
        <v>123320.38223581736</v>
      </c>
      <c r="BG16" s="430">
        <v>127388.01047452407</v>
      </c>
      <c r="BH16" s="429">
        <f>BA16+BH15</f>
        <v>127388.01047452405</v>
      </c>
      <c r="BI16" s="430">
        <v>131416.22476793278</v>
      </c>
      <c r="BJ16" s="430">
        <v>135354.38640781335</v>
      </c>
      <c r="BK16" s="430">
        <v>139161.81932858561</v>
      </c>
      <c r="BL16" s="430">
        <v>202120.5264516366</v>
      </c>
      <c r="BM16" s="430">
        <v>205067.56526427603</v>
      </c>
      <c r="BN16" s="430">
        <v>207828.98735458872</v>
      </c>
      <c r="BO16" s="429">
        <f>BH16+BO15</f>
        <v>207828.98735458872</v>
      </c>
      <c r="BP16" s="430">
        <v>210432.74049273937</v>
      </c>
      <c r="BQ16" s="430">
        <v>212894.5061668081</v>
      </c>
      <c r="BR16" s="430">
        <v>215196.94248014412</v>
      </c>
      <c r="BS16" s="430">
        <v>216725.41658984253</v>
      </c>
      <c r="BT16" s="430">
        <v>218177.11173653518</v>
      </c>
      <c r="BU16" s="430">
        <v>219537.31839611853</v>
      </c>
      <c r="BV16" s="423">
        <f>BO16+BV15</f>
        <v>219537.31839611853</v>
      </c>
      <c r="BX16" s="421">
        <v>125845</v>
      </c>
      <c r="BY16" s="421">
        <v>79966.242439697293</v>
      </c>
      <c r="BZ16" s="421">
        <v>15501.748011965487</v>
      </c>
      <c r="CA16" s="421">
        <v>14380.45383203118</v>
      </c>
      <c r="CB16" s="421">
        <v>33418.970087036607</v>
      </c>
      <c r="CC16" s="421">
        <v>14981.776498680316</v>
      </c>
      <c r="CD16" s="421">
        <v>37311.54189245771</v>
      </c>
      <c r="CE16" s="421">
        <v>102685.77282583436</v>
      </c>
      <c r="CF16" s="421">
        <v>127388.01047452405</v>
      </c>
      <c r="CG16" s="421">
        <v>207828.98735458872</v>
      </c>
      <c r="CH16" s="421">
        <v>219537.31839611853</v>
      </c>
    </row>
    <row r="18" spans="12:81">
      <c r="L18" s="433"/>
    </row>
    <row r="20" spans="12:81">
      <c r="BY20" t="s">
        <v>293</v>
      </c>
      <c r="CA20" s="227">
        <v>-29.294</v>
      </c>
      <c r="CB20" s="227">
        <v>32.709000000000003</v>
      </c>
      <c r="CC20" s="227">
        <v>125.845</v>
      </c>
    </row>
    <row r="21" spans="12:81">
      <c r="BY21" t="s">
        <v>291</v>
      </c>
      <c r="CA21" s="227">
        <v>-86.774372350809429</v>
      </c>
      <c r="CB21" s="227">
        <v>40.895614790506713</v>
      </c>
      <c r="CC21" s="227">
        <v>79.966242439697297</v>
      </c>
    </row>
    <row r="22" spans="12:81">
      <c r="BY22" t="s">
        <v>292</v>
      </c>
      <c r="CA22" s="227">
        <v>-113.00434711200457</v>
      </c>
      <c r="CB22" s="227">
        <v>48.539852684272788</v>
      </c>
      <c r="CC22" s="227">
        <v>15.501748011965487</v>
      </c>
    </row>
    <row r="23" spans="12:81">
      <c r="BY23" t="s">
        <v>294</v>
      </c>
      <c r="CA23" s="227">
        <v>-62.081486721864991</v>
      </c>
      <c r="CB23" s="227">
        <v>60.960192541930681</v>
      </c>
      <c r="CC23" s="227">
        <v>14.380453832031181</v>
      </c>
    </row>
    <row r="24" spans="12:81">
      <c r="BY24" t="s">
        <v>284</v>
      </c>
      <c r="CA24" s="227">
        <v>-88.025029576926798</v>
      </c>
      <c r="CB24" s="227">
        <v>107.0635458319322</v>
      </c>
      <c r="CC24" s="227">
        <v>33.418970087036605</v>
      </c>
    </row>
    <row r="25" spans="12:81">
      <c r="BY25" t="s">
        <v>285</v>
      </c>
      <c r="CA25" s="227">
        <v>-161.66089986324474</v>
      </c>
      <c r="CB25" s="227">
        <v>143.22370627488846</v>
      </c>
      <c r="CC25" s="227">
        <v>14.981776498680317</v>
      </c>
    </row>
    <row r="26" spans="12:81">
      <c r="BY26" t="s">
        <v>286</v>
      </c>
      <c r="CA26" s="227">
        <v>-172.93460983723594</v>
      </c>
      <c r="CB26" s="227">
        <v>195.26437523101336</v>
      </c>
      <c r="CC26" s="227">
        <v>37.311541892457711</v>
      </c>
    </row>
    <row r="27" spans="12:81">
      <c r="BY27" t="s">
        <v>287</v>
      </c>
      <c r="CA27" s="227">
        <v>-226.69532146901653</v>
      </c>
      <c r="CB27" s="227">
        <v>292.06955240239319</v>
      </c>
      <c r="CC27" s="227">
        <v>102.68577282583436</v>
      </c>
    </row>
    <row r="28" spans="12:81">
      <c r="BY28" t="s">
        <v>288</v>
      </c>
      <c r="CA28" s="227">
        <v>-199.19173086608129</v>
      </c>
      <c r="CB28" s="227">
        <v>223.89396851477096</v>
      </c>
      <c r="CC28" s="227">
        <v>127.38801047452405</v>
      </c>
    </row>
    <row r="29" spans="12:81">
      <c r="BY29" t="s">
        <v>289</v>
      </c>
      <c r="CA29" s="227">
        <v>-164.99055284057107</v>
      </c>
      <c r="CB29" s="227">
        <v>245.43152972063569</v>
      </c>
      <c r="CC29" s="227">
        <v>207.82898735458872</v>
      </c>
    </row>
    <row r="30" spans="12:81">
      <c r="BY30" t="s">
        <v>290</v>
      </c>
      <c r="CA30" s="227">
        <v>-84.433570209310872</v>
      </c>
      <c r="CB30" s="227">
        <v>96.141901250840675</v>
      </c>
      <c r="CC30" s="227">
        <v>219.53731839611854</v>
      </c>
    </row>
    <row r="32" spans="12:81">
      <c r="BY32">
        <v>1000</v>
      </c>
    </row>
    <row r="33" spans="77:77">
      <c r="BY33">
        <v>-1</v>
      </c>
    </row>
  </sheetData>
  <mergeCells count="2">
    <mergeCell ref="B4:B8"/>
    <mergeCell ref="B9:B14"/>
  </mergeCells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U48"/>
  <sheetViews>
    <sheetView topLeftCell="A22" workbookViewId="0">
      <selection activeCell="T21" sqref="T21"/>
    </sheetView>
  </sheetViews>
  <sheetFormatPr defaultRowHeight="16.5"/>
  <cols>
    <col min="19" max="20" width="9.125" bestFit="1" customWidth="1"/>
    <col min="21" max="21" width="9.375" bestFit="1" customWidth="1"/>
  </cols>
  <sheetData>
    <row r="3" spans="2:14">
      <c r="B3" s="673" t="s">
        <v>305</v>
      </c>
      <c r="C3" s="674"/>
      <c r="D3" s="457" t="s">
        <v>320</v>
      </c>
      <c r="E3" s="458">
        <v>25.1</v>
      </c>
      <c r="F3" s="459">
        <v>25.2</v>
      </c>
      <c r="G3" s="459" t="s">
        <v>321</v>
      </c>
      <c r="H3" s="459" t="s">
        <v>306</v>
      </c>
      <c r="I3" s="459" t="s">
        <v>307</v>
      </c>
      <c r="J3" s="459" t="s">
        <v>308</v>
      </c>
      <c r="K3" s="459" t="s">
        <v>309</v>
      </c>
      <c r="L3" s="459" t="s">
        <v>310</v>
      </c>
      <c r="M3" s="459" t="s">
        <v>311</v>
      </c>
      <c r="N3" s="459" t="s">
        <v>312</v>
      </c>
    </row>
    <row r="4" spans="2:14">
      <c r="B4" s="666" t="s">
        <v>62</v>
      </c>
      <c r="C4" s="435" t="s">
        <v>121</v>
      </c>
      <c r="D4" s="436">
        <v>5810</v>
      </c>
      <c r="E4" s="437">
        <v>22452.050856685051</v>
      </c>
      <c r="F4" s="438">
        <v>27441.242570126873</v>
      </c>
      <c r="G4" s="438">
        <v>60671.767781319897</v>
      </c>
      <c r="H4" s="438">
        <v>106600.8329586013</v>
      </c>
      <c r="I4" s="438">
        <v>142670.53355743943</v>
      </c>
      <c r="J4" s="438">
        <v>194793.01030901828</v>
      </c>
      <c r="K4" s="438">
        <v>230848.8595383667</v>
      </c>
      <c r="L4" s="438">
        <v>221633.42837408834</v>
      </c>
      <c r="M4" s="438">
        <v>182296.50391876884</v>
      </c>
      <c r="N4" s="438">
        <v>91871.051541887486</v>
      </c>
    </row>
    <row r="5" spans="2:14">
      <c r="B5" s="667"/>
      <c r="C5" s="439" t="s">
        <v>313</v>
      </c>
      <c r="D5" s="440">
        <v>26490</v>
      </c>
      <c r="E5" s="441">
        <v>15672.5</v>
      </c>
      <c r="F5" s="442">
        <v>0</v>
      </c>
      <c r="G5" s="442">
        <v>0</v>
      </c>
      <c r="H5" s="442">
        <v>0</v>
      </c>
      <c r="I5" s="442">
        <v>0</v>
      </c>
      <c r="J5" s="442">
        <v>0</v>
      </c>
      <c r="K5" s="442">
        <v>0</v>
      </c>
      <c r="L5" s="442">
        <v>0</v>
      </c>
      <c r="M5" s="442">
        <v>0</v>
      </c>
      <c r="N5" s="442">
        <v>0</v>
      </c>
    </row>
    <row r="6" spans="2:14">
      <c r="B6" s="667"/>
      <c r="C6" s="439" t="s">
        <v>314</v>
      </c>
      <c r="D6" s="440">
        <v>409</v>
      </c>
      <c r="E6" s="441">
        <v>2771.0639338216597</v>
      </c>
      <c r="F6" s="442">
        <v>1339.8127830347985</v>
      </c>
      <c r="G6" s="442">
        <v>656.30256026042957</v>
      </c>
      <c r="H6" s="442">
        <v>838.0098151244008</v>
      </c>
      <c r="I6" s="442">
        <v>936.03842626233302</v>
      </c>
      <c r="J6" s="442">
        <v>861.9520402503025</v>
      </c>
      <c r="K6" s="442">
        <v>1751.7115569924199</v>
      </c>
      <c r="L6" s="442">
        <v>3061.9893451149387</v>
      </c>
      <c r="M6" s="442">
        <v>3940.5377148504062</v>
      </c>
      <c r="N6" s="442">
        <v>5080.506264794004</v>
      </c>
    </row>
    <row r="7" spans="2:14">
      <c r="B7" s="667"/>
      <c r="C7" s="443" t="s">
        <v>7</v>
      </c>
      <c r="D7" s="444" t="s">
        <v>315</v>
      </c>
      <c r="E7" s="445">
        <v>0</v>
      </c>
      <c r="F7" s="446">
        <v>20000</v>
      </c>
      <c r="G7" s="446">
        <v>0</v>
      </c>
      <c r="H7" s="446">
        <v>0</v>
      </c>
      <c r="I7" s="446">
        <v>0</v>
      </c>
      <c r="J7" s="446">
        <v>0</v>
      </c>
      <c r="K7" s="446">
        <v>60000</v>
      </c>
      <c r="L7" s="446">
        <v>0</v>
      </c>
      <c r="M7" s="446">
        <v>60000</v>
      </c>
      <c r="N7" s="446">
        <v>0</v>
      </c>
    </row>
    <row r="8" spans="2:14" ht="23.25">
      <c r="B8" s="668"/>
      <c r="C8" s="447"/>
      <c r="D8" s="448">
        <f>SUM(D4:D7)</f>
        <v>32709</v>
      </c>
      <c r="E8" s="449">
        <f t="shared" ref="E8:N8" si="0">SUM(E4:E7)</f>
        <v>40895.614790506705</v>
      </c>
      <c r="F8" s="450">
        <f t="shared" si="0"/>
        <v>48781.055353161675</v>
      </c>
      <c r="G8" s="450">
        <f t="shared" si="0"/>
        <v>61328.070341580329</v>
      </c>
      <c r="H8" s="450">
        <f t="shared" si="0"/>
        <v>107438.8427737257</v>
      </c>
      <c r="I8" s="450">
        <f t="shared" si="0"/>
        <v>143606.57198370175</v>
      </c>
      <c r="J8" s="450">
        <f t="shared" si="0"/>
        <v>195654.96234926858</v>
      </c>
      <c r="K8" s="450">
        <f t="shared" si="0"/>
        <v>292600.5710953591</v>
      </c>
      <c r="L8" s="450">
        <f t="shared" si="0"/>
        <v>224695.41771920328</v>
      </c>
      <c r="M8" s="450">
        <f t="shared" si="0"/>
        <v>246237.04163361926</v>
      </c>
      <c r="N8" s="450">
        <f t="shared" si="0"/>
        <v>96951.557806681492</v>
      </c>
    </row>
    <row r="9" spans="2:14">
      <c r="B9" s="666" t="s">
        <v>63</v>
      </c>
      <c r="C9" s="435" t="s">
        <v>118</v>
      </c>
      <c r="D9" s="436">
        <v>4013</v>
      </c>
      <c r="E9" s="437">
        <v>18619.235892993966</v>
      </c>
      <c r="F9" s="438">
        <v>22172.576300366032</v>
      </c>
      <c r="G9" s="438">
        <v>57954.098721864983</v>
      </c>
      <c r="H9" s="438">
        <v>83897.641576926777</v>
      </c>
      <c r="I9" s="438">
        <v>125776.81186324471</v>
      </c>
      <c r="J9" s="438">
        <v>168709.52183723595</v>
      </c>
      <c r="K9" s="438">
        <v>202238.82146901655</v>
      </c>
      <c r="L9" s="438">
        <v>195035.23086608129</v>
      </c>
      <c r="M9" s="438">
        <v>159945.55284057104</v>
      </c>
      <c r="N9" s="438">
        <v>79388.570209310856</v>
      </c>
    </row>
    <row r="10" spans="2:14">
      <c r="B10" s="667"/>
      <c r="C10" s="439" t="s">
        <v>316</v>
      </c>
      <c r="D10" s="440">
        <v>381</v>
      </c>
      <c r="E10" s="441">
        <v>4296.3367694539993</v>
      </c>
      <c r="F10" s="442">
        <v>2642.8705</v>
      </c>
      <c r="G10" s="442">
        <v>1879.8879999999999</v>
      </c>
      <c r="H10" s="442">
        <v>1879.8879999999999</v>
      </c>
      <c r="I10" s="442">
        <v>1880.088</v>
      </c>
      <c r="J10" s="442">
        <v>1880.088</v>
      </c>
      <c r="K10" s="442">
        <v>2340</v>
      </c>
      <c r="L10" s="442">
        <v>2340</v>
      </c>
      <c r="M10" s="442">
        <v>3138</v>
      </c>
      <c r="N10" s="442">
        <v>3138</v>
      </c>
    </row>
    <row r="11" spans="2:14">
      <c r="B11" s="667"/>
      <c r="C11" s="439" t="s">
        <v>109</v>
      </c>
      <c r="D11" s="440">
        <v>24900</v>
      </c>
      <c r="E11" s="441">
        <v>62400</v>
      </c>
      <c r="F11" s="451">
        <v>68317.7</v>
      </c>
      <c r="G11" s="442">
        <v>0</v>
      </c>
      <c r="H11" s="442">
        <v>0</v>
      </c>
      <c r="I11" s="442">
        <v>31659</v>
      </c>
      <c r="J11" s="442">
        <v>0</v>
      </c>
      <c r="K11" s="442">
        <v>0</v>
      </c>
      <c r="L11" s="442">
        <v>0</v>
      </c>
      <c r="M11" s="442">
        <v>0</v>
      </c>
      <c r="N11" s="442">
        <v>0</v>
      </c>
    </row>
    <row r="12" spans="2:14">
      <c r="B12" s="667"/>
      <c r="C12" s="439" t="s">
        <v>317</v>
      </c>
      <c r="D12" s="440" t="s">
        <v>315</v>
      </c>
      <c r="E12" s="441">
        <v>0</v>
      </c>
      <c r="F12" s="442">
        <v>200</v>
      </c>
      <c r="G12" s="442">
        <v>600</v>
      </c>
      <c r="H12" s="442">
        <v>600</v>
      </c>
      <c r="I12" s="442">
        <v>600</v>
      </c>
      <c r="J12" s="442">
        <v>600</v>
      </c>
      <c r="K12" s="442">
        <v>600</v>
      </c>
      <c r="L12" s="442">
        <v>600</v>
      </c>
      <c r="M12" s="442">
        <v>600</v>
      </c>
      <c r="N12" s="442">
        <v>600</v>
      </c>
    </row>
    <row r="13" spans="2:14">
      <c r="B13" s="667"/>
      <c r="C13" s="443" t="s">
        <v>3</v>
      </c>
      <c r="D13" s="444">
        <v>357</v>
      </c>
      <c r="E13" s="445">
        <v>1458.7996883614537</v>
      </c>
      <c r="F13" s="446">
        <v>1671.2003116385463</v>
      </c>
      <c r="G13" s="446">
        <v>1647.4999999999998</v>
      </c>
      <c r="H13" s="446">
        <v>1647.4999999999998</v>
      </c>
      <c r="I13" s="446">
        <v>1744.9999999999998</v>
      </c>
      <c r="J13" s="446">
        <v>1744.9999999999998</v>
      </c>
      <c r="K13" s="446">
        <v>1816.5</v>
      </c>
      <c r="L13" s="446">
        <v>1816.5</v>
      </c>
      <c r="M13" s="446">
        <v>1906.9999999999998</v>
      </c>
      <c r="N13" s="446">
        <v>1906.9999999999998</v>
      </c>
    </row>
    <row r="14" spans="2:14">
      <c r="B14" s="668"/>
      <c r="C14" s="452" t="s">
        <v>318</v>
      </c>
      <c r="D14" s="453">
        <f>SUM(D9:D13)</f>
        <v>29651</v>
      </c>
      <c r="E14" s="449">
        <f t="shared" ref="E14:N14" si="1">SUM(E9:E13)</f>
        <v>86774.372350809412</v>
      </c>
      <c r="F14" s="450">
        <f t="shared" si="1"/>
        <v>95004.347112004572</v>
      </c>
      <c r="G14" s="450">
        <f t="shared" si="1"/>
        <v>62081.486721864982</v>
      </c>
      <c r="H14" s="450">
        <f t="shared" si="1"/>
        <v>88025.029576926783</v>
      </c>
      <c r="I14" s="450">
        <f t="shared" si="1"/>
        <v>161660.89986324473</v>
      </c>
      <c r="J14" s="450">
        <f t="shared" si="1"/>
        <v>172934.60983723594</v>
      </c>
      <c r="K14" s="450">
        <f t="shared" si="1"/>
        <v>206995.32146901655</v>
      </c>
      <c r="L14" s="450">
        <f t="shared" si="1"/>
        <v>199791.73086608129</v>
      </c>
      <c r="M14" s="450">
        <f t="shared" si="1"/>
        <v>165590.55284057104</v>
      </c>
      <c r="N14" s="450">
        <f t="shared" si="1"/>
        <v>85033.570209310856</v>
      </c>
    </row>
    <row r="15" spans="2:14">
      <c r="B15" s="669" t="s">
        <v>56</v>
      </c>
      <c r="C15" s="670"/>
      <c r="D15" s="454">
        <f>D8-D14</f>
        <v>3058</v>
      </c>
      <c r="E15" s="455">
        <f t="shared" ref="E15:N15" si="2">E8-E14</f>
        <v>-45878.757560302707</v>
      </c>
      <c r="F15" s="456">
        <f t="shared" si="2"/>
        <v>-46223.291758842897</v>
      </c>
      <c r="G15" s="456">
        <f t="shared" si="2"/>
        <v>-753.4163802846524</v>
      </c>
      <c r="H15" s="456">
        <f t="shared" si="2"/>
        <v>19413.813196798917</v>
      </c>
      <c r="I15" s="456">
        <f t="shared" si="2"/>
        <v>-18054.32787954298</v>
      </c>
      <c r="J15" s="456">
        <f t="shared" si="2"/>
        <v>22720.352512032638</v>
      </c>
      <c r="K15" s="456">
        <f t="shared" si="2"/>
        <v>85605.249626342556</v>
      </c>
      <c r="L15" s="456">
        <f t="shared" si="2"/>
        <v>24903.686853121995</v>
      </c>
      <c r="M15" s="456">
        <f t="shared" si="2"/>
        <v>80646.488793048222</v>
      </c>
      <c r="N15" s="456">
        <f t="shared" si="2"/>
        <v>11917.987597370637</v>
      </c>
    </row>
    <row r="16" spans="2:14">
      <c r="B16" s="671" t="s">
        <v>319</v>
      </c>
      <c r="C16" s="672"/>
      <c r="D16" s="453">
        <v>125845</v>
      </c>
      <c r="E16" s="449">
        <f>D16+E15</f>
        <v>79966.242439697293</v>
      </c>
      <c r="F16" s="449">
        <f t="shared" ref="F16:N16" si="3">E16+F15</f>
        <v>33742.950680854396</v>
      </c>
      <c r="G16" s="449">
        <f t="shared" si="3"/>
        <v>32989.534300569743</v>
      </c>
      <c r="H16" s="449">
        <f t="shared" si="3"/>
        <v>52403.347497368661</v>
      </c>
      <c r="I16" s="449">
        <f t="shared" si="3"/>
        <v>34349.019617825681</v>
      </c>
      <c r="J16" s="449">
        <f t="shared" si="3"/>
        <v>57069.372129858319</v>
      </c>
      <c r="K16" s="449">
        <f t="shared" si="3"/>
        <v>142674.62175620088</v>
      </c>
      <c r="L16" s="449">
        <f t="shared" si="3"/>
        <v>167578.30860932288</v>
      </c>
      <c r="M16" s="449">
        <f t="shared" si="3"/>
        <v>248224.7974023711</v>
      </c>
      <c r="N16" s="449">
        <f t="shared" si="3"/>
        <v>260142.78499974174</v>
      </c>
    </row>
    <row r="19" spans="2:21">
      <c r="S19" s="227">
        <v>29651</v>
      </c>
      <c r="T19" s="227">
        <v>32709</v>
      </c>
      <c r="U19" s="227">
        <v>125844.86797754918</v>
      </c>
    </row>
    <row r="20" spans="2:21">
      <c r="B20" s="673" t="s">
        <v>305</v>
      </c>
      <c r="C20" s="674"/>
      <c r="D20" s="434" t="s">
        <v>322</v>
      </c>
      <c r="E20" s="460" t="s">
        <v>323</v>
      </c>
      <c r="F20" s="460" t="s">
        <v>324</v>
      </c>
      <c r="G20" s="460" t="s">
        <v>325</v>
      </c>
      <c r="H20" s="460" t="s">
        <v>326</v>
      </c>
      <c r="I20" s="460" t="s">
        <v>327</v>
      </c>
      <c r="J20" s="460" t="s">
        <v>328</v>
      </c>
      <c r="K20" s="460" t="s">
        <v>329</v>
      </c>
      <c r="L20" s="460" t="s">
        <v>330</v>
      </c>
      <c r="M20" s="460" t="s">
        <v>331</v>
      </c>
      <c r="N20" s="460" t="s">
        <v>332</v>
      </c>
      <c r="O20" s="460" t="s">
        <v>333</v>
      </c>
      <c r="P20" s="461" t="s">
        <v>334</v>
      </c>
      <c r="Q20" s="470" t="s">
        <v>335</v>
      </c>
      <c r="S20" s="227">
        <v>6483.1846402086121</v>
      </c>
      <c r="T20" s="227">
        <v>21493.482909010785</v>
      </c>
      <c r="U20" s="227">
        <v>140855.16624635135</v>
      </c>
    </row>
    <row r="21" spans="2:21">
      <c r="B21" s="666" t="s">
        <v>336</v>
      </c>
      <c r="C21" s="435" t="s">
        <v>121</v>
      </c>
      <c r="D21" s="462">
        <v>5810</v>
      </c>
      <c r="E21" s="438">
        <v>5401.5000157522882</v>
      </c>
      <c r="F21" s="438">
        <v>2974.8177243867976</v>
      </c>
      <c r="G21" s="438">
        <v>2195.7564385873566</v>
      </c>
      <c r="H21" s="438">
        <v>3141.7255398542352</v>
      </c>
      <c r="I21" s="438">
        <v>3583.271224129267</v>
      </c>
      <c r="J21" s="438">
        <v>5154.9799139751085</v>
      </c>
      <c r="K21" s="438">
        <v>3550.9619388240285</v>
      </c>
      <c r="L21" s="438">
        <v>4009.8534847500532</v>
      </c>
      <c r="M21" s="438">
        <v>4757.2241894140152</v>
      </c>
      <c r="N21" s="438">
        <v>4291.8593153979546</v>
      </c>
      <c r="O21" s="438">
        <v>4730.7226983097116</v>
      </c>
      <c r="P21" s="471">
        <v>6100.6209434311095</v>
      </c>
      <c r="Q21" s="471">
        <f>SUM(E21:P21)</f>
        <v>49893.293426811921</v>
      </c>
      <c r="S21" s="227">
        <v>3137.9933679413803</v>
      </c>
      <c r="T21" s="227">
        <v>3444.3349452079688</v>
      </c>
      <c r="U21" s="227">
        <v>141161.50782361793</v>
      </c>
    </row>
    <row r="22" spans="2:21">
      <c r="B22" s="667"/>
      <c r="C22" s="439" t="s">
        <v>313</v>
      </c>
      <c r="D22" s="463">
        <v>26490</v>
      </c>
      <c r="E22" s="442">
        <v>15672.5</v>
      </c>
      <c r="F22" s="442"/>
      <c r="G22" s="442"/>
      <c r="H22" s="442"/>
      <c r="I22" s="442"/>
      <c r="J22" s="442"/>
      <c r="K22" s="442"/>
      <c r="L22" s="442"/>
      <c r="M22" s="442"/>
      <c r="N22" s="442"/>
      <c r="O22" s="442"/>
      <c r="P22" s="472"/>
      <c r="Q22" s="472">
        <f>SUM(E22:P22)</f>
        <v>15672.5</v>
      </c>
      <c r="S22" s="227">
        <v>2648.2728674566993</v>
      </c>
      <c r="T22" s="227">
        <v>2666.2947979994165</v>
      </c>
      <c r="U22" s="227">
        <v>141179.52975416064</v>
      </c>
    </row>
    <row r="23" spans="2:21">
      <c r="B23" s="667"/>
      <c r="C23" s="439" t="s">
        <v>314</v>
      </c>
      <c r="D23" s="464">
        <v>409</v>
      </c>
      <c r="E23" s="442">
        <v>419.48289325849731</v>
      </c>
      <c r="F23" s="442">
        <v>469.51722082117118</v>
      </c>
      <c r="G23" s="442">
        <v>470.53835941205972</v>
      </c>
      <c r="H23" s="442">
        <v>470.59843251386883</v>
      </c>
      <c r="I23" s="442">
        <v>469.99832606722885</v>
      </c>
      <c r="J23" s="442">
        <v>470.92870174883416</v>
      </c>
      <c r="K23" s="442">
        <v>266.55370139082157</v>
      </c>
      <c r="L23" s="442">
        <v>267.58705978809598</v>
      </c>
      <c r="M23" s="442">
        <v>178.57562115794258</v>
      </c>
      <c r="N23" s="442">
        <v>168.20923491382555</v>
      </c>
      <c r="O23" s="442">
        <v>168.5095536664281</v>
      </c>
      <c r="P23" s="472">
        <v>49.174943228795819</v>
      </c>
      <c r="Q23" s="472">
        <f>SUM(E23:P23)</f>
        <v>3869.6740479675691</v>
      </c>
      <c r="S23" s="227">
        <v>3792.355906360111</v>
      </c>
      <c r="T23" s="227">
        <v>3612.323972368104</v>
      </c>
      <c r="U23" s="227">
        <v>140999.49782016865</v>
      </c>
    </row>
    <row r="24" spans="2:21">
      <c r="B24" s="667"/>
      <c r="C24" s="443" t="s">
        <v>7</v>
      </c>
      <c r="D24" s="465" t="s">
        <v>315</v>
      </c>
      <c r="E24" s="446"/>
      <c r="F24" s="446"/>
      <c r="G24" s="446"/>
      <c r="H24" s="446"/>
      <c r="I24" s="446"/>
      <c r="J24" s="446"/>
      <c r="K24" s="446"/>
      <c r="L24" s="446"/>
      <c r="M24" s="446"/>
      <c r="N24" s="446"/>
      <c r="O24" s="446">
        <v>20000</v>
      </c>
      <c r="P24" s="473"/>
      <c r="Q24" s="473">
        <f>SUM(E24:P24)</f>
        <v>20000</v>
      </c>
      <c r="S24" s="227">
        <v>3774.1568457148846</v>
      </c>
      <c r="T24" s="227">
        <v>4053.2695501964959</v>
      </c>
      <c r="U24" s="227">
        <v>141278.61052465026</v>
      </c>
    </row>
    <row r="25" spans="2:21">
      <c r="B25" s="668"/>
      <c r="C25" s="452" t="s">
        <v>318</v>
      </c>
      <c r="D25" s="466">
        <f>SUM(D21:D24)</f>
        <v>32709</v>
      </c>
      <c r="E25" s="467">
        <f t="shared" ref="E25:P25" si="4">SUM(E21:E24)</f>
        <v>21493.482909010785</v>
      </c>
      <c r="F25" s="467">
        <f t="shared" si="4"/>
        <v>3444.3349452079688</v>
      </c>
      <c r="G25" s="467">
        <f t="shared" si="4"/>
        <v>2666.2947979994165</v>
      </c>
      <c r="H25" s="467">
        <f t="shared" si="4"/>
        <v>3612.323972368104</v>
      </c>
      <c r="I25" s="467">
        <f t="shared" si="4"/>
        <v>4053.2695501964959</v>
      </c>
      <c r="J25" s="467">
        <f t="shared" si="4"/>
        <v>5625.9086157239426</v>
      </c>
      <c r="K25" s="467">
        <f t="shared" si="4"/>
        <v>3817.51564021485</v>
      </c>
      <c r="L25" s="467">
        <f t="shared" si="4"/>
        <v>4277.440544538149</v>
      </c>
      <c r="M25" s="467">
        <f t="shared" si="4"/>
        <v>4935.799810571958</v>
      </c>
      <c r="N25" s="467">
        <f t="shared" si="4"/>
        <v>4460.0685503117802</v>
      </c>
      <c r="O25" s="467">
        <f t="shared" si="4"/>
        <v>24899.23225197614</v>
      </c>
      <c r="P25" s="468">
        <f t="shared" si="4"/>
        <v>6149.7958866599056</v>
      </c>
      <c r="Q25" s="475">
        <f>SUM(Q21:Q24)</f>
        <v>89435.467474779492</v>
      </c>
      <c r="S25" s="227">
        <v>66938.408723127737</v>
      </c>
      <c r="T25" s="227">
        <v>5625.9086157239426</v>
      </c>
      <c r="U25" s="227">
        <v>79966.110417246469</v>
      </c>
    </row>
    <row r="26" spans="2:21">
      <c r="B26" s="666" t="s">
        <v>337</v>
      </c>
      <c r="C26" s="435" t="s">
        <v>118</v>
      </c>
      <c r="D26" s="462">
        <v>4013</v>
      </c>
      <c r="E26" s="438">
        <v>4874.9604887918204</v>
      </c>
      <c r="F26" s="438">
        <v>2311.7590006162045</v>
      </c>
      <c r="G26" s="438">
        <v>1909.9502581319234</v>
      </c>
      <c r="H26" s="438">
        <v>2760.5630113029983</v>
      </c>
      <c r="I26" s="438">
        <v>3134.4291018720137</v>
      </c>
      <c r="J26" s="438">
        <v>3627.5740322790048</v>
      </c>
      <c r="K26" s="438">
        <v>2534.2238420735002</v>
      </c>
      <c r="L26" s="438">
        <v>3510.9052840095774</v>
      </c>
      <c r="M26" s="438">
        <v>3789.7288437763859</v>
      </c>
      <c r="N26" s="438">
        <v>3769.0471999309175</v>
      </c>
      <c r="O26" s="438">
        <v>3995.8856015037354</v>
      </c>
      <c r="P26" s="471">
        <v>4572.7855290719181</v>
      </c>
      <c r="Q26" s="471">
        <f>SUM(E26:P26)</f>
        <v>40791.812193359998</v>
      </c>
      <c r="S26" s="227">
        <v>3507.5081210325206</v>
      </c>
      <c r="T26" s="227">
        <v>3817.51564021485</v>
      </c>
      <c r="U26" s="227">
        <v>80276.117936428796</v>
      </c>
    </row>
    <row r="27" spans="2:21">
      <c r="B27" s="667"/>
      <c r="C27" s="439" t="s">
        <v>316</v>
      </c>
      <c r="D27" s="464">
        <v>381</v>
      </c>
      <c r="E27" s="442">
        <v>1417.9446861206657</v>
      </c>
      <c r="F27" s="442">
        <v>584.47841666666659</v>
      </c>
      <c r="G27" s="442">
        <v>430.47841666666665</v>
      </c>
      <c r="H27" s="442">
        <v>822.47841666666659</v>
      </c>
      <c r="I27" s="442">
        <v>430.47841666666665</v>
      </c>
      <c r="J27" s="442">
        <v>610.47841666666659</v>
      </c>
      <c r="K27" s="442">
        <v>490.47841666666665</v>
      </c>
      <c r="L27" s="442">
        <v>430.47841666666665</v>
      </c>
      <c r="M27" s="442">
        <v>430.47841666666665</v>
      </c>
      <c r="N27" s="442">
        <v>430.47841666666665</v>
      </c>
      <c r="O27" s="442">
        <v>430.47841666666665</v>
      </c>
      <c r="P27" s="472">
        <v>430.47841666666665</v>
      </c>
      <c r="Q27" s="472">
        <f>SUM(E27:P27)</f>
        <v>6939.2072694540002</v>
      </c>
      <c r="S27" s="227">
        <v>30980.87213358418</v>
      </c>
      <c r="T27" s="227">
        <v>4277.440544538149</v>
      </c>
      <c r="U27" s="227">
        <v>53572.686347382769</v>
      </c>
    </row>
    <row r="28" spans="2:21" ht="23.25">
      <c r="B28" s="667"/>
      <c r="C28" s="439" t="s">
        <v>109</v>
      </c>
      <c r="D28" s="463">
        <v>24900</v>
      </c>
      <c r="E28" s="476">
        <v>0</v>
      </c>
      <c r="F28" s="442">
        <v>0</v>
      </c>
      <c r="G28" s="442">
        <v>0</v>
      </c>
      <c r="H28" s="442">
        <v>0</v>
      </c>
      <c r="I28" s="442">
        <v>0</v>
      </c>
      <c r="J28" s="442">
        <v>62400</v>
      </c>
      <c r="K28" s="442">
        <v>0</v>
      </c>
      <c r="L28" s="442">
        <v>26800</v>
      </c>
      <c r="M28" s="442">
        <v>3517.7</v>
      </c>
      <c r="N28" s="442">
        <v>0</v>
      </c>
      <c r="O28" s="442">
        <v>56000</v>
      </c>
      <c r="P28" s="472">
        <v>0</v>
      </c>
      <c r="Q28" s="472">
        <f>SUM(E28:P28)</f>
        <v>148717.70000000001</v>
      </c>
      <c r="S28" s="227">
        <v>8045.7156838070678</v>
      </c>
      <c r="T28" s="227">
        <v>4935.799810571958</v>
      </c>
      <c r="U28" s="227">
        <v>50462.770474147663</v>
      </c>
    </row>
    <row r="29" spans="2:21">
      <c r="B29" s="667"/>
      <c r="C29" s="439" t="s">
        <v>317</v>
      </c>
      <c r="D29" s="464" t="s">
        <v>315</v>
      </c>
      <c r="E29" s="442">
        <v>0</v>
      </c>
      <c r="F29" s="442">
        <v>0</v>
      </c>
      <c r="G29" s="442">
        <v>0</v>
      </c>
      <c r="H29" s="442">
        <v>0</v>
      </c>
      <c r="I29" s="442">
        <v>0</v>
      </c>
      <c r="J29" s="442">
        <v>0</v>
      </c>
      <c r="K29" s="442">
        <v>0</v>
      </c>
      <c r="L29" s="442">
        <v>0</v>
      </c>
      <c r="M29" s="442">
        <v>0</v>
      </c>
      <c r="N29" s="442">
        <v>0</v>
      </c>
      <c r="O29" s="442">
        <v>100</v>
      </c>
      <c r="P29" s="472">
        <v>100</v>
      </c>
      <c r="Q29" s="472">
        <f>SUM(E29:P29)</f>
        <v>200</v>
      </c>
      <c r="S29" s="227">
        <v>4369.9729245310182</v>
      </c>
      <c r="T29" s="227">
        <v>4460.0685503117802</v>
      </c>
      <c r="U29" s="227">
        <v>50552.866099928426</v>
      </c>
    </row>
    <row r="30" spans="2:21">
      <c r="B30" s="667"/>
      <c r="C30" s="443" t="s">
        <v>3</v>
      </c>
      <c r="D30" s="465">
        <v>357</v>
      </c>
      <c r="E30" s="446">
        <v>190.27946529612532</v>
      </c>
      <c r="F30" s="446">
        <v>241.75595065850902</v>
      </c>
      <c r="G30" s="446">
        <v>307.84419265810885</v>
      </c>
      <c r="H30" s="446">
        <v>209.31447839044597</v>
      </c>
      <c r="I30" s="446">
        <v>209.24932717620419</v>
      </c>
      <c r="J30" s="446">
        <v>300.35627418206036</v>
      </c>
      <c r="K30" s="446">
        <v>482.80586229235342</v>
      </c>
      <c r="L30" s="446">
        <v>239.48843290793559</v>
      </c>
      <c r="M30" s="446">
        <v>307.80842336401531</v>
      </c>
      <c r="N30" s="446">
        <v>170.44730793343408</v>
      </c>
      <c r="O30" s="446">
        <v>173.25136509541079</v>
      </c>
      <c r="P30" s="473">
        <v>297.39892004539701</v>
      </c>
      <c r="Q30" s="473">
        <f>SUM(E30:P30)</f>
        <v>3129.9999999999995</v>
      </c>
      <c r="S30" s="227">
        <v>60699.615383265816</v>
      </c>
      <c r="T30" s="227">
        <v>24899.23225197614</v>
      </c>
      <c r="U30" s="227">
        <v>14752.482968638746</v>
      </c>
    </row>
    <row r="31" spans="2:21">
      <c r="B31" s="668"/>
      <c r="C31" s="452" t="s">
        <v>318</v>
      </c>
      <c r="D31" s="466">
        <f>SUM(D26:D30)</f>
        <v>29651</v>
      </c>
      <c r="E31" s="467">
        <f t="shared" ref="E31:P31" si="5">SUM(E26:E30)</f>
        <v>6483.1846402086121</v>
      </c>
      <c r="F31" s="467">
        <f t="shared" si="5"/>
        <v>3137.9933679413803</v>
      </c>
      <c r="G31" s="467">
        <f t="shared" si="5"/>
        <v>2648.2728674566993</v>
      </c>
      <c r="H31" s="467">
        <f t="shared" si="5"/>
        <v>3792.355906360111</v>
      </c>
      <c r="I31" s="467">
        <f t="shared" si="5"/>
        <v>3774.1568457148846</v>
      </c>
      <c r="J31" s="467">
        <f t="shared" si="5"/>
        <v>66938.408723127737</v>
      </c>
      <c r="K31" s="467">
        <f t="shared" si="5"/>
        <v>3507.5081210325206</v>
      </c>
      <c r="L31" s="467">
        <f t="shared" si="5"/>
        <v>30980.87213358418</v>
      </c>
      <c r="M31" s="467">
        <f t="shared" si="5"/>
        <v>8045.7156838070678</v>
      </c>
      <c r="N31" s="467">
        <f t="shared" si="5"/>
        <v>4369.9729245310182</v>
      </c>
      <c r="O31" s="467">
        <f t="shared" si="5"/>
        <v>60699.615383265816</v>
      </c>
      <c r="P31" s="468">
        <f t="shared" si="5"/>
        <v>5400.6628657839819</v>
      </c>
      <c r="Q31" s="475">
        <f>SUM(Q26:Q30)</f>
        <v>199778.71946281401</v>
      </c>
      <c r="S31" s="227">
        <v>5400.6628657839819</v>
      </c>
      <c r="T31" s="227">
        <v>6149.7958866599056</v>
      </c>
      <c r="U31" s="227">
        <v>15501.61598951467</v>
      </c>
    </row>
    <row r="32" spans="2:21">
      <c r="B32" s="669" t="s">
        <v>56</v>
      </c>
      <c r="C32" s="670"/>
      <c r="D32" s="469">
        <f>D25-D31</f>
        <v>3058</v>
      </c>
      <c r="E32" s="456">
        <f t="shared" ref="E32:Q32" si="6">E25-E31</f>
        <v>15010.298268802173</v>
      </c>
      <c r="F32" s="456">
        <f t="shared" si="6"/>
        <v>306.3415772665885</v>
      </c>
      <c r="G32" s="456">
        <f t="shared" si="6"/>
        <v>18.0219305427172</v>
      </c>
      <c r="H32" s="456">
        <f t="shared" si="6"/>
        <v>-180.031933992007</v>
      </c>
      <c r="I32" s="456">
        <f t="shared" si="6"/>
        <v>279.11270448161122</v>
      </c>
      <c r="J32" s="456">
        <f t="shared" si="6"/>
        <v>-61312.500107403794</v>
      </c>
      <c r="K32" s="456">
        <f t="shared" si="6"/>
        <v>310.00751918232936</v>
      </c>
      <c r="L32" s="456">
        <f t="shared" si="6"/>
        <v>-26703.431589046031</v>
      </c>
      <c r="M32" s="456">
        <f t="shared" si="6"/>
        <v>-3109.9158732351098</v>
      </c>
      <c r="N32" s="456">
        <f t="shared" si="6"/>
        <v>90.09562578076202</v>
      </c>
      <c r="O32" s="456">
        <f t="shared" si="6"/>
        <v>-35800.38313128968</v>
      </c>
      <c r="P32" s="474">
        <f t="shared" si="6"/>
        <v>749.13302087592365</v>
      </c>
      <c r="Q32" s="474">
        <f t="shared" si="6"/>
        <v>-110343.25198803452</v>
      </c>
    </row>
    <row r="33" spans="2:21">
      <c r="B33" s="671" t="s">
        <v>319</v>
      </c>
      <c r="C33" s="672"/>
      <c r="D33" s="466">
        <v>125844.86797754918</v>
      </c>
      <c r="E33" s="467">
        <f>D33+E32</f>
        <v>140855.16624635135</v>
      </c>
      <c r="F33" s="467">
        <f t="shared" ref="F33:P33" si="7">E33+F32</f>
        <v>141161.50782361793</v>
      </c>
      <c r="G33" s="467">
        <f t="shared" si="7"/>
        <v>141179.52975416064</v>
      </c>
      <c r="H33" s="467">
        <f t="shared" si="7"/>
        <v>140999.49782016865</v>
      </c>
      <c r="I33" s="467">
        <f t="shared" si="7"/>
        <v>141278.61052465026</v>
      </c>
      <c r="J33" s="467">
        <f t="shared" si="7"/>
        <v>79966.110417246469</v>
      </c>
      <c r="K33" s="467">
        <f t="shared" si="7"/>
        <v>80276.117936428796</v>
      </c>
      <c r="L33" s="467">
        <f t="shared" si="7"/>
        <v>53572.686347382769</v>
      </c>
      <c r="M33" s="467">
        <f t="shared" si="7"/>
        <v>50462.770474147663</v>
      </c>
      <c r="N33" s="467">
        <f t="shared" si="7"/>
        <v>50552.866099928426</v>
      </c>
      <c r="O33" s="467">
        <f t="shared" si="7"/>
        <v>14752.482968638746</v>
      </c>
      <c r="P33" s="467">
        <f t="shared" si="7"/>
        <v>15501.61598951467</v>
      </c>
      <c r="Q33" s="475">
        <f>D33+Q32</f>
        <v>15501.615989514656</v>
      </c>
    </row>
    <row r="36" spans="2:21">
      <c r="R36">
        <v>1000</v>
      </c>
      <c r="S36" s="227">
        <v>-29.651</v>
      </c>
      <c r="T36" s="227">
        <v>32.709000000000003</v>
      </c>
      <c r="U36" s="227">
        <v>125.84486797754917</v>
      </c>
    </row>
    <row r="37" spans="2:21">
      <c r="R37">
        <v>-1</v>
      </c>
      <c r="S37" s="227">
        <v>-6.483184640208612</v>
      </c>
      <c r="T37" s="227">
        <v>21.493482909010787</v>
      </c>
      <c r="U37" s="227">
        <v>140.85516624635136</v>
      </c>
    </row>
    <row r="38" spans="2:21">
      <c r="S38" s="227">
        <v>-3.1379933679413803</v>
      </c>
      <c r="T38" s="227">
        <v>3.4443349452079688</v>
      </c>
      <c r="U38" s="227">
        <v>141.16150782361794</v>
      </c>
    </row>
    <row r="39" spans="2:21">
      <c r="S39" s="227">
        <v>-2.6482728674566993</v>
      </c>
      <c r="T39" s="227">
        <v>2.6662947979994165</v>
      </c>
      <c r="U39" s="227">
        <v>141.17952975416065</v>
      </c>
    </row>
    <row r="40" spans="2:21">
      <c r="S40" s="227">
        <v>-3.7923559063601111</v>
      </c>
      <c r="T40" s="227">
        <v>3.6123239723681042</v>
      </c>
      <c r="U40" s="227">
        <v>140.99949782016864</v>
      </c>
    </row>
    <row r="41" spans="2:21">
      <c r="S41" s="227">
        <v>-3.7741568457148849</v>
      </c>
      <c r="T41" s="227">
        <v>4.0532695501964957</v>
      </c>
      <c r="U41" s="227">
        <v>141.27861052465025</v>
      </c>
    </row>
    <row r="42" spans="2:21">
      <c r="S42" s="227">
        <v>-66.938408723127736</v>
      </c>
      <c r="T42" s="227">
        <v>5.6259086157239429</v>
      </c>
      <c r="U42" s="227">
        <v>79.966110417246469</v>
      </c>
    </row>
    <row r="43" spans="2:21">
      <c r="S43" s="227">
        <v>-3.5075081210325205</v>
      </c>
      <c r="T43" s="227">
        <v>3.8175156402148498</v>
      </c>
      <c r="U43" s="227">
        <v>80.27611793642879</v>
      </c>
    </row>
    <row r="44" spans="2:21">
      <c r="S44" s="227">
        <v>-30.980872133584182</v>
      </c>
      <c r="T44" s="227">
        <v>4.2774405445381491</v>
      </c>
      <c r="U44" s="227">
        <v>53.572686347382771</v>
      </c>
    </row>
    <row r="45" spans="2:21">
      <c r="S45" s="227">
        <v>-8.0457156838070674</v>
      </c>
      <c r="T45" s="227">
        <v>4.9357998105719583</v>
      </c>
      <c r="U45" s="227">
        <v>50.462770474147661</v>
      </c>
    </row>
    <row r="46" spans="2:21">
      <c r="S46" s="227">
        <v>-4.3699729245310186</v>
      </c>
      <c r="T46" s="227">
        <v>4.4600685503117798</v>
      </c>
      <c r="U46" s="227">
        <v>50.552866099928423</v>
      </c>
    </row>
    <row r="47" spans="2:21">
      <c r="S47" s="227">
        <v>-60.699615383265815</v>
      </c>
      <c r="T47" s="227">
        <v>24.899232251976141</v>
      </c>
      <c r="U47" s="227">
        <v>14.752482968638745</v>
      </c>
    </row>
    <row r="48" spans="2:21">
      <c r="S48" s="227">
        <v>-5.4006628657839819</v>
      </c>
      <c r="T48" s="227">
        <v>6.1497958866599056</v>
      </c>
      <c r="U48" s="227">
        <v>15.50161598951467</v>
      </c>
    </row>
  </sheetData>
  <mergeCells count="10">
    <mergeCell ref="B21:B25"/>
    <mergeCell ref="B26:B31"/>
    <mergeCell ref="B32:C32"/>
    <mergeCell ref="B33:C33"/>
    <mergeCell ref="B3:C3"/>
    <mergeCell ref="B4:B8"/>
    <mergeCell ref="B9:B14"/>
    <mergeCell ref="B15:C15"/>
    <mergeCell ref="B16:C16"/>
    <mergeCell ref="B20:C20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5</vt:i4>
      </vt:variant>
    </vt:vector>
  </HeadingPairs>
  <TitlesOfParts>
    <vt:vector size="15" baseType="lpstr">
      <vt:lpstr>EPA_자동계산</vt:lpstr>
      <vt:lpstr>자금수지(FS)_작성시트</vt:lpstr>
      <vt:lpstr>자금수지(FS)_작성시트(디폴트)(B1CC4 선수금 제외</vt:lpstr>
      <vt:lpstr>Sheet2</vt:lpstr>
      <vt:lpstr>K8HH1 이연 시 </vt:lpstr>
      <vt:lpstr>사업별 스케쥴 (2)</vt:lpstr>
      <vt:lpstr>개발사업 투심현황</vt:lpstr>
      <vt:lpstr>정기집행일</vt:lpstr>
      <vt:lpstr>Sheet4</vt:lpstr>
      <vt:lpstr>Sheet1</vt:lpstr>
      <vt:lpstr>'K8HH1 이연 시 '!Print_Area</vt:lpstr>
      <vt:lpstr>'사업별 스케쥴 (2)'!Print_Area</vt:lpstr>
      <vt:lpstr>'자금수지(FS)_작성시트'!Print_Area</vt:lpstr>
      <vt:lpstr>'자금수지(FS)_작성시트(디폴트)(B1CC4 선수금 제외'!Print_Area</vt:lpstr>
      <vt:lpstr>'사업별 스케쥴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Z80FV.AP54B1W</dc:creator>
  <cp:lastModifiedBy>박경범 책임(Kyung-Buom Park)</cp:lastModifiedBy>
  <cp:lastPrinted>2026-07-08T08:51:45Z</cp:lastPrinted>
  <dcterms:created xsi:type="dcterms:W3CDTF">2014-09-30T04:41:25Z</dcterms:created>
  <dcterms:modified xsi:type="dcterms:W3CDTF">2026-07-08T16:56:36Z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ey">
    <vt:lpwstr>WBDF1E6419EDD64C5D953DB1EA37D7D326</vt:lpwstr>
  </property>
  <property fmtid="{D5CDD505-2E9C-101B-9397-08002B2CF9AE}" pid="3" name="MatrixBookPropertyCount">
    <vt:i4>11</vt:i4>
  </property>
  <property fmtid="{D5CDD505-2E9C-101B-9397-08002B2CF9AE}" pid="4" name="MatrixBookProperty1">
    <vt:lpwstr>IdN4rMo66OERt9idH3PXhk0+QjG2wVRMVWJ1eke/0wxkrS9tTjNkN7Gk70Wph/Hyjv7sSAON+wX6+ehvgBS/S3ABX/tSPGXDzjRtCEGmeCAxs37aOjb8VNBlPXyS6oAfbJevDNjDGTXKIV1RQv/KZEG7TmjYJxw/rSIva9qPYGaBpMxCoBdzOPkw11HnlLj7KigIvfeDaMROwLT0+2qJu1lOPFfHHjK3yQghqo2Y2tL6Vzko3auWkIe7Kl3Eg2X</vt:lpwstr>
  </property>
  <property fmtid="{D5CDD505-2E9C-101B-9397-08002B2CF9AE}" pid="5" name="MatrixBookProperty2">
    <vt:lpwstr>GCz+GCxRovMbXiQ7RX4po8HJFSEe/vsGT5USEA+8SU+iLE5haUf5rZzUyLM9MInIFAX+UFr3JO5BCAeOA8v79PsjaJP2psBz3KlQYt3AhbQf8CxpcnjmGJA8pMq1ML2NXtogZd1umdcznN53eCnuICZx93/KuXchUNs2UWTz+Qx9F1IUFtqkbfLJ6BuQIePJVhfUjlygEt6UXtFJliCI1xx9uykGTSgrXNQSQad/9NdbqhOEz/TvAaDgw75ypkp</vt:lpwstr>
  </property>
  <property fmtid="{D5CDD505-2E9C-101B-9397-08002B2CF9AE}" pid="6" name="MatrixBookProperty3">
    <vt:lpwstr>O48eXjE44CBaF2CjnAXVFx1Ae6mw+raPahrlISzEkx7HR9KN1iK3GowXg3ff6trNyR9B7xNRmkjSVI50f8MhbHSkRW3sb3Kb5RlP6xmA69AIzkG4JoQtJjScJiPVyxfMQFr7+D4r0Mfc2DWu3uCm8T6mLgq3vt4OkZOmFll/NY9MiIx62qWsziTHaIPOoGUARVNAW+8C4l77bW7uJkd0Y6AEMbnuFHbyPQ2ILuFXM8tSuJnLgKDCpowtXF5OIJf</vt:lpwstr>
  </property>
  <property fmtid="{D5CDD505-2E9C-101B-9397-08002B2CF9AE}" pid="7" name="MatrixBookProperty4">
    <vt:lpwstr>c8dsOnu/8Iyf8pZFCp6nNn9T4NCdgdO2gWhqj9vW4i7nI5d/FiaZ308USBMcHBeAIu3w+39iGDWKhanA/m9OuOHW9dBZniWyPj/uklYXCmseGGzd4Qg5bNLv83sNBuZ5bmiKmeepU5dX/S6UB8X7d0XwPgqfPbc5Jp3RH6iis6sDR/UHBnd0ReRB97VyOC79fU0lN0nrZ2QtOoiMx8Z3HqAQGAe+xzJmMNljHS0GlKxLGYWBrq8iWv7NCth0/oy</vt:lpwstr>
  </property>
  <property fmtid="{D5CDD505-2E9C-101B-9397-08002B2CF9AE}" pid="8" name="MatrixBookProperty5">
    <vt:lpwstr>TzeTL2s+vJcvpEJIvfbujp8CEWDvAKwKdm1OPOcSExQFImzrS+0T6cZZpFMNt52HwPhRmMrvSqE5zye1PBgM1kc+zWOkQ5vUDz20+YtVKTBBBiqewJvzTLSwFs5eD/vSIkA1ugc/NAVrnLzu+UzS9lhig/wqxvKcLW0CGAq5pWi7SyGsftTyOIvTDNRCcw3Fso1bt4wImi9NBsCq43F75voJSM+yLyHu9s0rfVkwK901j6dlY3tIgalZrN6+xCf</vt:lpwstr>
  </property>
  <property fmtid="{D5CDD505-2E9C-101B-9397-08002B2CF9AE}" pid="9" name="MatrixBookProperty6">
    <vt:lpwstr>r0QRle4nXuquamaxiOWeUD3ZCb0BUB2Jzoh4Zl3Ka44LDgWOfwRNbB4rcXOhg5Kn/5djmFrnr9c7p2d1y0ARXyVsYCxJ6ZaqTDoKYSUb0IIILFu7qDLWP7Tp7j/F2FdZxbbijk+HK4DfWzuUR3xNz7iLXJBO1TBJw5L8yc27nj4vQJ2Yzvruq8N18X0z2zHQvGa0BVs5u5uEzMONxE51xCjFIKMlikjpOIEjcv2CvuetKa74bKFRrv7Tc2gp7va</vt:lpwstr>
  </property>
  <property fmtid="{D5CDD505-2E9C-101B-9397-08002B2CF9AE}" pid="10" name="MatrixBookProperty7">
    <vt:lpwstr>dIT9yhGN/U/1R4pPnsfPwDR7AVKHEvOEhy10ZBrTDxK2bv9aMsF8WBaswsc0KRZ8FQJoVsFT3POHEdyyt+CKTyhZkoktHbZI3VNn7OoUhaaiNQCQNtn41pb2+O6GvaWhA+jwGoGnpITrlV+uo6MMwSB2g3feURaS/ZzxVcwiIfL7Fyk5ZBAWmmBFGBJl6UT0rTmsXMWi3rCEjrnqEHOeV5rgXPXBCCzNwdWbX8JF0oACANiGQfo0gX6RLlKR63m</vt:lpwstr>
  </property>
  <property fmtid="{D5CDD505-2E9C-101B-9397-08002B2CF9AE}" pid="11" name="MatrixBookProperty8">
    <vt:lpwstr>rVuzDKFfiMCdcpjJEU2wpcVhTGFtEcFWzcgVGixa0lPHxwbTNREo959739wpE11EH0o3PSkwdVYCbKF0rj7iG7XaJY9KGKOxeNzLwVF1Pp4hNFBOBgOiCza6UGDk1FImXctL8YEmJ2giNLBzu68Z9WikhyGFxYGuryJa/s0K2HT+jJPN5Mvaz68ly+kQki99u6OnwIRYO8ArAp2bU485xITFAUibPXxT6Xwq574RNrPGGIBvTYNIyiSwzmsz2EA</vt:lpwstr>
  </property>
  <property fmtid="{D5CDD505-2E9C-101B-9397-08002B2CF9AE}" pid="12" name="MatrixBookProperty9">
    <vt:lpwstr>q7EGhzEKk4CzUOnPkGTI3MRRaSjAjy/VLCXqkO6QT+HKtnbhYsbtWV7O952LO7F5geZ67Vrzr/CNEnvjY9dw/ChfF0V1PWRbsyoOOv4opBRovDFQhS6dNUoCGIeeDVXCM5UXk1WlbmkCRKNB2vAmv8TzI9pVn0WCb5yMXGAtCscR/Iujz3VzrzOLENVIkGPqsGaDRlh8C7wiv0Wqyaj5jO8SVnojmFsyn4+A0HzcgDcpYkOpAxOGd7rGyUQ6agS</vt:lpwstr>
  </property>
  <property fmtid="{D5CDD505-2E9C-101B-9397-08002B2CF9AE}" pid="13" name="MatrixBookProperty10">
    <vt:lpwstr>QGw7h/5623264bfeNbcRs95phjBLYvz6bGnaervvTIPrLsjVgzLNyws6groAO64Py3RdqT/WFh8OshXp1xdbjZECj60s4X/bcckiYqd2j4TdbGmmDBsOgSGJIFvHwJ7ocbUDkSIzNWG3Hla6nrtkX7vwZN3eOypdqE4XDYtzgwrC1L9dNdTr7gzVkar1uBGFDZ5QTLOWDf/aV7eEaueE1wH7/HkqjyJtABQBfTqXyjUhXLzviIAg3R+3pDc3QMF</vt:lpwstr>
  </property>
  <property fmtid="{D5CDD505-2E9C-101B-9397-08002B2CF9AE}" pid="14" name="MatrixBookProperty11">
    <vt:lpwstr>meUkLP4E1xufP5gLnzYxbdaRPS1sM2VlT0fn8i3otQ2TUoxlKKAITfvAgIynyB2ZV8qFJByx43r6+rpQ1LHwh/ttPk5vGrLO8woUKbN8Gc39yvTHaba5oddSwsE/xztqCxv/L7bqK3</vt:lpwstr>
  </property>
  <property fmtid="{D5CDD505-2E9C-101B-9397-08002B2CF9AE}" pid="15" name="iMTXPropCnt">
    <vt:i4>5</vt:i4>
  </property>
  <property fmtid="{D5CDD505-2E9C-101B-9397-08002B2CF9AE}" pid="16" name="iMTXBookProperty1">
    <vt:lpwstr>&lt;?xml version="1.0" encoding="UTF-8" ?&gt;_x000d_
&lt;MatrixBook Code="REP723F06DB91F0A058" Name="i-MATRIX_Template.xlsm" Description="" FullName="V:\webapps\matrix\reports\binary\Template\i-MATRIX_Template.xlsm" FolderCode="" LastModifyDate="0001-01-01 오전 12:00:00"&gt;</vt:lpwstr>
  </property>
  <property fmtid="{D5CDD505-2E9C-101B-9397-08002B2CF9AE}" pid="17" name="iMTXBookProperty2">
    <vt:lpwstr>_x000d_
  &lt;Sheets&gt;_x000d_
    &lt;Sheet Code="SH5082E8402EC27858" Name="V1"&gt;_x000d_
      &lt;RefreshProperty IsActivateRefresh="False" OnActivate="" OnRefresh="" BeforeMacro="" AfterMacro="" Password="" /&gt;_x000d_
    &lt;/Sheet&gt;_x000d_
    &lt;Sheet Code="SH0626FD512B0BD533" Name="C1"&gt;_x000d_
      &lt;R</vt:lpwstr>
  </property>
  <property fmtid="{D5CDD505-2E9C-101B-9397-08002B2CF9AE}" pid="18" name="iMTXBookProperty3">
    <vt:lpwstr>efreshProperty IsActivateRefresh="False" OnActivate="" OnRefresh="" BeforeMacro="" AfterMacro="" Password="" /&gt;_x000d_
    &lt;/Sheet&gt;_x000d_
    &lt;Sheet Code="SH2FD80443D8A4FE53" Name="D1"&gt;_x000d_
      &lt;RefreshProperty IsActivateRefresh="False" OnActivate="" OnRefresh="" Bef</vt:lpwstr>
  </property>
  <property fmtid="{D5CDD505-2E9C-101B-9397-08002B2CF9AE}" pid="19" name="iMTXBookProperty4">
    <vt:lpwstr>oreMacro="" AfterMacro="" Password="" /&gt;_x000d_
    &lt;/Sheet&gt;_x000d_
    &lt;Sheet Code="SHCA3054C147860C5B" Name="P1"&gt;_x000d_
      &lt;RefreshProperty IsActivateRefresh="False" OnActivate="" OnRefresh="" BeforeMacro="" AfterMacro="" Password="" /&gt;_x000d_
    &lt;/Sheet&gt;_x000d_
  &lt;/Sheets&gt;_x000d_
  </vt:lpwstr>
  </property>
  <property fmtid="{D5CDD505-2E9C-101B-9397-08002B2CF9AE}" pid="20" name="iMTXBookProperty5">
    <vt:lpwstr>&lt;DataSets /&gt;_x000d_
  &lt;DatasetReference /&gt;_x000d_
&lt;/MatrixBook&gt;</vt:lpwstr>
  </property>
</Properties>
</file>