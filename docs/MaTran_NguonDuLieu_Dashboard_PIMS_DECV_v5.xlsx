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DB theo Công ty" state="visible" r:id="rId4"/>
    <sheet sheetId="2" name="DB Dự án Xây dựng" state="visible" r:id="rId5"/>
    <sheet sheetId="3" name="DB Dự án Dịch vụ" state="visible" r:id="rId6"/>
    <sheet sheetId="5" name="Công thức" state="visible" r:id="rId7"/>
    <sheet sheetId="6" name="Tổng hợp &amp; Cần xác minh" state="visible" r:id="rId8"/>
  </sheets>
  <definedNames>
    <definedName name="_xlnm._FilterDatabase">'DB Dự án Xây dựng'!$A$4:$L$71</definedName>
  </definedNames>
  <calcPr calcId="171027"/>
</workbook>
</file>

<file path=xl/sharedStrings.xml><?xml version="1.0" encoding="utf-8"?>
<sst xmlns="http://schemas.openxmlformats.org/spreadsheetml/2006/main" count="1517" uniqueCount="903">
  <si>
    <t>MA TRẬN NGUỒN DỮ LIỆU — DASHBOARD TỔNG THEO CÔNG TY</t>
  </si>
  <si>
    <t>Dự án PIMS Integrated Upgrade — DAEWOO E&amp;C Vietnam (DECV) · Đối chiếu: Chỉ tiêu Dashboard ↔ Màn nhập liệu Dashboard ↔ Nguồn dữ liệu PIMS · 42 chỉ tiêu</t>
  </si>
  <si>
    <t>Chú giải: CHUYỂN SANG PIMS = đang nhập tay nhưng PIMS đã có, khuyến cáo bỏ nhập  |  GIỮ NHẬP TAY = PIMS không có  |  BỔ SUNG MÀN NHẬP = cả PIMS lẫn Data Entry đều chưa có  |  TÍNH TOÁN = derived, không cần lưu  |  CẦN XÁC MINH = phải mở UI PIMS kiểm tra</t>
  </si>
  <si>
    <t>#</t>
  </si>
  <si>
    <t>Tab / Khối</t>
  </si>
  <si>
    <t>Chỉ tiêu · Chart</t>
  </si>
  <si>
    <t>Ý nghĩa nghiệp vụ</t>
  </si>
  <si>
    <t>Data Entry (Dashboard)</t>
  </si>
  <si>
    <t>Có trong PIMS?</t>
  </si>
  <si>
    <t>Bảng PIMS · Trường</t>
  </si>
  <si>
    <t>Màn hình PIMS (⚠️ cần xác minh UI)</t>
  </si>
  <si>
    <t>Khuyến nghị</t>
  </si>
  <si>
    <t>Ghi chú / Công thức</t>
  </si>
  <si>
    <t>Định hướng nguồn dữ liệu</t>
  </si>
  <si>
    <t>Mô tả thay đổi</t>
  </si>
  <si>
    <t>BỘ LỌC &amp; ĐIỀU KHIỂN</t>
  </si>
  <si>
    <t>Filter</t>
  </si>
  <si>
    <t>Cây phân cấp: Công ty mẹ › Công ty con › Mảng KD › Trạng thái › Dự án</t>
  </si>
  <si>
    <t>Điều hướng và xác định phạm vi tổng hợp số liệu</t>
  </si>
  <si>
    <t>❌ (khai báo riêng)</t>
  </si>
  <si>
    <t>✅ CÓ</t>
  </si>
  <si>
    <t>CATB_COMPANYSTRUCT · COMPCODE / PARENTCOMPCODE · CATB_BUSILINE · CATB_COMPANYSTRUCT_BUSILINE · CATB_COMPANYSTRUCT_PROJECT</t>
  </si>
  <si>
    <t>Common › Construction Overview › Company Structure Registration — cột Short Name/Company Name/Type/Parent company/Status (bảng công ty) + cây Project hiển thị dưới mỗi Business Line · Business Line Registration — cột Name (cây 2 cấp: 'Business line activities'→Construction/Service · 'Financing &amp; Investment Activities'→Development/Financing &amp; Investment · 'HQ Admin expenses'→Admin expenses)</t>
  </si>
  <si>
    <t>CHUYỂN SANG PIMS</t>
  </si>
  <si>
    <t>Cấu trúc 3 tầng hoàn chỉnh, đã có FK. Biên bản: 'DECV có 2 lần xuất hiện: 1 menu tổng các CTY con + DECV mẹ, 1 menu của chính nó — DECV con'</t>
  </si>
  <si>
    <t>Project (lọc nhiều dự án)</t>
  </si>
  <si>
    <t>Lọc các dự án thuộc Công ty và Công ty con cấp dưới đang chọn</t>
  </si>
  <si>
    <t>—</t>
  </si>
  <si>
    <t>CATB_COMPANYSTRUCT_PROJECT · FLDCODE</t>
  </si>
  <si>
    <t>Common › Construction Overview › Company Structure Registration — cây Project hiển thị dưới từng Company/Business Line (cột tên dự án, không có tên cột riêng — đọc trực tiếp từ cây)</t>
  </si>
  <si>
    <t>Biên bản: 'Thêm tham số chọn dự án, chọn nhiều'</t>
  </si>
  <si>
    <t>Period (Từ tháng/năm → Đến tháng/năm)</t>
  </si>
  <si>
    <t>Phạm vi thời gian tổng hợp, số liệu lũy kế theo tham số</t>
  </si>
  <si>
    <t>➖</t>
  </si>
  <si>
    <t>TÍNH TOÁN (derived)</t>
  </si>
  <si>
    <t>Đã chốt: tạm chấp nhận lọc theo ngày</t>
  </si>
  <si>
    <t>View by: Month / Quarter / Year</t>
  </si>
  <si>
    <t>Đơn vị thời gian của trục hoành các chart</t>
  </si>
  <si>
    <t>Biên bản: 'Type hiển thị Năm, Tháng, Quý'</t>
  </si>
  <si>
    <t>Exchange Rate (USD/KRW/VND) + FX Rate Settings</t>
  </si>
  <si>
    <t>Chọn tiền hiển thị + màn quản trị tỷ giá</t>
  </si>
  <si>
    <t>❌</t>
  </si>
  <si>
    <t>Không còn pull trực tiếp từ CHTB_EXCHANGE_RATIO — Dashboard hiện có bảng tỷ giá RIÊNG: fx_rates (currency USD/KRW/VND, year, month, purpose: 'plan' hoặc 'actual_forecast' — 2 track tách biệt để Plan không bị ghi đè khi sửa tỷ giá Actual/Forecast), quản trị qua màn admin FX Rate Editor của Dashboard</t>
  </si>
  <si>
    <t>Dashboard › Admin › FX Rate Editor / FX Rate Monthly Editor — KHÔNG phải màn PIMS (Standard › Common Information › Register Official Exchange Rate chỉ còn là tham khảo, không được đọc trực tiếp bởi Dashboard hiện tại)</t>
  </si>
  <si>
    <t>GIỮ NHẬP TAY (cập nhật) — Dashboard tự quản lý tỷ giá riêng theo tháng, tách Plan và Actual/Forecast, không lấy trực tiếp PIMS như khuyến nghị cũ</t>
  </si>
  <si>
    <t>CẬP NHẬT theo code artifacts/api-server/src/routes/fxrates.ts + lib/db/src/schema/fxrates.ts (bảng fx_rates): tỷ giá nhập/sửa tại Dashboard, KHÔNG đồng bộ tự động từ CHTB_EXCHANGE_RATIO như note cũ</t>
  </si>
  <si>
    <t>Cập nhật: tỷ giá nay quản lý ở bảng fx_rates riêng của Dashboard (tách Plan vs Actual/Forecast, admin tự sửa), không còn pull trực tiếp CHTB_EXCHANGE_RATIO của PIMS như khuyến nghị cũ.</t>
  </si>
  <si>
    <t>Sync PIMSVINA (đồng bộ thủ công)</t>
  </si>
  <si>
    <t>Kéo dữ liệu từ hệ PIMS sang Dashboard theo yêu cầu</t>
  </si>
  <si>
    <t>GIỮ NHẬP TAY</t>
  </si>
  <si>
    <t>Đã chốt: đồng bộ THỦ CÔNG. Cần chốt: đồng bộ những bảng nào, có chịu ràng buộc khóa kỳ không</t>
  </si>
  <si>
    <t>Excel Upload (nhập dữ liệu FAST)</t>
  </si>
  <si>
    <t>Cổng ETL nhận sổ cái từ hệ thống kế toán FAST</t>
  </si>
  <si>
    <t>⚠️ NGHI</t>
  </si>
  <si>
    <t>IFTB_JOURNAL_DTL (bảng cầu nối FAST theo thiết kế) — hiện RỖNG · thực tế có thể đổ vào CHTB_COST</t>
  </si>
  <si>
    <t>IFTB_JOURNAL_DTL: không có màn nào (bảng rỗng, không JSP nào ghi) · CHTB_COST (nếu dùng thay thế): Expense › Expense Performance › Register Expense — cột Debit Amount / Credit Amount / Account Code</t>
  </si>
  <si>
    <t>CẦN XÁC MINH</t>
  </si>
  <si>
    <t>Biên bản #1: 'Trích xuất Dữ liệu Fast (thủ công) → Tải lên tại màn hình nhập liệu'. Cần xác minh luồng thật. Mẫu upload: 'Tự map theo file của khách, không phải theo mẫu của mình'</t>
  </si>
  <si>
    <t>Định hướng nhập bên màn của Dashboard</t>
  </si>
  <si>
    <t>Toggle HQ Ledger / Local Ledger</t>
  </si>
  <si>
    <t>Phân biệt sổ theo chuẩn Tổng công ty Hàn Quốc vs chuẩn kế toán Việt Nam</t>
  </si>
  <si>
    <t>❌ (không có trên UI)</t>
  </si>
  <si>
    <t>ĐÃ CHỐT: chỉ tách khi XUẤT EXCEL (số Forecast Local và HQ riêng), UI không cần — note check lại sau</t>
  </si>
  <si>
    <t>UI đã bỏ, cần cân nhắc lại có phải do UI bị thiếu không</t>
  </si>
  <si>
    <t>4 THẺ KPI (Revenue &amp; Operating Profit × YTD &amp; Full Year)</t>
  </si>
  <si>
    <t>KPI Card</t>
  </si>
  <si>
    <t>YTD Revenue (Actual · Plan · Achievement %)</t>
  </si>
  <si>
    <t>Doanh thu lũy kế từ đầu năm đến tháng tham chiếu so với kế hoạch</t>
  </si>
  <si>
    <t>❌ (cần màn cấp Công ty)</t>
  </si>
  <si>
    <t>🟢 nhập tay (có Auto-calculating hỗ trợ)</t>
  </si>
  <si>
    <t xml:space="preserve">Không phải bảng PIMS trực tiếp — lưu trong DB riêng của Dashboard, màn 'Business performance' (Data Entry), tab Site/Actual. Có nút 'Auto-calculating' hỗ trợ TÍNH GỢI Ý (không tự động ghi đè) từ 3 nguồn PIMS:
① Costing › Cost Input Status by Execution Detail — Chi phí lũy kế đến hiện tại (A) và Chi phí tháng cần tính (B) theo Work Type, ưu tiên cột Implementation(Resolution) Amount, nếu không có mới lấy Execution Budget Amount ⇒ tỷ lệ C = B/A
② Common › Register Construction Overview — Total Contract Amount (D)
③ 'Settlement Ratio Cost' (màn mới) — Gross Profit ratio (8/13) theo tháng (F)
⇒ Revenue Actual tháng = C×D · Gross Profit Actual tháng = Revenue×F/100
Người dùng XEM kết quả gợi ý rồi phải bấm LƯU để chốt — không phải tính runtime</t>
  </si>
  <si>
    <t>Dashboard › Business performance (Data Entry riêng, KHÔNG phải bảng PIMS) · nguồn gợi ý: Costing›Cost Input Status by Execution Detail — cột I Budget(Amount)/Implementation(Resolution)(Amount)/Input(theo tháng) · Common›Register Construction Overview — tab Contract Details, cột Total Contract Amount · Settlement Ratio Cost — cột Gross Profit ratio (8/13)</t>
  </si>
  <si>
    <t>GIỮ NHẬP TAY (có Auto-calculating hỗ trợ)</t>
  </si>
  <si>
    <t>Actual lấy được từ PIMS · Plan cần màn nhập Kế hoạch KD (dòng #24)</t>
  </si>
  <si>
    <t xml:space="preserve">Actual lấy từ màn nhập liệu của Dashboard "Data entry", nhưng có tính toá lấy tự động từ PIMS và cho sửa lại (nếu cần) để linh hoạt được mà không cần nhập thủ công
Plan thì lấy từ màn nhập thủ công trong Dashbaord</t>
  </si>
  <si>
    <t>Sai nguồn dữ liệu</t>
  </si>
  <si>
    <t>YTD Operating Profit</t>
  </si>
  <si>
    <t>Lợi nhuận hoạt động lũy kế = Gross Profit − SG&amp;A</t>
  </si>
  <si>
    <t>🟢 nhập tay (derived tại Dashboard)</t>
  </si>
  <si>
    <t>Không phải bảng PIMS. = Gross Profit (Actual, Business performance) − Management Fee/SG&amp;A (Actual, Data Entry tab Company). Cả 2 số hạng đều là số đã nhập/tính tại Dashboard, KHÔNG lấy trực tiếp từ CDTB_PFMSUM_VINA</t>
  </si>
  <si>
    <t>Dashboard › Business performance (Data Entry riêng của Dashboard, KHÔNG phải bảng PIMS)</t>
  </si>
  <si>
    <t>TÍNH TOÁN (derived tại Dashboard)</t>
  </si>
  <si>
    <t>CT: OP = Gross Profit − SG&amp;A</t>
  </si>
  <si>
    <t>Budget › Execution Budget › Execution Budget Summary and Approval</t>
  </si>
  <si>
    <t>Full Year Revenue (Actual + Forecast vs Plan)</t>
  </si>
  <si>
    <t>Dự kiến cả năm: tháng ≤ hiện tại lấy Actual, tháng &gt; hiện tại lấy Forecast</t>
  </si>
  <si>
    <t>Actual: như dòng #9 (Business performance, Data Entry) · Forecast: Data Entry tab Site, sub-tab Forecast net / Forecast KR — nhập tay hoàn toàn, không có auto-calc</t>
  </si>
  <si>
    <t>GIỮ NHẬP TAY — Actual/Forecast dùng chung 1 giá trị nhập theo tháng, hệ thống tự phân loại theo tháng khóa sổ (cutoff), không cần màn Forecast tách riêng</t>
  </si>
  <si>
    <t>Anh đã chốt logic: tham số ≤ tháng hiện tại → Actual, &gt; tháng hiện tại → Forecast. CẬP NHẬT: đã triển khai tại Data Entry (ProjectDataEntryTab) bằng cơ chế "tháng khóa sổ" (actualCutoffMonth, dựa trên quy tắc lastClosedYearMonth — 1 tháng chỉ được coi là đã khóa từ ngày 13 của tháng kế+1): giá trị doanh thu nhập theo tháng được HỆ THỐNG TỰ ĐỘNG phân loại vào cột Actual (tháng ≤ cutoff) hoặc Forecast (tháng &gt; cutoff) của CÙNG MỘT Ô NHẬP, không phải 2 sub-tab Forecast net/Forecast KR nhập tay độc lập như mô tả trước đây</t>
  </si>
  <si>
    <t xml:space="preserve">Actual lấy từ màn nhập liệu của Dashboard "Data entry", nhưng có tính toá lấy tự động từ PIMS và cho sửa lại (nếu cần) để linh hoạt được mà không cần nhập thủ công
Forecast thì lấy từ màn nhập thủ công trong Dashbaord</t>
  </si>
  <si>
    <t>Cập nhật: Forecast không còn là cột nhập tay tách riêng — đã triển khai cơ chế tự động phân loại Actual/Forecast theo "tháng khóa sổ" (actualCutoffMonth) trong màn Data Entry.</t>
  </si>
  <si>
    <t>Full Year Operating Profit</t>
  </si>
  <si>
    <t>Lợi nhuận hoạt động dự kiến cả năm</t>
  </si>
  <si>
    <t>như dòng #10 (Operating Profit) + Forecast (Data Entry tab Company, sub-tab Forecast) — toàn bộ tại Dashboard, không lấy trực tiếp từ PIMS</t>
  </si>
  <si>
    <t>9B</t>
  </si>
  <si>
    <t>Quản trị P&amp;L cấp Công ty qua Excel Upload (Management Report)</t>
  </si>
  <si>
    <t>Màn admin upload file Excel để nạp Revenue/COGS/Gross Profit/SG&amp;A/Operating Profit/PBT cấp Công ty theo tháng và năm — thay cho việc tổng hợp thủ công từng dự án; có lịch sử upload và cho phép revert</t>
  </si>
  <si>
    <t>✅ (màn admin riêng, khác Business performance)</t>
  </si>
  <si>
    <t>➖ không áp dụng (không phải bảng PIMS)</t>
  </si>
  <si>
    <t>Không phải bảng PIMS — bảng riêng của Dashboard: mr_projects, mr_monthly (metric revenue/cogs, scenario plan/actual/forecast), mr_annual, mr_pnl (lineCode: gross_profit, sga, op_profit1, op_profit2, finance_cost, ordinary_profit…), mr_import_history (lưu vết &amp; cho revert)</t>
  </si>
  <si>
    <t>Dashboard › Admin › Management Report Import (upload Excel) — KHÔNG phải màn hình PIMS</t>
  </si>
  <si>
    <t>GIỮ NHẬP TAY (qua Excel Upload, không nhập từng ô)</t>
  </si>
  <si>
    <t>Phát hiện mới từ code: artifacts/api-server/src/routes/mgmtreport.ts (POST /mgmtreport/import/apply) + lib/mgmtreport-parse. Theo artifacts/api-server/src/lib/canonicalProjectMonthly.ts: dòng mr_monthly (từ Excel) là NGUỒN CHÍNH khi tồn tại; pd_sales_monthly/pd_cogs_monthly (Business performance Data Entry cấp dự án) chỉ là fallback theo tháng khi mr_monthly chưa có dòng tương ứng</t>
  </si>
  <si>
    <t>Nhập qua màn Excel Upload (Admin) ở cấp Công ty — khác màn "Data entry" Business performance cấp dự án đã ghi ở các dòng #9/#10</t>
  </si>
  <si>
    <t>Bổ sung dòng mới: phát hiện cơ chế Excel Upload quản trị P&amp;L cấp Công ty (mr_monthly/mr_annual/mr_pnl, có lịch sử &amp; revert) là NGUỒN CHÍNH cho Revenue/COGS/GP/SG&amp;A/OP cấp Công ty, ưu tiên hơn dữ liệu Business performance Data Entry cấp dự án khi tổng hợp (canonicalProjectMonthly.ts).</t>
  </si>
  <si>
    <t>CHART 1 — SALES ACTUAL &amp; FORECAST</t>
  </si>
  <si>
    <t>Chart 1</t>
  </si>
  <si>
    <t>Sales Plan theo tháng (T1–T12)</t>
  </si>
  <si>
    <t>Kế hoạch doanh thu từng tháng</t>
  </si>
  <si>
    <t>BỔ SUNG MÀN NHẬP</t>
  </si>
  <si>
    <t>Thuộc màn Kế hoạch KD năm (dòng #24)</t>
  </si>
  <si>
    <t>Đồng ý</t>
  </si>
  <si>
    <t>Sales Actual (T1→tháng hiện tại)</t>
  </si>
  <si>
    <t>Doanh thu thực hiện, viền nét liền</t>
  </si>
  <si>
    <t>GIỮ NHẬP TAY (có Auto-calculating hỗ trợ) — giống dòng #9</t>
  </si>
  <si>
    <t>Actual lấy từ màn nhập liệu của Dashboard "Data entry", nhưng có tính toá lấy tự động từ PIMS và cho sửa lại (nếu cần) để linh hoạt được mà không cần nhập thủ công</t>
  </si>
  <si>
    <t>Sales Forecast (tháng còn lại)</t>
  </si>
  <si>
    <t>Dự báo doanh thu, viền nét đứt để phân biệt với Actual</t>
  </si>
  <si>
    <t>Đã chốt: Forecast tách bảng riêng, nhập tay. CẬP NHẬT: thực tế triển khai dùng cơ chế "tháng khóa sổ" (actualCutoffMonth) tại Data Entry — cùng 1 giá trị nhập theo tháng, tháng &gt; cutoff hiển thị là Forecast (viền nét đứt), không phải 1 bảng Forecast nhập tay hoàn toàn tách biệt với Actual</t>
  </si>
  <si>
    <t>Forecast thì lấy từ màn nhập thủ công trong Dashbaord</t>
  </si>
  <si>
    <t>Cập nhật: cơ chế Forecast thực tế là phân loại tự động theo tháng khóa sổ (cutoff), không phải bảng nhập tay độc lập.</t>
  </si>
  <si>
    <t>Chip % Achievement dưới mỗi tháng</t>
  </si>
  <si>
    <t>(Actual hoặc Forecast) / Plan của tháng đó. Xanh ≥100%, đỏ &lt;100%</t>
  </si>
  <si>
    <t>➖ derived</t>
  </si>
  <si>
    <t>Biên bản: '계획대비 (실적+전망)' = Plan so với (Actual + Forecast)</t>
  </si>
  <si>
    <t>OK</t>
  </si>
  <si>
    <t>CHART 2 — PROFIT &amp; LOSS STATUS</t>
  </si>
  <si>
    <t>Chart 2</t>
  </si>
  <si>
    <t>Gross Profit (chiều cao cột = OP + SG&amp;A)</t>
  </si>
  <si>
    <t>Lợi nhuận gộp = Doanh thu − Giá vốn</t>
  </si>
  <si>
    <t xml:space="preserve">Actual: Không phải bảng PIMS trực tiếp — lưu trong DB riêng của Dashboard, màn 'Business performance' (Data Entry), tab Site/Actual. Có nút 'Auto-calculating' hỗ trợ TÍNH GỢI Ý (không tự động ghi đè) từ 3 nguồn PIMS:
① Costing › Cost Input Status by Execution Detail — Chi phí lũy kế đến hiện tại (A) và Chi phí tháng cần tính (B) theo Work Type, ưu tiên cột Implementation(Resolution) Amount, nếu không có mới lấy Execution Budget Amount ⇒ tỷ lệ C = B/A
② Common › Register Construction Overview — Total Contract Amount (D)
③ 'Settlement Ratio Cost' (màn mới) — Gross Profit ratio (8/13) theo tháng (F)
⇒ Revenue Actual tháng = C×D · Gross Profit Actual tháng = Revenue×F/100
Người dùng XEM kết quả gợi ý rồi phải bấm LƯU để chốt — không phải tính runtime
Plan: Không phải bảng PIMS. NHẬP TAY 100% ở Data Entry Dashboard, tab Site › Plan (theo SRS_Nhập liệu: 'Người dùng nhập số liệu từng tháng'). CDTB_PFMSUM_VINA (Execution Budget Summary and Approval) KHÔNG dùng được cho chỉ tiêu này vì chỉ có 1 số tổng duy nhất lúc lập ngân sách, KHÔNG có số liệu theo tháng/lũy kế</t>
  </si>
  <si>
    <t xml:space="preserve">Actual: Dashboard › Business performance · nguồn gợi ý: Costing›Cost Input Status by Execution Detail — cột I Budget(Amount)/Implementation(Resolution)(Amount)/Input(theo tháng) · Common›Register Construction Overview — tab Contract Details, cột Total Contract Amount · Settlement Ratio Cost — cột Gross Profit ratio (8/13)
Plan: Data Entry tab Site › Plan (nhập tay, không PIMS)</t>
  </si>
  <si>
    <t>GIỮ NHẬP TAY — Actual có Auto-calculating hỗ trợ, Plan nhập tay hoàn toàn (KHÔNG lấy từ CDTB_PFMSUM_VINA.ZZF)</t>
  </si>
  <si>
    <t>CT-3. Actual = Revenue Actual − COGS Actual</t>
  </si>
  <si>
    <t>COGS (Giá vốn)</t>
  </si>
  <si>
    <t>Giá vốn hàng bán, tổng hợp từ chi phí các công trường</t>
  </si>
  <si>
    <t>COGS = Revenue Actual − Gross Profit Actual, cả 2 lấy từ Business performance (Data Entry Dashboard). KHÔNG query trực tiếp CHTB_COST dải 6xx-7xx — số liệu chi phí công trường trong CHTB_COST chỉ là NGUỒN GỢI Ý cho Auto-calculating, không phải nguồn hiển thị trực tiếp</t>
  </si>
  <si>
    <t>TÍNH TOÁN (derived tại Dashboard) = Revenue − Gross Profit</t>
  </si>
  <si>
    <t>Cần bảng mapping ACCTCODE1 → nhóm P&amp;L (sheet 'Mapping mã KT')</t>
  </si>
  <si>
    <t>SG&amp;A / GA Expenses (판관비)</t>
  </si>
  <si>
    <t>Chi phí bán hàng &amp; quản lý doanh nghiệp — không gán được cho dự án nào</t>
  </si>
  <si>
    <t>🟢 nhập tay — chưa có công thức</t>
  </si>
  <si>
    <t>Không phải bảng PIMS. NHẬP TAY 100% ở Data Entry Dashboard, tab Company › Plan/Actual/Forecast, chỉ tiêu 'SG&amp;A Expense'. SRS_Nhập liệu ghi rõ: 'Chờ khách chốt logic' — CHƯA có công thức tính hay auto-calc nào, kể cả gợi ý. KHÔNG dùng CHTB_COST lọc site XEXP100/XEXP200 (2 site ảo không phải nguồn của chỉ tiêu này theo SRS)</t>
  </si>
  <si>
    <t>Dashboard › Business performance (Data Entry riêng của Dashboard, KHÔNG phải bảng PIMS) › tab Company</t>
  </si>
  <si>
    <t>GIỮ NHẬP TAY — công thức đang chờ DECV chốt logic</t>
  </si>
  <si>
    <t>Cơ chế SITE ẢO đã có sẵn, KHÔNG cần bảng mới. Cần xác minh dữ liệu SG&amp;A thật có đang chảy vào 2 mã này không. Biên bản có câu hỏi treo: 'Nhập liệu chi phí theo CTY sẽ hỏi lại, xem có cần khai báo không?'</t>
  </si>
  <si>
    <t>Cần kiểm tra lại lấy dữ liệu PIMS có dùng được không?</t>
  </si>
  <si>
    <t>Operating Profit (영업이익)</t>
  </si>
  <si>
    <t>Lợi nhuận hoạt động</t>
  </si>
  <si>
    <t>CDTB_PFMSUM_VINA · ZZF − ZZG</t>
  </si>
  <si>
    <t>Budget › Execution Budget › Execution Budget Summary and Approval — cột F.Sales Profit(L-E) − G.Overhead Expense (Operating Profit KHÔNG có dòng riêng trên màn này, phải tự trừ)</t>
  </si>
  <si>
    <t>CT: Operating Profit = Gross Profit − SG&amp;A</t>
  </si>
  <si>
    <t>Non-operating Income &amp; Expenses (영업외손익)</t>
  </si>
  <si>
    <t>Lãi/lỗ ngoài hoạt động chính = Financial Cost (Interest Expense + Management Fee)</t>
  </si>
  <si>
    <t>⚠️ cần xác nhận lại với DECV</t>
  </si>
  <si>
    <t>⚠️ SRS 'Business performance' KHÔNG có dòng riêng 'Non-operating' — trình tự chỉ có: Order→Revenue→Gross profit→Management fee(SG&amp;A)→Operating Profit→Net profit. Cần hỏi lại DECV: Non-operating có tồn tại như 1 chỉ tiêu riêng trên Dashboard theo Công ty không, hay đã gộp vào 'Net profit' (xem thêm ghi chú dòng #22 — Bước 3 công thức Net profit cũng bị để trống trong SRS gốc)</t>
  </si>
  <si>
    <t>Budget › Execution Budget › Execution Budget Summary and Approval — cột H.Financial Expense + I.Other gains and losses (đã tìm thấy field, nhưng SRS Business performance KHÔNG liệt kê Non-operating như 1 chỉ tiêu riêng — vẫn giữ ⚠️ CẦN XÁC MINH có dùng 2 cột này không)</t>
  </si>
  <si>
    <t>CẦN XÁC MINH — SRS chưa mô tả Non-operating như 1 chỉ tiêu riêng</t>
  </si>
  <si>
    <t>Biên bản có câu hỏi treo về Management Fee (phân bổ HQ → Division → Project) và ghi 'Thêm chart Management fee, tự nhập' ⇒ phần Management Fee có thể vẫn phải nhập tay</t>
  </si>
  <si>
    <t>Profit Before Income Tax (경상이익)</t>
  </si>
  <si>
    <t>Lợi nhuận trước thuế</t>
  </si>
  <si>
    <t>✅ CÓ (Plan)</t>
  </si>
  <si>
    <t>CDTB_PFMSUM_VINA · ZZK (K. Ordinary profit = L−J)</t>
  </si>
  <si>
    <t>Budget › Execution Budget › Execution Budget Summary and Approval — cột K.Ordinary profit (L-J)</t>
  </si>
  <si>
    <t>CT: PBT = Operating Profit + Non-operating Income &amp; Expenses</t>
  </si>
  <si>
    <t>GP margin · SG&amp;A ratio · OP margin · PBT margin</t>
  </si>
  <si>
    <t>Các tỷ suất lợi nhuận trên doanh thu</t>
  </si>
  <si>
    <t>CT: từng chỉ tiêu ÷ Revenue của cùng kỳ</t>
  </si>
  <si>
    <t>CHART 3 — ORDER STATUS (수주 = nhận thầu từ chủ đầu tư)</t>
  </si>
  <si>
    <t>Chart 3</t>
  </si>
  <si>
    <t>Annual Order Plan (mục tiêu nhận thầu năm)</t>
  </si>
  <si>
    <t>Mục tiêu giá trị hợp đồng cần ký trong năm</t>
  </si>
  <si>
    <t>❌ (chưa thấy màn cấp Công ty)</t>
  </si>
  <si>
    <t>🟡</t>
  </si>
  <si>
    <t>Common › Construction Overview › Register Construction Overview — tab Contract Details: CHƯA thấy field tương ứng SCHDUTKAMT (예정도급액) trên UI thật — các field đã xác nhận trên tab này là Total Contract Amount/Our Contract Amount, KHÔNG có ô 'Order Plan' riêng ⚠️ cần xác minh thêm</t>
  </si>
  <si>
    <t>Thuộc màn Kế hoạch KD năm (dòng #33). Biên bản: 'Plan kế hoạch khi nào sẽ có các hợp đồng này, worktype, plan chưa có mã Code. Thêm 1 màn khai báo thêm số Plan'</t>
  </si>
  <si>
    <t>Nhập ở tab "Data entry"</t>
  </si>
  <si>
    <t>Orders received (수주 đã ký)</t>
  </si>
  <si>
    <t>Giá trị hợp đồng đã ký với chủ đầu tư trong kỳ</t>
  </si>
  <si>
    <t xml:space="preserve">CBTB_CTRTSUMM · TOTALCTRTWONAMT / TOTALCTRTUSDAMT / FIRMUTKAMT
CCTB_UTKCHGSEQ · CTRTAMT / CTRTDATE / DCSNYN (lọc đã chốt)</t>
  </si>
  <si>
    <t>Common › Construction Overview › Register Construction Overview — tab Contract Details, cột Total Contract Amount / Our Contract Amount · Contracting › Detail Management › Register Contract Sequence — cột Contract Amount (theo từng Sequence đã Confirm)</t>
  </si>
  <si>
    <t>LƯU Ý QUAN TRỌNG: KHÔNG dùng CETB_PFMCTRTHIST — bảng đó là 시행결의 (thầu phụ/Outsourcing), không phải Order</t>
  </si>
  <si>
    <t>Remaining (unordered)</t>
  </si>
  <si>
    <t>Phần mục tiêu còn lại chưa ký được</t>
  </si>
  <si>
    <t>CT: Annual Order Plan − Orders received</t>
  </si>
  <si>
    <t>Gauge % vs annual order plan</t>
  </si>
  <si>
    <t>Mức độ hoàn thành mục tiêu nhận thầu</t>
  </si>
  <si>
    <t>CT: Orders received / Annual Order Plan. Biên bản: dùng donut gauge thay cột vì Order đo 'đã nhận bao nhiêu trên tổng cần đạt', khác Sales</t>
  </si>
  <si>
    <t>Order Forecast</t>
  </si>
  <si>
    <t>Dự báo giá trị hợp đồng sẽ ký được cả năm</t>
  </si>
  <si>
    <t>order_entries (planAmount+planDate, actualAmount+actualDate) · hàm classifyOrderActual() tự phân loại từng dòng: "actual" nếu actualDate ≤ tháng tham chiếu, "forecast" nếu có kế hoạch nhưng chưa đến/chưa có actualDate phù hợp, "none" nếu chưa có actual</t>
  </si>
  <si>
    <t>GIỮ NHẬP TAY (đã có cơ chế) — order_entries lưu Plan + Actual, hệ thống tự phân loại Actual/Forecast/None bằng classifyOrderActual(), không cần xây màn Order Forecast mới từ đầu</t>
  </si>
  <si>
    <t>CẬP NHẬT theo code artifacts/api-server/src/lib/orderSummaryOverlay.ts: logic phân loại Order Actual/Forecast đã được xây dựng trên bảng order_entries sẵn có (order_import_history lưu vết upload/revert), khác với đánh giá "BỔ SUNG MÀN NHẬP" trước đây</t>
  </si>
  <si>
    <t>Cập nhật: Order Forecast đã có cơ chế phân loại tự động (classifyOrderActual trên order_entries), không còn là "chưa có, cần bổ sung màn nhập" như đánh giá cũ.</t>
  </si>
  <si>
    <t>CHART 4 — CASH FLOW</t>
  </si>
  <si>
    <t>Chart 4</t>
  </si>
  <si>
    <t>Cash Inflow (cột trên trục 0)</t>
  </si>
  <si>
    <t>Tổng tiền thu của toàn Công ty theo tháng</t>
  </si>
  <si>
    <t>❌ (nhập ở cấp dự án)</t>
  </si>
  <si>
    <t>CFTB_CFTRANSACTION · AMOUNT lọc CASHFLOWTYPE nhóm thu</t>
  </si>
  <si>
    <t>Cash Flow › Transactions › Transaction List — cột Deposit/Withdrawal = 'Income' · Amount / Eq.USD</t>
  </si>
  <si>
    <t>Cash Outflow (cột dưới trục 0)</t>
  </si>
  <si>
    <t>Tổng tiền chi của toàn Công ty theo tháng</t>
  </si>
  <si>
    <t>CFTB_CFTRANSACTION · AMOUNT lọc CASHFLOWTYPE nhóm chi</t>
  </si>
  <si>
    <t>Cash Flow › Transactions › Transaction List — cột Deposit/Withdrawal = 'Outgoing' · Amount / Eq.USD</t>
  </si>
  <si>
    <t>Cumulative Cash Balance (line trục phải)</t>
  </si>
  <si>
    <t>Số dư tiền lũy kế</t>
  </si>
  <si>
    <t>CFTB_OPENINGBALANCE + lũy kế (CashIn − CashOut)</t>
  </si>
  <si>
    <t>Cash Flow › Setting › Opening balance Setup — cột Opening Cash Balance (VND/Eq.USD) + Opening Deposit Balance (VND/Eq.USD), theo từng Site Code — điểm gốc lũy kế</t>
  </si>
  <si>
    <t>Biên bản: 'Chart Cash: cột trên Cash in, cột dưới Cash out, 1 line chênh lệch, 1 line Cash equivalent'</t>
  </si>
  <si>
    <t>Line chênh lệch thu-chi</t>
  </si>
  <si>
    <t>Chênh lệch dòng tiền từng tháng, biến động quanh mốc 0</t>
  </si>
  <si>
    <t>CT: Cash In(M) − Cash Out(M)</t>
  </si>
  <si>
    <t>BẢNG MANAGEMENT PERFORMANCE STATUS (경영실적)</t>
  </si>
  <si>
    <t>Bảng</t>
  </si>
  <si>
    <t>KẾ HOẠCH KINH DOANH NĂM — cột Plan cho cả 6 chỉ tiêu</t>
  </si>
  <si>
    <t>Kế hoạch năm cho: 수주 Order · 매출 Revenue · 매출이익 Gross Profit · 관리비 SG&amp;A · 영업외손익 Non-operating (OP và PBT tự tính). Chiều: Công ty × Mảng KD × Năm × 12 tháng</t>
  </si>
  <si>
    <t>❌ CHƯA THẤY</t>
  </si>
  <si>
    <t>🟢 nhập tay</t>
  </si>
  <si>
    <t>Không phải bảng PIMS. Theo SRS_Nhập liệu: màn Data Entry có 3 tab lớn — Site (Revenue/Gross profit) · Orders (theo Mảng KD/Business line: Order/Order profit) · Company (SG&amp;A Expense) — mỗi tab đều có sub-tab Plan/Actual/Forecast net/Forecast KR, NHẬP TAY theo từng tháng. Đây chính là màn 'Kế hoạch KD năm' — ĐÃ TỒN TẠI trong Dashboard, không cần xây bảng PIMS mới</t>
  </si>
  <si>
    <t>Dashboard › Business performance (Data Entry riêng, KHÔNG phải bảng PIMS) › 3 tab: Site (Revenue/Gross profit) / Orders (Order/Order profit) / Company (SG&amp;A Expense) — không có nguồn PIMS trực tiếp cho Plan</t>
  </si>
  <si>
    <t>GIỮ NHẬP TAY — màn đã có sẵn trong Data Entry Dashboard (Site/Orders/Company × Plan)</t>
  </si>
  <si>
    <t>ƯU TIÊN SỐ 1. Nếu bảng này dùng lại được thì KHÔNG cần xây bảng mới, chỉ cần xây UI. Đã chốt: kế hoạch KD GHI ĐÈ, chưa cần quản lý phiên bản</t>
  </si>
  <si>
    <t>FORECAST cấp Công ty — cột Annual Forecast cho 6 chỉ tiêu</t>
  </si>
  <si>
    <t>Dự báo cả năm dựa trên kết quả thực hiện đến tháng chốt sổ</t>
  </si>
  <si>
    <t>Không phải bảng PIMS. Cùng màn Data Entry với dòng #33, sub-tab 'Forecast net' và 'Forecast KR' (phân biệt số báo cáo nội bộ VN và số báo cáo về Hàn Quốc) — nhập tay theo từng tháng. Màn ĐÃ CÓ SẴN, khớp với ghi chú anh đã ghi ở cột K ('Nhập ở tab Data entry') — không phải 'bổ sung màn nhập' như đang ghi</t>
  </si>
  <si>
    <t>Dashboard › Business performance (Data Entry riêng) › sub-tab Forecast net / Forecast KR — không có nguồn PIMS</t>
  </si>
  <si>
    <t>GIỮ NHẬP TAY — đã có sẵn trong Data Entry Dashboard (không cần bổ sung màn mới)</t>
  </si>
  <si>
    <t>Đã chốt: Forecast TÁCH BẢNG RIÊNG, nhập tay. Biên bản #1: 'Lập Dự báo hàng năm cho các chỉ số chính của từng dự án/đơn vị dựa trên kết quả thực hiện cuối tháng'</t>
  </si>
  <si>
    <t>Cột 당월 (Tháng hiện tại)</t>
  </si>
  <si>
    <t>Số liệu riêng của tháng tham chiếu</t>
  </si>
  <si>
    <t>Biên bản chốt 3 cột thời gian: 당월 (tháng) / 누계 (lũy kế) / 연간 (năm). Bảng hiện chỉ có 2 khối 'Current Month Cumulative' và 'Annual' ⇒ thiếu cột tháng riêng</t>
  </si>
  <si>
    <t>Achievement Rate các chỉ tiêu</t>
  </si>
  <si>
    <t>Tỷ lệ hoàn thành kế hoạch</t>
  </si>
  <si>
    <t>CT: Actual (hoặc Forecast) / Plan</t>
  </si>
  <si>
    <t>Dòng Cash trong bảng</t>
  </si>
  <si>
    <t>Thu tiền / Chi tiêu ở cấp bảng tổng hợp</t>
  </si>
  <si>
    <t>CFTB_CFTRANSACTION + CFTB_CASHFLOWPLAND</t>
  </si>
  <si>
    <t>Cash Flow › Transactions › Transaction List — cột Deposit/Withdrawal + Amount/Eq.USD · Cash Flow › Planning › Cash Flow Plan — cột Fiscal Year/Business Line/Site/Status</t>
  </si>
  <si>
    <t>Biên bản #1 yêu cầu bảng gồm cả 'Thu tiền, Chi tiêu'. Bảng hiện chưa có dòng Cash</t>
  </si>
  <si>
    <t>PANEL DETAIL INFO (DRILLDOWN) &amp; COMMENT</t>
  </si>
  <si>
    <t>Drilldown</t>
  </si>
  <si>
    <t>Order Result (tháng) — Cumulative orders</t>
  </si>
  <si>
    <t>Kết quả nhận thầu trong tháng và lũy kế</t>
  </si>
  <si>
    <t>như dòng #25</t>
  </si>
  <si>
    <t>Common › Construction Overview › Register Construction Overview — tab Contract Details, cột Total Contract Amount · Contracting › Detail Management › Register Contract Sequence — cột Contract Amount</t>
  </si>
  <si>
    <t>Top Revenue This Month (xếp hạng dự án)</t>
  </si>
  <si>
    <t>Top 5 dự án đóng góp doanh thu cao nhất</t>
  </si>
  <si>
    <t>CHTB_COST · DEBITAMT lọc dải 1xx, GROUP BY FLDCODE, ORDER BY DESC</t>
  </si>
  <si>
    <t>Expense › Expense Performance › Register Expense — cột Debit Amount, GROUP BY Site (thay cho query CHTB_COST GROUP BY FLDCODE)</t>
  </si>
  <si>
    <t>Biên bản: 'Sửa chart này thành Sale ranking, top 5 dự án doanh thu tốt nhất hiện tại'</t>
  </si>
  <si>
    <t>Nhập, tính toán tự động ở tab "Data entry"</t>
  </si>
  <si>
    <t>Comment</t>
  </si>
  <si>
    <t>Comment Actual / Comment Forecast (theo Month)</t>
  </si>
  <si>
    <t>Giải trình số liệu thực hiện và dự báo</t>
  </si>
  <si>
    <t>✅ trên Dashboard</t>
  </si>
  <si>
    <t>KHÁC BIỆT so với biên bản: (1) thiếu dropdown chọn Chart/Chỉ tiêu để comment · (2) thiếu phân quyền theo Mảng KD / Dự án / Công ty · (3) thiếu phân cấp comment · (4) thiếu lưu vết User ID + Timestamp + trạng thái bộ lọc · (5) chỉ cho comment trong kỳ chưa khóa sổ — chờ anh confirm</t>
  </si>
  <si>
    <t>Chung</t>
  </si>
  <si>
    <t>View Details → popup → download bảng số liệu chart</t>
  </si>
  <si>
    <t>Xem chi tiết và tải dữ liệu đằng sau mỗi chart</t>
  </si>
  <si>
    <t>Biên bản: 'View detail =&gt; popup =&gt; download bảng số liệu chart'. Nằm trong danh sách 'Việc còn phải làm'</t>
  </si>
  <si>
    <t>Xuất Excel / PDF theo mẫu báo cáo của khách</t>
  </si>
  <si>
    <t>Kết xuất báo cáo đúng định dạng khách yêu cầu, tách số Local và HQ</t>
  </si>
  <si>
    <t>Biên bản: 'Export theo mẫu của khách, sửa lại giao diện cho giống báo cáo và các nội dung, chỉ tiêu file gốc' + 'Xuất ra 2 chỉ số khác nhau, 2 nút nội bộ và số HQ'</t>
  </si>
  <si>
    <t>MA TRẬN NGUỒN DỮ LIỆU — DASHBOARD DỰ ÁN XÂY DỰNG</t>
  </si>
  <si>
    <t>Dự án PIMS Integrated Upgrade — DAEWOO E&amp;C Vietnam (DECV) · Đối chiếu: Chỉ tiêu Dashboard ↔ Màn nhập liệu Dashboard ↔ Nguồn dữ liệu PIMS · 60 chỉ tiêu / 7 tab</t>
  </si>
  <si>
    <t>TAB 1 — OVERVIEW</t>
  </si>
  <si>
    <t>Overview / Header</t>
  </si>
  <si>
    <t>Contract Amount</t>
  </si>
  <si>
    <t>Giá trị hợp đồng ký với chủ đầu tư — mẫu số của mọi tỷ lệ giá vốn và tỷ lệ hoàn thành doanh thu</t>
  </si>
  <si>
    <t>✅ mục 0</t>
  </si>
  <si>
    <t>CBTB_CTRTSUMM · TOTALCTRTWONAMT / TOTALCTRTUSDAMT / FIRMUTKAMT / FIRMCTRTAMT</t>
  </si>
  <si>
    <t>Common › Construction Overview › Register Construction Overview — tab Contract Details, cột Total Contract Amount / Our Contract Amount</t>
  </si>
  <si>
    <t>Data Entry chỉ có 1 ô, không có lịch sử thay đổi (xem dòng #5). PIMS lưu cả 3 loại tiền: CTRTCURCODE / LCLCURCODE / BASECURCODE</t>
  </si>
  <si>
    <t>Ok, nhưng chưa tính đến điều chỉnh giá trị hợp đồng</t>
  </si>
  <si>
    <t>Client (Chủ đầu tư)</t>
  </si>
  <si>
    <t>Tên bên giao thầu</t>
  </si>
  <si>
    <t>CBTB_FLDSUMM → join RATB_CUSTMST</t>
  </si>
  <si>
    <t>Common › Construction Overview › Register Construction Overview — cột Ordering Party / Demander (SỬA LẠI: không phải Register Site Overview như ghi trước — 2 field này nằm trên chính màn Register Construction Overview, phần header dùng chung)</t>
  </si>
  <si>
    <t>Standard › Partner Company › Register Partner Companies by Purchase Item (Đăng ký đối tác theo mặt hàng khi mua hàng)</t>
  </si>
  <si>
    <t>Construction Period (Start / End)</t>
  </si>
  <si>
    <t>Kỳ thi công — dùng tính Elapsed rate và trục thời gian Gantt</t>
  </si>
  <si>
    <t>CETB_PFMCTRTHIST · DUESTARTDATE / DUEENDDATE  ·hoặc·  CCTB_UTKCHGSEQ · CTRTSTDATE / CTRTEDDATE</t>
  </si>
  <si>
    <t>Contracting › Detail Management › Register Contract Sequence — cột Contract Start Date / Contract End Date</t>
  </si>
  <si>
    <t>Construction Scale (quy mô)</t>
  </si>
  <si>
    <t>Mô tả quy mô công trình (số tầng hầm/nổi, diện tích sàn)</t>
  </si>
  <si>
    <t>CBTB_CTRTSUMM · BSNSOUTLINE (사업개요) — chưa chắc đúng trường</t>
  </si>
  <si>
    <t>Common › Construction Overview › Register Construction Overview — tab 'Construction Scale': ⚠️ ĐÃ XÁC MINH tab này KHÔNG có field cố định, chỉ có 1 khung text tự do (đang trống trên dự án mẫu Dịch vụ). Với dự án Xây dựng thật (K8HH1) chưa xác nhận có dữ liệu ở đây hay không — cần chụp thêm</t>
  </si>
  <si>
    <t>Nếu PIMS chỉ có mô tả tự do, không có trường quy mô riêng → chuyển GIỮ NHẬP TAY</t>
  </si>
  <si>
    <t>LỊCH SỬ THAY ĐỔI GIÁ TRỊ HỢP ĐỒNG</t>
  </si>
  <si>
    <t>Khi chủ đầu tư điều chỉnh tăng/giảm giá trị HĐ, phải tính lại doanh thu &amp; giá vốn các tháng trước và dồn chênh lệch vào tháng điều chỉnh</t>
  </si>
  <si>
    <t>❌ KHÔNG</t>
  </si>
  <si>
    <t xml:space="preserve">CCTB_UTKCHGSEQ · UTKCHGSEQ / CTRTDATE / CTRTAMT / DCSNYN / DCSNDATE
CCTB_UTKSUM · ORGUTKAMT (당초) / UTKAMT (sau) / CHGRSN</t>
  </si>
  <si>
    <t>Contracting › Detail Management › Register Contract Sequence — cột Contract Amount (giá trị tại từng Sequence) + Confirmation Status + khối chi tiết dưới: Work Type / Reason for Change / Initial / Change / Increase-Decrease / Attachment / Remarks</t>
  </si>
  <si>
    <t>BẮT BUỘC. Không có lịch sử ⇒ không thực hiện được công thức điều chỉnh doanh thu/COGS (xem sheet 'Công thức', mục CT-1, CT-2)</t>
  </si>
  <si>
    <t>Dashboard làm gì có trường này? Nhầm không?</t>
  </si>
  <si>
    <t>Overview / Progress</t>
  </si>
  <si>
    <t>Progress Plan % (tháng · lũy kế)</t>
  </si>
  <si>
    <t>Tiến độ kế hoạch — do người lập kế hoạch đặt ra</t>
  </si>
  <si>
    <t>✅ mục 1</t>
  </si>
  <si>
    <t>Biên bản: 'Số plan nhập tay'</t>
  </si>
  <si>
    <t>Progress Actual % (tháng · lũy kế)</t>
  </si>
  <si>
    <t>Tiến độ thực tế đo theo tỷ lệ chi phí đã bỏ ra so với tổng ngân sách</t>
  </si>
  <si>
    <t>✅ CÓ (nguồn PIMS đúng, không phải CDTB_PFMSUM_VINA)</t>
  </si>
  <si>
    <t>CẬP NHẬT CÔNG THỨC CHÍNH XÁC theo code đồng bộ PIMSVINA (query "dashboard_pd_progress_1q.jsp"): Progress Actual tháng = SUM_COSTAMT ÷ (SUM_BDGTAMT − DIFF_BUDGET_VS_IMPLEMENTATION). Trong đó SUM_BDGTAMT/SUM_COSTAMT lấy từ CHTB_PFMCOSTRMRK (lọc RMRKLVL=1); DIFF_BUDGET_VS_IMPLEMENTATION = |Σ(Execution Budget) − Σ(Implementation Amount)| lấy từ CETB_PFMCTRTHIST (lấy CTRTCHGSEQ mới nhất theo từng ORDCONTTYPECODE, loại trừ dòng cấp site CTRTTYPE='1'). Khác với mô tả cũ (chỉ dùng tỷ lệ Input/Execution Budget của Cost Input Status, không có số hiệu chỉnh DIFF)</t>
  </si>
  <si>
    <t>Construction Mgm. › Costing › Cost Input Status by Execution Detail — cột I Budget (Amount) / Implementation (Resolution) (Amount) / Input (theo tháng, SUM 12 cột January-December), lọc Work Type = Direct Cost</t>
  </si>
  <si>
    <t>CHUYỂN SANG PIMS — đã triển khai đồng bộ tự động (xem Ghi chú), chỉ cập nhật actualPct, không đụng Plan/lũy kế</t>
  </si>
  <si>
    <t>CT: Progress Actual(M) = Chi phí thực tế(M) / Tổng ngân sách thực hiện (A). CẬP NHẬT: đã triển khai đồng bộ PIMSVINA ghi vào bảng pd_progress_monthly.actualPct của Dashboard (artifacts/api-server/src/lib/pimsvinaOracleQueries.ts) — sync CHỈ cập nhật đúng actualPct, không đụng tới planPct/các trường lũy kế khác (đúng như biên bản: 1 người được sửa)</t>
  </si>
  <si>
    <t>Cập nhật: xác định chính xác công thức &amp; bảng nguồn Progress Actual đã triển khai (CHTB_PFMCOSTRMRK + CETB_PFMCTRTHIST với số hiệu chỉnh DIFF_BUDGET_VS_IMPLEMENTATION), đồng bộ vào pd_progress_monthly.actualPct.</t>
  </si>
  <si>
    <t>Elapsed rate (% thời gian đã trôi)</t>
  </si>
  <si>
    <t>So sánh thời gian đã trôi qua với tiến độ đạt được — cảnh báo chậm tiến độ</t>
  </si>
  <si>
    <t>từ CETB_PFMCTRTHIST · DUESTARTDATE / DUEENDDATE</t>
  </si>
  <si>
    <t>➖ TÍNH TOÁN từ ngày — nguồn: Contracting › Detail Management › Register Contract Sequence — cột Contract Start Date / Contract End Date (SỬA LẠI: dòng cũ ghi nhầm sang màn Sub-Contracting, không liên quan Elapsed rate)</t>
  </si>
  <si>
    <t>CT: (Tháng tham chiếu − Tháng bắt đầu) / Tổng số tháng HĐ. LƯU Ý: phải tính theo Reference month người dùng chọn, không theo tháng hệ thống</t>
  </si>
  <si>
    <t>Overview / Revenue</t>
  </si>
  <si>
    <t>Revenue Plan (tháng · năm)</t>
  </si>
  <si>
    <t>Doanh thu kế hoạch</t>
  </si>
  <si>
    <t>✅ mục 3</t>
  </si>
  <si>
    <t>Anh đã chốt: Plan nhập tay</t>
  </si>
  <si>
    <t>Revenue Actual (tháng · lũy kế)</t>
  </si>
  <si>
    <t>Doanh thu ghi nhận theo phương pháp tỷ lệ hoàn thành (percentage-of-completion)</t>
  </si>
  <si>
    <t xml:space="preserve">Không phải bảng PIMS trực tiếp — lưu trong DB riêng của Dashboard, màn 'Business performance' (Data Entry), tab Site/Actual của dự án này. Có nút 'Auto-calculating' hỗ trợ TÍNH GỢI Ý (không tự động ghi đè) từ 3 nguồn PIMS:
① Costing › Cost Input Status by Execution Detail — Chi phí lũy kế đến hiện tại (A) và Chi phí tháng cần tính (B) theo Work Type, ưu tiên cột Implementation(Resolution) Amount, nếu không có mới lấy Execution Budget Amount ⇒ tỷ lệ C = B/A
② Common › Register Construction Overview — Total Contract Amount (D)
③ 'Settlement Ratio Cost' (màn mới) — Gross Profit ratio (8/13) theo tháng (F)
⇒ Revenue Actual tháng = C×D · Gross Profit Actual tháng = Revenue×F/100
Người dùng XEM kết quả gợi ý rồi phải bấm LƯU để chốt — không phải tính runtime</t>
  </si>
  <si>
    <t>GIỮ NHẬP TAY (có Auto-calculating hỗ trợ) — KHÔNG phải CHTB_COST trực tiếp</t>
  </si>
  <si>
    <t>CT-1 (sheet Công thức). Cho phép sửa tay đè lên số tự tính. CẦN CHỐT: GROUP BY FLDCODE hay ACNT_FLDCODE</t>
  </si>
  <si>
    <t>REVENUE FORECAST</t>
  </si>
  <si>
    <t>Dự báo doanh thu các tháng còn lại — cần cho KPI Full Year</t>
  </si>
  <si>
    <t>GIỮ NHẬP TAY (đã có cơ chế) — Actual/Forecast phân loại tự động theo tháng khóa sổ, không cần bổ sung màn nhập Forecast riêng như đánh giá cũ</t>
  </si>
  <si>
    <t>Anh đã chốt: Forecast TÁCH BẢNG RIÊNG, nhập tay. Data Entry mục 3 hiện chỉ có 2 cột Plan/Actual. CẬP NHẬT: đã triển khai cơ chế "tháng khóa sổ" (actualCutoffMonth, quy tắc lastClosedYearMonth) tại ProjectDataEntryTab — giá trị doanh thu nhập theo tháng được TỰ ĐỘNG phân vào Actual (tháng ≤ cutoff) hoặc Forecast (tháng &gt; cutoff) của cùng 1 ô nhập, không cần thêm cột Forecast tách biệt</t>
  </si>
  <si>
    <t>Dashboard hiện tại chưa có, nếu cần thì sẽ bổ sung tính toán và lưu, sửa thủ công ở tab Date entry</t>
  </si>
  <si>
    <t>Cập nhật: Revenue Forecast không còn "chưa có, cần bổ sung màn nhập" — đã triển khai cơ chế tự động phân loại Actual/Forecast theo tháng khóa sổ (actualCutoffMonth) tại Data Entry.</t>
  </si>
  <si>
    <t>Overview / Cost Rate</t>
  </si>
  <si>
    <t>Bidding Cost Rate (입찰원가율)</t>
  </si>
  <si>
    <t>Tỷ lệ giá vốn tại thời điểm đấu thầu — cơ sở ra giá dự thầu</t>
  </si>
  <si>
    <t>✅ mục 4</t>
  </si>
  <si>
    <t>RCTB_BIDMST / RCTB_BIDDTL · BIDAMT / BIDMATAMT / BIDLBRAMT / BIDEXPAMT — chưa xác minh</t>
  </si>
  <si>
    <t>Common › Construction Overview › Register Construction Overview — tab Contract Details, cột 'Winning Bid Rate Compared to Design Price' / 'Winning Bid Rate Compared to Bid Price' (SỬA LẠI: đã xác minh UI thật, không phải RCTB_BIDMST như suy đoán cũ)</t>
  </si>
  <si>
    <t>CT: Chi phí đấu thầu / Giá trị hợp đồng</t>
  </si>
  <si>
    <t>Chưa rõ nguồn dữ liệu lấy từ đâu?</t>
  </si>
  <si>
    <t>Execution Budget Cost Rate (실행예산원가율)</t>
  </si>
  <si>
    <t>Tỷ lệ giá vốn khi lập ngân sách thực hiện sau khi trúng thầu</t>
  </si>
  <si>
    <t>CDTB_PFMSUM_VINA · BDGTAMT lọc STNDCODE='ZYA' (Site budget 1+2+3) ÷ UTKAMT</t>
  </si>
  <si>
    <t>Budget › Execution Budget › Execution Budget Summary and Approval — cột 'Site Budget Ratio(%)' dòng 'Site budget (1+2+3)', hoặc tự tính = Amount dòng Site budget ÷ L.Contract Amount</t>
  </si>
  <si>
    <t>CT: Ngân sách thực hiện / Giá trị hợp đồng</t>
  </si>
  <si>
    <t>Estimated Completion Cost Rate — CHỨC NĂNG #7 (준공추정원가율)</t>
  </si>
  <si>
    <t>Tỷ lệ giá vốn ƯỚC TÍNH khi hoàn công, cập nhật hàng tháng. Là chỉ tiêu CẢNH BÁO SỚM quan trọng nhất: nếu tăng dần theo tháng ⇒ dự án đang đội chi phí</t>
  </si>
  <si>
    <t>✅ mục 4 (có Base Month, nhập nhiều kỳ)</t>
  </si>
  <si>
    <t>🟡 CHỈ CÓ SỐ MỤC TIÊU</t>
  </si>
  <si>
    <t>CBTB_CTRTSUMM · CMPLSCHDGOALCOSTRATE = 준공시MỤC TIÊU원가율 (khác 추정 = ước tính)</t>
  </si>
  <si>
    <t>Common › Construction Overview › Register Construction Overview — tab Contract Details, cột 'Target Cost Ratio at Final Completion' — LƯU Ý: đây là số MỤC TIÊU (đặt 1 lần), không phải số ƯỚC TÍNH cập nhật hàng tháng của chức năng #7 (#7 vẫn phải nhập tay riêng)</t>
  </si>
  <si>
    <t>Biên bản #7 ghi rõ As-is: 'Thiếu chức năng, phải xây mới'. PIMS chỉ có số MỤC TIÊU (đặt 1 lần đầu), không có số ƯỚC TÍNH theo tháng. Có thể dùng số mục tiêu làm baseline. LÀ ĐẦU VÀO TÍNH GROSS PROFIT cho cả DB dự án lẫn DB Công ty</t>
  </si>
  <si>
    <t>Overview / Budget Exec</t>
  </si>
  <si>
    <t>Budget Execution — Outsourcing</t>
  </si>
  <si>
    <t>Ngân sách và mức thực hiện phần thuê thầu phụ (chiếm tỷ trọng lớn nhất chi phí trực tiếp)</t>
  </si>
  <si>
    <t>➖ tự cộng từ mục 6</t>
  </si>
  <si>
    <t>CETB_PFMCTRTHIST · BDGTAMT (실행예산) / EXECAMT (집행예산) / CTRTAMT (시행결의)</t>
  </si>
  <si>
    <t>Sub-Contracting › Request Execution Resolution (Site) — cột I Budget / Implementation Amount / Implement Rate (%)</t>
  </si>
  <si>
    <t>Budget Execution — Common / Expense 1 / Expense 2 / Contingency</t>
  </si>
  <si>
    <t>Phân loại chi phí: Direct = Outsourcing + Common + Expense 1 · Indirect = Expense 2 · Contingency riêng</t>
  </si>
  <si>
    <t>✅ mục 5</t>
  </si>
  <si>
    <t>PIMS · Cost Input Status by Execution Detail — lọc theo Work Type tương ứng: Common Work · Expense I · Expense II · Contingency. Mỗi hạng mục: Ngân sách thực hiện = cột Execution Budget/Implementation(Resolution) (ưu tiên Implementation) · Chi phí thực tế lũy kế = cột Input. Direct cost = A − B − C (theo Công thức sheet SRS dự án, không phải mã STNDCODE của CDTB_PFMSUM_VINA)</t>
  </si>
  <si>
    <t>Construction Mgm. › Costing › Cost Input Status by Execution Detail — cột I Budget (Amount) / Implementation (Resolution) (Amount), lọc Work Type = Common / Expense I / Expense II / Contingency (tương ứng từng dòng chart)</t>
  </si>
  <si>
    <t>CHUYỂN SANG PIMS — đúng màn, sai bảng cũ (đã sửa từ CDTB_PFMSUM_VINA sang Cost Input Status by Execution Detail)</t>
  </si>
  <si>
    <t>Cây mã trong PIMS KHỚP CHÍNH XÁC 5 hạng mục trên màn nhập liệu Dashboard</t>
  </si>
  <si>
    <t>Budget Execution — Actual theo tháng</t>
  </si>
  <si>
    <t>Chi phí thực tế đã chi từng tháng theo từng hạng mục</t>
  </si>
  <si>
    <t>✅ CÓ (nguồn PIMS đúng)</t>
  </si>
  <si>
    <t>PIMS · Cost Input Status by Execution Detail — cột 'Input' theo từng tháng, theo Work Type tương ứng. KHÔNG cần CHTB_BGTPRJT_ACT_EXP làm nguồn thay thế — đây chính là màn PIMS gốc của toàn bộ Budget Execution</t>
  </si>
  <si>
    <t>Construction Mgm. › Costing › Cost Input Status by Execution Detail — cột Input (12 cột riêng January…December, mỗi tháng 1 giá trị)</t>
  </si>
  <si>
    <t>CHUYỂN SANG PIMS — cùng màn với các dòng #7/#16 trên (Cost Input Status by Execution Detail)</t>
  </si>
  <si>
    <t>CẦN CHỐT: dùng CHTB_BGTPRJT_ACT_EXP hay CHTB_COST làm nguồn Actual chính thức</t>
  </si>
  <si>
    <t>Overview / Funds</t>
  </si>
  <si>
    <t>Confirmed (A) — Giá trị đã xác nhận/nghiệm thu</t>
  </si>
  <si>
    <t>Giá trị công việc đã được chủ đầu tư nghiệm thu, cơ sở phát hành hóa đơn</t>
  </si>
  <si>
    <t>Bảng 기성 (nhóm CCTB) · SCHDAMT (기성금액) / SUPPLYAMT (공급가액) / VATAMT theo YYYYMM · BILLISSUEDATE</t>
  </si>
  <si>
    <t>Contracting › Progress Payment Management › Register Contract Progress Payment — cột Progress Payment Amount / Amount excluding VAT / VAT / Total (màn ĐANG TRỐNG dữ liệu ở dự án mẫu đã xem)</t>
  </si>
  <si>
    <t>QUAN TRỌNG: Biên bản họp ghi 'Confirmed (A): Số này nhập tay vào, chưa có ở đâu cả' ⇒ THỰC RA PIMS ĐÃ CÓ</t>
  </si>
  <si>
    <t>Collection (B) — Đã thu tiền</t>
  </si>
  <si>
    <t>Số tiền thực thu từ chủ đầu tư</t>
  </si>
  <si>
    <t>Bảng 기성 · COLBILSCHDAMT (수금예정금액) / COLBILSCHDDATE (수금예정일)  ·đối chiếu·  CFTB_CFTRANSACTION</t>
  </si>
  <si>
    <t>PA2 (ưu tiên theo anh chốt): Cash Flow › Transactions › Transaction List — cột Deposit/Withdrawal='Income' · Amount/Eq.USD — CÓ DỮ LIỆU THẬT (6 giao dịch RC-xxx đã thấy)</t>
  </si>
  <si>
    <t>Biên bản: 'Thu tiền lấy bên Cashflow'</t>
  </si>
  <si>
    <t>Receivable (A−B) · Collection rate</t>
  </si>
  <si>
    <t>Công nợ phải thu và tỷ lệ thu hồi — cảnh báo rủi ro dòng tiền</t>
  </si>
  <si>
    <t>CT: Receivable = Confirmed(A) − Collection(B) · Collection rate = B / A</t>
  </si>
  <si>
    <t>Overview</t>
  </si>
  <si>
    <t>Site Photos (ảnh công trường)</t>
  </si>
  <si>
    <t>Ảnh hiện trạng công trường, có slideshow</t>
  </si>
  <si>
    <t>✅ mục Site Photos</t>
  </si>
  <si>
    <t>Biên bản: '1 Chart hiển thị ảnh, nhiều ảnh next slide. Có màn khai báo sẵn ảnh'</t>
  </si>
  <si>
    <t>Overview (mọi tab)</t>
  </si>
  <si>
    <t>Comment (theo Month)</t>
  </si>
  <si>
    <t>Giải trình số liệu của người phụ trách</t>
  </si>
  <si>
    <t>✅ trên từng tab</t>
  </si>
  <si>
    <t>KHÁC BIỆT so với biên bản: thiếu chiều chọn Chart/Chỉ tiêu, thiếu phân quyền theo mảng KD/dự án/công ty, thiếu phân cấp comment — chờ anh confirm</t>
  </si>
  <si>
    <t>TAB 2 — PROGRESS</t>
  </si>
  <si>
    <t>Progress</t>
  </si>
  <si>
    <t>Site Progress Status (ảnh lớn)</t>
  </si>
  <si>
    <t>Ảnh công trường phóng to</t>
  </si>
  <si>
    <t>✅ Site Photos</t>
  </si>
  <si>
    <t>Cùng nguồn dòng #21</t>
  </si>
  <si>
    <t>3 donut Progress (Monthly / Năm / Cumulative)</t>
  </si>
  <si>
    <t>So sánh Plan vs Actual ở 3 chiều thời gian, kèm chênh lệch (B−A)</t>
  </si>
  <si>
    <t>➖ / ❌</t>
  </si>
  <si>
    <t>như dòng #6, #7</t>
  </si>
  <si>
    <t>LƯU Ý THIẾT KẾ: tham số Base Month của tab này phải đồng bộ với Reference month của tab Overview, nếu không 2 tab cho 2 giá trị Cumulative Plan khác nhau</t>
  </si>
  <si>
    <t>Chart Monthly Progress Plan &amp; Actual (4 series)</t>
  </si>
  <si>
    <t>Monthly Plan · Monthly Actual (cột) + Cumulative Plan · Cumulative Actual (line) — biểu đồ S-Curve</t>
  </si>
  <si>
    <t>Plan = GIỮ NHẬP TAY · Actual = TÍNH TOÁN</t>
  </si>
  <si>
    <t>Series FORECAST trên chart Progress</t>
  </si>
  <si>
    <t>Đường dự báo tiến độ cho các tháng còn lại sau tháng hiện tại</t>
  </si>
  <si>
    <t>Hiện line Actual dừng ở tháng hiện tại, không có phần dự báo tiếp</t>
  </si>
  <si>
    <t>Sẽ nhậpthủ công ở tab Date entry</t>
  </si>
  <si>
    <t>Progress / Milestone</t>
  </si>
  <si>
    <t>Milestone — Plan Start / Plan End</t>
  </si>
  <si>
    <t>Mốc thi công kế hoạch (착공 → 파일공사 → 터파기 → 기초타설 → 지하층 골조 → 분양 → 기준층 골조 → 목업 → 구조체완료 → 마감 → 준공)</t>
  </si>
  <si>
    <t>✅ mục 2</t>
  </si>
  <si>
    <t>CETB_PFMSCHDHIST chỉ lưu KỲ NGHIỆM THU (기성), KHÔNG phải mốc thi công</t>
  </si>
  <si>
    <t>PIMS không quản lý mốc thi công ⇒ đúng là phải nhập ở Dashboard</t>
  </si>
  <si>
    <t>Milestone — Actual Start / Actual End</t>
  </si>
  <si>
    <t>Mốc thi công thực tế — so với Plan cho ra mức độ chậm tiến độ từng hạng mục</t>
  </si>
  <si>
    <t>Gantt Plan (đỏ) vs Actual (xanh) là thông tin quản trị giá trị nhất của tab Progress</t>
  </si>
  <si>
    <t>Danh mục tên 11 mốc</t>
  </si>
  <si>
    <t>Bộ mốc chuẩn dùng chung cho mọi dự án xây dựng</t>
  </si>
  <si>
    <t>✅ nhập tự do</t>
  </si>
  <si>
    <t>CATB_STNDFCLT  ·hoặc·  danh mục 'Loại gói thầu' / 'Hạng mục công việc'</t>
  </si>
  <si>
    <t>⚠️ ĐÍNH CHÍNH: Standard › Standard Code › Register Standard Facility Codes đã xác minh UI — đây là danh mục Facility Code cho QUY HOẠCH/THIẾT KẾ ĐÔ THỊ (F0→F01→F02...F04110, VD 'Design area and land improvement', 'Urban Planning'...), KHÔNG PHẢI danh mục Milestone thi công (착공/파일공사...). Nguồn thật cho danh mục 11 mốc THI CÔNG chưa xác định — vẫn GIỮ NHẬP TAY tự do</t>
  </si>
  <si>
    <t>Khuyến nghị chuẩn hóa thành danh mục dùng chung thay vì cho nhập tự do từng dự án</t>
  </si>
  <si>
    <t>Sẽ nhậpthủ công ở tab Date entry, chưa cần chuẩn hóa</t>
  </si>
  <si>
    <t>TAB 3 — REVENUE</t>
  </si>
  <si>
    <t>Revenue</t>
  </si>
  <si>
    <t>Chart Revenue (cột tháng + line lũy kế)</t>
  </si>
  <si>
    <t>Doanh thu ghi nhận theo tháng và lũy kế</t>
  </si>
  <si>
    <t>✅ / ❌</t>
  </si>
  <si>
    <t>như dòng #9, #10</t>
  </si>
  <si>
    <t>Cần bổ sung series Forecast (dòng #11)</t>
  </si>
  <si>
    <t>Ok, cần lưu ý case điều chỉnh doanh thu, ép số chênh lệch vào tháng hiện tại</t>
  </si>
  <si>
    <t>Chart Cost — COGS / Cost of Revenue</t>
  </si>
  <si>
    <t>Giá vốn hàng bán ghi nhận theo tháng — cùng cặp với doanh thu để ra Gross Profit</t>
  </si>
  <si>
    <t>❓ 'Monthly Cost of Revenue' — UI báo có nhưng chưa thấy trong Data Entry, cần quyền admin</t>
  </si>
  <si>
    <t>Chart Cost = Revenue Actual − Gross Profit Actual, cả 2 lấy từ Business performance (Data Entry Dashboard, xem dòng #10). KHÔNG query trực tiếp CHTB_COST dải 6xx-7xx — dữ liệu CHTB_COST/Cost Input Status by Execution Detail chỉ là nguồn GỢI Ý cho Auto-calculating khi tính Revenue/Gross Profit, không phải nguồn hiển thị Cost trực tiếp</t>
  </si>
  <si>
    <t>➖ derived tại Dashboard = Revenue − Gross Profit (2 số này lấy như dòng #10, cùng nguồn gợi ý PIMS Cost Input Status/Register Construction Overview/Settlement Ratio Cost)</t>
  </si>
  <si>
    <t>Biên bản câu hỏi treo: 'Màn nào ghi nhận Giá vốn?' ⇒ CHTB_COST. Cần lập bảng mapping ACCTCODE1 → nhóm P&amp;L (xem sheet 'Mapping mã KT')</t>
  </si>
  <si>
    <t>Cost Ratio (%) theo tháng</t>
  </si>
  <si>
    <t>Xu hướng tỷ lệ giá vốn qua các tháng</t>
  </si>
  <si>
    <t>✅ gián tiếp qua mục 4</t>
  </si>
  <si>
    <t>PHẢI DÙNG CHUNG 1 NGUỒN với dòng #14 (Estimated Completion Cost Rate). Hiện 2 tab đang hiển thị 2 giá trị khác nhau ⇒ Gross Profit lệch. Nên vẽ xu hướng theo từng Base Month đã nhập, không phải 1 số cố định</t>
  </si>
  <si>
    <t>Cái này tự tính toán được từ dữ liệu tab Data entry'</t>
  </si>
  <si>
    <t>Gross Profit (매출이익)</t>
  </si>
  <si>
    <t>Lợi nhuận gộp = Doanh thu − Giá vốn. Chưa hiển thị trên DB dự án nhưng DB Công ty cần tổng hợp lên</t>
  </si>
  <si>
    <t xml:space="preserve">Actual: Không phải bảng PIMS trực tiếp — lưu trong DB riêng của Dashboard, màn 'Business performance' (Data Entry), tab Site/Actual của dự án này. Có nút 'Auto-calculating' hỗ trợ TÍNH GỢI Ý (không tự động ghi đè) từ 3 nguồn PIMS:
① Costing › Cost Input Status by Execution Detail — Chi phí lũy kế đến hiện tại (A) và Chi phí tháng cần tính (B) theo Work Type, ưu tiên cột Implementation(Resolution) Amount, nếu không có mới lấy Execution Budget Amount ⇒ tỷ lệ C = B/A
② Common › Register Construction Overview — Total Contract Amount (D)
③ 'Settlement Ratio Cost' (màn mới) — Gross Profit ratio (8/13) theo tháng (F)
⇒ Revenue Actual tháng = C×D · Gross Profit Actual tháng = Revenue×F/100
Người dùng XEM kết quả gợi ý rồi phải bấm LƯU để chốt — không phải tính runtime
Plan: Không phải bảng PIMS. NHẬP TAY 100% ở Data Entry Dashboard, tab Site › Plan (theo SRS_Nhập liệu: 'Người dùng nhập số liệu từng tháng'). CDTB_PFMSUM_VINA (Execution Budget Summary and Approval) KHÔNG dùng được cho chỉ tiêu này vì chỉ có 1 số tổng duy nhất lúc lập ngân sách, KHÔNG có số liệu theo tháng/lũy kế</t>
  </si>
  <si>
    <t xml:space="preserve">Dashboard › Business performance (Data Entry riêng, KHÔNG phải bảng PIMS) · Actual: nguồn gợi ý: Costing›Cost Input Status by Execution Detail — cột I Budget(Amount)/Implementation(Resolution)(Amount)/Input(theo tháng) · Common›Register Construction Overview — tab Contract Details, cột Total Contract Amount · Settlement Ratio Cost — cột Gross Profit ratio (8/13)
Plan: nhập tay, không PIMS</t>
  </si>
  <si>
    <t>GIỮ NHẬP TAY (Actual có Auto-calculating hỗ trợ, Plan nhập tay) — KHÔNG dùng CDTB_PFMSUM_VINA.ZZF</t>
  </si>
  <si>
    <t>CT-3: GP Plan = DT Plan tháng × (100% − Tỷ lệ giá vốn Plan) · GP Actual = DT Actual − COGS Actual</t>
  </si>
  <si>
    <t>TAB 4 — COSTING</t>
  </si>
  <si>
    <t>Costing</t>
  </si>
  <si>
    <t>3 donut Cost Rate (Bidding / Execution / Completion)</t>
  </si>
  <si>
    <t>3 mốc tỷ lệ giá vốn trong vòng đời dự án</t>
  </si>
  <si>
    <t>⚠️/✅/🟡</t>
  </si>
  <si>
    <t>như dòng #12, #13, #14</t>
  </si>
  <si>
    <t>Tên chỉ tiêu KHÔNG ĐỒNG BỘ với tab Overview ('Estimated Completion Cost Rate' vs 'Estimated Cost Ratio at Completion') — cần thống nhất 1 tên</t>
  </si>
  <si>
    <t>Thanh Direct Cost (Outsourcing · Common · Expense 1)</t>
  </si>
  <si>
    <t>Chi phí trực tiếp phục vụ thi công</t>
  </si>
  <si>
    <t>✅ mục 5–6</t>
  </si>
  <si>
    <t>PIMS · Cost Input Status by Execution Detail — Work Type = Outsourcing/Common/Expense I, cùng công thức với dòng #7/#16 (chart Budget Execution Status)</t>
  </si>
  <si>
    <t>Construction Mgm. › Costing › Cost Input Status by Execution Detail — cột I Budget(Amount)/Implementation(Resolution)(Amount), lọc Work Type = Outsourcing/Common/Expense I (giống logic dòng #16)</t>
  </si>
  <si>
    <t>CHUYỂN SANG PIMS — giống logic dòng #16 (theo Công thức sheet SRS dự án: 'Giống logic cột cùng tên chart Budget execution status')</t>
  </si>
  <si>
    <t>Nguồn bị sai, xem lại SRS</t>
  </si>
  <si>
    <t>Thanh Indirect Cost (Expense 2 · Contingency)</t>
  </si>
  <si>
    <t>Chi phí gián tiếp và dự phòng</t>
  </si>
  <si>
    <t>PIMS · Cost Input Status by Execution Detail — Work Type = Expense II/Contingency, cùng công thức với dòng #16</t>
  </si>
  <si>
    <t>Construction Mgm. › Costing › Cost Input Status by Execution Detail — cột I Budget(Amount)/Implementation(Resolution)(Amount), lọc Work Type = Expense II/Contingency</t>
  </si>
  <si>
    <t>CHUYỂN SANG PIMS — giống logic dòng #16</t>
  </si>
  <si>
    <t>Progress Payment PLAN (kế hoạch giải ngân)</t>
  </si>
  <si>
    <t>Kế hoạch chi trả theo tháng cho từng hạng mục ngân sách</t>
  </si>
  <si>
    <t>Biên bản: 'Thêm màn nhập kế hoạch budget plan theo tháng, upload excel lên'</t>
  </si>
  <si>
    <t>Progress Payment ACTUAL</t>
  </si>
  <si>
    <t>Số tiền thực tế đã thanh toán theo tiến độ</t>
  </si>
  <si>
    <t>CETB_PFMSCHDHIST · PRGSAMT / PAYAMT theo YYMM (YYYYMM)</t>
  </si>
  <si>
    <t>Sub-Contracting › Implementation Progress Payment(Site) › Implementation Interim Payment — cột Progress Payment (B)</t>
  </si>
  <si>
    <t>Định dạng YYMM trong DB là YYYYMM (VD 202410) — cần transform sang yy/mm/dd khi hiển thị</t>
  </si>
  <si>
    <t>TAB 5 — OUTSOURCING (Outsourcing = thuê THẦU PHỤ thi công từng hạng mục chuyên ngành)</t>
  </si>
  <si>
    <t>Outsourcing</t>
  </si>
  <si>
    <t>Trade Group / Category (Architecture, Mechanic, Electrical, Civil, Landscape, Common)</t>
  </si>
  <si>
    <t>Nhóm chuyên ngành của gói thầu phụ</t>
  </si>
  <si>
    <t>✅ mục 6 (dropdown)</t>
  </si>
  <si>
    <t>CETB_PFMCTRTHIST · ORDCONTTYPECODE (발주공종코드)</t>
  </si>
  <si>
    <t>Sub-Contracting › Request Execution Resolution (Site) — cột 'Field' (nhóm chuyên ngành, VD 'Common') — ⚠️ cần xác minh có đúng khớp Trade Group/Category hay phải dùng cột 'Registered Work Type'</t>
  </si>
  <si>
    <t>Dashboard đang hiển thị tiếng Hàn (건축/공통/토목/조경/전기/기계) dù Data Entry đã có tiếng Anh</t>
  </si>
  <si>
    <t>Detailed Trade (tên hạng mục chi tiết)</t>
  </si>
  <si>
    <t>Tên gói thầu phụ cụ thể</t>
  </si>
  <si>
    <t>✅ mục 6</t>
  </si>
  <si>
    <t>CETB_PFMCTRTRMRK (chi tiết hạng mục theo từng CTRTCHGSEQ)</t>
  </si>
  <si>
    <t>Sub-Contracting › Request Execution Resolution (Site) — cột Order Work Type (Name)</t>
  </si>
  <si>
    <t>Vendor Name (nhà thầu phụ)</t>
  </si>
  <si>
    <t>Đơn vị thi công gói thầu</t>
  </si>
  <si>
    <t>CETB_PFMCTRTHIST · VNDRCODE (시행업체코드) → join RATB_CUSTMST</t>
  </si>
  <si>
    <t>Sub-Contracting › Request Execution Resolution (Site) — cột Supplier (Company Name / Person in Charge Name) · Standard › Partner Company</t>
  </si>
  <si>
    <t>Category (하도급 Thầu phụ / 용역 Dịch vụ)</t>
  </si>
  <si>
    <t>Phân biệt hợp đồng thầu phụ thi công vs hợp đồng dịch vụ</t>
  </si>
  <si>
    <t>CETB_PFMCTRTHIST · CTRTTYPE (결의구분) / MATSBCCODE (자재외주구분)</t>
  </si>
  <si>
    <t>Sub-Contracting › Request Execution Resolution (Site) — ⚠️ CHƯA xác định cột nào phân biệt 하도급(thầu phụ)/용역(dịch vụ) — có thể là 'Implementation Method' (VD 'Open Competition') nhưng chưa chắc — cần xác minh thêm</t>
  </si>
  <si>
    <t>Cột này CÓ trong Data Entry nhưng CHƯA hiển thị trên Dashboard — nên bổ sung</t>
  </si>
  <si>
    <t>Chưa chắc chẵn</t>
  </si>
  <si>
    <t>Initial Contract Date</t>
  </si>
  <si>
    <t>Ngày ký hợp đồng thầu phụ ban đầu</t>
  </si>
  <si>
    <t>CETB_PFMCTRTHIST · CNSTDATE (시행체결일자)</t>
  </si>
  <si>
    <t>Sub-Contracting › Request Execution Resolution (Site) — cột Implementation Contract Date</t>
  </si>
  <si>
    <t>Change Contract Round (số lần thay đổi HĐ thầu phụ)</t>
  </si>
  <si>
    <t>Theo dõi các lần điều chỉnh hợp đồng thầu phụ</t>
  </si>
  <si>
    <t>CETB_PFMCTRTHIST · CTRTCHGSEQ (시행변경차수) · CONTCHGYN / CHGRESN (변경사유)</t>
  </si>
  <si>
    <t>Sub-Contracting › Request Execution Resolution (Site) — cột Revision</t>
  </si>
  <si>
    <t>Budget (A) — Ngân sách gói thầu</t>
  </si>
  <si>
    <t>Ngân sách được duyệt cho gói thầu, mẫu số của Resolved Rate</t>
  </si>
  <si>
    <t>CETB_PFMCTRTHIST · BDGTAMT (실행예산금액)</t>
  </si>
  <si>
    <t>Sub-Contracting › Request Execution Resolution (Site) — cột I Budget</t>
  </si>
  <si>
    <t>Executed Budget — Ngân sách đã chấp hành</t>
  </si>
  <si>
    <t>Phần ngân sách đã được sử dụng</t>
  </si>
  <si>
    <t>CETB_PFMCTRTHIST · EXECAMT (집행예산금액)</t>
  </si>
  <si>
    <t>Sub-Contracting › Request Execution Resolution (Site) — cột Operational Budget — ⚠️ TÊN CỘT GIỐNG NHƯNG CHƯA CHẮC đúng ý nghĩa 'Executed Budget/집행예산' — cần đối chiếu số liệu thật để xác nhận</t>
  </si>
  <si>
    <t>Cột này hiện đang TRỐNG trên Dashboard dù DB có sẵn trường</t>
  </si>
  <si>
    <t>Resolved Amount (B) — Giá trị đã nghị quyết/ký</t>
  </si>
  <si>
    <t>Giá trị hợp đồng thầu phụ đã được duyệt ký. B/A cho biết đã ký bao nhiêu % so với ngân sách</t>
  </si>
  <si>
    <t>CETB_PFMCTRTHIST · CTRTAMT (시행결의금액) — 'Resolved' chính là 결의</t>
  </si>
  <si>
    <t>Sub-Contracting › Request Execution Resolution (Site) — cột Implementation Amount</t>
  </si>
  <si>
    <t>Lọc APPRSTSCODE / PURCAPPRSTSCODE = đã duyệt</t>
  </si>
  <si>
    <t>Resolved Rate (B/A)</t>
  </si>
  <si>
    <t>Tỷ lệ đã ký hợp đồng so với ngân sách — phát hiện gói chưa ký (rủi ro mua sắm) hoặc vượt ngân sách</t>
  </si>
  <si>
    <t>CT: Resolved Amount (B) / Budget (A)</t>
  </si>
  <si>
    <t>Progress Billing — This Month</t>
  </si>
  <si>
    <t>Giá trị nghiệm thu thanh toán cho thầu phụ trong tháng</t>
  </si>
  <si>
    <t>CETB_PFMSCHDHIST · PRGSAMT lọc YYMM</t>
  </si>
  <si>
    <t>Sub-Contracting › Implementation Progress Payment(Site) › Implementation Interim Payment — cột Progress Payment (B) của tháng hiện tại — ⚠️ chưa xác nhận có tách riêng cột 'This Month' hay chỉ có 1 cột (B) tổng</t>
  </si>
  <si>
    <t>Progress Billing — Cumulative (C)</t>
  </si>
  <si>
    <t>Lũy kế đã thanh toán cho thầu phụ</t>
  </si>
  <si>
    <t>SUM(CETB_PFMSCHDHIST · PRGSAMT) theo FLDCODE + ORDCONTTYPECODE</t>
  </si>
  <si>
    <t>Sub-Contracting › Implementation Progress Payment(Site) › Implementation Interim Payment — cột Progress Payment (B) lũy kế</t>
  </si>
  <si>
    <t>Ratio (C/B)</t>
  </si>
  <si>
    <t>Tiến độ thực hiện của từng gói thầu phụ. &gt;90% = gần hoàn thành · &lt;10% = chưa thi công/chưa nghiệm thu</t>
  </si>
  <si>
    <t>CT: Cumulative Progress Payment (C) / Resolved Amount (B)</t>
  </si>
  <si>
    <t>GÓI DỰ KIẾN KÝ (chưa có hợp đồng)</t>
  </si>
  <si>
    <t>Các gói thầu đã có ngân sách nhưng chưa ký hợp đồng — để biết còn phải ký bao nhiêu</t>
  </si>
  <si>
    <t>❌ KHÔNG (PIMS chỉ có HĐ đã ký)</t>
  </si>
  <si>
    <t>Biên bản: 'chart này chỉ phân tích số thực tế sau ký hợp đồng, không có số plan' + '2 dòng màu xanh chưa có phải nhập thêm (PIMS chưa có, đã ký thì sẽ có)'. Cần thêm: tổng số worktype plan / đã ký / cần ký / đã xong</t>
  </si>
  <si>
    <t>Ok, bổ sung nhập tab Data entry</t>
  </si>
  <si>
    <t>Tạm ứng nhà thầu phụ (선급금)</t>
  </si>
  <si>
    <t>Tiền tạm ứng đã trả cho thầu phụ, phải khấu trừ dần</t>
  </si>
  <si>
    <t>CETB_PREPAY · PAYAMT / VATAMT  ·hoặc·  CETB_PFMCTRTHIST · PREPAYAMT / PREPAYVAT</t>
  </si>
  <si>
    <t>Sub-Contracting › Execution Resolution(HO) › Register Sub-contract Advance Payment — cột Resolution Amount / A.P Rate(%) / Advance Payment / Payment Amount / Remaining Payment / Deduction Amount</t>
  </si>
  <si>
    <t>Chưa có trên Dashboard — cân nhắc bổ sung nếu khách cần</t>
  </si>
  <si>
    <t>TAB 6 — CASHFLOW</t>
  </si>
  <si>
    <t>Cashflow</t>
  </si>
  <si>
    <t>Cash In (dòng tiền vào)</t>
  </si>
  <si>
    <t>Tiền thực thu của dự án theo tháng</t>
  </si>
  <si>
    <t>✅ mục 7</t>
  </si>
  <si>
    <t>CFTB_CFTRANSACTION · AMOUNT lọc CASHFLOWTYPE nhóm thu · join CFTB_CASHFLOWTYPE</t>
  </si>
  <si>
    <t>Cash Flow › Transactions › Transaction List — cột Deposit/Withdrawal='Income' · Amount/Eq.USD</t>
  </si>
  <si>
    <t>PIMS đã có dữ liệu. DATASOURCE hiện = Manual, chưa tự động từ ngân hàng</t>
  </si>
  <si>
    <t>Cash Out (dòng tiền ra)</t>
  </si>
  <si>
    <t>Tiền thực chi của dự án theo tháng</t>
  </si>
  <si>
    <t>Cash Flow › Transactions › Transaction List — cột Deposit/Withdrawal='Outgoing' · Amount/Eq.USD</t>
  </si>
  <si>
    <t>Data Entry ghi chú: nhập Cash Out là số dương, chart tự vẽ xuống dưới</t>
  </si>
  <si>
    <t>Cash Equivalent / Balance (số dư lũy kế)</t>
  </si>
  <si>
    <t>Số dư tiền tại từng thời điểm</t>
  </si>
  <si>
    <t>CFTB_OPENINGBALANCE (số dư đầu kỳ) + lũy kế (CashIn − CashOut)</t>
  </si>
  <si>
    <t>Cash Flow › Setting › Opening balance Setup — cột Opening Cash Balance/Opening Deposit Balance (VND/Eq.USD), theo Site Code</t>
  </si>
  <si>
    <t>CT: Balance(M) = Số dư đầu kỳ + Σ CashIn(T1..M) − Σ CashOut(T1..M)</t>
  </si>
  <si>
    <t>Cash Plan / Forecast (nếu cần vẽ)</t>
  </si>
  <si>
    <t>Kế hoạch dòng tiền theo tháng</t>
  </si>
  <si>
    <t>CFTB_CASHFLOWPLANH (header, có LOCKYN khóa kỳ) + CFTB_CASHFLOWPLAND · M01–M12 (pivot sẵn)</t>
  </si>
  <si>
    <t>Cash Flow › Planning › Cash Flow Plan — cột Fiscal Year/Business Line/Site/Status (danh sách kế hoạch đã duyệt — CHƯA thấy pivot số liệu theo tháng trên màn danh sách này, cần mở từng dòng để xem chi tiết)</t>
  </si>
  <si>
    <t>Chart hiện chỉ vẽ Actual. Nếu khách yêu cầu thêm Plan thì PIMS đã có sẵn</t>
  </si>
  <si>
    <t>Chỉ tiêu này ở đâu ra? Có nhầm không?</t>
  </si>
  <si>
    <t>CHUNG TOÀN MÀN HÌNH</t>
  </si>
  <si>
    <t>Tỷ giá USD / KRW / VND</t>
  </si>
  <si>
    <t>Quy đổi hiển thị mọi chỉ tiêu tiền tệ</t>
  </si>
  <si>
    <t>❌ (Dashboard tự quy đổi)</t>
  </si>
  <si>
    <t>KHÔNG còn pull trực tiếp CHTB_EXCHANGE_RATIO — Dashboard hiện có bảng tỷ giá RIÊNG: fx_rates (currency USD/KRW/VND, year, month, purpose: 'plan' hoặc 'actual_forecast' — tách 2 track để sửa tỷ giá Actual/Forecast không ảnh hưởng số Plan đã chốt), quản trị qua màn admin FX Rate Editor của Dashboard</t>
  </si>
  <si>
    <t>Standard › Common Information › Register Official Exchange Rate — cột Year and Month/Standard Currency/Currency/Exchange rate/Remarks</t>
  </si>
  <si>
    <t>GIỮ NHẬP TAY (cập nhật) — Dashboard tự quản lý tỷ giá riêng theo tháng, tách Plan và Actual/Forecast</t>
  </si>
  <si>
    <t>ĐÃ CHỐT: dùng bảng CŨ theo tháng — CẬP NHẬT theo code (artifacts/api-server/src/routes/fxrates.ts + lib/db/src/schema/fxrates.ts): thực tế đã xây bảng fx_rates riêng của Dashboard, không đọc trực tiếp CHTB_EXCHANGE_RATIO; vẫn giữ quy đổi runtime + fallback tháng trước như thiết kế gốc</t>
  </si>
  <si>
    <t>Cập nhật: tỷ giá quản lý ở bảng fx_rates riêng của Dashboard (tách Plan vs Actual/Forecast), không còn pull trực tiếp CHTB_EXCHANGE_RATIO như khuyến nghị cũ.</t>
  </si>
  <si>
    <t>Trạng thái dự án (In Progress / Closed)</t>
  </si>
  <si>
    <t>Phân nhóm cây menu bên trái và phạm vi tổng hợp</t>
  </si>
  <si>
    <t>✅ nút 'Change to closed'</t>
  </si>
  <si>
    <t>CBTB_FLDSUMM (chưa xác nhận có cột trạng thái)  ·hoặc·  CHTB_FLDCLOSING</t>
  </si>
  <si>
    <t>Common › Construction Overview › Register Construction Overview — cột 'Construction Status' (giá trị mẫu: 'Normal') — SỬA LẠI: field này nằm ngay trên Register Construction Overview, không phải Register Site Overview như ghi trước · CHTB_FLDCLOSING: vẫn chưa xác định màn tương ứng</t>
  </si>
  <si>
    <t>Cây menu PIMS CÓ danh mục 'Tình trạng xây dựng' ⇒ nhiều khả năng PIMS đã có. Nếu đúng → chuyển thành CHUYỂN SANG PIMS</t>
  </si>
  <si>
    <t>OK, theo màn Data entry trong Dashboard</t>
  </si>
  <si>
    <t>Khóa kỳ (nút Lock từng khối nhập liệu)</t>
  </si>
  <si>
    <t>Chốt sổ tháng, không cho sửa số liệu kỳ đã khóa</t>
  </si>
  <si>
    <t>✅ Lock mỗi mục</t>
  </si>
  <si>
    <t>🟡 một phần</t>
  </si>
  <si>
    <t>CFTB_CASHFLOWPLANH · LOCKYN (chỉ áp dụng cho module dòng tiền)</t>
  </si>
  <si>
    <t>Cash Flow › Planning › Cash Flow Plan — cột Status (Approved/...) — CHỈ khóa được cấp Cash Flow Plan; khóa kỳ tổng thể cho Data Entry Dashboard (Lock từng khối) CHƯA thấy field PIMS tương ứng, có thể là cơ chế riêng của Dashboard</t>
  </si>
  <si>
    <t>Dashboard quản lý khóa kỳ riêng. Thiết kế Lock theo TỪNG KHỐI (thay vì cả tháng) là hợp lý vì gộp nhiều màn nhập vào 1 giao diện. Cần bổ sung: đóng/mở khóa toàn bộ</t>
  </si>
  <si>
    <t>MA TRẬN NGUỒN DỮ LIỆU — DASHBOARD DỰ ÁN DỊCH VỤ</t>
  </si>
  <si>
    <t>Dự án tham chiếu: VH19CT2 — THT K2HH1 PRECON SERVICE (Design Management &amp; Preconstruction Service) · K2CT1 PRECON SERVICE (VH13TA2, có dữ liệu thật ở tab Outsourcing) · Đã xác minh bằng UI PIMS thật (không suy đoán)</t>
  </si>
  <si>
    <t>Chú giải: 🔵 CHUYỂN SANG PIMS = lấy PIMS, bỏ nhập tay | 🟢 GIỮ NHẬP TAY = PIMS không có, nhập ở Dashboard | 🔴 BỔ SUNG MÀN NHẬP = cả 2 hệ thống chưa có | ➖ TÍNH TOÁN = derived | ⚠️ CẦN XÁC MINH</t>
  </si>
  <si>
    <t>Màn hình PIMS · Trường cụ thể (đã xác minh UI thật, dự án VH19CT2 K2HH1 PRECON)</t>
  </si>
  <si>
    <t>DỮ LIỆU NỀN — TỔ CHỨC &amp; DANH MỤC (dùng chung mọi Dashboard)</t>
  </si>
  <si>
    <t>Nền</t>
  </si>
  <si>
    <t>Cây Công ty mẹ/con</t>
  </si>
  <si>
    <t>DECV (mẹ) → DECV1/DECV2/DECV3/DECV4 (Subsidiary Company) — ĐÍNH CHÍNH: không phải Nhơn Trạch/Thái Bình/Thượng Cát như suy luận cũ từ mã site</t>
  </si>
  <si>
    <t>Bảng Company Structure (chưa xác định tên PIMS chính xác)</t>
  </si>
  <si>
    <t>Common › Construction Overview › Company Structure Registration — cột: Short Name · Company Name · Type · Parent company · Status</t>
  </si>
  <si>
    <t>⚠️ Chưa xác nhận Site nào thuộc DECV1/2/3/4 — cây Business Line hiện hiển thị trực tiếp dưới DECV (mẹ), chưa rõ cách map xuống công ty con. Cần bấm vào từng DECV1-4 để xem</t>
  </si>
  <si>
    <t>Phân loại trung gian — Business Line (2 cấp)</t>
  </si>
  <si>
    <t>Nhóm cha: 'Business line activities' → Construction/Service · 'Financing &amp; Investment Activities' (Loan/Borrowing/Capital contribution/Dividends) → Development/Financing &amp; Investment · 'HQ Admin expenses' → Admin expenses</t>
  </si>
  <si>
    <t>Danh mục Business Line (chưa xác định tên bảng PIMS)</t>
  </si>
  <si>
    <t>Common › Construction Overview › Business Line Registration — cột: Name (cây 2 cấp) · Note</t>
  </si>
  <si>
    <t>ĐÍNH CHÍNH: biên bản họp ghi 3 phân loại (Xây dựng/Dịch vụ/Quản lý tài sản) — PIMS thực tế có 5 nhánh lá: Construction·Service·Development·Financing &amp; Investment·Admin expenses, gom trong 3 nhóm cha</t>
  </si>
  <si>
    <t>Tỷ giá theo tháng</t>
  </si>
  <si>
    <t>Tỷ giá VND↔USD/KRW khai báo theo từng tháng, có Remarks (người nhập)</t>
  </si>
  <si>
    <t>✅ CÓ — CÓ DỮ LIỆU THẬT</t>
  </si>
  <si>
    <t>CHTB_EXCHANGE_RATIO (đã xác minh UI) — CẬP NHẬT: Dashboard hiện KHÔNG pull trực tiếp bảng này nữa, mà dùng bảng tỷ giá RIÊNG: fx_rates (currency USD/KRW/VND, year, month, purpose: 'plan' hoặc 'actual_forecast'), quản trị qua màn admin FX Rate Editor của Dashboard</t>
  </si>
  <si>
    <t>Standard › Common Information › Register Official Exchange Rate — cột: Year and Month · Standard Currency · Currency · Exchange rate · Remarks</t>
  </si>
  <si>
    <t>GIỮ NHẬP TAY (cập nhật) — Dashboard tự quản lý tỷ giá riêng, tách Plan và Actual/Forecast</t>
  </si>
  <si>
    <t>Dữ liệu thật 2025-09→2026-08 xác nhận đúng cấu trúc theo tháng trên PIMS. CẬP NHẬT: theo code artifacts/api-server/src/routes/fxrates.ts, Dashboard đã xây bảng fx_rates riêng, không còn đọc trực tiếp CHTB_EXCHANGE_RATIO</t>
  </si>
  <si>
    <t>Cập nhật: tỷ giá quản lý ở bảng fx_rates riêng của Dashboard (tách Plan vs Actual/Forecast), không còn pull trực tiếp CHTB_EXCHANGE_RATIO.</t>
  </si>
  <si>
    <t>HEADER (mọi tab)</t>
  </si>
  <si>
    <t>Header</t>
  </si>
  <si>
    <t>Project · Client · Project period · Contract Amount</t>
  </si>
  <si>
    <t>Thông tin tổng quan dự án dịch vụ</t>
  </si>
  <si>
    <t>CBTB_FLDSUMM + CBTB_CTRTSUMM tương đương Xây dựng</t>
  </si>
  <si>
    <t>Common › Construction Overview › Register Construction Overview — Site Name, Ordering Party/Demander (Client), tab 'Construction Period', tab 'Contract Details' › Total Contract Amount (VND) — CHỈ DÙNG CỘT VND theo đã chốt, không cần cột USD song song</t>
  </si>
  <si>
    <t>SCOPE — phạm vi dịch vụ</t>
  </si>
  <si>
    <t>Mô tả nội dung công việc dịch vụ cung cấp (VD: Delivering design review, Establishing cooperation system...)</t>
  </si>
  <si>
    <t>✅ CÓ — ĐÃ XÁC ĐỊNH ĐÚNG FIELD</t>
  </si>
  <si>
    <t>Không có bảng cụ thể, panel text tự do</t>
  </si>
  <si>
    <t>Register Construction Overview tab Construction Scale/Overview</t>
  </si>
  <si>
    <t>Cùng panel TERM CONDITION còn có: Type of contract (Lump Sum Service Contract) · Payment: Milestone 1/2/3...% — xem dòng #29 (S2)</t>
  </si>
  <si>
    <t>Type of service (Precon/Test Pile/Construction Service)</t>
  </si>
  <si>
    <t>Phân loại 3 nhóm dịch vụ theo biên bản họp</t>
  </si>
  <si>
    <t>Budget › Execution Budget Summary and Approval — panel 'PJ OVER VIEW' › field 'Type of service' (VD: 'Precon Consulting Service')</t>
  </si>
  <si>
    <t>TAB OVERVIEW</t>
  </si>
  <si>
    <t>Annual target achievement rate</t>
  </si>
  <si>
    <t>Actual lũy kế / Target năm — donut</t>
  </si>
  <si>
    <t>🟢 nhập tay (Target) + Auto-calc (Actual)</t>
  </si>
  <si>
    <t>Không phải bảng PIMS trực tiếp cho Actual/Target — như Xây dựng, qua Business performance (Data Entry)</t>
  </si>
  <si>
    <t>Nguồn tính Actual: 🔵 Cost › Cost Performance › Cost Input Status by Execution Details (cột I Budget/Implementation(Resolution)/Input theo tháng) — Target: 🟢 nhập tay</t>
  </si>
  <si>
    <t>Giống hệt cơ chế Xây dựng (Auto-calculating), áp dụng chung cho Dịch vụ theo anh xác nhận</t>
  </si>
  <si>
    <t>Cumulative revenue achievement rate</t>
  </si>
  <si>
    <t>Actual / Contract Amount</t>
  </si>
  <si>
    <t>như dòng #7</t>
  </si>
  <si>
    <t>Overview / Budget Execution</t>
  </si>
  <si>
    <t>Budget Execution Status (Cumulative) — Outsourcing/Common/Expense1</t>
  </si>
  <si>
    <t>Chỉ hiện Direct Cost (Outsourcing/Common/Expense1) trên ảnh demo, KHÔNG có Indirect Cost/Contingency</t>
  </si>
  <si>
    <t>Không phải bảng riêng — cùng nguồn Cost Input Status</t>
  </si>
  <si>
    <t>🔵 Cost › Cost Performance › Cost Input Status by Execution Details — lọc Work Type = 000110(Direct Cost) và các nhánh con (Outsourcing/Common/Expense I), cột I Budget (Amount) = Total Budget, cột Implementation(Resolution) Amount = Execution Plan, cột Input (tổng 12 tháng) = Execution Actual</t>
  </si>
  <si>
    <t>✅ Đã xác nhận qua SRS: KHÔNG phải thiếu thiết kế — chỉ do dữ liệu demo (test) chưa nhập đủ Expense 2/Contingency. Spec đủ 6 hạng mục (xem sheet Xây dựng, Công thức)</t>
  </si>
  <si>
    <t>Overview / Cash</t>
  </si>
  <si>
    <t>Doanh thu lũy kế đến kỳ báo cáo</t>
  </si>
  <si>
    <t>🟢/🔵</t>
  </si>
  <si>
    <t>như dòng #7/8</t>
  </si>
  <si>
    <t>Giống logic cột cùng tên các nơi khác trên Dashboard</t>
  </si>
  <si>
    <t>Confirmed (A)</t>
  </si>
  <si>
    <t>Doanh thu đã xác nhận/nghiệm thu</t>
  </si>
  <si>
    <t>🟡 chưa rõ</t>
  </si>
  <si>
    <t>🟡 CẦN CHỐT — 2 nguồn khả dĩ</t>
  </si>
  <si>
    <t xml:space="preserve">PA1: bảng nghiệm thu Contracting (Register Contract Progress Payment — đang trống, chưa có data)
PA2: Business performance (Data Entry Dashboard) theo SRS</t>
  </si>
  <si>
    <t xml:space="preserve">PA1 🔵 Contracting › Progress Payment Management › Register Contract Progress Payment — cột: Progress Payment Amount · Amount excluding VAT · VAT · Total (nhưng ĐANG TRỐNG với dự án mẫu)
PA2 🟢 theo SRS_Dashboard_theo_Dự_án: 'Business performance (màn mới)' — Data Entry Dashboard</t>
  </si>
  <si>
    <t>Đã chốt (25/08): tạm giữ theo PIMS, note cân nhắc 2 nguồn — CHƯA đổi cột F-I chính thức, chờ người dùng thực tế xác nhận PIMS dùng được hay không</t>
  </si>
  <si>
    <t>Collection (B)</t>
  </si>
  <si>
    <t>Số tiền thực thu</t>
  </si>
  <si>
    <t>✅ CÓ DỮ LIỆU THẬT — ưu tiên PIMS</t>
  </si>
  <si>
    <t>CFTB_CFTRANSACTION (transaction thật, có Site/Company/Deposit-Withdrawal/Amount/Eq.USD)</t>
  </si>
  <si>
    <t>🔵 Cash Flow › Transactions › Transaction List — lọc Deposit/Withdrawal='Income', theo Site, cột Amount + Eq.USD (đã quy đổi sẵn). Có nút 'Sync Bank' — khả năng đồng bộ ngân hàng tự động trong tương lai</t>
  </si>
  <si>
    <t>🎯 Bằng chứng mạnh: bảng có 6 giao dịch thật (RC-xxx=thu, PM-xxx=chi), gắn Site cụ thể. Đáng tin hơn giả thuyết Data Entry của SRS — đã chốt theo anh: ƯU TIÊN LẤY TỪ PIMS</t>
  </si>
  <si>
    <t>Công nợ còn lại · tỷ lệ thu hồi</t>
  </si>
  <si>
    <t>TAB REVENUE (gộp cả Cost)</t>
  </si>
  <si>
    <t>Chart Revenue — Monthly Plan</t>
  </si>
  <si>
    <t>Kế hoạch doanh thu tháng</t>
  </si>
  <si>
    <t>Cùng cơ chế Xây dựng: Plan luôn nhập tay</t>
  </si>
  <si>
    <t>Chart Revenue — Monthly/Cumulative Revenue (Actual)</t>
  </si>
  <si>
    <t>Doanh thu thực hiện — Logic GIỐNG Xây dựng (đã anh xác nhận), KHÔNG phải tính theo milestone như biên bản họp cũ mô tả</t>
  </si>
  <si>
    <t>🟢 (Auto-calc)</t>
  </si>
  <si>
    <t>🔵 một phần</t>
  </si>
  <si>
    <t>ĐÍNH CHÍNH so với tài liệu cũ (biên bản họp ghi 'theo milestone') — anh xác nhận thực tế dùng chung logic %-completion với Xây dựng</t>
  </si>
  <si>
    <t>Chart Cost — Accounting Cost of Revenue (회계 COGS)</t>
  </si>
  <si>
    <t>Giá vốn theo sổ kế toán</t>
  </si>
  <si>
    <t>🟢 nhập tay (admin only)</t>
  </si>
  <si>
    <t>Không có bảng PIMS tương ứng</t>
  </si>
  <si>
    <t>🟢 Dashboard › Data Entry › tab 'Monthly Cost of Revenue' (đã thấy nhắc trong UI Xây dựng K8HH1: 'Log in as an admin to enter it in the Monthly Cost of Revenue table under Data Entry tab') — dùng chung cơ chế cho Dịch vụ</t>
  </si>
  <si>
    <t>Xác nhận theo nguyên tắc anh chốt: PIMS không có bảng phù hợp ⇒ Data Entry</t>
  </si>
  <si>
    <t>Chart Cost — Executed Cost of Revenue (WIP) (집행 WIP COGS)</t>
  </si>
  <si>
    <t>Giá vốn theo khối lượng đã thực hiện (dở dang)</t>
  </si>
  <si>
    <t>Cùng nguồn Cost Input Status</t>
  </si>
  <si>
    <t>🔵 Cost › Cost Performance › Cost Input Status by Execution Details — cột 'Implementation (Resolution) Amount', SUM theo Work Type mức thấp nhất, ưu tiên cột này trước Execution Budget</t>
  </si>
  <si>
    <t>🎯 Khác Accounting Cost (#16): WIP có sẵn trong PIMS, không cần Data Entry — đúng theo yêu cầu anh 'nếu PIMS có bảng phù hợp thì lấy'</t>
  </si>
  <si>
    <t>Chart Cost Ratio (%)</t>
  </si>
  <si>
    <t>Xu hướng tỷ lệ giá vốn giảm dần theo tháng (89.5%→82.9% trên demo)</t>
  </si>
  <si>
    <t>⚠️ chưa rõ</t>
  </si>
  <si>
    <t>⚠️ CHƯA RÕ</t>
  </si>
  <si>
    <t>Chưa xác định công thức chính xác</t>
  </si>
  <si>
    <t>⚠️ Giả thuyết làm việc (chưa có dòng SRS xác nhận trực tiếp): = Executed Cost of Revenue (WIP, lũy kế) ÷ Revenue (lũy kế) × 100%, cùng nguồn Cost Input Status</t>
  </si>
  <si>
    <t>Đã ghi nhận theo yêu cầu anh 'tạm note cách hiểu này' — CHƯA chốt chính thức, cần xác minh thêm khi có UI/SRS rõ hơn</t>
  </si>
  <si>
    <t>TAB BUDGET EXECUTION</t>
  </si>
  <si>
    <t>Budget Execution</t>
  </si>
  <si>
    <t>Direct Cost — Outsourcing</t>
  </si>
  <si>
    <t>Ngân sách + mức thực hiện thuê ngoài</t>
  </si>
  <si>
    <t>Work Type node 'Outsourcing' dưới 000110 Direct Cost</t>
  </si>
  <si>
    <t>🔵 Cost Input Status by Execution Details — Work Type=Outsourcing, cột I Budget/Implementation(Resolution)/Input(theo tháng, SUM 12 cột January-December)</t>
  </si>
  <si>
    <t>Direct Cost — Common</t>
  </si>
  <si>
    <t>Chi phí công trình chung</t>
  </si>
  <si>
    <t>Work Type node 'Common'</t>
  </si>
  <si>
    <t>🔵 như #19, Work Type=Common</t>
  </si>
  <si>
    <t>Direct Cost — Expense 1 / Expense 2 / Contingency</t>
  </si>
  <si>
    <t>3 hạng mục còn lại — DEMO hiện chỉ thấy Indirect Cost/Expense II có data (41,492,000,000), Expense 1/2/Contingency trống</t>
  </si>
  <si>
    <t>✅ CÓ (spec đủ)</t>
  </si>
  <si>
    <t>Work Type node tương ứng</t>
  </si>
  <si>
    <t>🔵 như #19, Work Type=Expense I / Expense II / Contingency — spec đủ nhưng dữ liệu test project VH19CT2 chỉ nhập Indirect Cost</t>
  </si>
  <si>
    <t>Xác nhận theo anh: 'Chắc là chưa nhập đủ', không phải thiếu thiết kế</t>
  </si>
  <si>
    <t>Total costing</t>
  </si>
  <si>
    <t>Tổng Direct + Indirect + Contingency</t>
  </si>
  <si>
    <t>TAB OUTSOURCING</t>
  </si>
  <si>
    <t>Trade · Vendor · Type · Initial Contract Date · Change No.</t>
  </si>
  <si>
    <t>Thông tin gói thầu dịch vụ (VD: 측량용역/VN SURVEY, 번역·통역/HANOI LANG...)</t>
  </si>
  <si>
    <t>✅ CÓ — DỮ LIỆU THẬT</t>
  </si>
  <si>
    <t>Không phải CETB_PFMCTRTHIST như Xây dựng — cần bảng tương đương phía Sub-Contracting cho dịch vụ</t>
  </si>
  <si>
    <t>🔵 Sub-Contracting › Implementation Progress Payment(Site) › Implementation Interim Payment — cột Field · Order Work Type (Code/Name) · Supplier (Company Name/Person in Charge) · Contract Date · Revision · Construction Period (Start/End)</t>
  </si>
  <si>
    <t>🎯 Đã thấy dữ liệu thật 7 dòng (RICONS/DPE/EUNMIN S&amp;D/SCI/PAX U&amp;A/CIC/Rider Levett Bucknall) cho dự án K2CT1 PRECON (VH13TA2)</t>
  </si>
  <si>
    <t>Budget (A)</t>
  </si>
  <si>
    <t>Ngân sách gói thầu</t>
  </si>
  <si>
    <t>🔵 cùng màn #23 — cột 'I Budget' (trên màn Request Execution Resolution(Site)) hoặc 'Approved Amount (A)' (trên màn Implementation Interim Payment) — CẦN XÁC MINH 2 TÊN CỘT NÀY CÓ PHẢI CÙNG 1 SỐ</t>
  </si>
  <si>
    <t>⚠️ 2 màn khác nhau dùng 2 tên cột khác nhau cho có vẻ cùng ý nghĩa — cần đối chiếu kỹ khi có dữ liệu đủ cả 2 màn cùng 1 dự án</t>
  </si>
  <si>
    <t>Resolved Amount (B) · Resolved Rate (B/A)</t>
  </si>
  <si>
    <t>Giá trị đã ký · tỷ lệ ký kết</t>
  </si>
  <si>
    <t>🔵 Sub-Contracting › Implementation Progress Payment(Site) — cột 'Progress Payment (B)' và '% (B/A)'. Dữ liệu mẫu: DPE 660tr/297tr=45% · EUNMIN 5.389 tỷ/1.617 tỷ=30%...</t>
  </si>
  <si>
    <t>This Month · Cumulative (C) · Rate (C/B)</t>
  </si>
  <si>
    <t>Tiến độ thanh toán tháng này/lũy kế</t>
  </si>
  <si>
    <t>✅ CÓ (cấu trúc), demo đang trống</t>
  </si>
  <si>
    <t>🔵 cùng màn #23/25, các cột bị cắt bên phải (chưa chụp hết) — cần xem thêm khi cuộn ngang hết bảng</t>
  </si>
  <si>
    <t>⚠️ CHƯA thấy hết cột do ảnh bị cắt phải — cần chụp bổ sung nếu cần chính xác 100%</t>
  </si>
  <si>
    <t>Executed Budget</t>
  </si>
  <si>
    <t>Ngân sách đã chấp hành</t>
  </si>
  <si>
    <t>❌ KHÔNG CÓ TRONG SPEC</t>
  </si>
  <si>
    <t>✅ ĐÃ CHỐT: không phải lỗi UI — SRS liệt kê đúng 10 cột cho tab Outsourcing (Work type/Contractor/Category/Initial contract date/Contract revision No./Budget A/Approved Amount B/Contract rate A-B/Progress billing status/This month/Cumulative C/Completion rate C-B), KHÔNG có 'Executed Budget'. Kết luận dứt khoát, không cần note lại nữa</t>
  </si>
  <si>
    <t>TAB CASH</t>
  </si>
  <si>
    <t>Cash</t>
  </si>
  <si>
    <t>Cash In / Cash Out</t>
  </si>
  <si>
    <t>Thu/chi tiền theo tháng</t>
  </si>
  <si>
    <t>CFTB_CFTRANSACTION</t>
  </si>
  <si>
    <t>🔵 Cash Flow › Transactions › Transaction List — cột Deposit/Withdrawal, Amount, Eq.USD, lọc theo Site + khoảng Transaction date</t>
  </si>
  <si>
    <t>Cùng nguồn với dòng #12 (Collection B)</t>
  </si>
  <si>
    <t>Balance (Cumulative)</t>
  </si>
  <si>
    <t>Số dư lũy kế</t>
  </si>
  <si>
    <t>CFTB_OPENINGBALANCE</t>
  </si>
  <si>
    <t>🔵 Cash Flow › Setting › Opening balance Setup — cột Opening Cash Balance (VND/Eq.USD) + Opening Deposit Balance, theo TỪNG SITE CODE. Site hành chính (VD 1VHGD25 HEAD OFFICE) có Company Name để TRỐNG</t>
  </si>
  <si>
    <t>⚠️ Cột 'Eq.USD' đã LƯU SẴN giá trị quy đổi — cần xem lại có mâu thuẫn với nguyên tắc 'quy đổi runtime' (CT-11) hay không. Có thể đây chỉ là giá trị hiển thị tại thời điểm xem, không phải lưu cứng vĩnh viễn — cần hỏi lại</t>
  </si>
  <si>
    <t>DỮ LIỆU NỀN — KHÔNG HIỂN THỊ TRỰC TIẾP TRÊN DASHBOARD (phục vụ tính toán)</t>
  </si>
  <si>
    <t>Nền tính toán</t>
  </si>
  <si>
    <t>Lịch sử thay đổi giá trị hợp đồng</t>
  </si>
  <si>
    <t>Đầu vào công thức CT-2 khi hợp đồng dịch vụ điều chỉnh giá trị</t>
  </si>
  <si>
    <t>CCTB_UTKCHGSEQ tương đương</t>
  </si>
  <si>
    <t>🔵 Contracting › Detail Management › Register Contract Sequence — cột No./Sequence/Contract Date/Contract Start-End Date/Contract Amount/Confirmation Status + khối chi tiết dưới (Work Type/Reason for Change/Initial/Change/Increase-Decrease)</t>
  </si>
  <si>
    <t>Xác nhận có thật, Sequence=0 (lần đầu), Confirmation Status='N' (chưa xác nhận) cho dự án mẫu</t>
  </si>
  <si>
    <t>Revenue Recognition theo Milestone (S2)</t>
  </si>
  <si>
    <t>Dịch vụ ghi nhận doanh thu tại các cột mốc hợp đồng hoàn thành, không theo % chi phí</t>
  </si>
  <si>
    <t>🟡 CÓ Ở DẠNG TEXT, KHÔNG PHẢI BẢNG</t>
  </si>
  <si>
    <t>Không có bảng cấu trúc</t>
  </si>
  <si>
    <t>🎯 Budget › Execution Budget Summary and Approval — panel 'TERM CONDITION' › field 'Payment: (Milestone)' — liệt kê text tự do 'Milestone 1: Preconstruction Plan 20%' · 'Milestone 2: Report (MP Stage) 30%'...</t>
  </si>
  <si>
    <t>SỬA LẠI đánh giá cũ '🔴 cần xây mới hoàn toàn' → thực ra CÓ dữ liệu nhưng ở dạng TEXT KHÔNG CÓ CẤU TRÚC (không tách được % từng milestone bằng SQL). Nếu Dashboard cần tính tự động theo milestone, PIMS hiện KHÔNG đủ — cần 1 trong 2: (a) parse text bằng quy tắc cố định, hoặc (b) vẫn cần xây bảng milestone có cấu trúc mới, nhập lại dữ liệu này dạng có cấu trúc</t>
  </si>
  <si>
    <t>CÔNG THỨC NGHIỆP VỤ CỐT LÕI (kèm ví dụ số)</t>
  </si>
  <si>
    <t>Mã</t>
  </si>
  <si>
    <t>Tên công thức</t>
  </si>
  <si>
    <t>Nội dung · Ví dụ</t>
  </si>
  <si>
    <t>Nguồn dữ liệu</t>
  </si>
  <si>
    <t>CT-1</t>
  </si>
  <si>
    <t xml:space="preserve">Ghi nhận doanh thu theo tỷ lệ hoàn thành
(percentage-of-completion)</t>
  </si>
  <si>
    <t xml:space="preserve">NGUYÊN TẮC: Bỏ ra bao nhiêu % chi phí thì ghi nhận bấy nhiêu % doanh thu.
Hệ số ghi nhận k = Tổng giá trị hợp đồng ÷ Tổng chi phí dự toán
Doanh thu tháng M = Chi phí thực tế tháng M × k
VÍ DỤ: HĐ 1.000 tỷ · Chi phí dự toán 800 tỷ ⇒ k = 1.000 ÷ 800 = 1,25
  (bỏ ra 1 đồng chi phí thì ghi nhận 1,25 đồng doanh thu)
  Tháng 1: chi phí 100 × 1,25 = doanh thu 125
  Tháng 2: chi phí 100 × 1,25 = doanh thu 125   ⇒ lũy kế 250</t>
  </si>
  <si>
    <t xml:space="preserve">Giá trị HĐ: CCTB_UTKCHGSEQ·CTRTAMT
Chi phí dự toán: CDTB_PFMSUM_VINA·BDGTAMT (ZYA)
Chi phí thực tế: CHTB_COST·DEBITAMT</t>
  </si>
  <si>
    <t>CT-2</t>
  </si>
  <si>
    <t xml:space="preserve">Điều chỉnh khi giá trị hợp đồng thay đổi
(dồn chênh lệch 1 cục)</t>
  </si>
  <si>
    <t xml:space="preserve">Khi chủ đầu tư điều chỉnh HĐ ở tháng T, KHÔNG sửa ngược sổ các tháng trước (đã khóa),
mà dồn toàn bộ chênh lệch vào tháng T.
★ CÔNG THỨC DÙNG KHI CODE (luôn đúng, cả khi không có điều chỉnh):
   Doanh thu tháng T = (Lũy kế chi phí đến T × Hệ số MỚI) − (Doanh thu đã ghi nhận đến T−1)
VÍ DỤ: tiếp CT-1, tháng 3 khách tăng HĐ 1.000 → 1.200 tỷ (chi phí dự toán vẫn 800)
  Hệ số mới k' = 1.200 ÷ 800 = 1,50
  Nhìn lại: T1 đã ghi 125, đáng lẽ 150 → thiếu 25 · T2 đã ghi 125, đáng lẽ 150 → thiếu 25
  ⇒ Thiếu tổng 50, DỒN HẾT VÀO THÁNG 3
  Doanh thu T3 = 150 (bình thường: 100 × 1,50) + 50 (điều chỉnh) = 200
  Kiểm chứng bằng công thức ★: (300 × 1,50) − 250 = 450 − 250 = 200  ✓
  Kiểm chứng lũy kế: 125 + 125 + 200 = 450 = tổng chi phí 300 × 1,50  ✓</t>
  </si>
  <si>
    <t xml:space="preserve">Lịch sử HĐ: CCTB_UTKCHGSEQ·UTKCHGSEQ/CTRTAMT/CTRTDATE
Giá trị trước-sau: CCTB_UTKSUM·ORGUTKAMT/UTKAMT
Lịch sử ngân sách: CDTB_PFMSUM_VINA·PFMCHGSEQ</t>
  </si>
  <si>
    <t>CT-3</t>
  </si>
  <si>
    <t>Giá vốn (COGS) — xử lý cùng cơ chế</t>
  </si>
  <si>
    <t xml:space="preserve">COGS tháng T = (Lũy kế doanh thu đến T × Tỷ lệ giá vốn MỚI) − (COGS đã ghi nhận đến T−1)
Tỷ lệ giá vốn lấy từ chức năng #7 (준공추정원가율 — Estimated Completion Cost Rate)
VÍ DỤ: doanh thu lũy kế đến T3 = 450 · tỷ lệ giá vốn 72% · COGS đã ghi đến T2 = 180
  COGS T3 = (450 × 72%) − 180 = 324 − 180 = 144</t>
  </si>
  <si>
    <t xml:space="preserve">Tỷ lệ giá vốn: nhập tay ở màn #7
COGS thực tế đối chiếu: CHTB_COST dải 6xx-7xx</t>
  </si>
  <si>
    <t>CT-4</t>
  </si>
  <si>
    <t>Gross Profit (Plan và Actual)</t>
  </si>
  <si>
    <t xml:space="preserve">GP Plan   = Doanh thu Plan tháng × (100% − Tỷ lệ giá vốn Plan)
GP Actual = Doanh thu Actual − COGS Actual
VÍ DỤ: tỷ lệ giá vốn ước tính khi hoàn công = 72%
  ⇒ biên lợi nhuận gộp = 100% − 72% = 28%
  Doanh thu tháng 450 ⇒ GP = 450 × 28% = 126</t>
  </si>
  <si>
    <t xml:space="preserve">Plan: CDTB_PFMSUM_VINA·ZZF
Actual: derived từ CT-1 và CT-3</t>
  </si>
  <si>
    <t>CT-5</t>
  </si>
  <si>
    <t>Tỷ lệ tiến độ (Progress %)</t>
  </si>
  <si>
    <t xml:space="preserve">Progress Actual tháng M       = Chi phí thực tế tháng M ÷ Tổng ngân sách thực hiện (A) | Progress Cumulative Actual    = Σ Chi phí thực tế (T1..M) ÷ A | Progress Plan                 = NHẬP TAY | 
CẬP NHẬT CÔNG THỨC THEO CODE THỰC TẾ (artifacts/api-server/src/lib/pimsvinaOracleQueries.ts, query "dashboard_pd_progress_1q.jsp"): 
ACTUAL_PCT = SUM_COSTAMT ÷ (SUM_BDGTAMT − DIFF_BUDGET_VS_IMPLEMENTATION)
DIFF_BUDGET_VS_IMPLEMENTATION = |Σ(Execution Budget) − Σ(Implementation Amount)| từ CETB_PFMCTRTHIST (CTRTCHGSEQ mới nhất mỗi ORDCONTTYPECODE, loại CTRTTYPE='1'). Kết quả ghi vào pd_progress_monthly.actualPct, không đụng planPct.</t>
  </si>
  <si>
    <t>Chi phí &amp; Ngân sách: CHTB_PFMCOSTRMRK (RMRKLVL=1) · Số hiệu chỉnh: CETB_PFMCTRTHIST · Đích ghi: pd_progress_monthly.actualPct (bảng Dashboard)</t>
  </si>
  <si>
    <t>Cập nhật: thay công thức/nguồn cũ (CHTB_COST, CDTB_PFMSUM_VINA) bằng công thức chính xác đã triển khai thật trong code đồng bộ PIMSVINA (CHTB_PFMCOSTRMRK + CETB_PFMCTRTHIST, có số hiệu chỉnh DIFF).</t>
  </si>
  <si>
    <t>CT-6</t>
  </si>
  <si>
    <t>3 mốc tỷ lệ giá vốn (Cost Rate)</t>
  </si>
  <si>
    <t xml:space="preserve">Bidding Cost Rate            = Chi phí đấu thầu ÷ Giá trị hợp đồng      (입찰원가율)
Execution Budget Cost Rate   = Ngân sách thực hiện ÷ Giá trị hợp đồng   (실행예산원가율)
Estimated Completion Rate    = Giá vốn ước tính khi hoàn công ÷ Giá trị HĐ  (준공추정원가율)
VÍ DỤ: HĐ 304,8 tỷ
  Bidding    234,696 tỷ ÷ 304,8 tỷ = 77,0%
  Execution  225,552 tỷ ÷ 304,8 tỷ = 74,0%   ⇒ tiết kiệm 3%p so với lúc thầu
  Completion 219,456 tỷ ÷ 304,8 tỷ = 72,0%   ⇒ vs bid −5,0%p, biên LN gộp ước 28%
Ý NGHĨA QUẢN TRỊ: nếu Estimated Completion Rate TĂNG DẦN qua các tháng
⇒ dự án đang đội chi phí, lợi nhuận cuối sẽ hụt so với dự kiến (cảnh báo sớm)</t>
  </si>
  <si>
    <t xml:space="preserve">Bidding: RCTB_BIDMST/BIDDTL (cần xác minh)
Execution: CDTB_PFMSUM_VINA·BDGTAMT
Completion: nhập tay (chức năng #7)</t>
  </si>
  <si>
    <t>CT-7</t>
  </si>
  <si>
    <t>Elapsed rate (tỷ lệ thời gian đã trôi)</t>
  </si>
  <si>
    <t xml:space="preserve">Elapsed rate = (Tháng tham chiếu − Tháng bắt đầu) ÷ Tổng số tháng hợp đồng
Ý NGHĨA: so Elapsed rate với Progress Cumulative Actual.
  Elapsed 83% mà Progress mới 37% ⇒ dự án CHẬM NGHIÊM TRỌNG
LƯU Ý: phải tính theo Reference month người dùng chọn, KHÔNG theo tháng hệ thống</t>
  </si>
  <si>
    <t>CETB_PFMCTRTHIST·DUESTARTDATE/DUEENDDATE</t>
  </si>
  <si>
    <t>CT-8</t>
  </si>
  <si>
    <t>Nhóm chỉ tiêu Funds (công nợ phải thu)</t>
  </si>
  <si>
    <t xml:space="preserve">Confirmed (A)   = Giá trị đã nghiệm thu (기성금액)
Collection (B)  = Đã thu tiền
Receivable      = A − B
Collection rate = B ÷ A
VÍ DỤ: Confirmed 15.561 · Collection 3.270
  ⇒ Receivable = 12.291 · Collection rate = 3.270 ÷ 15.561 = 21,0%
  ⇒ Tỷ lệ thu hồi thấp, công nợ lớn — CẢNH BÁO DÒNG TIỀN</t>
  </si>
  <si>
    <t xml:space="preserve">Bảng 기성·SCHDAMT (A)
Bảng 기성·COLBILSCHDAMT hoặc CFTB_CFTRANSACTION (B)</t>
  </si>
  <si>
    <t>CT-9</t>
  </si>
  <si>
    <t>Nhóm chỉ tiêu Outsourcing (3 tầng A→B→C)</t>
  </si>
  <si>
    <t xml:space="preserve">Budget (A)          = Ngân sách gói thầu
Resolved (B)        = Giá trị hợp đồng thầu phụ đã ký
Cumulative Paid (C) = Lũy kế đã thanh toán theo tiến độ
Resolved Rate  = B ÷ A   → đã ký bao nhiêu % so với ngân sách
Payment Ratio  = C ÷ B   → gói thầu đó thực hiện được bao nhiêu %
DẤU HIỆU CẦN CHÚ Ý:
  A &gt; 0 nhưng B = 0        ⇒ gói CHƯA KÝ hợp đồng — rủi ro mua sắm
  B &gt; A                    ⇒ VƯỢT ngân sách
  C/B &lt; 10%                ⇒ chưa thi công hoặc chưa nghiệm thu
  C/B &gt; 90%                ⇒ gói gần hoàn thành</t>
  </si>
  <si>
    <t xml:space="preserve">A: CETB_PFMCTRTHIST·BDGTAMT
B: CETB_PFMCTRTHIST·CTRTAMT
C: SUM(CETB_PFMSCHDHIST·PRGSAMT)</t>
  </si>
  <si>
    <t>CT-10</t>
  </si>
  <si>
    <t>Cấu trúc P&amp;L (Báo cáo lãi lỗ)</t>
  </si>
  <si>
    <t xml:space="preserve">  Revenue (매출)
− COGS (원가)
= Gross Profit (매출이익)
− SG&amp;A / GA Expenses (관리비)
= Operating Profit (영업이익)
± Non-operating Income &amp; Expenses (영업외손익)
     ├ Interest Expense
     └ Management Fee (phân bổ DECV HQ → Division → Project)
= Profit Before Income Tax (경상이익)
KIỂM CHỨNG NHẤT QUÁN:  Gross Profit − SG&amp;A = Operating Profit
                        PBT − Operating Profit = Σ Non-operating</t>
  </si>
  <si>
    <t>CDTB_PFMSUM_VINA: ZZL → ZZF → ZZG → ZZH+ZZI → ZZK</t>
  </si>
  <si>
    <t>CT-11</t>
  </si>
  <si>
    <t>Quy đổi ngoại tệ</t>
  </si>
  <si>
    <t xml:space="preserve">NGUYÊN TẮC ĐÃ CHỐT (thiết kế ban đầu): lưu nguyên tệ gốc, quy đổi runtime, JOIN CHTB_EXCHANGE_RATIO theo YYMM, fallback tháng trước. 
CẬP NHẬT THEO CODE THỰC TẾ: Dashboard đã xây bảng tỷ giá RIÊNG — fx_rates (currency USD/KRW/VND, year, month, purpose: 'plan' hoặc 'actual_forecast') — KHÔNG pull trực tiếp CHTB_EXCHANGE_RATIO của PIMS. Quản trị qua màn admin FX Rate Editor/FX Rate Monthly Editor. Vẫn giữ nguyên tắc quy đổi runtime (không lưu cứng USD).</t>
  </si>
  <si>
    <t>fx_rates (bảng riêng của Dashboard, artifacts/api-server/src/routes/fxrates.ts + lib/db/src/schema/fxrates.ts) — thay cho CHTB_EXCHANGE_RATIO</t>
  </si>
  <si>
    <t>Cập nhật: tỷ giá nay lấy từ bảng fx_rates riêng của Dashboard (tách Plan vs Actual/Forecast, admin tự nhập/sửa), không pull trực tiếp CHTB_EXCHANGE_RATIO như thiết kế ban đầu.</t>
  </si>
  <si>
    <t>TỔNG HỢP KẾT QUẢ &amp; DANH SÁCH CẦN XÁC MINH</t>
  </si>
  <si>
    <t>1. THỐNG KÊ THEO KHUYẾN NGHỊ</t>
  </si>
  <si>
    <t>DB Dự án Xây dựng</t>
  </si>
  <si>
    <t>DB theo Công ty</t>
  </si>
  <si>
    <t>Ý nghĩa</t>
  </si>
  <si>
    <t>Đang nhập tay trên Dashboard nhưng PIMS đã có sẵn ⇒ khuyến cáo bỏ nhập, lấy từ PIMS</t>
  </si>
  <si>
    <t>PIMS không có ⇒ đúng là phải nhập ở Dashboard</t>
  </si>
  <si>
    <t>Dashboard cần hiển thị nhưng cả PIMS lẫn Data Entry đều chưa có</t>
  </si>
  <si>
    <t>Suy ra từ chỉ tiêu khác, không cần lưu</t>
  </si>
  <si>
    <t>Phải mở UI PIMS kiểm tra mới kết luận được</t>
  </si>
  <si>
    <t>TỔNG</t>
  </si>
  <si>
    <t>2. KẾT LUẬN CHÍNH</t>
  </si>
  <si>
    <t>• 41/102 chỉ tiêu (40%) đang được nhập tay trên Dashboard trong khi PIMS đã có sẵn dữ liệu.</t>
  </si>
  <si>
    <t>• Tập trung nhiều nhất ở 3 khối: Outsourcing (11 cột — lấy trọn từ CETB_PFMCTRTHIST + CETB_PFMSCHDHIST), Budget Execution (5 chỉ tiêu — CDTB_PFMSUM_VINA), Cashflow (3 chỉ tiêu — CFTB_*).</t>
  </si>
  <si>
    <t>• Dashboard dự án thực sự CHỈ CẦN nhập tay 11 chỉ tiêu: Progress Plan %, Milestone Plan/Actual, Revenue Plan, Estimated Completion Cost Rate (#7), Progress Payment Plan, Site Photos, Comment.</t>
  </si>
  <si>
    <t>• PHÁT HIỆN LỚN: CDTB_PFMSUM_VINA chứa CẢ CÂY P&amp;L HOÀN CHỈNH (ZZL→ZZF→ZZG→ZZH/ZZI→ZZK) — giải quyết Gross Profit, SG&amp;A, Non-operating, PBT vốn tưởng là thiếu.</t>
  </si>
  <si>
    <t>• ĐÍNH CHÍNH QUAN TRỌNG: CETB_PFMCTRTHIST KHÔNG phải Order — đó là 시행결의 (thầu phụ/Outsourcing). Order thật nằm ở CBTB_CTRTSUMM + CCTB_UTKCHGSEQ.</t>
  </si>
  <si>
    <t>• RỦI RO: IFTB_ACNTCODE không có cây phân cấp ⇒ phải lập bảng mapping mã kế toán thủ công (xem sheet 'Mapping mã KT'). CHTB_COST có ~1.474 dòng mã rác cần làm sạch.</t>
  </si>
  <si>
    <t>3. DANH SÁCH CẦN XÁC MINH (ưu tiên theo mức tác động)</t>
  </si>
  <si>
    <t>Ưu tiên</t>
  </si>
  <si>
    <t>Nội dung cần xác minh</t>
  </si>
  <si>
    <t>Màn hình PIMS cần mở</t>
  </si>
  <si>
    <t>Quyết định phụ thuộc</t>
  </si>
  <si>
    <t>Trạng thái</t>
  </si>
  <si>
    <t>1</t>
  </si>
  <si>
    <t>Nguồn Outsourcing: xác nhận UI có đủ Budget(A) / Executed / Resolved(B) / Change Round</t>
  </si>
  <si>
    <t>Outsourcing › Phê duyệt thực thi (tổng công ty)</t>
  </si>
  <si>
    <t>Quyết định 11 cột tab Outsourcing</t>
  </si>
  <si>
    <t>Chờ xác minh</t>
  </si>
  <si>
    <t>2</t>
  </si>
  <si>
    <t>Cây P&amp;L: xác nhận màn hình này đúng là bảng CDTB_PFMSUM_VINA</t>
  </si>
  <si>
    <t>Thực hiện › Bảng tổng hợp ngân sách thực hiện và phê duyệt</t>
  </si>
  <si>
    <t>Quyết định GP / SG&amp;A / Non-op / PBT + 5 hạng mục Budget Execution</t>
  </si>
  <si>
    <t>3</t>
  </si>
  <si>
    <t>Lịch sử thay đổi hợp đồng: xác nhận có lưu giá trị trước-sau và ngày hiệu lực</t>
  </si>
  <si>
    <t>Hợp đồng đầu ra › Quản lý số lần gói thầu</t>
  </si>
  <si>
    <t>Quyết định có thực hiện được CT-2 hay không</t>
  </si>
  <si>
    <t>4</t>
  </si>
  <si>
    <t>Confirmed (A) / Collection (B): xác nhận màn nghiệm thu &amp; thu tiền</t>
  </si>
  <si>
    <t>Quản lý tiến độ thanh toán › Đăng ký tiến độ thanh toán</t>
  </si>
  <si>
    <t>Quyết định khối Funds — bỏ nhập tay hay không</t>
  </si>
  <si>
    <t>5</t>
  </si>
  <si>
    <t>Tỷ giá: xác nhận đúng bảng CHTB_EXCHANGE_RATIO, khai theo tháng và theo Site</t>
  </si>
  <si>
    <t>Tiêu chuẩn › Thông tin chung › Khai báo tỷ giá</t>
  </si>
  <si>
    <t>Quyết định quy đổi toàn hệ thống</t>
  </si>
  <si>
    <t>6</t>
  </si>
  <si>
    <t>Bảng kế hoạch KD pivot (BASEYY/DATATYPE/ITEMCODE/AMT01-12) — TÊN BẢNG LÀ GÌ?</t>
  </si>
  <si>
    <t>Chưa xác định (nghi nhóm CJTB)</t>
  </si>
  <si>
    <t>Quyết định có phải xây bảng Kế hoạch KD mới hay không</t>
  </si>
  <si>
    <t>CHỜ ANH CUNG CẤP</t>
  </si>
  <si>
    <t>7</t>
  </si>
  <si>
    <t>Bảng 'Monthly Cost of Revenue' trong Data Entry — có tồn tại không (cần quyền admin)?</t>
  </si>
  <si>
    <t>Dashboard › Data Entry (đăng nhập admin)</t>
  </si>
  <si>
    <t>Quyết định nguồn COGS</t>
  </si>
  <si>
    <t>CHỜ ANH KIỂM TRA</t>
  </si>
  <si>
    <t>8</t>
  </si>
  <si>
    <t>Trạng thái dự án (In Progress / Closed) — PIMS có lưu không?</t>
  </si>
  <si>
    <t>Tiêu chuẩn › Đăng ký mã cơ bản › Tình trạng xây dựng</t>
  </si>
  <si>
    <t>Quyết định cây menu lấy từ đâu</t>
  </si>
  <si>
    <t>9</t>
  </si>
  <si>
    <t>Bidding Cost Rate — nguồn ở nhóm bảng đấu thầu RCTB_BID*?</t>
  </si>
  <si>
    <t>Đấu thầu</t>
  </si>
  <si>
    <t>Quyết định donut thứ 1 của Cost Rate</t>
  </si>
  <si>
    <t>10</t>
  </si>
  <si>
    <t>Danh mục 11 mốc Milestone — nên chuẩn hóa thành danh mục dùng chung?</t>
  </si>
  <si>
    <t>Tiêu chuẩn › Đăng ký hạng mục công việc</t>
  </si>
  <si>
    <t>Quyết định cách quản lý Milestone</t>
  </si>
  <si>
    <t>11</t>
  </si>
  <si>
    <t>CHTB_COST: GROUP BY FLDCODE hay ACNT_FLDCODE (재무회계_현장코드)?</t>
  </si>
  <si>
    <t>Quản lý hiện trạng › Chi phí hàng tháng chi tiết</t>
  </si>
  <si>
    <t>Ảnh hưởng mọi số liệu tổng hợp theo dự án</t>
  </si>
  <si>
    <t>CẦN DECV CHỐT</t>
  </si>
  <si>
    <t>12</t>
  </si>
  <si>
    <t>Mapping ACCTCODE1 → nhóm P&amp;L (Revenue / COGS / SG&amp;A / Non-op)</t>
  </si>
  <si>
    <t>Tiêu chuẩn › Khai báo tài khoản kế toán</t>
  </si>
  <si>
    <t>Ảnh hưởng toàn bộ P&amp;L của Dashboard Công ty</t>
  </si>
  <si>
    <t>4. GHI CHÚ — CÁC ĐIỂM ĐÃ CHỐT</t>
  </si>
  <si>
    <t>✓ Tỷ giá: CẬP NHẬT — Dashboard đã xây bảng fx_rates RIÊNG (purpose: plan / actual_forecast), KHÔNG pull trực tiếp CHTB_EXCHANGE_RATIO như note chốt cũ. Vẫn giữ nguyên tắc quy đổi runtime, fallback tháng trước.</t>
  </si>
  <si>
    <t>Cập nhật: điểm chốt tỷ giá cũ (dùng CHTB_EXCHANGE_RATIO) không còn đúng — code thực tế dùng bảng fx_rates riêng của Dashboard.</t>
  </si>
  <si>
    <t>✓ Revenue: Plan nhập tay · Forecast nhập tay (TÁCH BẢNG RIÊNG) · Actual tự tính + cho sửa tay.</t>
  </si>
  <si>
    <t>✓ Progress: Plan nhập tay · Actual sau này chuyển sang tự tính + cho sửa tay (thêm 1 bước tính tự động).</t>
  </si>
  <si>
    <t>✓ Kế hoạch kinh doanh: GHI ĐÈ, chưa cần quản lý phiên bản.</t>
  </si>
  <si>
    <t>✓ HQ Ledger / Local Ledger: chỉ tách khi XUẤT EXCEL, UI không cần.</t>
  </si>
  <si>
    <t>✓ Sync PIMSVINA: đồng bộ THỦ CÔNG.</t>
  </si>
  <si>
    <t>✓ Thuật ngữ: theo UI Dashboard hiện tại (dùng 'SG&amp;A', không dùng 'GA Expenses').</t>
  </si>
  <si>
    <t>✓ Lock theo từng khối nhập liệu — hợp lý vì gộp nhiều màn nhập vào 1 giao diện.</t>
  </si>
  <si>
    <t>✓ Bảng cũ CFTB_DIR / CFTB_DIRRMRK: không dùng nữa.</t>
  </si>
  <si>
    <t>✓ Toàn bộ dữ liệu trong DB được cung cấp là dữ liệu TEST (che để bảo mật) — không dùng làm căn cứ nghiệp vụ thật.</t>
  </si>
  <si>
    <t>✓ Hiện có 2 hệ thống riêng biệt: PIMS (web riêng) và Dashboard (web riêng, có màn nhập liệu riêng). CẬP NHẬT: đã có 1 phần tích hợp tự động — Progress Actual được đồng bộ tự động từ PIMSVINA (Oracle) vào pd_progress_monthly.actualPct qua query "dashboard_pd_progress_1q.jsp" (artifacts/api-server/src/lib/pimsvinaOracleQueries.ts); các mảng còn lại (Revenue/COGS/SG&amp;A, Order, Cashflow cấp Công ty) vẫn qua Excel Upload/nhập tay, chưa đồng bộ trực tiếp.</t>
  </si>
  <si>
    <t>Cập nhật: phát hiện Progress Actual đã có đồng bộ tự động PIMSVINA → Dashboard (pd_progress_monthly.actualPct), không còn hoàn toàn "chưa tích hợp" như kết luận cũ.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</si>
</sst>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b/>
      <color rgb="FF1F3864"/>
      <sz val="14"/>
      <name val="Arial"/>
    </font>
    <font>
      <i/>
      <color rgb="FF595959"/>
      <sz val="9"/>
      <name val="Arial"/>
    </font>
    <font>
      <color rgb="FF7F7F7F"/>
      <sz val="8"/>
      <name val="Arial"/>
    </font>
    <font>
      <b/>
      <color rgb="FFFFFFFF"/>
      <sz val="9"/>
      <name val="Arial"/>
    </font>
    <font>
      <b/>
      <color rgb="FF1F3864"/>
      <sz val="10"/>
      <name val="Arial"/>
    </font>
    <font>
      <sz val="9"/>
      <name val="Arial"/>
    </font>
    <font>
      <b/>
      <sz val="9"/>
      <name val="Arial"/>
    </font>
    <font>
      <sz val="8"/>
      <name val="Consolas"/>
    </font>
    <font>
      <color rgb="FFC00000"/>
      <sz val="9"/>
      <name val="Arial"/>
    </font>
    <font>
      <color rgb="FFC00000"/>
      <sz val="8"/>
      <name val="Consolas"/>
    </font>
    <font>
      <b/>
      <color rgb="FFC00000"/>
      <sz val="9"/>
      <name val="Arial"/>
    </font>
    <font>
      <b/>
      <color rgb="FFC00000"/>
      <sz val="10"/>
      <name val="Arial"/>
    </font>
    <font>
      <sz val="9"/>
      <name val="Consolas"/>
    </font>
    <font>
      <b/>
      <color rgb="FF1F3864"/>
      <sz val="11"/>
      <name val="Arial"/>
    </font>
  </fonts>
  <fills count="12">
    <fill>
      <patternFill patternType="none"/>
    </fill>
    <fill>
      <patternFill patternType="gray125"/>
    </fill>
    <fill>
      <patternFill patternType="solid">
        <fgColor rgb="FFFFF2CC"/>
      </patternFill>
    </fill>
    <fill>
      <patternFill patternType="solid">
        <fgColor rgb="FF1F3864"/>
      </patternFill>
    </fill>
    <fill>
      <patternFill patternType="solid">
        <fgColor rgb="FFD9E2F3"/>
      </patternFill>
    </fill>
    <fill>
      <patternFill patternType="solid">
        <fgColor rgb="FFFFFF00"/>
        <bgColor indexed="64"/>
      </patternFill>
    </fill>
    <fill>
      <patternFill patternType="solid">
        <fgColor rgb="FFFFFF00"/>
      </patternFill>
    </fill>
    <fill>
      <patternFill patternType="solid">
        <fgColor rgb="FFDDEBF7"/>
      </patternFill>
    </fill>
    <fill>
      <patternFill patternType="solid">
        <fgColor rgb="FFE2EFDA"/>
      </patternFill>
    </fill>
    <fill>
      <patternFill patternType="solid">
        <fgColor rgb="FFFCE4EC"/>
      </patternFill>
    </fill>
    <fill>
      <patternFill patternType="solid">
        <fgColor rgb="FFF2F2F2"/>
      </patternFill>
    </fill>
    <fill>
      <patternFill patternType="solid">
        <fgColor rgb="FFD9D9D9"/>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87">
    <xf numFmtId="0" fontId="0" fillId="0" borderId="0" xfId="0"/>
    <xf numFmtId="0" fontId="0" fillId="2" borderId="0" xfId="0" applyFill="1" applyAlignment="1">
      <alignment vertical="center" wrapText="1"/>
    </xf>
    <xf numFmtId="0" fontId="0" fillId="0" borderId="0" xfId="0" applyAlignment="1">
      <alignment vertical="center"/>
    </xf>
    <xf numFmtId="0" fontId="1" fillId="0" borderId="0" xfId="0" applyFont="1"/>
    <xf numFmtId="0" fontId="0" fillId="0" borderId="0" xfId="0" applyAlignment="1">
      <alignment vertical="center" wrapText="1"/>
    </xf>
    <xf numFmtId="0" fontId="2" fillId="0" borderId="0" xfId="0" applyFont="1"/>
    <xf numFmtId="0" fontId="3" fillId="0" borderId="0" xfId="0" applyFont="1"/>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4" borderId="1" xfId="0" applyFont="1" applyFill="1" applyBorder="1" applyAlignment="1">
      <alignment horizontal="left" vertical="center" indent="1"/>
    </xf>
    <xf numFmtId="0" fontId="0" fillId="4" borderId="3" xfId="0" applyFill="1" applyBorder="1"/>
    <xf numFmtId="0" fontId="0" fillId="4" borderId="4" xfId="0" applyFill="1" applyBorder="1"/>
    <xf numFmtId="0" fontId="0" fillId="4" borderId="0" xfId="0" applyFill="1" applyAlignment="1">
      <alignment vertical="center" wrapText="1"/>
    </xf>
    <xf numFmtId="0" fontId="6" fillId="0" borderId="1" xfId="0" applyFont="1" applyBorder="1" applyAlignment="1">
      <alignment horizontal="center" vertical="top"/>
    </xf>
    <xf numFmtId="0" fontId="6" fillId="0" borderId="1" xfId="0" applyFont="1" applyBorder="1" applyAlignment="1">
      <alignment vertical="top" wrapText="1"/>
    </xf>
    <xf numFmtId="0" fontId="7" fillId="0" borderId="1" xfId="0" applyFont="1" applyBorder="1" applyAlignment="1">
      <alignment vertical="top" wrapText="1"/>
    </xf>
    <xf numFmtId="0" fontId="6" fillId="0" borderId="1" xfId="0" applyFont="1" applyBorder="1" applyAlignment="1">
      <alignment horizontal="center"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7" fillId="0" borderId="1" xfId="0" applyFont="1" applyBorder="1" applyAlignment="1">
      <alignment horizontal="center" vertical="center" wrapText="1"/>
    </xf>
    <xf numFmtId="0" fontId="6" fillId="2" borderId="1" xfId="0" applyFont="1" applyFill="1" applyBorder="1" applyAlignment="1">
      <alignment horizontal="center" vertical="top"/>
    </xf>
    <xf numFmtId="0" fontId="6" fillId="2" borderId="1" xfId="0" applyFont="1" applyFill="1" applyBorder="1" applyAlignment="1">
      <alignment vertical="top" wrapText="1"/>
    </xf>
    <xf numFmtId="0" fontId="7" fillId="2" borderId="1" xfId="0" applyFont="1" applyFill="1" applyBorder="1" applyAlignment="1">
      <alignment vertical="top" wrapText="1"/>
    </xf>
    <xf numFmtId="0" fontId="6" fillId="2" borderId="1" xfId="0" applyFont="1" applyFill="1" applyBorder="1" applyAlignment="1">
      <alignment horizontal="center" vertical="top" wrapText="1"/>
    </xf>
    <xf numFmtId="0" fontId="8" fillId="2" borderId="1" xfId="0" applyFont="1" applyFill="1" applyBorder="1" applyAlignment="1">
      <alignment vertical="top" wrapText="1"/>
    </xf>
    <xf numFmtId="0" fontId="9" fillId="2" borderId="1" xfId="0" applyFont="1" applyFill="1" applyBorder="1" applyAlignment="1">
      <alignment vertical="top" wrapText="1"/>
    </xf>
    <xf numFmtId="0" fontId="7" fillId="2" borderId="1" xfId="0" applyFont="1" applyFill="1" applyBorder="1" applyAlignment="1">
      <alignment horizontal="center" vertical="center" wrapText="1"/>
    </xf>
    <xf numFmtId="0" fontId="0" fillId="5" borderId="0" xfId="0" applyFill="1"/>
    <xf numFmtId="0" fontId="6" fillId="6" borderId="1" xfId="0" applyFont="1" applyFill="1" applyBorder="1" applyAlignment="1">
      <alignment horizontal="center" vertical="top"/>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6" fillId="6" borderId="1" xfId="0" applyFont="1" applyFill="1" applyBorder="1" applyAlignment="1">
      <alignment horizontal="center" vertical="top" wrapText="1"/>
    </xf>
    <xf numFmtId="0" fontId="8" fillId="6" borderId="1" xfId="0" applyFont="1" applyFill="1" applyBorder="1" applyAlignment="1">
      <alignment vertical="top" wrapText="1"/>
    </xf>
    <xf numFmtId="0" fontId="7" fillId="6" borderId="1" xfId="0" applyFont="1" applyFill="1" applyBorder="1" applyAlignment="1">
      <alignment horizontal="center" vertical="center" wrapText="1"/>
    </xf>
    <xf numFmtId="0" fontId="0" fillId="6" borderId="0" xfId="0" applyFill="1" applyAlignment="1">
      <alignment vertical="center" wrapText="1"/>
    </xf>
    <xf numFmtId="0" fontId="0" fillId="5" borderId="0" xfId="0" applyFill="1" applyAlignment="1">
      <alignment vertical="center"/>
    </xf>
    <xf numFmtId="0" fontId="9" fillId="6" borderId="1" xfId="0" applyFont="1" applyFill="1" applyBorder="1" applyAlignment="1">
      <alignment horizontal="center" vertical="top"/>
    </xf>
    <xf numFmtId="0" fontId="10" fillId="6" borderId="1" xfId="0" applyFont="1" applyFill="1" applyBorder="1" applyAlignment="1">
      <alignment vertical="top" wrapText="1"/>
    </xf>
    <xf numFmtId="0" fontId="9" fillId="6" borderId="1" xfId="0" applyFont="1" applyFill="1" applyBorder="1" applyAlignment="1">
      <alignment vertical="top" wrapText="1"/>
    </xf>
    <xf numFmtId="0" fontId="11" fillId="6" borderId="1" xfId="0" applyFont="1" applyFill="1" applyBorder="1" applyAlignment="1">
      <alignment horizontal="center" vertical="center" wrapText="1"/>
    </xf>
    <xf numFmtId="0" fontId="0" fillId="5" borderId="0" xfId="0" applyFill="1" applyAlignment="1">
      <alignment vertical="center" wrapText="1"/>
    </xf>
    <xf numFmtId="0" fontId="9" fillId="2" borderId="1" xfId="0" applyFont="1" applyFill="1" applyBorder="1" applyAlignment="1">
      <alignment horizontal="center" vertical="top"/>
    </xf>
    <xf numFmtId="0" fontId="10" fillId="2" borderId="1" xfId="0" applyFont="1" applyFill="1" applyBorder="1" applyAlignment="1">
      <alignment vertical="top" wrapText="1"/>
    </xf>
    <xf numFmtId="0" fontId="11" fillId="2" borderId="1" xfId="0" applyFont="1" applyFill="1" applyBorder="1" applyAlignment="1">
      <alignment horizontal="center" vertical="center" wrapText="1"/>
    </xf>
    <xf numFmtId="0" fontId="9" fillId="0" borderId="1" xfId="0" applyFont="1" applyBorder="1" applyAlignment="1">
      <alignment horizontal="center" vertical="top"/>
    </xf>
    <xf numFmtId="0" fontId="10" fillId="0" borderId="1" xfId="0" applyFont="1" applyBorder="1" applyAlignment="1">
      <alignment vertical="top" wrapText="1"/>
    </xf>
    <xf numFmtId="0" fontId="11" fillId="0" borderId="1" xfId="0" applyFont="1" applyBorder="1" applyAlignment="1">
      <alignment horizontal="center" vertical="center" wrapText="1"/>
    </xf>
    <xf numFmtId="0" fontId="0" fillId="0" borderId="0" xfId="0" applyAlignment="1">
      <alignment wrapText="1"/>
    </xf>
    <xf numFmtId="0" fontId="6" fillId="0" borderId="1" xfId="0" applyFont="1" applyBorder="1" applyAlignment="1">
      <alignment vertical="center" wrapText="1"/>
    </xf>
    <xf numFmtId="0" fontId="6" fillId="6" borderId="1" xfId="0" applyFont="1" applyFill="1" applyBorder="1" applyAlignment="1">
      <alignment vertical="center" wrapText="1"/>
    </xf>
    <xf numFmtId="0" fontId="0" fillId="5" borderId="0" xfId="0" applyFill="1" applyAlignment="1">
      <alignment wrapText="1"/>
    </xf>
    <xf numFmtId="0" fontId="6" fillId="2" borderId="1" xfId="0" applyFont="1" applyFill="1" applyBorder="1" applyAlignment="1">
      <alignment vertical="center" wrapText="1"/>
    </xf>
    <xf numFmtId="0" fontId="9" fillId="6" borderId="1" xfId="0" applyFont="1" applyFill="1" applyBorder="1" applyAlignment="1">
      <alignment horizontal="center" vertical="top" wrapText="1"/>
    </xf>
    <xf numFmtId="0" fontId="4" fillId="3" borderId="1" xfId="0" applyFont="1" applyFill="1" applyBorder="1" applyAlignment="1">
      <alignment horizontal="center" vertical="center"/>
    </xf>
    <xf numFmtId="0" fontId="12" fillId="2" borderId="1" xfId="0" applyFont="1" applyFill="1" applyBorder="1" applyAlignment="1">
      <alignment vertical="top" wrapText="1"/>
    </xf>
    <xf numFmtId="0" fontId="13" fillId="0" borderId="1" xfId="0" applyFont="1" applyBorder="1" applyAlignment="1">
      <alignment vertical="top" wrapText="1"/>
    </xf>
    <xf numFmtId="0" fontId="13" fillId="2" borderId="1" xfId="0" applyFont="1" applyFill="1" applyBorder="1" applyAlignment="1">
      <alignment vertical="top" wrapText="1"/>
    </xf>
    <xf numFmtId="0" fontId="14" fillId="0" borderId="0" xfId="0" applyFont="1"/>
    <xf numFmtId="0" fontId="0" fillId="3" borderId="0" xfId="0" applyFill="1"/>
    <xf numFmtId="0" fontId="7"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0" fillId="7" borderId="0" xfId="0" applyFill="1"/>
    <xf numFmtId="0" fontId="7" fillId="8" borderId="1" xfId="0" applyFont="1" applyFill="1" applyBorder="1" applyAlignment="1">
      <alignment horizontal="left"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0" fillId="8" borderId="0" xfId="0" applyFill="1"/>
    <xf numFmtId="0" fontId="7" fillId="9"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xf numFmtId="0" fontId="0" fillId="9" borderId="0" xfId="0" applyFill="1"/>
    <xf numFmtId="0" fontId="7" fillId="10"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0" fillId="10" borderId="0" xfId="0" applyFill="1"/>
    <xf numFmtId="0" fontId="7"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0" fillId="2" borderId="0" xfId="0" applyFill="1"/>
    <xf numFmtId="0" fontId="7" fillId="11" borderId="1" xfId="0" applyFont="1" applyFill="1" applyBorder="1" applyAlignment="1">
      <alignment horizontal="left" vertical="center" wrapText="1"/>
    </xf>
    <xf numFmtId="0" fontId="7" fillId="11" borderId="1" xfId="0" applyFont="1" applyFill="1" applyBorder="1" applyAlignment="1">
      <alignment horizontal="center" vertical="center" wrapText="1"/>
    </xf>
    <xf numFmtId="0" fontId="0" fillId="11" borderId="0" xfId="0" applyFill="1"/>
    <xf numFmtId="0" fontId="6" fillId="0" borderId="0" xfId="0" applyFont="1" applyAlignment="1">
      <alignment vertical="top" wrapText="1"/>
    </xf>
    <xf numFmtId="0" fontId="7"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11" fillId="2" borderId="1" xfId="0" applyFont="1" applyFill="1" applyBorder="1" applyAlignment="1">
      <alignment horizontal="left" vertical="top" wrapText="1"/>
    </xf>
    <xf numFmtId="0" fontId="6"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5.xml"/><Relationship Id="rId8"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55"/>
  <sheetViews>
    <sheetView workbookViewId="0" showGridLines="0" zoomScale="85" zoomScaleNormal="85">
      <pane ySplit="4" topLeftCell="A42" activePane="bottomLeft" state="frozen"/>
      <selection pane="bottomLeft" activeCell="D56" sqref="D56"/>
    </sheetView>
  </sheetViews>
  <sheetFormatPr defaultRowHeight="15" outlineLevelRow="0" outlineLevelCol="0" x14ac:dyDescent="0.25"/>
  <cols>
    <col min="1" max="1" width="5" customWidth="1"/>
    <col min="2" max="2" width="20" customWidth="1"/>
    <col min="3" max="3" width="30" customWidth="1"/>
    <col min="4" max="4" width="40" customWidth="1"/>
    <col min="5" max="5" width="22" customWidth="1"/>
    <col min="6" max="6" width="14" customWidth="1"/>
    <col min="7" max="7" width="46" customWidth="1"/>
    <col min="8" max="8" width="33.140625" customWidth="1"/>
    <col min="9" max="9" width="22" customWidth="1"/>
    <col min="10" max="10" width="39.140625" customWidth="1"/>
    <col min="11" max="11" width="40.7109375" style="1" customWidth="1"/>
    <col min="12" max="12" width="22" style="2" customWidth="1"/>
    <col min="13" max="13" width="38.5703125" style="2" customWidth="1"/>
  </cols>
  <sheetData>
    <row r="1" ht="17.45" customHeight="1" spans="1:11" x14ac:dyDescent="0.25">
      <c r="A1" s="3" t="s">
        <v>0</v>
      </c>
      <c r="K1" s="4"/>
    </row>
    <row r="2" spans="1:11" x14ac:dyDescent="0.25">
      <c r="A2" s="5" t="s">
        <v>1</v>
      </c>
      <c r="K2" s="4"/>
    </row>
    <row r="3" spans="1:11" x14ac:dyDescent="0.25">
      <c r="A3" s="6" t="s">
        <v>2</v>
      </c>
      <c r="K3" s="4"/>
    </row>
    <row r="4" ht="33.95" customHeight="1" spans="1:12" x14ac:dyDescent="0.25">
      <c r="A4" s="7" t="s">
        <v>3</v>
      </c>
      <c r="B4" s="7" t="s">
        <v>4</v>
      </c>
      <c r="C4" s="7" t="s">
        <v>5</v>
      </c>
      <c r="D4" s="7" t="s">
        <v>6</v>
      </c>
      <c r="E4" s="7" t="s">
        <v>7</v>
      </c>
      <c r="F4" s="7" t="s">
        <v>8</v>
      </c>
      <c r="G4" s="7" t="s">
        <v>9</v>
      </c>
      <c r="H4" s="7" t="s">
        <v>10</v>
      </c>
      <c r="I4" s="7" t="s">
        <v>11</v>
      </c>
      <c r="J4" s="7" t="s">
        <v>12</v>
      </c>
      <c r="K4" s="8" t="s">
        <v>13</v>
      </c>
      <c r="L4" s="8" t="s">
        <v>14</v>
      </c>
    </row>
    <row r="5" ht="20.1" customHeight="1" spans="1:11" x14ac:dyDescent="0.25">
      <c r="A5" s="9" t="s">
        <v>15</v>
      </c>
      <c r="B5" s="10"/>
      <c r="C5" s="10"/>
      <c r="D5" s="10"/>
      <c r="E5" s="10"/>
      <c r="F5" s="10"/>
      <c r="G5" s="10"/>
      <c r="H5" s="10"/>
      <c r="I5" s="10"/>
      <c r="J5" s="11"/>
      <c r="K5" s="12"/>
    </row>
    <row r="6" ht="165" customHeight="1" spans="1:11" x14ac:dyDescent="0.25">
      <c r="A6" s="13">
        <v>1</v>
      </c>
      <c r="B6" s="14" t="s">
        <v>16</v>
      </c>
      <c r="C6" s="15" t="s">
        <v>17</v>
      </c>
      <c r="D6" s="14" t="s">
        <v>18</v>
      </c>
      <c r="E6" s="16" t="s">
        <v>19</v>
      </c>
      <c r="F6" s="13" t="s">
        <v>20</v>
      </c>
      <c r="G6" s="17" t="s">
        <v>21</v>
      </c>
      <c r="H6" s="18" t="s">
        <v>22</v>
      </c>
      <c r="I6" s="19" t="s">
        <v>23</v>
      </c>
      <c r="J6" s="14" t="s">
        <v>24</v>
      </c>
      <c r="K6" s="4"/>
    </row>
    <row r="7" ht="83.25" customHeight="1" spans="1:11" x14ac:dyDescent="0.25">
      <c r="A7" s="13">
        <v>2</v>
      </c>
      <c r="B7" s="14" t="s">
        <v>16</v>
      </c>
      <c r="C7" s="15" t="s">
        <v>25</v>
      </c>
      <c r="D7" s="14" t="s">
        <v>26</v>
      </c>
      <c r="E7" s="16" t="s">
        <v>27</v>
      </c>
      <c r="F7" s="13" t="s">
        <v>20</v>
      </c>
      <c r="G7" s="17" t="s">
        <v>28</v>
      </c>
      <c r="H7" s="18" t="s">
        <v>29</v>
      </c>
      <c r="I7" s="19" t="s">
        <v>23</v>
      </c>
      <c r="J7" s="14" t="s">
        <v>30</v>
      </c>
      <c r="K7" s="4"/>
    </row>
    <row r="8" ht="24" customHeight="1" spans="1:11" x14ac:dyDescent="0.25">
      <c r="A8" s="13">
        <v>3</v>
      </c>
      <c r="B8" s="14" t="s">
        <v>16</v>
      </c>
      <c r="C8" s="15" t="s">
        <v>31</v>
      </c>
      <c r="D8" s="14" t="s">
        <v>32</v>
      </c>
      <c r="E8" s="16" t="s">
        <v>27</v>
      </c>
      <c r="F8" s="13" t="s">
        <v>33</v>
      </c>
      <c r="G8" s="17" t="s">
        <v>27</v>
      </c>
      <c r="H8" s="14" t="s">
        <v>27</v>
      </c>
      <c r="I8" s="19" t="s">
        <v>34</v>
      </c>
      <c r="J8" s="14" t="s">
        <v>35</v>
      </c>
      <c r="K8" s="4"/>
    </row>
    <row r="9" spans="1:11" x14ac:dyDescent="0.25">
      <c r="A9" s="13">
        <v>4</v>
      </c>
      <c r="B9" s="14" t="s">
        <v>16</v>
      </c>
      <c r="C9" s="15" t="s">
        <v>36</v>
      </c>
      <c r="D9" s="14" t="s">
        <v>37</v>
      </c>
      <c r="E9" s="16" t="s">
        <v>27</v>
      </c>
      <c r="F9" s="13" t="s">
        <v>33</v>
      </c>
      <c r="G9" s="17" t="s">
        <v>27</v>
      </c>
      <c r="H9" s="14" t="s">
        <v>27</v>
      </c>
      <c r="I9" s="19" t="s">
        <v>34</v>
      </c>
      <c r="J9" s="14" t="s">
        <v>38</v>
      </c>
      <c r="K9" s="4"/>
    </row>
    <row r="10" ht="75" customHeight="1" spans="1:12" x14ac:dyDescent="0.25">
      <c r="A10" s="20">
        <v>5</v>
      </c>
      <c r="B10" s="21" t="s">
        <v>16</v>
      </c>
      <c r="C10" s="22" t="s">
        <v>39</v>
      </c>
      <c r="D10" s="21" t="s">
        <v>40</v>
      </c>
      <c r="E10" s="23" t="s">
        <v>41</v>
      </c>
      <c r="F10" s="20" t="s">
        <v>20</v>
      </c>
      <c r="G10" s="24" t="s">
        <v>42</v>
      </c>
      <c r="H10" s="25" t="s">
        <v>43</v>
      </c>
      <c r="I10" s="26" t="s">
        <v>44</v>
      </c>
      <c r="J10" s="21" t="s">
        <v>45</v>
      </c>
      <c r="K10" s="1"/>
      <c r="L10" s="1" t="s">
        <v>46</v>
      </c>
    </row>
    <row r="11" ht="36" customHeight="1" spans="1:11" x14ac:dyDescent="0.25">
      <c r="A11" s="13">
        <v>6</v>
      </c>
      <c r="B11" s="14" t="s">
        <v>16</v>
      </c>
      <c r="C11" s="15" t="s">
        <v>47</v>
      </c>
      <c r="D11" s="14" t="s">
        <v>48</v>
      </c>
      <c r="E11" s="16" t="s">
        <v>27</v>
      </c>
      <c r="F11" s="13" t="s">
        <v>27</v>
      </c>
      <c r="G11" s="17" t="s">
        <v>27</v>
      </c>
      <c r="H11" s="14" t="s">
        <v>27</v>
      </c>
      <c r="I11" s="19" t="s">
        <v>49</v>
      </c>
      <c r="J11" s="14" t="s">
        <v>50</v>
      </c>
      <c r="K11" s="4"/>
    </row>
    <row r="12" ht="105" customHeight="1" spans="1:11" x14ac:dyDescent="0.25">
      <c r="A12" s="13">
        <v>7</v>
      </c>
      <c r="B12" s="14" t="s">
        <v>16</v>
      </c>
      <c r="C12" s="15" t="s">
        <v>51</v>
      </c>
      <c r="D12" s="14" t="s">
        <v>52</v>
      </c>
      <c r="E12" s="16" t="s">
        <v>27</v>
      </c>
      <c r="F12" s="13" t="s">
        <v>53</v>
      </c>
      <c r="G12" s="17" t="s">
        <v>54</v>
      </c>
      <c r="H12" s="18" t="s">
        <v>55</v>
      </c>
      <c r="I12" s="19" t="s">
        <v>56</v>
      </c>
      <c r="J12" s="14" t="s">
        <v>57</v>
      </c>
      <c r="K12" s="4" t="s">
        <v>58</v>
      </c>
    </row>
    <row r="13" ht="36" customHeight="1" spans="1:13" s="27" customFormat="1" x14ac:dyDescent="0.25">
      <c r="A13" s="28">
        <v>8</v>
      </c>
      <c r="B13" s="29" t="s">
        <v>16</v>
      </c>
      <c r="C13" s="30" t="s">
        <v>59</v>
      </c>
      <c r="D13" s="29" t="s">
        <v>60</v>
      </c>
      <c r="E13" s="31" t="s">
        <v>61</v>
      </c>
      <c r="F13" s="28" t="s">
        <v>41</v>
      </c>
      <c r="G13" s="32" t="s">
        <v>27</v>
      </c>
      <c r="H13" s="29" t="s">
        <v>27</v>
      </c>
      <c r="I13" s="33" t="s">
        <v>49</v>
      </c>
      <c r="J13" s="29" t="s">
        <v>62</v>
      </c>
      <c r="K13" s="34" t="s">
        <v>63</v>
      </c>
      <c r="L13" s="35"/>
      <c r="M13" s="35"/>
    </row>
    <row r="14" spans="1:11" x14ac:dyDescent="0.25">
      <c r="A14" s="9" t="s">
        <v>64</v>
      </c>
      <c r="B14" s="10"/>
      <c r="C14" s="10"/>
      <c r="D14" s="10"/>
      <c r="E14" s="10"/>
      <c r="F14" s="10"/>
      <c r="G14" s="10"/>
      <c r="H14" s="10"/>
      <c r="I14" s="10"/>
      <c r="J14" s="11"/>
      <c r="K14" s="12"/>
    </row>
    <row r="15" ht="135.75" customHeight="1" spans="1:13" s="27" customFormat="1" x14ac:dyDescent="0.25">
      <c r="A15" s="28">
        <v>9</v>
      </c>
      <c r="B15" s="29" t="s">
        <v>65</v>
      </c>
      <c r="C15" s="30" t="s">
        <v>66</v>
      </c>
      <c r="D15" s="29" t="s">
        <v>67</v>
      </c>
      <c r="E15" s="31" t="s">
        <v>68</v>
      </c>
      <c r="F15" s="36" t="s">
        <v>69</v>
      </c>
      <c r="G15" s="37" t="s">
        <v>70</v>
      </c>
      <c r="H15" s="38" t="s">
        <v>71</v>
      </c>
      <c r="I15" s="39" t="s">
        <v>72</v>
      </c>
      <c r="J15" s="29" t="s">
        <v>73</v>
      </c>
      <c r="K15" s="34" t="s">
        <v>74</v>
      </c>
      <c r="L15" s="35" t="s">
        <v>75</v>
      </c>
      <c r="M15" s="35"/>
    </row>
    <row r="16" ht="105" customHeight="1" spans="1:13" s="27" customFormat="1" x14ac:dyDescent="0.25">
      <c r="A16" s="28">
        <v>10</v>
      </c>
      <c r="B16" s="29" t="s">
        <v>65</v>
      </c>
      <c r="C16" s="30" t="s">
        <v>76</v>
      </c>
      <c r="D16" s="29" t="s">
        <v>77</v>
      </c>
      <c r="E16" s="31" t="s">
        <v>41</v>
      </c>
      <c r="F16" s="36" t="s">
        <v>78</v>
      </c>
      <c r="G16" s="37" t="s">
        <v>79</v>
      </c>
      <c r="H16" s="38" t="s">
        <v>80</v>
      </c>
      <c r="I16" s="39" t="s">
        <v>81</v>
      </c>
      <c r="J16" s="29" t="s">
        <v>82</v>
      </c>
      <c r="K16" s="34" t="s">
        <v>74</v>
      </c>
      <c r="L16" s="35" t="s">
        <v>75</v>
      </c>
      <c r="M16" s="40" t="s">
        <v>83</v>
      </c>
    </row>
    <row r="17" ht="105" customHeight="1" spans="1:12" x14ac:dyDescent="0.25">
      <c r="A17" s="20">
        <v>11</v>
      </c>
      <c r="B17" s="21" t="s">
        <v>65</v>
      </c>
      <c r="C17" s="22" t="s">
        <v>84</v>
      </c>
      <c r="D17" s="21" t="s">
        <v>85</v>
      </c>
      <c r="E17" s="23" t="s">
        <v>41</v>
      </c>
      <c r="F17" s="41" t="s">
        <v>69</v>
      </c>
      <c r="G17" s="42" t="s">
        <v>86</v>
      </c>
      <c r="H17" s="25" t="s">
        <v>80</v>
      </c>
      <c r="I17" s="43" t="s">
        <v>87</v>
      </c>
      <c r="J17" s="21" t="s">
        <v>88</v>
      </c>
      <c r="K17" s="1" t="s">
        <v>89</v>
      </c>
      <c r="L17" s="1" t="s">
        <v>90</v>
      </c>
    </row>
    <row r="18" ht="105" customHeight="1" spans="1:11" x14ac:dyDescent="0.25">
      <c r="A18" s="13">
        <v>12</v>
      </c>
      <c r="B18" s="14" t="s">
        <v>65</v>
      </c>
      <c r="C18" s="15" t="s">
        <v>91</v>
      </c>
      <c r="D18" s="14" t="s">
        <v>92</v>
      </c>
      <c r="E18" s="16" t="s">
        <v>41</v>
      </c>
      <c r="F18" s="44" t="s">
        <v>78</v>
      </c>
      <c r="G18" s="45" t="s">
        <v>93</v>
      </c>
      <c r="H18" s="18" t="s">
        <v>80</v>
      </c>
      <c r="I18" s="46" t="s">
        <v>81</v>
      </c>
      <c r="J18" s="14"/>
      <c r="K18" s="4" t="s">
        <v>89</v>
      </c>
    </row>
    <row r="19" spans="1:12" x14ac:dyDescent="0.25">
      <c r="A19" s="20" t="s">
        <v>94</v>
      </c>
      <c r="B19" s="21" t="s">
        <v>65</v>
      </c>
      <c r="C19" s="22" t="s">
        <v>95</v>
      </c>
      <c r="D19" s="21" t="s">
        <v>96</v>
      </c>
      <c r="E19" s="23" t="s">
        <v>97</v>
      </c>
      <c r="F19" s="41" t="s">
        <v>98</v>
      </c>
      <c r="G19" s="42" t="s">
        <v>99</v>
      </c>
      <c r="H19" s="25" t="s">
        <v>100</v>
      </c>
      <c r="I19" s="43" t="s">
        <v>101</v>
      </c>
      <c r="J19" s="21" t="s">
        <v>102</v>
      </c>
      <c r="K19" s="1" t="s">
        <v>103</v>
      </c>
      <c r="L19" s="1" t="s">
        <v>104</v>
      </c>
    </row>
    <row r="20" spans="1:11" x14ac:dyDescent="0.25">
      <c r="A20" s="9" t="s">
        <v>105</v>
      </c>
      <c r="B20" s="9"/>
      <c r="C20" s="9"/>
      <c r="D20" s="9"/>
      <c r="E20" s="9"/>
      <c r="F20" s="9"/>
      <c r="G20" s="9"/>
      <c r="H20" s="9"/>
      <c r="I20" s="9"/>
      <c r="J20" s="9"/>
      <c r="K20" s="12"/>
    </row>
    <row r="21" spans="1:11" x14ac:dyDescent="0.25">
      <c r="A21" s="13">
        <v>13</v>
      </c>
      <c r="B21" s="14" t="s">
        <v>106</v>
      </c>
      <c r="C21" s="15" t="s">
        <v>107</v>
      </c>
      <c r="D21" s="14" t="s">
        <v>108</v>
      </c>
      <c r="E21" s="16" t="s">
        <v>41</v>
      </c>
      <c r="F21" s="13" t="s">
        <v>41</v>
      </c>
      <c r="G21" s="17" t="s">
        <v>27</v>
      </c>
      <c r="H21" s="14" t="s">
        <v>27</v>
      </c>
      <c r="I21" s="19" t="s">
        <v>109</v>
      </c>
      <c r="J21" s="14" t="s">
        <v>110</v>
      </c>
      <c r="K21" s="4" t="s">
        <v>111</v>
      </c>
    </row>
    <row r="22" ht="60" customHeight="1" spans="1:11" x14ac:dyDescent="0.25">
      <c r="A22" s="13">
        <v>14</v>
      </c>
      <c r="B22" s="14" t="s">
        <v>106</v>
      </c>
      <c r="C22" s="15" t="s">
        <v>112</v>
      </c>
      <c r="D22" s="14" t="s">
        <v>113</v>
      </c>
      <c r="E22" s="16" t="s">
        <v>41</v>
      </c>
      <c r="F22" s="44" t="s">
        <v>69</v>
      </c>
      <c r="G22" s="45" t="s">
        <v>70</v>
      </c>
      <c r="H22" s="18" t="s">
        <v>71</v>
      </c>
      <c r="I22" s="46" t="s">
        <v>114</v>
      </c>
      <c r="J22" s="14"/>
      <c r="K22" s="4" t="s">
        <v>115</v>
      </c>
    </row>
    <row r="23" ht="30" customHeight="1" spans="1:12" x14ac:dyDescent="0.25">
      <c r="A23" s="20">
        <v>15</v>
      </c>
      <c r="B23" s="21" t="s">
        <v>106</v>
      </c>
      <c r="C23" s="22" t="s">
        <v>116</v>
      </c>
      <c r="D23" s="21" t="s">
        <v>117</v>
      </c>
      <c r="E23" s="23" t="s">
        <v>41</v>
      </c>
      <c r="F23" s="20" t="s">
        <v>41</v>
      </c>
      <c r="G23" s="24" t="s">
        <v>27</v>
      </c>
      <c r="H23" s="21" t="s">
        <v>27</v>
      </c>
      <c r="I23" s="26" t="s">
        <v>109</v>
      </c>
      <c r="J23" s="21" t="s">
        <v>118</v>
      </c>
      <c r="K23" s="1" t="s">
        <v>119</v>
      </c>
      <c r="L23" s="1" t="s">
        <v>120</v>
      </c>
    </row>
    <row r="24" ht="37.5" customHeight="1" spans="1:11" x14ac:dyDescent="0.25">
      <c r="A24" s="13">
        <v>16</v>
      </c>
      <c r="B24" s="14" t="s">
        <v>106</v>
      </c>
      <c r="C24" s="15" t="s">
        <v>121</v>
      </c>
      <c r="D24" s="14" t="s">
        <v>122</v>
      </c>
      <c r="E24" s="16" t="s">
        <v>33</v>
      </c>
      <c r="F24" s="13" t="s">
        <v>123</v>
      </c>
      <c r="G24" s="17" t="s">
        <v>27</v>
      </c>
      <c r="H24" s="14" t="s">
        <v>27</v>
      </c>
      <c r="I24" s="19" t="s">
        <v>34</v>
      </c>
      <c r="J24" s="14" t="s">
        <v>124</v>
      </c>
      <c r="K24" s="4" t="s">
        <v>125</v>
      </c>
    </row>
    <row r="25" spans="1:11" x14ac:dyDescent="0.25">
      <c r="A25" s="9" t="s">
        <v>126</v>
      </c>
      <c r="B25" s="9"/>
      <c r="C25" s="9"/>
      <c r="D25" s="9"/>
      <c r="E25" s="9"/>
      <c r="F25" s="9"/>
      <c r="G25" s="9"/>
      <c r="H25" s="9"/>
      <c r="I25" s="9"/>
      <c r="J25" s="9"/>
      <c r="K25" s="12"/>
    </row>
    <row r="26" ht="105" customHeight="1" spans="1:11" x14ac:dyDescent="0.25">
      <c r="A26" s="13">
        <v>17</v>
      </c>
      <c r="B26" s="14" t="s">
        <v>127</v>
      </c>
      <c r="C26" s="15" t="s">
        <v>128</v>
      </c>
      <c r="D26" s="14" t="s">
        <v>129</v>
      </c>
      <c r="E26" s="16" t="s">
        <v>41</v>
      </c>
      <c r="F26" s="44" t="s">
        <v>69</v>
      </c>
      <c r="G26" s="45" t="s">
        <v>130</v>
      </c>
      <c r="H26" s="18" t="s">
        <v>131</v>
      </c>
      <c r="I26" s="46" t="s">
        <v>132</v>
      </c>
      <c r="J26" s="14" t="s">
        <v>133</v>
      </c>
      <c r="K26" s="4" t="s">
        <v>74</v>
      </c>
    </row>
    <row r="27" ht="96" customHeight="1" spans="1:13" s="27" customFormat="1" x14ac:dyDescent="0.25">
      <c r="A27" s="28">
        <v>18</v>
      </c>
      <c r="B27" s="29" t="s">
        <v>127</v>
      </c>
      <c r="C27" s="30" t="s">
        <v>134</v>
      </c>
      <c r="D27" s="29" t="s">
        <v>135</v>
      </c>
      <c r="E27" s="31" t="s">
        <v>41</v>
      </c>
      <c r="F27" s="36" t="s">
        <v>78</v>
      </c>
      <c r="G27" s="37" t="s">
        <v>136</v>
      </c>
      <c r="H27" s="38" t="s">
        <v>80</v>
      </c>
      <c r="I27" s="39" t="s">
        <v>137</v>
      </c>
      <c r="J27" s="29" t="s">
        <v>138</v>
      </c>
      <c r="K27" s="34" t="s">
        <v>115</v>
      </c>
      <c r="L27" s="35" t="s">
        <v>75</v>
      </c>
      <c r="M27" s="35"/>
    </row>
    <row r="28" ht="60" customHeight="1" spans="1:13" s="27" customFormat="1" x14ac:dyDescent="0.25">
      <c r="A28" s="28">
        <v>19</v>
      </c>
      <c r="B28" s="29" t="s">
        <v>127</v>
      </c>
      <c r="C28" s="30" t="s">
        <v>139</v>
      </c>
      <c r="D28" s="29" t="s">
        <v>140</v>
      </c>
      <c r="E28" s="31" t="s">
        <v>41</v>
      </c>
      <c r="F28" s="36" t="s">
        <v>141</v>
      </c>
      <c r="G28" s="37" t="s">
        <v>142</v>
      </c>
      <c r="H28" s="38" t="s">
        <v>143</v>
      </c>
      <c r="I28" s="39" t="s">
        <v>144</v>
      </c>
      <c r="J28" s="29" t="s">
        <v>145</v>
      </c>
      <c r="K28" s="34" t="s">
        <v>146</v>
      </c>
      <c r="L28" s="35" t="s">
        <v>75</v>
      </c>
      <c r="M28" s="35"/>
    </row>
    <row r="29" ht="24" customHeight="1" spans="1:11" x14ac:dyDescent="0.25">
      <c r="A29" s="13">
        <v>20</v>
      </c>
      <c r="B29" s="14" t="s">
        <v>127</v>
      </c>
      <c r="C29" s="15" t="s">
        <v>147</v>
      </c>
      <c r="D29" s="14" t="s">
        <v>148</v>
      </c>
      <c r="E29" s="16" t="s">
        <v>41</v>
      </c>
      <c r="F29" s="13" t="s">
        <v>123</v>
      </c>
      <c r="G29" s="17" t="s">
        <v>149</v>
      </c>
      <c r="H29" s="18" t="s">
        <v>150</v>
      </c>
      <c r="I29" s="19" t="s">
        <v>34</v>
      </c>
      <c r="J29" s="14" t="s">
        <v>151</v>
      </c>
      <c r="K29" s="4" t="s">
        <v>125</v>
      </c>
    </row>
    <row r="30" ht="78.75" customHeight="1" spans="1:13" s="27" customFormat="1" x14ac:dyDescent="0.25">
      <c r="A30" s="28">
        <v>21</v>
      </c>
      <c r="B30" s="29" t="s">
        <v>127</v>
      </c>
      <c r="C30" s="30" t="s">
        <v>152</v>
      </c>
      <c r="D30" s="29" t="s">
        <v>153</v>
      </c>
      <c r="E30" s="31" t="s">
        <v>41</v>
      </c>
      <c r="F30" s="36" t="s">
        <v>154</v>
      </c>
      <c r="G30" s="37" t="s">
        <v>155</v>
      </c>
      <c r="H30" s="38" t="s">
        <v>156</v>
      </c>
      <c r="I30" s="39" t="s">
        <v>157</v>
      </c>
      <c r="J30" s="29" t="s">
        <v>158</v>
      </c>
      <c r="K30" s="34" t="s">
        <v>146</v>
      </c>
      <c r="L30" s="35"/>
      <c r="M30" s="35"/>
    </row>
    <row r="31" ht="49.5" customHeight="1" spans="1:11" x14ac:dyDescent="0.25">
      <c r="A31" s="13">
        <v>22</v>
      </c>
      <c r="B31" s="14" t="s">
        <v>127</v>
      </c>
      <c r="C31" s="15" t="s">
        <v>159</v>
      </c>
      <c r="D31" s="14" t="s">
        <v>160</v>
      </c>
      <c r="E31" s="16" t="s">
        <v>41</v>
      </c>
      <c r="F31" s="13" t="s">
        <v>161</v>
      </c>
      <c r="G31" s="17" t="s">
        <v>162</v>
      </c>
      <c r="H31" s="18" t="s">
        <v>163</v>
      </c>
      <c r="I31" s="19" t="s">
        <v>34</v>
      </c>
      <c r="J31" s="14" t="s">
        <v>164</v>
      </c>
      <c r="K31" s="4" t="s">
        <v>125</v>
      </c>
    </row>
    <row r="32" ht="24" customHeight="1" spans="1:11" x14ac:dyDescent="0.25">
      <c r="A32" s="13">
        <v>23</v>
      </c>
      <c r="B32" s="14" t="s">
        <v>127</v>
      </c>
      <c r="C32" s="15" t="s">
        <v>165</v>
      </c>
      <c r="D32" s="14" t="s">
        <v>166</v>
      </c>
      <c r="E32" s="16" t="s">
        <v>33</v>
      </c>
      <c r="F32" s="13" t="s">
        <v>123</v>
      </c>
      <c r="G32" s="17" t="s">
        <v>27</v>
      </c>
      <c r="H32" s="14" t="s">
        <v>27</v>
      </c>
      <c r="I32" s="19" t="s">
        <v>34</v>
      </c>
      <c r="J32" s="14" t="s">
        <v>167</v>
      </c>
      <c r="K32" s="4" t="s">
        <v>125</v>
      </c>
    </row>
    <row r="33" spans="1:11" x14ac:dyDescent="0.25">
      <c r="A33" s="9" t="s">
        <v>168</v>
      </c>
      <c r="B33" s="9"/>
      <c r="C33" s="9"/>
      <c r="D33" s="9"/>
      <c r="E33" s="9"/>
      <c r="F33" s="9"/>
      <c r="G33" s="9"/>
      <c r="H33" s="9"/>
      <c r="I33" s="9"/>
      <c r="J33" s="9"/>
      <c r="K33" s="12"/>
    </row>
    <row r="34" ht="79.5" customHeight="1" spans="1:11" x14ac:dyDescent="0.25">
      <c r="A34" s="13">
        <v>24</v>
      </c>
      <c r="B34" s="14" t="s">
        <v>169</v>
      </c>
      <c r="C34" s="15" t="s">
        <v>170</v>
      </c>
      <c r="D34" s="14" t="s">
        <v>171</v>
      </c>
      <c r="E34" s="16" t="s">
        <v>172</v>
      </c>
      <c r="F34" s="13" t="s">
        <v>173</v>
      </c>
      <c r="G34" s="17"/>
      <c r="H34" s="18" t="s">
        <v>174</v>
      </c>
      <c r="I34" s="19" t="s">
        <v>109</v>
      </c>
      <c r="J34" s="14" t="s">
        <v>175</v>
      </c>
      <c r="K34" s="4" t="s">
        <v>176</v>
      </c>
    </row>
    <row r="35" ht="74.25" customHeight="1" spans="1:11" x14ac:dyDescent="0.25">
      <c r="A35" s="13">
        <v>25</v>
      </c>
      <c r="B35" s="14" t="s">
        <v>169</v>
      </c>
      <c r="C35" s="15" t="s">
        <v>177</v>
      </c>
      <c r="D35" s="14" t="s">
        <v>178</v>
      </c>
      <c r="E35" s="16" t="s">
        <v>41</v>
      </c>
      <c r="F35" s="13" t="s">
        <v>20</v>
      </c>
      <c r="G35" s="17" t="s">
        <v>179</v>
      </c>
      <c r="H35" s="18" t="s">
        <v>180</v>
      </c>
      <c r="I35" s="19" t="s">
        <v>23</v>
      </c>
      <c r="J35" s="14" t="s">
        <v>181</v>
      </c>
      <c r="K35" s="4" t="s">
        <v>125</v>
      </c>
    </row>
    <row r="36" spans="1:11" x14ac:dyDescent="0.25">
      <c r="A36" s="13">
        <v>26</v>
      </c>
      <c r="B36" s="14" t="s">
        <v>169</v>
      </c>
      <c r="C36" s="15" t="s">
        <v>182</v>
      </c>
      <c r="D36" s="14" t="s">
        <v>183</v>
      </c>
      <c r="E36" s="16" t="s">
        <v>33</v>
      </c>
      <c r="F36" s="13" t="s">
        <v>123</v>
      </c>
      <c r="G36" s="17" t="s">
        <v>27</v>
      </c>
      <c r="H36" s="14" t="s">
        <v>27</v>
      </c>
      <c r="I36" s="19" t="s">
        <v>34</v>
      </c>
      <c r="J36" s="14" t="s">
        <v>184</v>
      </c>
      <c r="K36" s="4" t="s">
        <v>125</v>
      </c>
    </row>
    <row r="37" ht="60" customHeight="1" spans="1:11" x14ac:dyDescent="0.25">
      <c r="A37" s="13">
        <v>27</v>
      </c>
      <c r="B37" s="14" t="s">
        <v>169</v>
      </c>
      <c r="C37" s="15" t="s">
        <v>185</v>
      </c>
      <c r="D37" s="14" t="s">
        <v>186</v>
      </c>
      <c r="E37" s="16" t="s">
        <v>33</v>
      </c>
      <c r="F37" s="13" t="s">
        <v>123</v>
      </c>
      <c r="G37" s="17" t="s">
        <v>27</v>
      </c>
      <c r="H37" s="14" t="s">
        <v>27</v>
      </c>
      <c r="I37" s="19" t="s">
        <v>34</v>
      </c>
      <c r="J37" s="14" t="s">
        <v>187</v>
      </c>
      <c r="K37" s="4" t="s">
        <v>125</v>
      </c>
    </row>
    <row r="38" spans="1:12" x14ac:dyDescent="0.25">
      <c r="A38" s="20">
        <v>28</v>
      </c>
      <c r="B38" s="21" t="s">
        <v>169</v>
      </c>
      <c r="C38" s="22" t="s">
        <v>188</v>
      </c>
      <c r="D38" s="21" t="s">
        <v>189</v>
      </c>
      <c r="E38" s="23" t="s">
        <v>41</v>
      </c>
      <c r="F38" s="20" t="s">
        <v>41</v>
      </c>
      <c r="G38" s="24" t="s">
        <v>190</v>
      </c>
      <c r="H38" s="21" t="s">
        <v>27</v>
      </c>
      <c r="I38" s="26" t="s">
        <v>191</v>
      </c>
      <c r="J38" s="21" t="s">
        <v>192</v>
      </c>
      <c r="K38" s="1" t="s">
        <v>176</v>
      </c>
      <c r="L38" s="1" t="s">
        <v>193</v>
      </c>
    </row>
    <row r="39" spans="1:11" x14ac:dyDescent="0.25">
      <c r="A39" s="9" t="s">
        <v>194</v>
      </c>
      <c r="B39" s="9"/>
      <c r="C39" s="9"/>
      <c r="D39" s="9"/>
      <c r="E39" s="9"/>
      <c r="F39" s="9"/>
      <c r="G39" s="9"/>
      <c r="H39" s="9"/>
      <c r="I39" s="9"/>
      <c r="J39" s="9"/>
      <c r="K39" s="12"/>
    </row>
    <row r="40" ht="24" customHeight="1" spans="1:11" x14ac:dyDescent="0.25">
      <c r="A40" s="13">
        <v>29</v>
      </c>
      <c r="B40" s="14" t="s">
        <v>195</v>
      </c>
      <c r="C40" s="15" t="s">
        <v>196</v>
      </c>
      <c r="D40" s="14" t="s">
        <v>197</v>
      </c>
      <c r="E40" s="16" t="s">
        <v>198</v>
      </c>
      <c r="F40" s="13" t="s">
        <v>20</v>
      </c>
      <c r="G40" s="17" t="s">
        <v>199</v>
      </c>
      <c r="H40" s="18" t="s">
        <v>200</v>
      </c>
      <c r="I40" s="19" t="s">
        <v>23</v>
      </c>
      <c r="J40" s="14"/>
      <c r="K40" s="4" t="s">
        <v>125</v>
      </c>
    </row>
    <row r="41" ht="24" customHeight="1" spans="1:11" x14ac:dyDescent="0.25">
      <c r="A41" s="13">
        <v>30</v>
      </c>
      <c r="B41" s="14" t="s">
        <v>195</v>
      </c>
      <c r="C41" s="15" t="s">
        <v>201</v>
      </c>
      <c r="D41" s="14" t="s">
        <v>202</v>
      </c>
      <c r="E41" s="16" t="s">
        <v>41</v>
      </c>
      <c r="F41" s="13" t="s">
        <v>20</v>
      </c>
      <c r="G41" s="17" t="s">
        <v>203</v>
      </c>
      <c r="H41" s="18" t="s">
        <v>204</v>
      </c>
      <c r="I41" s="19" t="s">
        <v>23</v>
      </c>
      <c r="J41" s="14"/>
      <c r="K41" s="4" t="s">
        <v>125</v>
      </c>
    </row>
    <row r="42" ht="36" customHeight="1" spans="1:11" x14ac:dyDescent="0.25">
      <c r="A42" s="13">
        <v>31</v>
      </c>
      <c r="B42" s="14" t="s">
        <v>195</v>
      </c>
      <c r="C42" s="15" t="s">
        <v>205</v>
      </c>
      <c r="D42" s="14" t="s">
        <v>206</v>
      </c>
      <c r="E42" s="16" t="s">
        <v>41</v>
      </c>
      <c r="F42" s="13" t="s">
        <v>20</v>
      </c>
      <c r="G42" s="17" t="s">
        <v>207</v>
      </c>
      <c r="H42" s="18" t="s">
        <v>208</v>
      </c>
      <c r="I42" s="19" t="s">
        <v>34</v>
      </c>
      <c r="J42" s="14" t="s">
        <v>209</v>
      </c>
      <c r="K42" s="4" t="s">
        <v>125</v>
      </c>
    </row>
    <row r="43" ht="39" customHeight="1" spans="1:11" x14ac:dyDescent="0.25">
      <c r="A43" s="13">
        <v>32</v>
      </c>
      <c r="B43" s="14" t="s">
        <v>195</v>
      </c>
      <c r="C43" s="15" t="s">
        <v>210</v>
      </c>
      <c r="D43" s="14" t="s">
        <v>211</v>
      </c>
      <c r="E43" s="16" t="s">
        <v>33</v>
      </c>
      <c r="F43" s="13" t="s">
        <v>123</v>
      </c>
      <c r="G43" s="17" t="s">
        <v>27</v>
      </c>
      <c r="H43" s="14" t="s">
        <v>27</v>
      </c>
      <c r="I43" s="19" t="s">
        <v>34</v>
      </c>
      <c r="J43" s="14" t="s">
        <v>212</v>
      </c>
      <c r="K43" s="4" t="s">
        <v>125</v>
      </c>
    </row>
    <row r="44" spans="1:11" x14ac:dyDescent="0.25">
      <c r="A44" s="9" t="s">
        <v>213</v>
      </c>
      <c r="B44" s="9"/>
      <c r="C44" s="9"/>
      <c r="D44" s="9"/>
      <c r="E44" s="9"/>
      <c r="F44" s="9"/>
      <c r="G44" s="9"/>
      <c r="H44" s="9"/>
      <c r="I44" s="9"/>
      <c r="J44" s="9"/>
      <c r="K44" s="12"/>
    </row>
    <row r="45" ht="67.5" customHeight="1" spans="1:11" x14ac:dyDescent="0.25">
      <c r="A45" s="13">
        <v>33</v>
      </c>
      <c r="B45" s="14" t="s">
        <v>214</v>
      </c>
      <c r="C45" s="15" t="s">
        <v>215</v>
      </c>
      <c r="D45" s="14" t="s">
        <v>216</v>
      </c>
      <c r="E45" s="16" t="s">
        <v>217</v>
      </c>
      <c r="F45" s="44" t="s">
        <v>218</v>
      </c>
      <c r="G45" s="45" t="s">
        <v>219</v>
      </c>
      <c r="H45" s="18" t="s">
        <v>220</v>
      </c>
      <c r="I45" s="46" t="s">
        <v>221</v>
      </c>
      <c r="J45" s="14" t="s">
        <v>222</v>
      </c>
      <c r="K45" s="4" t="s">
        <v>176</v>
      </c>
    </row>
    <row r="46" ht="48" customHeight="1" spans="1:11" x14ac:dyDescent="0.25">
      <c r="A46" s="13">
        <v>34</v>
      </c>
      <c r="B46" s="14" t="s">
        <v>214</v>
      </c>
      <c r="C46" s="15" t="s">
        <v>223</v>
      </c>
      <c r="D46" s="14" t="s">
        <v>224</v>
      </c>
      <c r="E46" s="16" t="s">
        <v>217</v>
      </c>
      <c r="F46" s="44" t="s">
        <v>218</v>
      </c>
      <c r="G46" s="45" t="s">
        <v>225</v>
      </c>
      <c r="H46" s="18" t="s">
        <v>226</v>
      </c>
      <c r="I46" s="46" t="s">
        <v>227</v>
      </c>
      <c r="J46" s="14" t="s">
        <v>228</v>
      </c>
      <c r="K46" s="4" t="s">
        <v>176</v>
      </c>
    </row>
    <row r="47" ht="48" customHeight="1" spans="1:11" x14ac:dyDescent="0.25">
      <c r="A47" s="13">
        <v>35</v>
      </c>
      <c r="B47" s="14" t="s">
        <v>214</v>
      </c>
      <c r="C47" s="15" t="s">
        <v>229</v>
      </c>
      <c r="D47" s="14" t="s">
        <v>230</v>
      </c>
      <c r="E47" s="16" t="s">
        <v>33</v>
      </c>
      <c r="F47" s="13" t="s">
        <v>123</v>
      </c>
      <c r="G47" s="17" t="s">
        <v>27</v>
      </c>
      <c r="H47" s="14" t="s">
        <v>27</v>
      </c>
      <c r="I47" s="19" t="s">
        <v>34</v>
      </c>
      <c r="J47" s="14" t="s">
        <v>231</v>
      </c>
      <c r="K47" s="4" t="s">
        <v>125</v>
      </c>
    </row>
    <row r="48" spans="1:11" x14ac:dyDescent="0.25">
      <c r="A48" s="13">
        <v>36</v>
      </c>
      <c r="B48" s="14" t="s">
        <v>214</v>
      </c>
      <c r="C48" s="15" t="s">
        <v>232</v>
      </c>
      <c r="D48" s="14" t="s">
        <v>233</v>
      </c>
      <c r="E48" s="16" t="s">
        <v>33</v>
      </c>
      <c r="F48" s="13" t="s">
        <v>123</v>
      </c>
      <c r="G48" s="17" t="s">
        <v>27</v>
      </c>
      <c r="H48" s="14" t="s">
        <v>27</v>
      </c>
      <c r="I48" s="19" t="s">
        <v>34</v>
      </c>
      <c r="J48" s="14" t="s">
        <v>234</v>
      </c>
      <c r="K48" s="4" t="s">
        <v>125</v>
      </c>
    </row>
    <row r="49" ht="36" customHeight="1" spans="1:11" x14ac:dyDescent="0.25">
      <c r="A49" s="13">
        <v>37</v>
      </c>
      <c r="B49" s="14" t="s">
        <v>214</v>
      </c>
      <c r="C49" s="15" t="s">
        <v>235</v>
      </c>
      <c r="D49" s="14" t="s">
        <v>236</v>
      </c>
      <c r="E49" s="16" t="s">
        <v>41</v>
      </c>
      <c r="F49" s="13" t="s">
        <v>20</v>
      </c>
      <c r="G49" s="17" t="s">
        <v>237</v>
      </c>
      <c r="H49" s="18" t="s">
        <v>238</v>
      </c>
      <c r="I49" s="19" t="s">
        <v>23</v>
      </c>
      <c r="J49" s="14" t="s">
        <v>239</v>
      </c>
      <c r="K49" s="4" t="s">
        <v>125</v>
      </c>
    </row>
    <row r="50" spans="1:11" x14ac:dyDescent="0.25">
      <c r="A50" s="9" t="s">
        <v>240</v>
      </c>
      <c r="B50" s="9"/>
      <c r="C50" s="9"/>
      <c r="D50" s="9"/>
      <c r="E50" s="9"/>
      <c r="F50" s="9"/>
      <c r="G50" s="9"/>
      <c r="H50" s="9"/>
      <c r="I50" s="9"/>
      <c r="J50" s="9"/>
      <c r="K50" s="12"/>
    </row>
    <row r="51" ht="60" customHeight="1" spans="1:11" x14ac:dyDescent="0.25">
      <c r="A51" s="13">
        <v>38</v>
      </c>
      <c r="B51" s="14" t="s">
        <v>241</v>
      </c>
      <c r="C51" s="15" t="s">
        <v>242</v>
      </c>
      <c r="D51" s="14" t="s">
        <v>243</v>
      </c>
      <c r="E51" s="16" t="s">
        <v>41</v>
      </c>
      <c r="F51" s="13" t="s">
        <v>20</v>
      </c>
      <c r="G51" s="17" t="s">
        <v>244</v>
      </c>
      <c r="H51" s="18" t="s">
        <v>245</v>
      </c>
      <c r="I51" s="19" t="s">
        <v>23</v>
      </c>
      <c r="J51" s="14"/>
      <c r="K51" s="4" t="s">
        <v>125</v>
      </c>
    </row>
    <row r="52" ht="54.75" customHeight="1" spans="1:11" x14ac:dyDescent="0.25">
      <c r="A52" s="13">
        <v>39</v>
      </c>
      <c r="B52" s="14" t="s">
        <v>241</v>
      </c>
      <c r="C52" s="15" t="s">
        <v>246</v>
      </c>
      <c r="D52" s="14" t="s">
        <v>247</v>
      </c>
      <c r="E52" s="16" t="s">
        <v>41</v>
      </c>
      <c r="F52" s="13" t="s">
        <v>20</v>
      </c>
      <c r="G52" s="17" t="s">
        <v>248</v>
      </c>
      <c r="H52" s="18" t="s">
        <v>249</v>
      </c>
      <c r="I52" s="19" t="s">
        <v>34</v>
      </c>
      <c r="J52" s="14" t="s">
        <v>250</v>
      </c>
      <c r="K52" s="4" t="s">
        <v>251</v>
      </c>
    </row>
    <row r="53" ht="84" customHeight="1" spans="1:11" x14ac:dyDescent="0.25">
      <c r="A53" s="13">
        <v>40</v>
      </c>
      <c r="B53" s="14" t="s">
        <v>252</v>
      </c>
      <c r="C53" s="15" t="s">
        <v>253</v>
      </c>
      <c r="D53" s="14" t="s">
        <v>254</v>
      </c>
      <c r="E53" s="16" t="s">
        <v>255</v>
      </c>
      <c r="F53" s="13" t="s">
        <v>41</v>
      </c>
      <c r="G53" s="17" t="s">
        <v>27</v>
      </c>
      <c r="H53" s="14" t="s">
        <v>27</v>
      </c>
      <c r="I53" s="19" t="s">
        <v>49</v>
      </c>
      <c r="J53" s="14" t="s">
        <v>256</v>
      </c>
      <c r="K53" s="4" t="s">
        <v>176</v>
      </c>
    </row>
    <row r="54" ht="36" customHeight="1" spans="1:11" x14ac:dyDescent="0.25">
      <c r="A54" s="13">
        <v>41</v>
      </c>
      <c r="B54" s="14" t="s">
        <v>257</v>
      </c>
      <c r="C54" s="15" t="s">
        <v>258</v>
      </c>
      <c r="D54" s="14" t="s">
        <v>259</v>
      </c>
      <c r="E54" s="16" t="s">
        <v>27</v>
      </c>
      <c r="F54" s="13" t="s">
        <v>33</v>
      </c>
      <c r="G54" s="17" t="s">
        <v>27</v>
      </c>
      <c r="H54" s="14" t="s">
        <v>27</v>
      </c>
      <c r="I54" s="19" t="s">
        <v>34</v>
      </c>
      <c r="J54" s="14" t="s">
        <v>260</v>
      </c>
      <c r="K54" s="4" t="s">
        <v>125</v>
      </c>
    </row>
    <row r="55" ht="48" customHeight="1" spans="1:11" x14ac:dyDescent="0.25">
      <c r="A55" s="13">
        <v>42</v>
      </c>
      <c r="B55" s="14" t="s">
        <v>257</v>
      </c>
      <c r="C55" s="15" t="s">
        <v>261</v>
      </c>
      <c r="D55" s="14" t="s">
        <v>262</v>
      </c>
      <c r="E55" s="16" t="s">
        <v>27</v>
      </c>
      <c r="F55" s="13" t="s">
        <v>33</v>
      </c>
      <c r="G55" s="17" t="s">
        <v>27</v>
      </c>
      <c r="H55" s="14" t="s">
        <v>27</v>
      </c>
      <c r="I55" s="19" t="s">
        <v>34</v>
      </c>
      <c r="J55" s="14" t="s">
        <v>263</v>
      </c>
      <c r="K55" s="4" t="s">
        <v>125</v>
      </c>
    </row>
  </sheetData>
  <mergeCells count="8">
    <mergeCell ref="A5:J5"/>
    <mergeCell ref="A14:J14"/>
    <mergeCell ref="A20:J20"/>
    <mergeCell ref="A25:J25"/>
    <mergeCell ref="A33:J33"/>
    <mergeCell ref="A39:J39"/>
    <mergeCell ref="A44:J44"/>
    <mergeCell ref="A50:J5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L71"/>
  <sheetViews>
    <sheetView workbookViewId="0" showGridLines="0" zoomScale="85" zoomScaleNormal="85">
      <pane xSplit="6" ySplit="5" topLeftCell="G64" activePane="bottomRight" state="frozen"/>
      <selection pane="bottomRight" activeCell="H69" sqref="H69"/>
    </sheetView>
  </sheetViews>
  <sheetFormatPr defaultRowHeight="15" outlineLevelRow="0" outlineLevelCol="0" x14ac:dyDescent="0.25"/>
  <cols>
    <col min="1" max="1" width="5" customWidth="1"/>
    <col min="2" max="2" width="20" customWidth="1"/>
    <col min="3" max="3" width="30" customWidth="1"/>
    <col min="4" max="4" width="40" customWidth="1"/>
    <col min="5" max="5" width="15.7109375" customWidth="1"/>
    <col min="6" max="6" width="14" customWidth="1"/>
    <col min="7" max="7" width="36.5703125" customWidth="1"/>
    <col min="8" max="8" width="40" customWidth="1"/>
    <col min="9" max="9" width="22" customWidth="1"/>
    <col min="10" max="10" width="52" style="2" customWidth="1"/>
    <col min="11" max="11" width="38.28515625" style="1" customWidth="1"/>
    <col min="12" max="12" width="35.42578125" style="47" customWidth="1"/>
  </cols>
  <sheetData>
    <row r="1" ht="17.45" customHeight="1" spans="1:11" x14ac:dyDescent="0.25">
      <c r="A1" s="3" t="s">
        <v>264</v>
      </c>
      <c r="J1" s="2"/>
      <c r="K1" s="4"/>
    </row>
    <row r="2" spans="1:11" x14ac:dyDescent="0.25">
      <c r="A2" s="5" t="s">
        <v>265</v>
      </c>
      <c r="J2" s="2"/>
      <c r="K2" s="4"/>
    </row>
    <row r="3" spans="1:11" x14ac:dyDescent="0.25">
      <c r="A3" s="6" t="s">
        <v>2</v>
      </c>
      <c r="J3" s="2"/>
      <c r="K3" s="4"/>
    </row>
    <row r="4" ht="33.95" customHeight="1" spans="1:12" x14ac:dyDescent="0.25">
      <c r="A4" s="7" t="s">
        <v>3</v>
      </c>
      <c r="B4" s="7" t="s">
        <v>4</v>
      </c>
      <c r="C4" s="7" t="s">
        <v>5</v>
      </c>
      <c r="D4" s="7" t="s">
        <v>6</v>
      </c>
      <c r="E4" s="7" t="s">
        <v>7</v>
      </c>
      <c r="F4" s="7" t="s">
        <v>8</v>
      </c>
      <c r="G4" s="7" t="s">
        <v>9</v>
      </c>
      <c r="H4" s="7" t="s">
        <v>10</v>
      </c>
      <c r="I4" s="7" t="s">
        <v>11</v>
      </c>
      <c r="J4" s="7" t="s">
        <v>12</v>
      </c>
      <c r="K4" s="8" t="s">
        <v>13</v>
      </c>
      <c r="L4" s="8" t="s">
        <v>14</v>
      </c>
    </row>
    <row r="5" ht="20.1" customHeight="1" spans="1:11" x14ac:dyDescent="0.25">
      <c r="A5" s="9" t="s">
        <v>266</v>
      </c>
      <c r="B5" s="10"/>
      <c r="C5" s="10"/>
      <c r="D5" s="10"/>
      <c r="E5" s="10"/>
      <c r="F5" s="10"/>
      <c r="G5" s="10"/>
      <c r="H5" s="10"/>
      <c r="I5" s="10"/>
      <c r="J5" s="11"/>
      <c r="K5" s="12"/>
    </row>
    <row r="6" ht="48.75" customHeight="1" spans="1:11" x14ac:dyDescent="0.25">
      <c r="A6" s="13">
        <v>1</v>
      </c>
      <c r="B6" s="14" t="s">
        <v>267</v>
      </c>
      <c r="C6" s="15" t="s">
        <v>268</v>
      </c>
      <c r="D6" s="14" t="s">
        <v>269</v>
      </c>
      <c r="E6" s="16" t="s">
        <v>270</v>
      </c>
      <c r="F6" s="13" t="s">
        <v>20</v>
      </c>
      <c r="G6" s="17" t="s">
        <v>271</v>
      </c>
      <c r="H6" s="18" t="s">
        <v>272</v>
      </c>
      <c r="I6" s="19" t="s">
        <v>23</v>
      </c>
      <c r="J6" s="48" t="s">
        <v>273</v>
      </c>
      <c r="K6" s="4" t="s">
        <v>274</v>
      </c>
    </row>
    <row r="7" ht="99.75" customHeight="1" spans="1:12" x14ac:dyDescent="0.25">
      <c r="A7" s="13">
        <v>2</v>
      </c>
      <c r="B7" s="14" t="s">
        <v>267</v>
      </c>
      <c r="C7" s="15" t="s">
        <v>275</v>
      </c>
      <c r="D7" s="14" t="s">
        <v>276</v>
      </c>
      <c r="E7" s="16" t="s">
        <v>270</v>
      </c>
      <c r="F7" s="13" t="s">
        <v>20</v>
      </c>
      <c r="G7" s="17" t="s">
        <v>277</v>
      </c>
      <c r="H7" s="18" t="s">
        <v>278</v>
      </c>
      <c r="I7" s="19" t="s">
        <v>23</v>
      </c>
      <c r="J7" s="48"/>
      <c r="K7" s="4" t="s">
        <v>125</v>
      </c>
      <c r="L7" s="47" t="s">
        <v>279</v>
      </c>
    </row>
    <row r="8" ht="75.75" customHeight="1" spans="1:11" x14ac:dyDescent="0.25">
      <c r="A8" s="13">
        <v>3</v>
      </c>
      <c r="B8" s="14" t="s">
        <v>267</v>
      </c>
      <c r="C8" s="15" t="s">
        <v>280</v>
      </c>
      <c r="D8" s="14" t="s">
        <v>281</v>
      </c>
      <c r="E8" s="16" t="s">
        <v>270</v>
      </c>
      <c r="F8" s="13" t="s">
        <v>20</v>
      </c>
      <c r="G8" s="17" t="s">
        <v>282</v>
      </c>
      <c r="H8" s="18" t="s">
        <v>283</v>
      </c>
      <c r="I8" s="19" t="s">
        <v>23</v>
      </c>
      <c r="J8" s="48"/>
      <c r="K8" s="4" t="s">
        <v>125</v>
      </c>
    </row>
    <row r="9" ht="96" customHeight="1" spans="1:11" x14ac:dyDescent="0.25">
      <c r="A9" s="13">
        <v>4</v>
      </c>
      <c r="B9" s="14" t="s">
        <v>267</v>
      </c>
      <c r="C9" s="15" t="s">
        <v>284</v>
      </c>
      <c r="D9" s="14" t="s">
        <v>285</v>
      </c>
      <c r="E9" s="16" t="s">
        <v>270</v>
      </c>
      <c r="F9" s="13" t="s">
        <v>53</v>
      </c>
      <c r="G9" s="17" t="s">
        <v>286</v>
      </c>
      <c r="H9" s="18" t="s">
        <v>287</v>
      </c>
      <c r="I9" s="19" t="s">
        <v>56</v>
      </c>
      <c r="J9" s="48" t="s">
        <v>288</v>
      </c>
      <c r="K9" s="4" t="s">
        <v>125</v>
      </c>
    </row>
    <row r="10" ht="85.5" customHeight="1" spans="1:12" s="27" customFormat="1" x14ac:dyDescent="0.25">
      <c r="A10" s="28">
        <v>5</v>
      </c>
      <c r="B10" s="29" t="s">
        <v>267</v>
      </c>
      <c r="C10" s="30" t="s">
        <v>289</v>
      </c>
      <c r="D10" s="29" t="s">
        <v>290</v>
      </c>
      <c r="E10" s="31" t="s">
        <v>291</v>
      </c>
      <c r="F10" s="28" t="s">
        <v>20</v>
      </c>
      <c r="G10" s="32" t="s">
        <v>292</v>
      </c>
      <c r="H10" s="38" t="s">
        <v>293</v>
      </c>
      <c r="I10" s="33" t="s">
        <v>23</v>
      </c>
      <c r="J10" s="49" t="s">
        <v>294</v>
      </c>
      <c r="K10" s="34" t="s">
        <v>295</v>
      </c>
      <c r="L10" s="50"/>
    </row>
    <row r="11" ht="24" customHeight="1" spans="1:11" x14ac:dyDescent="0.25">
      <c r="A11" s="13">
        <v>6</v>
      </c>
      <c r="B11" s="14" t="s">
        <v>296</v>
      </c>
      <c r="C11" s="15" t="s">
        <v>297</v>
      </c>
      <c r="D11" s="14" t="s">
        <v>298</v>
      </c>
      <c r="E11" s="16" t="s">
        <v>299</v>
      </c>
      <c r="F11" s="13" t="s">
        <v>291</v>
      </c>
      <c r="G11" s="17" t="s">
        <v>27</v>
      </c>
      <c r="H11" s="14" t="s">
        <v>27</v>
      </c>
      <c r="I11" s="19" t="s">
        <v>49</v>
      </c>
      <c r="J11" s="48" t="s">
        <v>300</v>
      </c>
      <c r="K11" s="4" t="s">
        <v>125</v>
      </c>
    </row>
    <row r="12" ht="84" customHeight="1" spans="1:12" x14ac:dyDescent="0.25">
      <c r="A12" s="20">
        <v>7</v>
      </c>
      <c r="B12" s="21" t="s">
        <v>296</v>
      </c>
      <c r="C12" s="22" t="s">
        <v>301</v>
      </c>
      <c r="D12" s="21" t="s">
        <v>302</v>
      </c>
      <c r="E12" s="23" t="s">
        <v>299</v>
      </c>
      <c r="F12" s="41" t="s">
        <v>303</v>
      </c>
      <c r="G12" s="42" t="s">
        <v>304</v>
      </c>
      <c r="H12" s="25" t="s">
        <v>305</v>
      </c>
      <c r="I12" s="43" t="s">
        <v>306</v>
      </c>
      <c r="J12" s="51" t="s">
        <v>307</v>
      </c>
      <c r="K12" s="1" t="s">
        <v>251</v>
      </c>
      <c r="L12" s="1" t="s">
        <v>308</v>
      </c>
    </row>
    <row r="13" ht="34.15" customHeight="1" spans="1:11" x14ac:dyDescent="0.25">
      <c r="A13" s="13">
        <v>8</v>
      </c>
      <c r="B13" s="14" t="s">
        <v>296</v>
      </c>
      <c r="C13" s="15" t="s">
        <v>309</v>
      </c>
      <c r="D13" s="14" t="s">
        <v>310</v>
      </c>
      <c r="E13" s="16" t="s">
        <v>41</v>
      </c>
      <c r="F13" s="13" t="s">
        <v>123</v>
      </c>
      <c r="G13" s="17" t="s">
        <v>311</v>
      </c>
      <c r="H13" s="18" t="s">
        <v>312</v>
      </c>
      <c r="I13" s="19" t="s">
        <v>34</v>
      </c>
      <c r="J13" s="48" t="s">
        <v>313</v>
      </c>
      <c r="K13" s="4" t="s">
        <v>125</v>
      </c>
    </row>
    <row r="14" spans="1:11" x14ac:dyDescent="0.25">
      <c r="A14" s="13">
        <v>9</v>
      </c>
      <c r="B14" s="14" t="s">
        <v>314</v>
      </c>
      <c r="C14" s="15" t="s">
        <v>315</v>
      </c>
      <c r="D14" s="14" t="s">
        <v>316</v>
      </c>
      <c r="E14" s="16" t="s">
        <v>317</v>
      </c>
      <c r="F14" s="13" t="s">
        <v>291</v>
      </c>
      <c r="G14" s="17" t="s">
        <v>27</v>
      </c>
      <c r="H14" s="14" t="s">
        <v>27</v>
      </c>
      <c r="I14" s="19" t="s">
        <v>49</v>
      </c>
      <c r="J14" s="48" t="s">
        <v>318</v>
      </c>
      <c r="K14" s="4" t="s">
        <v>125</v>
      </c>
    </row>
    <row r="15" ht="59.25" customHeight="1" spans="1:11" x14ac:dyDescent="0.25">
      <c r="A15" s="13">
        <v>10</v>
      </c>
      <c r="B15" s="14" t="s">
        <v>314</v>
      </c>
      <c r="C15" s="15" t="s">
        <v>319</v>
      </c>
      <c r="D15" s="14" t="s">
        <v>320</v>
      </c>
      <c r="E15" s="16" t="s">
        <v>317</v>
      </c>
      <c r="F15" s="44" t="s">
        <v>69</v>
      </c>
      <c r="G15" s="45" t="s">
        <v>321</v>
      </c>
      <c r="H15" s="18" t="s">
        <v>71</v>
      </c>
      <c r="I15" s="46" t="s">
        <v>322</v>
      </c>
      <c r="J15" s="48" t="s">
        <v>323</v>
      </c>
      <c r="K15" s="4" t="s">
        <v>251</v>
      </c>
    </row>
    <row r="16" ht="43.15" customHeight="1" spans="1:12" s="27" customFormat="1" x14ac:dyDescent="0.25">
      <c r="A16" s="20">
        <v>11</v>
      </c>
      <c r="B16" s="21" t="s">
        <v>314</v>
      </c>
      <c r="C16" s="22" t="s">
        <v>324</v>
      </c>
      <c r="D16" s="21" t="s">
        <v>325</v>
      </c>
      <c r="E16" s="23" t="s">
        <v>291</v>
      </c>
      <c r="F16" s="20" t="s">
        <v>291</v>
      </c>
      <c r="G16" s="24" t="s">
        <v>27</v>
      </c>
      <c r="H16" s="21" t="s">
        <v>27</v>
      </c>
      <c r="I16" s="26" t="s">
        <v>326</v>
      </c>
      <c r="J16" s="51" t="s">
        <v>327</v>
      </c>
      <c r="K16" s="1" t="s">
        <v>328</v>
      </c>
      <c r="L16" s="1" t="s">
        <v>329</v>
      </c>
    </row>
    <row r="17" ht="60.75" customHeight="1" spans="1:12" s="27" customFormat="1" x14ac:dyDescent="0.25">
      <c r="A17" s="28">
        <v>12</v>
      </c>
      <c r="B17" s="29" t="s">
        <v>330</v>
      </c>
      <c r="C17" s="30" t="s">
        <v>331</v>
      </c>
      <c r="D17" s="29" t="s">
        <v>332</v>
      </c>
      <c r="E17" s="31" t="s">
        <v>333</v>
      </c>
      <c r="F17" s="28" t="s">
        <v>53</v>
      </c>
      <c r="G17" s="32" t="s">
        <v>334</v>
      </c>
      <c r="H17" s="38" t="s">
        <v>335</v>
      </c>
      <c r="I17" s="33" t="s">
        <v>56</v>
      </c>
      <c r="J17" s="49" t="s">
        <v>336</v>
      </c>
      <c r="K17" s="34" t="s">
        <v>337</v>
      </c>
      <c r="L17" s="50"/>
    </row>
    <row r="18" ht="49.5" customHeight="1" spans="1:11" x14ac:dyDescent="0.25">
      <c r="A18" s="13">
        <v>13</v>
      </c>
      <c r="B18" s="14" t="s">
        <v>330</v>
      </c>
      <c r="C18" s="15" t="s">
        <v>338</v>
      </c>
      <c r="D18" s="14" t="s">
        <v>339</v>
      </c>
      <c r="E18" s="16" t="s">
        <v>333</v>
      </c>
      <c r="F18" s="13" t="s">
        <v>20</v>
      </c>
      <c r="G18" s="17" t="s">
        <v>340</v>
      </c>
      <c r="H18" s="18" t="s">
        <v>341</v>
      </c>
      <c r="I18" s="19" t="s">
        <v>23</v>
      </c>
      <c r="J18" s="48" t="s">
        <v>342</v>
      </c>
      <c r="K18" s="4" t="s">
        <v>125</v>
      </c>
    </row>
    <row r="19" ht="62.25" customHeight="1" spans="1:12" s="27" customFormat="1" x14ac:dyDescent="0.25">
      <c r="A19" s="28">
        <v>14</v>
      </c>
      <c r="B19" s="29" t="s">
        <v>330</v>
      </c>
      <c r="C19" s="30" t="s">
        <v>343</v>
      </c>
      <c r="D19" s="29" t="s">
        <v>344</v>
      </c>
      <c r="E19" s="31" t="s">
        <v>345</v>
      </c>
      <c r="F19" s="31" t="s">
        <v>346</v>
      </c>
      <c r="G19" s="32" t="s">
        <v>347</v>
      </c>
      <c r="H19" s="38" t="s">
        <v>348</v>
      </c>
      <c r="I19" s="33" t="s">
        <v>49</v>
      </c>
      <c r="J19" s="49" t="s">
        <v>349</v>
      </c>
      <c r="K19" s="34" t="s">
        <v>337</v>
      </c>
      <c r="L19" s="50"/>
    </row>
    <row r="20" ht="38.25" customHeight="1" spans="1:11" x14ac:dyDescent="0.25">
      <c r="A20" s="13">
        <v>15</v>
      </c>
      <c r="B20" s="14" t="s">
        <v>350</v>
      </c>
      <c r="C20" s="15" t="s">
        <v>351</v>
      </c>
      <c r="D20" s="14" t="s">
        <v>352</v>
      </c>
      <c r="E20" s="16" t="s">
        <v>353</v>
      </c>
      <c r="F20" s="13" t="s">
        <v>20</v>
      </c>
      <c r="G20" s="17" t="s">
        <v>354</v>
      </c>
      <c r="H20" s="18" t="s">
        <v>355</v>
      </c>
      <c r="I20" s="19" t="s">
        <v>23</v>
      </c>
      <c r="J20" s="48"/>
      <c r="K20" s="4" t="s">
        <v>125</v>
      </c>
    </row>
    <row r="21" ht="70.5" customHeight="1" spans="1:12" s="27" customFormat="1" x14ac:dyDescent="0.25">
      <c r="A21" s="28">
        <v>16</v>
      </c>
      <c r="B21" s="29" t="s">
        <v>350</v>
      </c>
      <c r="C21" s="30" t="s">
        <v>356</v>
      </c>
      <c r="D21" s="29" t="s">
        <v>357</v>
      </c>
      <c r="E21" s="31" t="s">
        <v>358</v>
      </c>
      <c r="F21" s="36" t="s">
        <v>303</v>
      </c>
      <c r="G21" s="37" t="s">
        <v>359</v>
      </c>
      <c r="H21" s="38" t="s">
        <v>360</v>
      </c>
      <c r="I21" s="39" t="s">
        <v>361</v>
      </c>
      <c r="J21" s="49" t="s">
        <v>362</v>
      </c>
      <c r="K21" s="34" t="s">
        <v>75</v>
      </c>
      <c r="L21" s="50"/>
    </row>
    <row r="22" ht="57" customHeight="1" spans="1:12" s="27" customFormat="1" x14ac:dyDescent="0.25">
      <c r="A22" s="28">
        <v>17</v>
      </c>
      <c r="B22" s="29" t="s">
        <v>350</v>
      </c>
      <c r="C22" s="30" t="s">
        <v>363</v>
      </c>
      <c r="D22" s="29" t="s">
        <v>364</v>
      </c>
      <c r="E22" s="31" t="s">
        <v>358</v>
      </c>
      <c r="F22" s="36" t="s">
        <v>365</v>
      </c>
      <c r="G22" s="37" t="s">
        <v>366</v>
      </c>
      <c r="H22" s="38" t="s">
        <v>367</v>
      </c>
      <c r="I22" s="39" t="s">
        <v>368</v>
      </c>
      <c r="J22" s="49" t="s">
        <v>369</v>
      </c>
      <c r="K22" s="34" t="s">
        <v>75</v>
      </c>
      <c r="L22" s="50"/>
    </row>
    <row r="23" ht="76.5" customHeight="1" spans="1:11" x14ac:dyDescent="0.25">
      <c r="A23" s="13">
        <v>18</v>
      </c>
      <c r="B23" s="14" t="s">
        <v>370</v>
      </c>
      <c r="C23" s="15" t="s">
        <v>371</v>
      </c>
      <c r="D23" s="14" t="s">
        <v>372</v>
      </c>
      <c r="E23" s="16" t="s">
        <v>291</v>
      </c>
      <c r="F23" s="13" t="s">
        <v>20</v>
      </c>
      <c r="G23" s="17" t="s">
        <v>373</v>
      </c>
      <c r="H23" s="18" t="s">
        <v>374</v>
      </c>
      <c r="I23" s="19" t="s">
        <v>23</v>
      </c>
      <c r="J23" s="48" t="s">
        <v>375</v>
      </c>
      <c r="K23" s="4" t="s">
        <v>125</v>
      </c>
    </row>
    <row r="24" ht="105.75" customHeight="1" spans="1:11" x14ac:dyDescent="0.25">
      <c r="A24" s="13">
        <v>19</v>
      </c>
      <c r="B24" s="14" t="s">
        <v>370</v>
      </c>
      <c r="C24" s="15" t="s">
        <v>376</v>
      </c>
      <c r="D24" s="14" t="s">
        <v>377</v>
      </c>
      <c r="E24" s="16" t="s">
        <v>291</v>
      </c>
      <c r="F24" s="13" t="s">
        <v>20</v>
      </c>
      <c r="G24" s="17" t="s">
        <v>378</v>
      </c>
      <c r="H24" s="18" t="s">
        <v>379</v>
      </c>
      <c r="I24" s="19" t="s">
        <v>23</v>
      </c>
      <c r="J24" s="48" t="s">
        <v>380</v>
      </c>
      <c r="K24" s="4" t="s">
        <v>125</v>
      </c>
    </row>
    <row r="25" ht="22.9" customHeight="1" spans="1:11" x14ac:dyDescent="0.25">
      <c r="A25" s="13">
        <v>20</v>
      </c>
      <c r="B25" s="14" t="s">
        <v>370</v>
      </c>
      <c r="C25" s="15" t="s">
        <v>381</v>
      </c>
      <c r="D25" s="14" t="s">
        <v>382</v>
      </c>
      <c r="E25" s="16" t="s">
        <v>33</v>
      </c>
      <c r="F25" s="13" t="s">
        <v>123</v>
      </c>
      <c r="G25" s="17" t="s">
        <v>27</v>
      </c>
      <c r="H25" s="14" t="s">
        <v>27</v>
      </c>
      <c r="I25" s="19" t="s">
        <v>34</v>
      </c>
      <c r="J25" s="48" t="s">
        <v>383</v>
      </c>
      <c r="K25" s="4" t="s">
        <v>125</v>
      </c>
    </row>
    <row r="26" ht="22.9" customHeight="1" spans="1:11" x14ac:dyDescent="0.25">
      <c r="A26" s="13">
        <v>21</v>
      </c>
      <c r="B26" s="14" t="s">
        <v>384</v>
      </c>
      <c r="C26" s="15" t="s">
        <v>385</v>
      </c>
      <c r="D26" s="14" t="s">
        <v>386</v>
      </c>
      <c r="E26" s="16" t="s">
        <v>387</v>
      </c>
      <c r="F26" s="13" t="s">
        <v>291</v>
      </c>
      <c r="G26" s="17" t="s">
        <v>27</v>
      </c>
      <c r="H26" s="14" t="s">
        <v>27</v>
      </c>
      <c r="I26" s="19" t="s">
        <v>49</v>
      </c>
      <c r="J26" s="48" t="s">
        <v>388</v>
      </c>
      <c r="K26" s="4" t="s">
        <v>125</v>
      </c>
    </row>
    <row r="27" ht="34.15" customHeight="1" spans="1:11" x14ac:dyDescent="0.25">
      <c r="A27" s="13">
        <v>22</v>
      </c>
      <c r="B27" s="14" t="s">
        <v>389</v>
      </c>
      <c r="C27" s="15" t="s">
        <v>390</v>
      </c>
      <c r="D27" s="14" t="s">
        <v>391</v>
      </c>
      <c r="E27" s="16" t="s">
        <v>392</v>
      </c>
      <c r="F27" s="13" t="s">
        <v>291</v>
      </c>
      <c r="G27" s="17" t="s">
        <v>27</v>
      </c>
      <c r="H27" s="14" t="s">
        <v>27</v>
      </c>
      <c r="I27" s="19" t="s">
        <v>49</v>
      </c>
      <c r="J27" s="48" t="s">
        <v>393</v>
      </c>
      <c r="K27" s="4" t="s">
        <v>125</v>
      </c>
    </row>
    <row r="28" spans="1:11" x14ac:dyDescent="0.25">
      <c r="A28" s="9" t="s">
        <v>394</v>
      </c>
      <c r="B28" s="10"/>
      <c r="C28" s="10"/>
      <c r="D28" s="10"/>
      <c r="E28" s="10"/>
      <c r="F28" s="10"/>
      <c r="G28" s="10"/>
      <c r="H28" s="10"/>
      <c r="I28" s="10"/>
      <c r="J28" s="11"/>
      <c r="K28" s="12"/>
    </row>
    <row r="29" spans="1:11" x14ac:dyDescent="0.25">
      <c r="A29" s="13">
        <v>23</v>
      </c>
      <c r="B29" s="14" t="s">
        <v>395</v>
      </c>
      <c r="C29" s="15" t="s">
        <v>396</v>
      </c>
      <c r="D29" s="14" t="s">
        <v>397</v>
      </c>
      <c r="E29" s="16" t="s">
        <v>398</v>
      </c>
      <c r="F29" s="13" t="s">
        <v>41</v>
      </c>
      <c r="G29" s="17" t="s">
        <v>27</v>
      </c>
      <c r="H29" s="14" t="s">
        <v>27</v>
      </c>
      <c r="I29" s="19" t="s">
        <v>49</v>
      </c>
      <c r="J29" s="48" t="s">
        <v>399</v>
      </c>
      <c r="K29" s="4" t="s">
        <v>125</v>
      </c>
    </row>
    <row r="30" ht="81.75" customHeight="1" spans="1:11" x14ac:dyDescent="0.25">
      <c r="A30" s="13">
        <v>24</v>
      </c>
      <c r="B30" s="14" t="s">
        <v>395</v>
      </c>
      <c r="C30" s="15" t="s">
        <v>400</v>
      </c>
      <c r="D30" s="14" t="s">
        <v>401</v>
      </c>
      <c r="E30" s="16" t="s">
        <v>299</v>
      </c>
      <c r="F30" s="13" t="s">
        <v>402</v>
      </c>
      <c r="G30" s="17" t="s">
        <v>403</v>
      </c>
      <c r="H30" s="14" t="s">
        <v>27</v>
      </c>
      <c r="I30" s="19" t="s">
        <v>34</v>
      </c>
      <c r="J30" s="48" t="s">
        <v>404</v>
      </c>
      <c r="K30" s="4" t="s">
        <v>125</v>
      </c>
    </row>
    <row r="31" ht="39" customHeight="1" spans="1:11" x14ac:dyDescent="0.25">
      <c r="A31" s="13">
        <v>25</v>
      </c>
      <c r="B31" s="14" t="s">
        <v>395</v>
      </c>
      <c r="C31" s="15" t="s">
        <v>405</v>
      </c>
      <c r="D31" s="14" t="s">
        <v>406</v>
      </c>
      <c r="E31" s="16" t="s">
        <v>299</v>
      </c>
      <c r="F31" s="13" t="s">
        <v>402</v>
      </c>
      <c r="G31" s="17" t="s">
        <v>403</v>
      </c>
      <c r="H31" s="14" t="s">
        <v>27</v>
      </c>
      <c r="I31" s="19" t="s">
        <v>34</v>
      </c>
      <c r="J31" s="48" t="s">
        <v>407</v>
      </c>
      <c r="K31" s="4" t="s">
        <v>125</v>
      </c>
    </row>
    <row r="32" ht="44.25" customHeight="1" spans="1:11" x14ac:dyDescent="0.25">
      <c r="A32" s="13">
        <v>26</v>
      </c>
      <c r="B32" s="14" t="s">
        <v>395</v>
      </c>
      <c r="C32" s="15" t="s">
        <v>408</v>
      </c>
      <c r="D32" s="14" t="s">
        <v>409</v>
      </c>
      <c r="E32" s="16" t="s">
        <v>291</v>
      </c>
      <c r="F32" s="13" t="s">
        <v>291</v>
      </c>
      <c r="G32" s="17" t="s">
        <v>27</v>
      </c>
      <c r="H32" s="14" t="s">
        <v>27</v>
      </c>
      <c r="I32" s="19" t="s">
        <v>109</v>
      </c>
      <c r="J32" s="48" t="s">
        <v>410</v>
      </c>
      <c r="K32" s="4" t="s">
        <v>411</v>
      </c>
    </row>
    <row r="33" ht="34.15" customHeight="1" spans="1:11" x14ac:dyDescent="0.25">
      <c r="A33" s="13">
        <v>27</v>
      </c>
      <c r="B33" s="14" t="s">
        <v>412</v>
      </c>
      <c r="C33" s="15" t="s">
        <v>413</v>
      </c>
      <c r="D33" s="14" t="s">
        <v>414</v>
      </c>
      <c r="E33" s="16" t="s">
        <v>415</v>
      </c>
      <c r="F33" s="13" t="s">
        <v>291</v>
      </c>
      <c r="G33" s="17" t="s">
        <v>416</v>
      </c>
      <c r="H33" s="14" t="s">
        <v>27</v>
      </c>
      <c r="I33" s="19" t="s">
        <v>49</v>
      </c>
      <c r="J33" s="48" t="s">
        <v>417</v>
      </c>
      <c r="K33" s="4" t="s">
        <v>411</v>
      </c>
    </row>
    <row r="34" ht="24" customHeight="1" spans="1:11" x14ac:dyDescent="0.25">
      <c r="A34" s="13">
        <v>28</v>
      </c>
      <c r="B34" s="14" t="s">
        <v>412</v>
      </c>
      <c r="C34" s="15" t="s">
        <v>418</v>
      </c>
      <c r="D34" s="14" t="s">
        <v>419</v>
      </c>
      <c r="E34" s="16" t="s">
        <v>415</v>
      </c>
      <c r="F34" s="13" t="s">
        <v>291</v>
      </c>
      <c r="G34" s="17" t="s">
        <v>27</v>
      </c>
      <c r="H34" s="14" t="s">
        <v>27</v>
      </c>
      <c r="I34" s="19" t="s">
        <v>49</v>
      </c>
      <c r="J34" s="48" t="s">
        <v>420</v>
      </c>
      <c r="K34" s="4" t="s">
        <v>411</v>
      </c>
    </row>
    <row r="35" ht="28.9" customHeight="1" spans="1:11" x14ac:dyDescent="0.25">
      <c r="A35" s="13">
        <v>29</v>
      </c>
      <c r="B35" s="14" t="s">
        <v>412</v>
      </c>
      <c r="C35" s="15" t="s">
        <v>421</v>
      </c>
      <c r="D35" s="14" t="s">
        <v>422</v>
      </c>
      <c r="E35" s="16" t="s">
        <v>423</v>
      </c>
      <c r="F35" s="13" t="s">
        <v>53</v>
      </c>
      <c r="G35" s="17" t="s">
        <v>424</v>
      </c>
      <c r="H35" s="18" t="s">
        <v>425</v>
      </c>
      <c r="I35" s="19" t="s">
        <v>56</v>
      </c>
      <c r="J35" s="48" t="s">
        <v>426</v>
      </c>
      <c r="K35" s="4" t="s">
        <v>427</v>
      </c>
    </row>
    <row r="36" spans="1:11" x14ac:dyDescent="0.25">
      <c r="A36" s="9" t="s">
        <v>428</v>
      </c>
      <c r="B36" s="10"/>
      <c r="C36" s="10"/>
      <c r="D36" s="10"/>
      <c r="E36" s="10"/>
      <c r="F36" s="10"/>
      <c r="G36" s="10"/>
      <c r="H36" s="10"/>
      <c r="I36" s="10"/>
      <c r="J36" s="11"/>
      <c r="K36" s="12"/>
    </row>
    <row r="37" ht="28.9" customHeight="1" spans="1:11" x14ac:dyDescent="0.25">
      <c r="A37" s="13">
        <v>30</v>
      </c>
      <c r="B37" s="14" t="s">
        <v>429</v>
      </c>
      <c r="C37" s="15" t="s">
        <v>430</v>
      </c>
      <c r="D37" s="14" t="s">
        <v>431</v>
      </c>
      <c r="E37" s="16" t="s">
        <v>317</v>
      </c>
      <c r="F37" s="13" t="s">
        <v>432</v>
      </c>
      <c r="G37" s="17" t="s">
        <v>433</v>
      </c>
      <c r="H37" s="18" t="s">
        <v>71</v>
      </c>
      <c r="I37" s="19" t="s">
        <v>34</v>
      </c>
      <c r="J37" s="48" t="s">
        <v>434</v>
      </c>
      <c r="K37" s="4" t="s">
        <v>435</v>
      </c>
    </row>
    <row r="38" ht="119.25" customHeight="1" spans="1:11" x14ac:dyDescent="0.25">
      <c r="A38" s="13">
        <v>31</v>
      </c>
      <c r="B38" s="14" t="s">
        <v>429</v>
      </c>
      <c r="C38" s="15" t="s">
        <v>436</v>
      </c>
      <c r="D38" s="14" t="s">
        <v>437</v>
      </c>
      <c r="E38" s="16" t="s">
        <v>438</v>
      </c>
      <c r="F38" s="44" t="s">
        <v>78</v>
      </c>
      <c r="G38" s="45" t="s">
        <v>439</v>
      </c>
      <c r="H38" s="18" t="s">
        <v>440</v>
      </c>
      <c r="I38" s="46" t="s">
        <v>137</v>
      </c>
      <c r="J38" s="48" t="s">
        <v>441</v>
      </c>
      <c r="K38" s="4" t="s">
        <v>251</v>
      </c>
    </row>
    <row r="39" ht="45.6" customHeight="1" spans="1:11" x14ac:dyDescent="0.25">
      <c r="A39" s="13">
        <v>32</v>
      </c>
      <c r="B39" s="14" t="s">
        <v>429</v>
      </c>
      <c r="C39" s="15" t="s">
        <v>442</v>
      </c>
      <c r="D39" s="14" t="s">
        <v>443</v>
      </c>
      <c r="E39" s="16" t="s">
        <v>444</v>
      </c>
      <c r="F39" s="13" t="s">
        <v>291</v>
      </c>
      <c r="G39" s="17" t="s">
        <v>27</v>
      </c>
      <c r="H39" s="14" t="s">
        <v>27</v>
      </c>
      <c r="I39" s="19" t="s">
        <v>49</v>
      </c>
      <c r="J39" s="48" t="s">
        <v>445</v>
      </c>
      <c r="K39" s="4" t="s">
        <v>446</v>
      </c>
    </row>
    <row r="40" ht="28.9" customHeight="1" spans="1:11" x14ac:dyDescent="0.25">
      <c r="A40" s="13">
        <v>33</v>
      </c>
      <c r="B40" s="14" t="s">
        <v>429</v>
      </c>
      <c r="C40" s="15" t="s">
        <v>447</v>
      </c>
      <c r="D40" s="14" t="s">
        <v>448</v>
      </c>
      <c r="E40" s="16" t="s">
        <v>41</v>
      </c>
      <c r="F40" s="44" t="s">
        <v>69</v>
      </c>
      <c r="G40" s="45" t="s">
        <v>449</v>
      </c>
      <c r="H40" s="18" t="s">
        <v>450</v>
      </c>
      <c r="I40" s="46" t="s">
        <v>451</v>
      </c>
      <c r="J40" s="48" t="s">
        <v>452</v>
      </c>
      <c r="K40" s="4" t="s">
        <v>251</v>
      </c>
    </row>
    <row r="41" spans="1:11" x14ac:dyDescent="0.25">
      <c r="A41" s="9" t="s">
        <v>453</v>
      </c>
      <c r="B41" s="10"/>
      <c r="C41" s="10"/>
      <c r="D41" s="10"/>
      <c r="E41" s="10"/>
      <c r="F41" s="10"/>
      <c r="G41" s="10"/>
      <c r="H41" s="10"/>
      <c r="I41" s="10"/>
      <c r="J41" s="11"/>
      <c r="K41" s="12"/>
    </row>
    <row r="42" ht="60" customHeight="1" spans="1:12" s="27" customFormat="1" x14ac:dyDescent="0.25">
      <c r="A42" s="28">
        <v>34</v>
      </c>
      <c r="B42" s="29" t="s">
        <v>454</v>
      </c>
      <c r="C42" s="30" t="s">
        <v>455</v>
      </c>
      <c r="D42" s="29" t="s">
        <v>456</v>
      </c>
      <c r="E42" s="31" t="s">
        <v>333</v>
      </c>
      <c r="F42" s="28" t="s">
        <v>457</v>
      </c>
      <c r="G42" s="32" t="s">
        <v>458</v>
      </c>
      <c r="H42" s="29" t="s">
        <v>27</v>
      </c>
      <c r="I42" s="33" t="s">
        <v>56</v>
      </c>
      <c r="J42" s="49" t="s">
        <v>459</v>
      </c>
      <c r="K42" s="34" t="s">
        <v>146</v>
      </c>
      <c r="L42" s="50"/>
    </row>
    <row r="43" ht="92.25" customHeight="1" spans="1:12" s="27" customFormat="1" x14ac:dyDescent="0.25">
      <c r="A43" s="28">
        <v>35</v>
      </c>
      <c r="B43" s="29" t="s">
        <v>454</v>
      </c>
      <c r="C43" s="30" t="s">
        <v>460</v>
      </c>
      <c r="D43" s="29" t="s">
        <v>461</v>
      </c>
      <c r="E43" s="31" t="s">
        <v>462</v>
      </c>
      <c r="F43" s="52" t="s">
        <v>303</v>
      </c>
      <c r="G43" s="37" t="s">
        <v>463</v>
      </c>
      <c r="H43" s="38" t="s">
        <v>464</v>
      </c>
      <c r="I43" s="39" t="s">
        <v>465</v>
      </c>
      <c r="J43" s="49"/>
      <c r="K43" s="34" t="s">
        <v>466</v>
      </c>
      <c r="L43" s="50"/>
    </row>
    <row r="44" ht="78.75" customHeight="1" spans="1:12" s="27" customFormat="1" x14ac:dyDescent="0.25">
      <c r="A44" s="28">
        <v>36</v>
      </c>
      <c r="B44" s="29" t="s">
        <v>454</v>
      </c>
      <c r="C44" s="30" t="s">
        <v>467</v>
      </c>
      <c r="D44" s="29" t="s">
        <v>468</v>
      </c>
      <c r="E44" s="31" t="s">
        <v>358</v>
      </c>
      <c r="F44" s="52" t="s">
        <v>303</v>
      </c>
      <c r="G44" s="37" t="s">
        <v>469</v>
      </c>
      <c r="H44" s="38" t="s">
        <v>470</v>
      </c>
      <c r="I44" s="39" t="s">
        <v>471</v>
      </c>
      <c r="J44" s="49"/>
      <c r="K44" s="34" t="s">
        <v>466</v>
      </c>
      <c r="L44" s="50"/>
    </row>
    <row r="45" ht="28.9" customHeight="1" spans="1:11" x14ac:dyDescent="0.25">
      <c r="A45" s="13">
        <v>37</v>
      </c>
      <c r="B45" s="14" t="s">
        <v>454</v>
      </c>
      <c r="C45" s="15" t="s">
        <v>472</v>
      </c>
      <c r="D45" s="14" t="s">
        <v>473</v>
      </c>
      <c r="E45" s="16" t="s">
        <v>358</v>
      </c>
      <c r="F45" s="13" t="s">
        <v>291</v>
      </c>
      <c r="G45" s="17" t="s">
        <v>27</v>
      </c>
      <c r="H45" s="14" t="s">
        <v>27</v>
      </c>
      <c r="I45" s="19" t="s">
        <v>49</v>
      </c>
      <c r="J45" s="48" t="s">
        <v>474</v>
      </c>
      <c r="K45" s="4" t="s">
        <v>446</v>
      </c>
    </row>
    <row r="46" ht="93.75" customHeight="1" spans="1:11" x14ac:dyDescent="0.25">
      <c r="A46" s="13">
        <v>38</v>
      </c>
      <c r="B46" s="14" t="s">
        <v>454</v>
      </c>
      <c r="C46" s="15" t="s">
        <v>475</v>
      </c>
      <c r="D46" s="14" t="s">
        <v>476</v>
      </c>
      <c r="E46" s="16" t="s">
        <v>358</v>
      </c>
      <c r="F46" s="13" t="s">
        <v>20</v>
      </c>
      <c r="G46" s="17" t="s">
        <v>477</v>
      </c>
      <c r="H46" s="18" t="s">
        <v>478</v>
      </c>
      <c r="I46" s="19" t="s">
        <v>23</v>
      </c>
      <c r="J46" s="48" t="s">
        <v>479</v>
      </c>
      <c r="K46" s="4" t="s">
        <v>125</v>
      </c>
    </row>
    <row r="47" spans="1:11" x14ac:dyDescent="0.25">
      <c r="A47" s="9" t="s">
        <v>480</v>
      </c>
      <c r="B47" s="10"/>
      <c r="C47" s="10"/>
      <c r="D47" s="10"/>
      <c r="E47" s="10"/>
      <c r="F47" s="10"/>
      <c r="G47" s="10"/>
      <c r="H47" s="10"/>
      <c r="I47" s="10"/>
      <c r="J47" s="11"/>
      <c r="K47" s="12"/>
    </row>
    <row r="48" ht="78.75" customHeight="1" spans="1:11" x14ac:dyDescent="0.25">
      <c r="A48" s="13">
        <v>39</v>
      </c>
      <c r="B48" s="14" t="s">
        <v>481</v>
      </c>
      <c r="C48" s="15" t="s">
        <v>482</v>
      </c>
      <c r="D48" s="14" t="s">
        <v>483</v>
      </c>
      <c r="E48" s="16" t="s">
        <v>484</v>
      </c>
      <c r="F48" s="13" t="s">
        <v>20</v>
      </c>
      <c r="G48" s="17" t="s">
        <v>485</v>
      </c>
      <c r="H48" s="18" t="s">
        <v>486</v>
      </c>
      <c r="I48" s="19" t="s">
        <v>23</v>
      </c>
      <c r="J48" s="48" t="s">
        <v>487</v>
      </c>
      <c r="K48" s="4" t="s">
        <v>125</v>
      </c>
    </row>
    <row r="49" ht="57" customHeight="1" spans="1:11" x14ac:dyDescent="0.25">
      <c r="A49" s="13">
        <v>40</v>
      </c>
      <c r="B49" s="14" t="s">
        <v>481</v>
      </c>
      <c r="C49" s="15" t="s">
        <v>488</v>
      </c>
      <c r="D49" s="14" t="s">
        <v>489</v>
      </c>
      <c r="E49" s="16" t="s">
        <v>490</v>
      </c>
      <c r="F49" s="13" t="s">
        <v>20</v>
      </c>
      <c r="G49" s="17" t="s">
        <v>491</v>
      </c>
      <c r="H49" s="18" t="s">
        <v>492</v>
      </c>
      <c r="I49" s="19" t="s">
        <v>23</v>
      </c>
      <c r="J49" s="48"/>
      <c r="K49" s="4" t="s">
        <v>125</v>
      </c>
    </row>
    <row r="50" ht="57" customHeight="1" spans="1:11" x14ac:dyDescent="0.25">
      <c r="A50" s="13">
        <v>41</v>
      </c>
      <c r="B50" s="14" t="s">
        <v>481</v>
      </c>
      <c r="C50" s="15" t="s">
        <v>493</v>
      </c>
      <c r="D50" s="14" t="s">
        <v>494</v>
      </c>
      <c r="E50" s="16" t="s">
        <v>490</v>
      </c>
      <c r="F50" s="13" t="s">
        <v>20</v>
      </c>
      <c r="G50" s="17" t="s">
        <v>495</v>
      </c>
      <c r="H50" s="18" t="s">
        <v>496</v>
      </c>
      <c r="I50" s="19" t="s">
        <v>23</v>
      </c>
      <c r="J50" s="48"/>
      <c r="K50" s="4" t="s">
        <v>125</v>
      </c>
    </row>
    <row r="51" ht="90" customHeight="1" spans="1:12" s="27" customFormat="1" x14ac:dyDescent="0.25">
      <c r="A51" s="28">
        <v>42</v>
      </c>
      <c r="B51" s="29" t="s">
        <v>481</v>
      </c>
      <c r="C51" s="30" t="s">
        <v>497</v>
      </c>
      <c r="D51" s="29" t="s">
        <v>498</v>
      </c>
      <c r="E51" s="31" t="s">
        <v>490</v>
      </c>
      <c r="F51" s="28" t="s">
        <v>20</v>
      </c>
      <c r="G51" s="32" t="s">
        <v>499</v>
      </c>
      <c r="H51" s="38" t="s">
        <v>500</v>
      </c>
      <c r="I51" s="33" t="s">
        <v>23</v>
      </c>
      <c r="J51" s="49" t="s">
        <v>501</v>
      </c>
      <c r="K51" s="34" t="s">
        <v>502</v>
      </c>
      <c r="L51" s="50"/>
    </row>
    <row r="52" ht="57" customHeight="1" spans="1:12" s="27" customFormat="1" x14ac:dyDescent="0.25">
      <c r="A52" s="28">
        <v>43</v>
      </c>
      <c r="B52" s="29" t="s">
        <v>481</v>
      </c>
      <c r="C52" s="30" t="s">
        <v>503</v>
      </c>
      <c r="D52" s="29" t="s">
        <v>504</v>
      </c>
      <c r="E52" s="31" t="s">
        <v>490</v>
      </c>
      <c r="F52" s="28" t="s">
        <v>20</v>
      </c>
      <c r="G52" s="32" t="s">
        <v>505</v>
      </c>
      <c r="H52" s="38" t="s">
        <v>506</v>
      </c>
      <c r="I52" s="33" t="s">
        <v>23</v>
      </c>
      <c r="J52" s="49"/>
      <c r="K52" s="34" t="s">
        <v>502</v>
      </c>
      <c r="L52" s="50"/>
    </row>
    <row r="53" ht="57" customHeight="1" spans="1:11" x14ac:dyDescent="0.25">
      <c r="A53" s="13">
        <v>44</v>
      </c>
      <c r="B53" s="14" t="s">
        <v>481</v>
      </c>
      <c r="C53" s="15" t="s">
        <v>507</v>
      </c>
      <c r="D53" s="14" t="s">
        <v>508</v>
      </c>
      <c r="E53" s="16" t="s">
        <v>490</v>
      </c>
      <c r="F53" s="13" t="s">
        <v>20</v>
      </c>
      <c r="G53" s="17" t="s">
        <v>509</v>
      </c>
      <c r="H53" s="18" t="s">
        <v>510</v>
      </c>
      <c r="I53" s="19" t="s">
        <v>23</v>
      </c>
      <c r="J53" s="48"/>
      <c r="K53" s="4" t="s">
        <v>125</v>
      </c>
    </row>
    <row r="54" ht="57" customHeight="1" spans="1:11" x14ac:dyDescent="0.25">
      <c r="A54" s="13">
        <v>45</v>
      </c>
      <c r="B54" s="14" t="s">
        <v>481</v>
      </c>
      <c r="C54" s="15" t="s">
        <v>511</v>
      </c>
      <c r="D54" s="14" t="s">
        <v>512</v>
      </c>
      <c r="E54" s="16" t="s">
        <v>490</v>
      </c>
      <c r="F54" s="13" t="s">
        <v>20</v>
      </c>
      <c r="G54" s="17" t="s">
        <v>513</v>
      </c>
      <c r="H54" s="18" t="s">
        <v>514</v>
      </c>
      <c r="I54" s="19" t="s">
        <v>23</v>
      </c>
      <c r="J54" s="48"/>
      <c r="K54" s="4" t="s">
        <v>125</v>
      </c>
    </row>
    <row r="55" ht="99" customHeight="1" spans="1:11" x14ac:dyDescent="0.25">
      <c r="A55" s="13">
        <v>46</v>
      </c>
      <c r="B55" s="14" t="s">
        <v>481</v>
      </c>
      <c r="C55" s="15" t="s">
        <v>515</v>
      </c>
      <c r="D55" s="14" t="s">
        <v>516</v>
      </c>
      <c r="E55" s="16" t="s">
        <v>490</v>
      </c>
      <c r="F55" s="13" t="s">
        <v>20</v>
      </c>
      <c r="G55" s="17" t="s">
        <v>517</v>
      </c>
      <c r="H55" s="18" t="s">
        <v>518</v>
      </c>
      <c r="I55" s="19" t="s">
        <v>23</v>
      </c>
      <c r="J55" s="48" t="s">
        <v>519</v>
      </c>
      <c r="K55" s="4" t="s">
        <v>125</v>
      </c>
    </row>
    <row r="56" ht="57" customHeight="1" spans="1:12" s="27" customFormat="1" x14ac:dyDescent="0.25">
      <c r="A56" s="28">
        <v>47</v>
      </c>
      <c r="B56" s="29" t="s">
        <v>481</v>
      </c>
      <c r="C56" s="30" t="s">
        <v>520</v>
      </c>
      <c r="D56" s="29" t="s">
        <v>521</v>
      </c>
      <c r="E56" s="31" t="s">
        <v>490</v>
      </c>
      <c r="F56" s="28" t="s">
        <v>20</v>
      </c>
      <c r="G56" s="32" t="s">
        <v>522</v>
      </c>
      <c r="H56" s="38" t="s">
        <v>523</v>
      </c>
      <c r="I56" s="33" t="s">
        <v>23</v>
      </c>
      <c r="J56" s="49" t="s">
        <v>524</v>
      </c>
      <c r="K56" s="34" t="s">
        <v>502</v>
      </c>
      <c r="L56" s="50"/>
    </row>
    <row r="57" ht="57" customHeight="1" spans="1:11" x14ac:dyDescent="0.25">
      <c r="A57" s="13">
        <v>48</v>
      </c>
      <c r="B57" s="14" t="s">
        <v>481</v>
      </c>
      <c r="C57" s="15" t="s">
        <v>525</v>
      </c>
      <c r="D57" s="14" t="s">
        <v>526</v>
      </c>
      <c r="E57" s="16" t="s">
        <v>33</v>
      </c>
      <c r="F57" s="13" t="s">
        <v>123</v>
      </c>
      <c r="G57" s="17" t="s">
        <v>27</v>
      </c>
      <c r="H57" s="14" t="s">
        <v>27</v>
      </c>
      <c r="I57" s="19" t="s">
        <v>34</v>
      </c>
      <c r="J57" s="48" t="s">
        <v>527</v>
      </c>
      <c r="K57" s="4" t="s">
        <v>125</v>
      </c>
    </row>
    <row r="58" ht="90.75" customHeight="1" spans="1:11" x14ac:dyDescent="0.25">
      <c r="A58" s="13">
        <v>49</v>
      </c>
      <c r="B58" s="14" t="s">
        <v>481</v>
      </c>
      <c r="C58" s="15" t="s">
        <v>528</v>
      </c>
      <c r="D58" s="14" t="s">
        <v>529</v>
      </c>
      <c r="E58" s="16" t="s">
        <v>490</v>
      </c>
      <c r="F58" s="13" t="s">
        <v>20</v>
      </c>
      <c r="G58" s="17" t="s">
        <v>530</v>
      </c>
      <c r="H58" s="18" t="s">
        <v>531</v>
      </c>
      <c r="I58" s="19" t="s">
        <v>23</v>
      </c>
      <c r="J58" s="48"/>
      <c r="K58" s="4" t="s">
        <v>125</v>
      </c>
    </row>
    <row r="59" ht="57" customHeight="1" spans="1:11" x14ac:dyDescent="0.25">
      <c r="A59" s="13">
        <v>50</v>
      </c>
      <c r="B59" s="14" t="s">
        <v>481</v>
      </c>
      <c r="C59" s="15" t="s">
        <v>532</v>
      </c>
      <c r="D59" s="14" t="s">
        <v>533</v>
      </c>
      <c r="E59" s="16" t="s">
        <v>490</v>
      </c>
      <c r="F59" s="13" t="s">
        <v>20</v>
      </c>
      <c r="G59" s="17" t="s">
        <v>534</v>
      </c>
      <c r="H59" s="18" t="s">
        <v>535</v>
      </c>
      <c r="I59" s="19" t="s">
        <v>23</v>
      </c>
      <c r="J59" s="48"/>
      <c r="K59" s="4" t="s">
        <v>125</v>
      </c>
    </row>
    <row r="60" ht="57" customHeight="1" spans="1:11" x14ac:dyDescent="0.25">
      <c r="A60" s="13">
        <v>51</v>
      </c>
      <c r="B60" s="14" t="s">
        <v>481</v>
      </c>
      <c r="C60" s="15" t="s">
        <v>536</v>
      </c>
      <c r="D60" s="14" t="s">
        <v>537</v>
      </c>
      <c r="E60" s="16" t="s">
        <v>33</v>
      </c>
      <c r="F60" s="13" t="s">
        <v>123</v>
      </c>
      <c r="G60" s="17" t="s">
        <v>27</v>
      </c>
      <c r="H60" s="14" t="s">
        <v>27</v>
      </c>
      <c r="I60" s="19" t="s">
        <v>34</v>
      </c>
      <c r="J60" s="48" t="s">
        <v>538</v>
      </c>
      <c r="K60" s="4" t="s">
        <v>125</v>
      </c>
    </row>
    <row r="61" ht="62.25" customHeight="1" spans="1:12" s="27" customFormat="1" x14ac:dyDescent="0.25">
      <c r="A61" s="28">
        <v>52</v>
      </c>
      <c r="B61" s="29" t="s">
        <v>481</v>
      </c>
      <c r="C61" s="30" t="s">
        <v>539</v>
      </c>
      <c r="D61" s="29" t="s">
        <v>540</v>
      </c>
      <c r="E61" s="31" t="s">
        <v>291</v>
      </c>
      <c r="F61" s="28" t="s">
        <v>541</v>
      </c>
      <c r="G61" s="32" t="s">
        <v>27</v>
      </c>
      <c r="H61" s="29" t="s">
        <v>27</v>
      </c>
      <c r="I61" s="33" t="s">
        <v>109</v>
      </c>
      <c r="J61" s="49" t="s">
        <v>542</v>
      </c>
      <c r="K61" s="34" t="s">
        <v>543</v>
      </c>
      <c r="L61" s="50"/>
    </row>
    <row r="62" ht="81" customHeight="1" spans="1:11" x14ac:dyDescent="0.25">
      <c r="A62" s="13">
        <v>53</v>
      </c>
      <c r="B62" s="14" t="s">
        <v>481</v>
      </c>
      <c r="C62" s="15" t="s">
        <v>544</v>
      </c>
      <c r="D62" s="14" t="s">
        <v>545</v>
      </c>
      <c r="E62" s="16" t="s">
        <v>41</v>
      </c>
      <c r="F62" s="13" t="s">
        <v>20</v>
      </c>
      <c r="G62" s="17" t="s">
        <v>546</v>
      </c>
      <c r="H62" s="18" t="s">
        <v>547</v>
      </c>
      <c r="I62" s="19" t="s">
        <v>23</v>
      </c>
      <c r="J62" s="48" t="s">
        <v>548</v>
      </c>
      <c r="K62" s="4" t="s">
        <v>125</v>
      </c>
    </row>
    <row r="63" spans="1:11" x14ac:dyDescent="0.25">
      <c r="A63" s="9" t="s">
        <v>549</v>
      </c>
      <c r="B63" s="10"/>
      <c r="C63" s="10"/>
      <c r="D63" s="10"/>
      <c r="E63" s="10"/>
      <c r="F63" s="10"/>
      <c r="G63" s="10"/>
      <c r="H63" s="10"/>
      <c r="I63" s="10"/>
      <c r="J63" s="11"/>
      <c r="K63" s="12"/>
    </row>
    <row r="64" ht="46.5" customHeight="1" spans="1:11" x14ac:dyDescent="0.25">
      <c r="A64" s="13">
        <v>54</v>
      </c>
      <c r="B64" s="14" t="s">
        <v>550</v>
      </c>
      <c r="C64" s="15" t="s">
        <v>551</v>
      </c>
      <c r="D64" s="14" t="s">
        <v>552</v>
      </c>
      <c r="E64" s="16" t="s">
        <v>553</v>
      </c>
      <c r="F64" s="13" t="s">
        <v>20</v>
      </c>
      <c r="G64" s="17" t="s">
        <v>554</v>
      </c>
      <c r="H64" s="18" t="s">
        <v>555</v>
      </c>
      <c r="I64" s="19" t="s">
        <v>23</v>
      </c>
      <c r="J64" s="48" t="s">
        <v>556</v>
      </c>
      <c r="K64" s="4" t="s">
        <v>125</v>
      </c>
    </row>
    <row r="65" ht="46.5" customHeight="1" spans="1:11" x14ac:dyDescent="0.25">
      <c r="A65" s="13">
        <v>55</v>
      </c>
      <c r="B65" s="14" t="s">
        <v>550</v>
      </c>
      <c r="C65" s="15" t="s">
        <v>557</v>
      </c>
      <c r="D65" s="14" t="s">
        <v>558</v>
      </c>
      <c r="E65" s="16" t="s">
        <v>553</v>
      </c>
      <c r="F65" s="13" t="s">
        <v>20</v>
      </c>
      <c r="G65" s="17" t="s">
        <v>203</v>
      </c>
      <c r="H65" s="18" t="s">
        <v>559</v>
      </c>
      <c r="I65" s="19" t="s">
        <v>23</v>
      </c>
      <c r="J65" s="48" t="s">
        <v>560</v>
      </c>
      <c r="K65" s="4" t="s">
        <v>125</v>
      </c>
    </row>
    <row r="66" ht="46.5" customHeight="1" spans="1:11" x14ac:dyDescent="0.25">
      <c r="A66" s="13">
        <v>56</v>
      </c>
      <c r="B66" s="14" t="s">
        <v>550</v>
      </c>
      <c r="C66" s="15" t="s">
        <v>561</v>
      </c>
      <c r="D66" s="14" t="s">
        <v>562</v>
      </c>
      <c r="E66" s="16" t="s">
        <v>553</v>
      </c>
      <c r="F66" s="13" t="s">
        <v>20</v>
      </c>
      <c r="G66" s="17" t="s">
        <v>563</v>
      </c>
      <c r="H66" s="18" t="s">
        <v>564</v>
      </c>
      <c r="I66" s="19" t="s">
        <v>34</v>
      </c>
      <c r="J66" s="48" t="s">
        <v>565</v>
      </c>
      <c r="K66" s="4" t="s">
        <v>125</v>
      </c>
    </row>
    <row r="67" ht="75.75" customHeight="1" spans="1:12" s="27" customFormat="1" x14ac:dyDescent="0.25">
      <c r="A67" s="28">
        <v>57</v>
      </c>
      <c r="B67" s="29" t="s">
        <v>550</v>
      </c>
      <c r="C67" s="30" t="s">
        <v>566</v>
      </c>
      <c r="D67" s="29" t="s">
        <v>567</v>
      </c>
      <c r="E67" s="31" t="s">
        <v>41</v>
      </c>
      <c r="F67" s="28" t="s">
        <v>20</v>
      </c>
      <c r="G67" s="32" t="s">
        <v>568</v>
      </c>
      <c r="H67" s="38" t="s">
        <v>569</v>
      </c>
      <c r="I67" s="33" t="s">
        <v>23</v>
      </c>
      <c r="J67" s="49" t="s">
        <v>570</v>
      </c>
      <c r="K67" s="34" t="s">
        <v>571</v>
      </c>
      <c r="L67" s="50"/>
    </row>
    <row r="68" spans="1:11" x14ac:dyDescent="0.25">
      <c r="A68" s="9" t="s">
        <v>572</v>
      </c>
      <c r="B68" s="10"/>
      <c r="C68" s="10"/>
      <c r="D68" s="10"/>
      <c r="E68" s="10"/>
      <c r="F68" s="10"/>
      <c r="G68" s="10"/>
      <c r="H68" s="10"/>
      <c r="I68" s="10"/>
      <c r="J68" s="11"/>
      <c r="K68" s="12"/>
    </row>
    <row r="69" ht="71.25" customHeight="1" spans="1:12" x14ac:dyDescent="0.25">
      <c r="A69" s="20">
        <v>58</v>
      </c>
      <c r="B69" s="21" t="s">
        <v>257</v>
      </c>
      <c r="C69" s="22" t="s">
        <v>573</v>
      </c>
      <c r="D69" s="21" t="s">
        <v>574</v>
      </c>
      <c r="E69" s="23" t="s">
        <v>575</v>
      </c>
      <c r="F69" s="20" t="s">
        <v>20</v>
      </c>
      <c r="G69" s="24" t="s">
        <v>576</v>
      </c>
      <c r="H69" s="25" t="s">
        <v>577</v>
      </c>
      <c r="I69" s="26" t="s">
        <v>578</v>
      </c>
      <c r="J69" s="51" t="s">
        <v>579</v>
      </c>
      <c r="K69" s="1" t="s">
        <v>125</v>
      </c>
      <c r="L69" s="1" t="s">
        <v>580</v>
      </c>
    </row>
    <row r="70" ht="24" customHeight="1" spans="1:11" x14ac:dyDescent="0.25">
      <c r="A70" s="13">
        <v>59</v>
      </c>
      <c r="B70" s="14" t="s">
        <v>257</v>
      </c>
      <c r="C70" s="15" t="s">
        <v>581</v>
      </c>
      <c r="D70" s="14" t="s">
        <v>582</v>
      </c>
      <c r="E70" s="16" t="s">
        <v>583</v>
      </c>
      <c r="F70" s="13" t="s">
        <v>53</v>
      </c>
      <c r="G70" s="17" t="s">
        <v>584</v>
      </c>
      <c r="H70" s="18" t="s">
        <v>585</v>
      </c>
      <c r="I70" s="19" t="s">
        <v>56</v>
      </c>
      <c r="J70" s="48" t="s">
        <v>586</v>
      </c>
      <c r="K70" s="4" t="s">
        <v>587</v>
      </c>
    </row>
    <row r="71" ht="34.15" customHeight="1" spans="1:11" x14ac:dyDescent="0.25">
      <c r="A71" s="13">
        <v>60</v>
      </c>
      <c r="B71" s="14" t="s">
        <v>257</v>
      </c>
      <c r="C71" s="15" t="s">
        <v>588</v>
      </c>
      <c r="D71" s="14" t="s">
        <v>589</v>
      </c>
      <c r="E71" s="16" t="s">
        <v>590</v>
      </c>
      <c r="F71" s="13" t="s">
        <v>591</v>
      </c>
      <c r="G71" s="17" t="s">
        <v>592</v>
      </c>
      <c r="H71" s="18" t="s">
        <v>593</v>
      </c>
      <c r="I71" s="19" t="s">
        <v>49</v>
      </c>
      <c r="J71" s="48" t="s">
        <v>594</v>
      </c>
      <c r="K71" s="4" t="s">
        <v>125</v>
      </c>
    </row>
  </sheetData>
  <mergeCells count="7">
    <mergeCell ref="A5:J5"/>
    <mergeCell ref="A28:J28"/>
    <mergeCell ref="A36:J36"/>
    <mergeCell ref="A41:J41"/>
    <mergeCell ref="A47:J47"/>
    <mergeCell ref="A63:J63"/>
    <mergeCell ref="A68:J6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
  <sheetViews>
    <sheetView workbookViewId="0" showGridLines="0" zoomScale="100" zoomScaleNormal="100">
      <pane ySplit="4" topLeftCell="A7" activePane="bottomLeft" state="frozen"/>
      <selection pane="bottomLeft" activeCell="H11" sqref="H11"/>
    </sheetView>
  </sheetViews>
  <sheetFormatPr defaultRowHeight="15" outlineLevelRow="0" outlineLevelCol="0" x14ac:dyDescent="0.25"/>
  <cols>
    <col min="1" max="1" width="5" customWidth="1"/>
    <col min="2" max="2" width="20" customWidth="1"/>
    <col min="3" max="3" width="30" customWidth="1"/>
    <col min="4" max="4" width="38" customWidth="1"/>
    <col min="5" max="5" width="20" customWidth="1"/>
    <col min="6" max="6" width="14" customWidth="1"/>
    <col min="7" max="7" width="40" customWidth="1"/>
    <col min="8" max="8" width="52" customWidth="1"/>
    <col min="9" max="9" width="20" customWidth="1"/>
    <col min="10" max="10" width="46" customWidth="1"/>
    <col min="11" max="11" width="24" customWidth="1"/>
  </cols>
  <sheetData>
    <row r="1" ht="18" customHeight="1" spans="1:11" x14ac:dyDescent="0.25">
      <c r="A1" s="3" t="s">
        <v>595</v>
      </c>
    </row>
    <row r="2" spans="1:11" x14ac:dyDescent="0.25">
      <c r="A2" s="5" t="s">
        <v>596</v>
      </c>
    </row>
    <row r="3" spans="1:11" x14ac:dyDescent="0.25">
      <c r="A3" s="6" t="s">
        <v>597</v>
      </c>
    </row>
    <row r="4" ht="39.95" customHeight="1" spans="1:12" x14ac:dyDescent="0.25">
      <c r="A4" s="7" t="s">
        <v>3</v>
      </c>
      <c r="B4" s="7" t="s">
        <v>4</v>
      </c>
      <c r="C4" s="7" t="s">
        <v>5</v>
      </c>
      <c r="D4" s="7" t="s">
        <v>6</v>
      </c>
      <c r="E4" s="7" t="s">
        <v>7</v>
      </c>
      <c r="F4" s="7" t="s">
        <v>8</v>
      </c>
      <c r="G4" s="7" t="s">
        <v>9</v>
      </c>
      <c r="H4" s="7" t="s">
        <v>598</v>
      </c>
      <c r="I4" s="7" t="s">
        <v>11</v>
      </c>
      <c r="J4" s="7" t="s">
        <v>12</v>
      </c>
      <c r="K4" s="7" t="s">
        <v>13</v>
      </c>
      <c r="L4" s="7" t="s">
        <v>14</v>
      </c>
    </row>
    <row r="5" ht="20.1" customHeight="1" spans="1:11" x14ac:dyDescent="0.25">
      <c r="A5" s="9" t="s">
        <v>599</v>
      </c>
      <c r="B5" s="10"/>
      <c r="C5" s="10"/>
      <c r="D5" s="10"/>
      <c r="E5" s="10"/>
      <c r="F5" s="10"/>
      <c r="G5" s="10"/>
      <c r="H5" s="10"/>
      <c r="I5" s="10"/>
      <c r="J5" s="10"/>
      <c r="K5" s="11"/>
    </row>
    <row r="6" ht="48" customHeight="1" spans="1:11" x14ac:dyDescent="0.25">
      <c r="A6" s="13">
        <v>1</v>
      </c>
      <c r="B6" s="14" t="s">
        <v>600</v>
      </c>
      <c r="C6" s="15" t="s">
        <v>601</v>
      </c>
      <c r="D6" s="14" t="s">
        <v>602</v>
      </c>
      <c r="E6" s="14" t="s">
        <v>41</v>
      </c>
      <c r="F6" s="16" t="s">
        <v>20</v>
      </c>
      <c r="G6" s="17" t="s">
        <v>603</v>
      </c>
      <c r="H6" s="17" t="s">
        <v>604</v>
      </c>
      <c r="I6" s="19" t="s">
        <v>23</v>
      </c>
      <c r="J6" s="14" t="s">
        <v>605</v>
      </c>
      <c r="K6" s="14"/>
    </row>
    <row r="7" ht="72" customHeight="1" spans="1:11" x14ac:dyDescent="0.25">
      <c r="A7" s="13">
        <v>2</v>
      </c>
      <c r="B7" s="14" t="s">
        <v>600</v>
      </c>
      <c r="C7" s="15" t="s">
        <v>606</v>
      </c>
      <c r="D7" s="14" t="s">
        <v>607</v>
      </c>
      <c r="E7" s="14" t="s">
        <v>41</v>
      </c>
      <c r="F7" s="16" t="s">
        <v>20</v>
      </c>
      <c r="G7" s="17" t="s">
        <v>608</v>
      </c>
      <c r="H7" s="17" t="s">
        <v>609</v>
      </c>
      <c r="I7" s="19" t="s">
        <v>23</v>
      </c>
      <c r="J7" s="14" t="s">
        <v>610</v>
      </c>
      <c r="K7" s="14"/>
    </row>
    <row r="8" ht="36" customHeight="1" spans="1:12" x14ac:dyDescent="0.25">
      <c r="A8" s="20">
        <v>3</v>
      </c>
      <c r="B8" s="21" t="s">
        <v>600</v>
      </c>
      <c r="C8" s="22" t="s">
        <v>611</v>
      </c>
      <c r="D8" s="21" t="s">
        <v>612</v>
      </c>
      <c r="E8" s="21" t="s">
        <v>41</v>
      </c>
      <c r="F8" s="23" t="s">
        <v>613</v>
      </c>
      <c r="G8" s="24" t="s">
        <v>614</v>
      </c>
      <c r="H8" s="24" t="s">
        <v>615</v>
      </c>
      <c r="I8" s="26" t="s">
        <v>616</v>
      </c>
      <c r="J8" s="21" t="s">
        <v>617</v>
      </c>
      <c r="K8" s="21"/>
      <c r="L8" s="21" t="s">
        <v>618</v>
      </c>
    </row>
    <row r="9" ht="20.1" customHeight="1" spans="1:11" x14ac:dyDescent="0.25">
      <c r="A9" s="9" t="s">
        <v>619</v>
      </c>
      <c r="B9" s="10"/>
      <c r="C9" s="10"/>
      <c r="D9" s="10"/>
      <c r="E9" s="10"/>
      <c r="F9" s="10"/>
      <c r="G9" s="10"/>
      <c r="H9" s="10"/>
      <c r="I9" s="10"/>
      <c r="J9" s="10"/>
      <c r="K9" s="11"/>
    </row>
    <row r="10" ht="56.25" customHeight="1" spans="1:11" x14ac:dyDescent="0.25">
      <c r="A10" s="13">
        <v>4</v>
      </c>
      <c r="B10" s="14" t="s">
        <v>620</v>
      </c>
      <c r="C10" s="15" t="s">
        <v>621</v>
      </c>
      <c r="D10" s="14" t="s">
        <v>622</v>
      </c>
      <c r="E10" s="14" t="s">
        <v>41</v>
      </c>
      <c r="F10" s="16" t="s">
        <v>20</v>
      </c>
      <c r="G10" s="17" t="s">
        <v>623</v>
      </c>
      <c r="H10" s="17" t="s">
        <v>624</v>
      </c>
      <c r="I10" s="19" t="s">
        <v>23</v>
      </c>
      <c r="J10" s="14"/>
      <c r="K10" s="14"/>
    </row>
    <row r="11" ht="36" customHeight="1" spans="1:11" x14ac:dyDescent="0.25">
      <c r="A11" s="13">
        <v>5</v>
      </c>
      <c r="B11" s="14" t="s">
        <v>620</v>
      </c>
      <c r="C11" s="15" t="s">
        <v>625</v>
      </c>
      <c r="D11" s="14" t="s">
        <v>626</v>
      </c>
      <c r="E11" s="14" t="s">
        <v>41</v>
      </c>
      <c r="F11" s="16" t="s">
        <v>627</v>
      </c>
      <c r="G11" s="17" t="s">
        <v>628</v>
      </c>
      <c r="H11" s="17" t="s">
        <v>629</v>
      </c>
      <c r="I11" s="19" t="s">
        <v>23</v>
      </c>
      <c r="J11" s="14" t="s">
        <v>630</v>
      </c>
      <c r="K11" s="14"/>
    </row>
    <row r="12" ht="33.75" customHeight="1" spans="1:11" x14ac:dyDescent="0.25">
      <c r="A12" s="13">
        <v>6</v>
      </c>
      <c r="B12" s="14" t="s">
        <v>620</v>
      </c>
      <c r="C12" s="15" t="s">
        <v>631</v>
      </c>
      <c r="D12" s="14" t="s">
        <v>632</v>
      </c>
      <c r="E12" s="14" t="s">
        <v>41</v>
      </c>
      <c r="F12" s="16" t="s">
        <v>20</v>
      </c>
      <c r="G12" s="17" t="s">
        <v>27</v>
      </c>
      <c r="H12" s="17" t="s">
        <v>633</v>
      </c>
      <c r="I12" s="19" t="s">
        <v>23</v>
      </c>
      <c r="J12" s="14"/>
      <c r="K12" s="14"/>
    </row>
    <row r="13" ht="20.1" customHeight="1" spans="1:11" x14ac:dyDescent="0.25">
      <c r="A13" s="9" t="s">
        <v>634</v>
      </c>
      <c r="B13" s="10"/>
      <c r="C13" s="10"/>
      <c r="D13" s="10"/>
      <c r="E13" s="10"/>
      <c r="F13" s="10"/>
      <c r="G13" s="10"/>
      <c r="H13" s="10"/>
      <c r="I13" s="10"/>
      <c r="J13" s="10"/>
      <c r="K13" s="11"/>
    </row>
    <row r="14" ht="45" customHeight="1" spans="1:11" x14ac:dyDescent="0.25">
      <c r="A14" s="13">
        <v>7</v>
      </c>
      <c r="B14" s="14" t="s">
        <v>314</v>
      </c>
      <c r="C14" s="15" t="s">
        <v>635</v>
      </c>
      <c r="D14" s="14" t="s">
        <v>636</v>
      </c>
      <c r="E14" s="14" t="s">
        <v>637</v>
      </c>
      <c r="F14" s="16" t="s">
        <v>591</v>
      </c>
      <c r="G14" s="17" t="s">
        <v>638</v>
      </c>
      <c r="H14" s="17" t="s">
        <v>639</v>
      </c>
      <c r="I14" s="19" t="s">
        <v>49</v>
      </c>
      <c r="J14" s="14" t="s">
        <v>640</v>
      </c>
      <c r="K14" s="14"/>
    </row>
    <row r="15" ht="24" customHeight="1" spans="1:11" x14ac:dyDescent="0.25">
      <c r="A15" s="13">
        <v>8</v>
      </c>
      <c r="B15" s="14" t="s">
        <v>314</v>
      </c>
      <c r="C15" s="15" t="s">
        <v>641</v>
      </c>
      <c r="D15" s="14" t="s">
        <v>642</v>
      </c>
      <c r="E15" s="14" t="s">
        <v>33</v>
      </c>
      <c r="F15" s="16" t="s">
        <v>591</v>
      </c>
      <c r="G15" s="17" t="s">
        <v>643</v>
      </c>
      <c r="H15" s="17" t="s">
        <v>643</v>
      </c>
      <c r="I15" s="19" t="s">
        <v>34</v>
      </c>
      <c r="J15" s="14"/>
      <c r="K15" s="14"/>
    </row>
    <row r="16" ht="67.5" customHeight="1" spans="1:11" x14ac:dyDescent="0.25">
      <c r="A16" s="13">
        <v>9</v>
      </c>
      <c r="B16" s="14" t="s">
        <v>644</v>
      </c>
      <c r="C16" s="15" t="s">
        <v>645</v>
      </c>
      <c r="D16" s="14" t="s">
        <v>646</v>
      </c>
      <c r="E16" s="14" t="s">
        <v>33</v>
      </c>
      <c r="F16" s="16" t="s">
        <v>20</v>
      </c>
      <c r="G16" s="17" t="s">
        <v>647</v>
      </c>
      <c r="H16" s="17" t="s">
        <v>648</v>
      </c>
      <c r="I16" s="19" t="s">
        <v>23</v>
      </c>
      <c r="J16" s="14" t="s">
        <v>649</v>
      </c>
      <c r="K16" s="14"/>
    </row>
    <row r="17" spans="1:11" x14ac:dyDescent="0.25">
      <c r="A17" s="13">
        <v>10</v>
      </c>
      <c r="B17" s="14" t="s">
        <v>650</v>
      </c>
      <c r="C17" s="15" t="s">
        <v>429</v>
      </c>
      <c r="D17" s="14" t="s">
        <v>651</v>
      </c>
      <c r="E17" s="14" t="s">
        <v>652</v>
      </c>
      <c r="F17" s="16" t="s">
        <v>173</v>
      </c>
      <c r="G17" s="17" t="s">
        <v>653</v>
      </c>
      <c r="H17" s="17" t="s">
        <v>653</v>
      </c>
      <c r="I17" s="19" t="s">
        <v>34</v>
      </c>
      <c r="J17" s="14" t="s">
        <v>654</v>
      </c>
      <c r="K17" s="14"/>
    </row>
    <row r="18" ht="67.5" customHeight="1" spans="1:11" x14ac:dyDescent="0.25">
      <c r="A18" s="13">
        <v>11</v>
      </c>
      <c r="B18" s="14" t="s">
        <v>650</v>
      </c>
      <c r="C18" s="15" t="s">
        <v>655</v>
      </c>
      <c r="D18" s="14" t="s">
        <v>656</v>
      </c>
      <c r="E18" s="14" t="s">
        <v>657</v>
      </c>
      <c r="F18" s="16" t="s">
        <v>658</v>
      </c>
      <c r="G18" s="17" t="s">
        <v>659</v>
      </c>
      <c r="H18" s="17" t="s">
        <v>660</v>
      </c>
      <c r="I18" s="19" t="s">
        <v>56</v>
      </c>
      <c r="J18" s="14" t="s">
        <v>661</v>
      </c>
      <c r="K18" s="14"/>
    </row>
    <row r="19" ht="48" customHeight="1" spans="1:11" x14ac:dyDescent="0.25">
      <c r="A19" s="13">
        <v>12</v>
      </c>
      <c r="B19" s="14" t="s">
        <v>650</v>
      </c>
      <c r="C19" s="15" t="s">
        <v>662</v>
      </c>
      <c r="D19" s="14" t="s">
        <v>663</v>
      </c>
      <c r="E19" s="14" t="s">
        <v>657</v>
      </c>
      <c r="F19" s="16" t="s">
        <v>664</v>
      </c>
      <c r="G19" s="17" t="s">
        <v>665</v>
      </c>
      <c r="H19" s="17" t="s">
        <v>666</v>
      </c>
      <c r="I19" s="19" t="s">
        <v>23</v>
      </c>
      <c r="J19" s="14" t="s">
        <v>667</v>
      </c>
      <c r="K19" s="14"/>
    </row>
    <row r="20" spans="1:11" x14ac:dyDescent="0.25">
      <c r="A20" s="13">
        <v>13</v>
      </c>
      <c r="B20" s="14" t="s">
        <v>650</v>
      </c>
      <c r="C20" s="15" t="s">
        <v>381</v>
      </c>
      <c r="D20" s="14" t="s">
        <v>668</v>
      </c>
      <c r="E20" s="14" t="s">
        <v>33</v>
      </c>
      <c r="F20" s="16" t="s">
        <v>123</v>
      </c>
      <c r="G20" s="17" t="s">
        <v>27</v>
      </c>
      <c r="H20" s="17" t="s">
        <v>27</v>
      </c>
      <c r="I20" s="19" t="s">
        <v>34</v>
      </c>
      <c r="J20" s="14"/>
      <c r="K20" s="14"/>
    </row>
    <row r="21" ht="20.1" customHeight="1" spans="1:11" x14ac:dyDescent="0.25">
      <c r="A21" s="9" t="s">
        <v>669</v>
      </c>
      <c r="B21" s="10"/>
      <c r="C21" s="10"/>
      <c r="D21" s="10"/>
      <c r="E21" s="10"/>
      <c r="F21" s="10"/>
      <c r="G21" s="10"/>
      <c r="H21" s="10"/>
      <c r="I21" s="10"/>
      <c r="J21" s="10"/>
      <c r="K21" s="11"/>
    </row>
    <row r="22" spans="1:11" x14ac:dyDescent="0.25">
      <c r="A22" s="13">
        <v>14</v>
      </c>
      <c r="B22" s="14" t="s">
        <v>429</v>
      </c>
      <c r="C22" s="15" t="s">
        <v>670</v>
      </c>
      <c r="D22" s="14" t="s">
        <v>671</v>
      </c>
      <c r="E22" s="14" t="s">
        <v>218</v>
      </c>
      <c r="F22" s="16" t="s">
        <v>291</v>
      </c>
      <c r="G22" s="17" t="s">
        <v>27</v>
      </c>
      <c r="H22" s="17" t="s">
        <v>27</v>
      </c>
      <c r="I22" s="19" t="s">
        <v>49</v>
      </c>
      <c r="J22" s="14" t="s">
        <v>672</v>
      </c>
      <c r="K22" s="14"/>
    </row>
    <row r="23" ht="36" customHeight="1" spans="1:11" x14ac:dyDescent="0.25">
      <c r="A23" s="13">
        <v>15</v>
      </c>
      <c r="B23" s="14" t="s">
        <v>429</v>
      </c>
      <c r="C23" s="15" t="s">
        <v>673</v>
      </c>
      <c r="D23" s="14" t="s">
        <v>674</v>
      </c>
      <c r="E23" s="14" t="s">
        <v>675</v>
      </c>
      <c r="F23" s="16" t="s">
        <v>676</v>
      </c>
      <c r="G23" s="17" t="s">
        <v>643</v>
      </c>
      <c r="H23" s="17" t="s">
        <v>643</v>
      </c>
      <c r="I23" s="19" t="s">
        <v>49</v>
      </c>
      <c r="J23" s="14" t="s">
        <v>677</v>
      </c>
      <c r="K23" s="14"/>
    </row>
    <row r="24" ht="56.25" customHeight="1" spans="1:11" x14ac:dyDescent="0.25">
      <c r="A24" s="13">
        <v>16</v>
      </c>
      <c r="B24" s="14" t="s">
        <v>429</v>
      </c>
      <c r="C24" s="15" t="s">
        <v>678</v>
      </c>
      <c r="D24" s="14" t="s">
        <v>679</v>
      </c>
      <c r="E24" s="14" t="s">
        <v>680</v>
      </c>
      <c r="F24" s="16" t="s">
        <v>291</v>
      </c>
      <c r="G24" s="17" t="s">
        <v>681</v>
      </c>
      <c r="H24" s="17" t="s">
        <v>682</v>
      </c>
      <c r="I24" s="19" t="s">
        <v>49</v>
      </c>
      <c r="J24" s="14" t="s">
        <v>683</v>
      </c>
      <c r="K24" s="14"/>
    </row>
    <row r="25" ht="45" customHeight="1" spans="1:11" x14ac:dyDescent="0.25">
      <c r="A25" s="13">
        <v>17</v>
      </c>
      <c r="B25" s="14" t="s">
        <v>429</v>
      </c>
      <c r="C25" s="15" t="s">
        <v>684</v>
      </c>
      <c r="D25" s="14" t="s">
        <v>685</v>
      </c>
      <c r="E25" s="14" t="s">
        <v>33</v>
      </c>
      <c r="F25" s="16" t="s">
        <v>20</v>
      </c>
      <c r="G25" s="17" t="s">
        <v>686</v>
      </c>
      <c r="H25" s="17" t="s">
        <v>687</v>
      </c>
      <c r="I25" s="19" t="s">
        <v>23</v>
      </c>
      <c r="J25" s="14" t="s">
        <v>688</v>
      </c>
      <c r="K25" s="14"/>
    </row>
    <row r="26" ht="36" customHeight="1" spans="1:11" x14ac:dyDescent="0.25">
      <c r="A26" s="13">
        <v>18</v>
      </c>
      <c r="B26" s="14" t="s">
        <v>429</v>
      </c>
      <c r="C26" s="15" t="s">
        <v>689</v>
      </c>
      <c r="D26" s="14" t="s">
        <v>690</v>
      </c>
      <c r="E26" s="14" t="s">
        <v>691</v>
      </c>
      <c r="F26" s="16" t="s">
        <v>692</v>
      </c>
      <c r="G26" s="17" t="s">
        <v>693</v>
      </c>
      <c r="H26" s="17" t="s">
        <v>694</v>
      </c>
      <c r="I26" s="19" t="s">
        <v>56</v>
      </c>
      <c r="J26" s="14" t="s">
        <v>695</v>
      </c>
      <c r="K26" s="14"/>
    </row>
    <row r="27" ht="20.1" customHeight="1" spans="1:11" x14ac:dyDescent="0.25">
      <c r="A27" s="9" t="s">
        <v>696</v>
      </c>
      <c r="B27" s="10"/>
      <c r="C27" s="10"/>
      <c r="D27" s="10"/>
      <c r="E27" s="10"/>
      <c r="F27" s="10"/>
      <c r="G27" s="10"/>
      <c r="H27" s="10"/>
      <c r="I27" s="10"/>
      <c r="J27" s="10"/>
      <c r="K27" s="11"/>
    </row>
    <row r="28" ht="45" customHeight="1" spans="1:11" x14ac:dyDescent="0.25">
      <c r="A28" s="13">
        <v>19</v>
      </c>
      <c r="B28" s="14" t="s">
        <v>697</v>
      </c>
      <c r="C28" s="15" t="s">
        <v>698</v>
      </c>
      <c r="D28" s="14" t="s">
        <v>699</v>
      </c>
      <c r="E28" s="14" t="s">
        <v>33</v>
      </c>
      <c r="F28" s="16" t="s">
        <v>20</v>
      </c>
      <c r="G28" s="17" t="s">
        <v>700</v>
      </c>
      <c r="H28" s="17" t="s">
        <v>701</v>
      </c>
      <c r="I28" s="19" t="s">
        <v>23</v>
      </c>
      <c r="J28" s="14"/>
      <c r="K28" s="14"/>
    </row>
    <row r="29" spans="1:11" x14ac:dyDescent="0.25">
      <c r="A29" s="13">
        <v>20</v>
      </c>
      <c r="B29" s="14" t="s">
        <v>697</v>
      </c>
      <c r="C29" s="15" t="s">
        <v>702</v>
      </c>
      <c r="D29" s="14" t="s">
        <v>703</v>
      </c>
      <c r="E29" s="14" t="s">
        <v>33</v>
      </c>
      <c r="F29" s="16" t="s">
        <v>20</v>
      </c>
      <c r="G29" s="17" t="s">
        <v>704</v>
      </c>
      <c r="H29" s="17" t="s">
        <v>705</v>
      </c>
      <c r="I29" s="19" t="s">
        <v>23</v>
      </c>
      <c r="J29" s="14"/>
      <c r="K29" s="14"/>
    </row>
    <row r="30" ht="48" customHeight="1" spans="1:11" x14ac:dyDescent="0.25">
      <c r="A30" s="13">
        <v>21</v>
      </c>
      <c r="B30" s="14" t="s">
        <v>697</v>
      </c>
      <c r="C30" s="15" t="s">
        <v>706</v>
      </c>
      <c r="D30" s="14" t="s">
        <v>707</v>
      </c>
      <c r="E30" s="14" t="s">
        <v>33</v>
      </c>
      <c r="F30" s="16" t="s">
        <v>708</v>
      </c>
      <c r="G30" s="17" t="s">
        <v>709</v>
      </c>
      <c r="H30" s="17" t="s">
        <v>710</v>
      </c>
      <c r="I30" s="19" t="s">
        <v>23</v>
      </c>
      <c r="J30" s="14" t="s">
        <v>711</v>
      </c>
      <c r="K30" s="14"/>
    </row>
    <row r="31" spans="1:11" x14ac:dyDescent="0.25">
      <c r="A31" s="13">
        <v>22</v>
      </c>
      <c r="B31" s="14" t="s">
        <v>697</v>
      </c>
      <c r="C31" s="15" t="s">
        <v>712</v>
      </c>
      <c r="D31" s="14" t="s">
        <v>713</v>
      </c>
      <c r="E31" s="14" t="s">
        <v>33</v>
      </c>
      <c r="F31" s="16" t="s">
        <v>123</v>
      </c>
      <c r="G31" s="17" t="e">
        <f>Sum các dòng trên</f>
        <v>#NAME?</v>
      </c>
      <c r="H31" s="17" t="s">
        <v>27</v>
      </c>
      <c r="I31" s="19" t="s">
        <v>34</v>
      </c>
      <c r="J31" s="14"/>
      <c r="K31" s="14"/>
    </row>
    <row r="32" ht="20.1" customHeight="1" spans="1:11" x14ac:dyDescent="0.25">
      <c r="A32" s="9" t="s">
        <v>714</v>
      </c>
      <c r="B32" s="10"/>
      <c r="C32" s="10"/>
      <c r="D32" s="10"/>
      <c r="E32" s="10"/>
      <c r="F32" s="10"/>
      <c r="G32" s="10"/>
      <c r="H32" s="10"/>
      <c r="I32" s="10"/>
      <c r="J32" s="10"/>
      <c r="K32" s="11"/>
    </row>
    <row r="33" ht="56.25" customHeight="1" spans="1:11" x14ac:dyDescent="0.25">
      <c r="A33" s="13">
        <v>23</v>
      </c>
      <c r="B33" s="14" t="s">
        <v>481</v>
      </c>
      <c r="C33" s="15" t="s">
        <v>715</v>
      </c>
      <c r="D33" s="14" t="s">
        <v>716</v>
      </c>
      <c r="E33" s="14" t="s">
        <v>33</v>
      </c>
      <c r="F33" s="16" t="s">
        <v>717</v>
      </c>
      <c r="G33" s="17" t="s">
        <v>718</v>
      </c>
      <c r="H33" s="17" t="s">
        <v>719</v>
      </c>
      <c r="I33" s="19" t="s">
        <v>23</v>
      </c>
      <c r="J33" s="14" t="s">
        <v>720</v>
      </c>
      <c r="K33" s="14"/>
    </row>
    <row r="34" ht="45" customHeight="1" spans="1:11" x14ac:dyDescent="0.25">
      <c r="A34" s="13">
        <v>24</v>
      </c>
      <c r="B34" s="14" t="s">
        <v>481</v>
      </c>
      <c r="C34" s="15" t="s">
        <v>721</v>
      </c>
      <c r="D34" s="14" t="s">
        <v>722</v>
      </c>
      <c r="E34" s="14" t="s">
        <v>33</v>
      </c>
      <c r="F34" s="16" t="s">
        <v>20</v>
      </c>
      <c r="G34" s="17" t="s">
        <v>27</v>
      </c>
      <c r="H34" s="17" t="s">
        <v>723</v>
      </c>
      <c r="I34" s="19" t="s">
        <v>23</v>
      </c>
      <c r="J34" s="14" t="s">
        <v>724</v>
      </c>
      <c r="K34" s="14"/>
    </row>
    <row r="35" ht="45" customHeight="1" spans="1:11" x14ac:dyDescent="0.25">
      <c r="A35" s="13">
        <v>25</v>
      </c>
      <c r="B35" s="14" t="s">
        <v>481</v>
      </c>
      <c r="C35" s="15" t="s">
        <v>725</v>
      </c>
      <c r="D35" s="14" t="s">
        <v>726</v>
      </c>
      <c r="E35" s="14" t="s">
        <v>33</v>
      </c>
      <c r="F35" s="16" t="s">
        <v>717</v>
      </c>
      <c r="G35" s="17" t="s">
        <v>27</v>
      </c>
      <c r="H35" s="17" t="s">
        <v>727</v>
      </c>
      <c r="I35" s="19" t="s">
        <v>23</v>
      </c>
      <c r="J35" s="14"/>
      <c r="K35" s="14"/>
    </row>
    <row r="36" ht="36" customHeight="1" spans="1:11" x14ac:dyDescent="0.25">
      <c r="A36" s="13">
        <v>26</v>
      </c>
      <c r="B36" s="14" t="s">
        <v>481</v>
      </c>
      <c r="C36" s="15" t="s">
        <v>728</v>
      </c>
      <c r="D36" s="14" t="s">
        <v>729</v>
      </c>
      <c r="E36" s="14" t="s">
        <v>33</v>
      </c>
      <c r="F36" s="16" t="s">
        <v>730</v>
      </c>
      <c r="G36" s="17" t="s">
        <v>27</v>
      </c>
      <c r="H36" s="17" t="s">
        <v>731</v>
      </c>
      <c r="I36" s="19" t="s">
        <v>23</v>
      </c>
      <c r="J36" s="14" t="s">
        <v>732</v>
      </c>
      <c r="K36" s="14"/>
    </row>
    <row r="37" ht="84" customHeight="1" spans="1:11" x14ac:dyDescent="0.25">
      <c r="A37" s="13">
        <v>27</v>
      </c>
      <c r="B37" s="14" t="s">
        <v>481</v>
      </c>
      <c r="C37" s="15" t="s">
        <v>733</v>
      </c>
      <c r="D37" s="14" t="s">
        <v>734</v>
      </c>
      <c r="E37" s="14" t="s">
        <v>27</v>
      </c>
      <c r="F37" s="16" t="s">
        <v>735</v>
      </c>
      <c r="G37" s="17" t="s">
        <v>27</v>
      </c>
      <c r="H37" s="17" t="s">
        <v>27</v>
      </c>
      <c r="I37" s="19" t="s">
        <v>49</v>
      </c>
      <c r="J37" s="14" t="s">
        <v>736</v>
      </c>
      <c r="K37" s="14"/>
    </row>
    <row r="38" ht="20.1" customHeight="1" spans="1:11" x14ac:dyDescent="0.25">
      <c r="A38" s="9" t="s">
        <v>737</v>
      </c>
      <c r="B38" s="10"/>
      <c r="C38" s="10"/>
      <c r="D38" s="10"/>
      <c r="E38" s="10"/>
      <c r="F38" s="10"/>
      <c r="G38" s="10"/>
      <c r="H38" s="10"/>
      <c r="I38" s="10"/>
      <c r="J38" s="10"/>
      <c r="K38" s="11"/>
    </row>
    <row r="39" ht="33.75" customHeight="1" spans="1:11" x14ac:dyDescent="0.25">
      <c r="A39" s="13">
        <v>28</v>
      </c>
      <c r="B39" s="14" t="s">
        <v>738</v>
      </c>
      <c r="C39" s="15" t="s">
        <v>739</v>
      </c>
      <c r="D39" s="14" t="s">
        <v>740</v>
      </c>
      <c r="E39" s="14" t="s">
        <v>33</v>
      </c>
      <c r="F39" s="16" t="s">
        <v>717</v>
      </c>
      <c r="G39" s="17" t="s">
        <v>741</v>
      </c>
      <c r="H39" s="17" t="s">
        <v>742</v>
      </c>
      <c r="I39" s="19" t="s">
        <v>23</v>
      </c>
      <c r="J39" s="14" t="s">
        <v>743</v>
      </c>
      <c r="K39" s="14"/>
    </row>
    <row r="40" ht="48" customHeight="1" spans="1:11" x14ac:dyDescent="0.25">
      <c r="A40" s="13">
        <v>29</v>
      </c>
      <c r="B40" s="14" t="s">
        <v>738</v>
      </c>
      <c r="C40" s="15" t="s">
        <v>744</v>
      </c>
      <c r="D40" s="14" t="s">
        <v>745</v>
      </c>
      <c r="E40" s="14" t="s">
        <v>33</v>
      </c>
      <c r="F40" s="16" t="s">
        <v>20</v>
      </c>
      <c r="G40" s="17" t="s">
        <v>746</v>
      </c>
      <c r="H40" s="17" t="s">
        <v>747</v>
      </c>
      <c r="I40" s="19" t="s">
        <v>23</v>
      </c>
      <c r="J40" s="14" t="s">
        <v>748</v>
      </c>
      <c r="K40" s="14"/>
    </row>
    <row r="41" ht="20.1" customHeight="1" spans="1:11" x14ac:dyDescent="0.25">
      <c r="A41" s="9" t="s">
        <v>749</v>
      </c>
      <c r="B41" s="10"/>
      <c r="C41" s="10"/>
      <c r="D41" s="10"/>
      <c r="E41" s="10"/>
      <c r="F41" s="10"/>
      <c r="G41" s="10"/>
      <c r="H41" s="10"/>
      <c r="I41" s="10"/>
      <c r="J41" s="10"/>
      <c r="K41" s="11"/>
    </row>
    <row r="42" ht="56.25" customHeight="1" spans="1:11" x14ac:dyDescent="0.25">
      <c r="A42" s="13">
        <v>30</v>
      </c>
      <c r="B42" s="14" t="s">
        <v>750</v>
      </c>
      <c r="C42" s="15" t="s">
        <v>751</v>
      </c>
      <c r="D42" s="14" t="s">
        <v>752</v>
      </c>
      <c r="E42" s="14" t="s">
        <v>41</v>
      </c>
      <c r="F42" s="16" t="s">
        <v>717</v>
      </c>
      <c r="G42" s="17" t="s">
        <v>753</v>
      </c>
      <c r="H42" s="17" t="s">
        <v>754</v>
      </c>
      <c r="I42" s="19" t="s">
        <v>23</v>
      </c>
      <c r="J42" s="14" t="s">
        <v>755</v>
      </c>
      <c r="K42" s="14"/>
    </row>
    <row r="43" ht="84" customHeight="1" spans="1:11" x14ac:dyDescent="0.25">
      <c r="A43" s="13">
        <v>31</v>
      </c>
      <c r="B43" s="14" t="s">
        <v>750</v>
      </c>
      <c r="C43" s="15" t="s">
        <v>756</v>
      </c>
      <c r="D43" s="14" t="s">
        <v>757</v>
      </c>
      <c r="E43" s="14" t="s">
        <v>41</v>
      </c>
      <c r="F43" s="16" t="s">
        <v>758</v>
      </c>
      <c r="G43" s="17" t="s">
        <v>759</v>
      </c>
      <c r="H43" s="17" t="s">
        <v>760</v>
      </c>
      <c r="I43" s="19" t="s">
        <v>56</v>
      </c>
      <c r="J43" s="14" t="s">
        <v>761</v>
      </c>
      <c r="K43" s="14"/>
    </row>
  </sheetData>
  <mergeCells count="8">
    <mergeCell ref="A5:K5"/>
    <mergeCell ref="A9:K9"/>
    <mergeCell ref="A13:K13"/>
    <mergeCell ref="A21:K21"/>
    <mergeCell ref="A27:K27"/>
    <mergeCell ref="A32:K32"/>
    <mergeCell ref="A38:K38"/>
    <mergeCell ref="A41:K4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14"/>
  <sheetViews>
    <sheetView workbookViewId="0" showGridLines="0" zoomScale="100" zoomScaleNormal="100">
      <selection activeCell="A20" sqref="A20"/>
    </sheetView>
  </sheetViews>
  <sheetFormatPr defaultRowHeight="15" outlineLevelRow="0" outlineLevelCol="0" x14ac:dyDescent="0.25"/>
  <cols>
    <col min="1" max="1" width="14" customWidth="1"/>
    <col min="2" max="2" width="34" customWidth="1"/>
    <col min="3" max="3" width="96" customWidth="1"/>
    <col min="4" max="4" width="52" customWidth="1"/>
  </cols>
  <sheetData>
    <row r="1" ht="17.45" customHeight="1" spans="1:1" x14ac:dyDescent="0.25">
      <c r="A1" s="3" t="s">
        <v>762</v>
      </c>
    </row>
    <row r="3" spans="1:5" x14ac:dyDescent="0.25">
      <c r="A3" s="53" t="s">
        <v>763</v>
      </c>
      <c r="B3" s="53" t="s">
        <v>764</v>
      </c>
      <c r="C3" s="53" t="s">
        <v>765</v>
      </c>
      <c r="D3" s="53" t="s">
        <v>766</v>
      </c>
      <c r="E3" s="53" t="s">
        <v>14</v>
      </c>
    </row>
    <row r="4" ht="108" customHeight="1" spans="1:4" x14ac:dyDescent="0.25">
      <c r="A4" s="54" t="s">
        <v>767</v>
      </c>
      <c r="B4" s="22" t="s">
        <v>768</v>
      </c>
      <c r="C4" s="55" t="s">
        <v>769</v>
      </c>
      <c r="D4" s="24" t="s">
        <v>770</v>
      </c>
    </row>
    <row r="5" ht="168" customHeight="1" spans="1:4" x14ac:dyDescent="0.25">
      <c r="A5" s="54" t="s">
        <v>771</v>
      </c>
      <c r="B5" s="22" t="s">
        <v>772</v>
      </c>
      <c r="C5" s="55" t="s">
        <v>773</v>
      </c>
      <c r="D5" s="24" t="s">
        <v>774</v>
      </c>
    </row>
    <row r="6" ht="72" customHeight="1" spans="1:4" x14ac:dyDescent="0.25">
      <c r="A6" s="54" t="s">
        <v>775</v>
      </c>
      <c r="B6" s="22" t="s">
        <v>776</v>
      </c>
      <c r="C6" s="55" t="s">
        <v>777</v>
      </c>
      <c r="D6" s="24" t="s">
        <v>778</v>
      </c>
    </row>
    <row r="7" ht="72" customHeight="1" spans="1:4" x14ac:dyDescent="0.25">
      <c r="A7" s="54" t="s">
        <v>779</v>
      </c>
      <c r="B7" s="22" t="s">
        <v>780</v>
      </c>
      <c r="C7" s="55" t="s">
        <v>781</v>
      </c>
      <c r="D7" s="24" t="s">
        <v>782</v>
      </c>
    </row>
    <row r="8" ht="72" customHeight="1" spans="1:5" x14ac:dyDescent="0.25">
      <c r="A8" s="54" t="s">
        <v>783</v>
      </c>
      <c r="B8" s="22" t="s">
        <v>784</v>
      </c>
      <c r="C8" s="56" t="s">
        <v>785</v>
      </c>
      <c r="D8" s="24" t="s">
        <v>786</v>
      </c>
      <c r="E8" s="24" t="s">
        <v>787</v>
      </c>
    </row>
    <row r="9" ht="132" customHeight="1" spans="1:4" x14ac:dyDescent="0.25">
      <c r="A9" s="54" t="s">
        <v>788</v>
      </c>
      <c r="B9" s="22" t="s">
        <v>789</v>
      </c>
      <c r="C9" s="55" t="s">
        <v>790</v>
      </c>
      <c r="D9" s="24" t="s">
        <v>791</v>
      </c>
    </row>
    <row r="10" ht="72" customHeight="1" spans="1:4" x14ac:dyDescent="0.25">
      <c r="A10" s="54" t="s">
        <v>792</v>
      </c>
      <c r="B10" s="22" t="s">
        <v>793</v>
      </c>
      <c r="C10" s="55" t="s">
        <v>794</v>
      </c>
      <c r="D10" s="24" t="s">
        <v>795</v>
      </c>
    </row>
    <row r="11" ht="96" customHeight="1" spans="1:4" x14ac:dyDescent="0.25">
      <c r="A11" s="54" t="s">
        <v>796</v>
      </c>
      <c r="B11" s="22" t="s">
        <v>797</v>
      </c>
      <c r="C11" s="55" t="s">
        <v>798</v>
      </c>
      <c r="D11" s="24" t="s">
        <v>799</v>
      </c>
    </row>
    <row r="12" ht="144" customHeight="1" spans="1:4" x14ac:dyDescent="0.25">
      <c r="A12" s="54" t="s">
        <v>800</v>
      </c>
      <c r="B12" s="22" t="s">
        <v>801</v>
      </c>
      <c r="C12" s="55" t="s">
        <v>802</v>
      </c>
      <c r="D12" s="24" t="s">
        <v>803</v>
      </c>
    </row>
    <row r="13" ht="144" customHeight="1" spans="1:4" x14ac:dyDescent="0.25">
      <c r="A13" s="54" t="s">
        <v>804</v>
      </c>
      <c r="B13" s="22" t="s">
        <v>805</v>
      </c>
      <c r="C13" s="55" t="s">
        <v>806</v>
      </c>
      <c r="D13" s="24" t="s">
        <v>807</v>
      </c>
    </row>
    <row r="14" ht="96" customHeight="1" spans="1:5" x14ac:dyDescent="0.25">
      <c r="A14" s="54" t="s">
        <v>808</v>
      </c>
      <c r="B14" s="22" t="s">
        <v>809</v>
      </c>
      <c r="C14" s="56" t="s">
        <v>810</v>
      </c>
      <c r="D14" s="24" t="s">
        <v>811</v>
      </c>
      <c r="E14" s="24" t="s">
        <v>812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47"/>
  <sheetViews>
    <sheetView workbookViewId="0" showGridLines="0" zoomScale="100" zoomScaleNormal="100">
      <selection activeCell="H33" sqref="H33"/>
    </sheetView>
  </sheetViews>
  <sheetFormatPr defaultRowHeight="15" outlineLevelRow="0" outlineLevelCol="0" x14ac:dyDescent="0.25"/>
  <cols>
    <col min="1" max="1" width="8" customWidth="1"/>
    <col min="2" max="2" width="46" customWidth="1"/>
    <col min="3" max="3" width="40" customWidth="1"/>
    <col min="4" max="4" width="46" customWidth="1"/>
    <col min="5" max="5" width="20" customWidth="1"/>
  </cols>
  <sheetData>
    <row r="1" ht="17.45" customHeight="1" spans="1:5" x14ac:dyDescent="0.25">
      <c r="A1" s="3" t="s">
        <v>813</v>
      </c>
    </row>
    <row r="2" spans="1:5" x14ac:dyDescent="0.25"/>
    <row r="3" spans="1:5" x14ac:dyDescent="0.25">
      <c r="A3" s="57" t="s">
        <v>814</v>
      </c>
    </row>
    <row r="4" ht="24" customHeight="1" spans="1:6" x14ac:dyDescent="0.25">
      <c r="A4" s="7" t="s">
        <v>11</v>
      </c>
      <c r="B4" s="7" t="s">
        <v>815</v>
      </c>
      <c r="C4" s="7" t="s">
        <v>816</v>
      </c>
      <c r="D4" s="7" t="s">
        <v>817</v>
      </c>
      <c r="E4" s="58"/>
      <c r="F4" s="7" t="s">
        <v>14</v>
      </c>
    </row>
    <row r="5" ht="36" customHeight="1" spans="1:5" x14ac:dyDescent="0.25">
      <c r="A5" s="59" t="s">
        <v>23</v>
      </c>
      <c r="B5" s="60">
        <v>27</v>
      </c>
      <c r="C5" s="60">
        <v>14</v>
      </c>
      <c r="D5" s="61" t="s">
        <v>818</v>
      </c>
      <c r="E5" s="62"/>
    </row>
    <row r="6" ht="36" customHeight="1" spans="1:5" x14ac:dyDescent="0.25">
      <c r="A6" s="63" t="s">
        <v>49</v>
      </c>
      <c r="B6" s="64">
        <v>11</v>
      </c>
      <c r="C6" s="64">
        <v>4</v>
      </c>
      <c r="D6" s="65" t="s">
        <v>819</v>
      </c>
      <c r="E6" s="66"/>
    </row>
    <row r="7" ht="48" customHeight="1" spans="1:5" x14ac:dyDescent="0.25">
      <c r="A7" s="67" t="s">
        <v>109</v>
      </c>
      <c r="B7" s="68">
        <v>3</v>
      </c>
      <c r="C7" s="68">
        <v>7</v>
      </c>
      <c r="D7" s="69" t="s">
        <v>820</v>
      </c>
      <c r="E7" s="70"/>
    </row>
    <row r="8" ht="36" customHeight="1" spans="1:5" x14ac:dyDescent="0.25">
      <c r="A8" s="71" t="s">
        <v>34</v>
      </c>
      <c r="B8" s="72">
        <v>14</v>
      </c>
      <c r="C8" s="72">
        <v>14</v>
      </c>
      <c r="D8" s="73" t="s">
        <v>821</v>
      </c>
      <c r="E8" s="74"/>
    </row>
    <row r="9" ht="36" customHeight="1" spans="1:5" x14ac:dyDescent="0.25">
      <c r="A9" s="75" t="s">
        <v>56</v>
      </c>
      <c r="B9" s="76">
        <v>5</v>
      </c>
      <c r="C9" s="76">
        <v>3</v>
      </c>
      <c r="D9" s="77" t="s">
        <v>822</v>
      </c>
      <c r="E9" s="78"/>
    </row>
    <row r="10" spans="1:5" x14ac:dyDescent="0.25">
      <c r="A10" s="79" t="s">
        <v>823</v>
      </c>
      <c r="B10" s="80">
        <v>60</v>
      </c>
      <c r="C10" s="80">
        <v>42</v>
      </c>
      <c r="D10" s="79"/>
      <c r="E10" s="81"/>
    </row>
    <row r="11" spans="1:5" x14ac:dyDescent="0.25"/>
    <row r="12" spans="1:5" x14ac:dyDescent="0.25">
      <c r="A12" s="57" t="s">
        <v>824</v>
      </c>
    </row>
    <row r="13" ht="26.1" customHeight="1" spans="1:5" x14ac:dyDescent="0.25">
      <c r="A13" s="82" t="s">
        <v>825</v>
      </c>
      <c r="B13"/>
      <c r="C13"/>
      <c r="D13"/>
    </row>
    <row r="14" ht="26.1" customHeight="1" spans="1:5" x14ac:dyDescent="0.25">
      <c r="A14" s="82" t="s">
        <v>826</v>
      </c>
      <c r="B14"/>
      <c r="C14"/>
      <c r="D14"/>
    </row>
    <row r="15" ht="26.1" customHeight="1" spans="1:5" x14ac:dyDescent="0.25">
      <c r="A15" s="82" t="s">
        <v>827</v>
      </c>
      <c r="B15"/>
      <c r="C15"/>
      <c r="D15"/>
    </row>
    <row r="16" ht="26.1" customHeight="1" spans="1:5" x14ac:dyDescent="0.25">
      <c r="A16" s="82" t="s">
        <v>828</v>
      </c>
      <c r="B16"/>
      <c r="C16"/>
      <c r="D16"/>
    </row>
    <row r="17" ht="26.1" customHeight="1" spans="1:5" x14ac:dyDescent="0.25">
      <c r="A17" s="82" t="s">
        <v>829</v>
      </c>
      <c r="B17"/>
      <c r="C17"/>
      <c r="D17"/>
    </row>
    <row r="18" ht="26.1" customHeight="1" spans="1:5" x14ac:dyDescent="0.25">
      <c r="A18" s="82" t="s">
        <v>830</v>
      </c>
      <c r="B18"/>
      <c r="C18"/>
      <c r="D18"/>
    </row>
    <row r="19" spans="1:5" x14ac:dyDescent="0.25"/>
    <row r="20" spans="1:5" x14ac:dyDescent="0.25">
      <c r="A20" s="57" t="s">
        <v>831</v>
      </c>
    </row>
    <row r="21" spans="1:5" x14ac:dyDescent="0.25">
      <c r="A21" s="7" t="s">
        <v>832</v>
      </c>
      <c r="B21" s="7" t="s">
        <v>833</v>
      </c>
      <c r="C21" s="7" t="s">
        <v>834</v>
      </c>
      <c r="D21" s="7" t="s">
        <v>835</v>
      </c>
      <c r="E21" s="7" t="s">
        <v>836</v>
      </c>
    </row>
    <row r="22" ht="22.9" customHeight="1" spans="1:5" x14ac:dyDescent="0.25">
      <c r="A22" s="83" t="s">
        <v>837</v>
      </c>
      <c r="B22" s="84" t="s">
        <v>838</v>
      </c>
      <c r="C22" s="84" t="s">
        <v>839</v>
      </c>
      <c r="D22" s="84" t="s">
        <v>840</v>
      </c>
      <c r="E22" s="84" t="s">
        <v>841</v>
      </c>
    </row>
    <row r="23" ht="22.9" customHeight="1" spans="1:5" x14ac:dyDescent="0.25">
      <c r="A23" s="83" t="s">
        <v>842</v>
      </c>
      <c r="B23" s="84" t="s">
        <v>843</v>
      </c>
      <c r="C23" s="84" t="s">
        <v>844</v>
      </c>
      <c r="D23" s="84" t="s">
        <v>845</v>
      </c>
      <c r="E23" s="84" t="s">
        <v>841</v>
      </c>
    </row>
    <row r="24" ht="22.9" customHeight="1" spans="1:5" x14ac:dyDescent="0.25">
      <c r="A24" s="83" t="s">
        <v>846</v>
      </c>
      <c r="B24" s="84" t="s">
        <v>847</v>
      </c>
      <c r="C24" s="84" t="s">
        <v>848</v>
      </c>
      <c r="D24" s="84" t="s">
        <v>849</v>
      </c>
      <c r="E24" s="84" t="s">
        <v>841</v>
      </c>
    </row>
    <row r="25" ht="22.9" customHeight="1" spans="1:5" x14ac:dyDescent="0.25">
      <c r="A25" s="83" t="s">
        <v>850</v>
      </c>
      <c r="B25" s="84" t="s">
        <v>851</v>
      </c>
      <c r="C25" s="84" t="s">
        <v>852</v>
      </c>
      <c r="D25" s="84" t="s">
        <v>853</v>
      </c>
      <c r="E25" s="84" t="s">
        <v>841</v>
      </c>
    </row>
    <row r="26" ht="22.9" customHeight="1" spans="1:5" x14ac:dyDescent="0.25">
      <c r="A26" s="83" t="s">
        <v>854</v>
      </c>
      <c r="B26" s="84" t="s">
        <v>855</v>
      </c>
      <c r="C26" s="84" t="s">
        <v>856</v>
      </c>
      <c r="D26" s="84" t="s">
        <v>857</v>
      </c>
      <c r="E26" s="84" t="s">
        <v>841</v>
      </c>
    </row>
    <row r="27" ht="34.15" customHeight="1" spans="1:5" x14ac:dyDescent="0.25">
      <c r="A27" s="83" t="s">
        <v>858</v>
      </c>
      <c r="B27" s="84" t="s">
        <v>859</v>
      </c>
      <c r="C27" s="84" t="s">
        <v>860</v>
      </c>
      <c r="D27" s="84" t="s">
        <v>861</v>
      </c>
      <c r="E27" s="85" t="s">
        <v>862</v>
      </c>
    </row>
    <row r="28" ht="22.9" customHeight="1" spans="1:5" x14ac:dyDescent="0.25">
      <c r="A28" s="83" t="s">
        <v>863</v>
      </c>
      <c r="B28" s="84" t="s">
        <v>864</v>
      </c>
      <c r="C28" s="84" t="s">
        <v>865</v>
      </c>
      <c r="D28" s="84" t="s">
        <v>866</v>
      </c>
      <c r="E28" s="85" t="s">
        <v>867</v>
      </c>
    </row>
    <row r="29" ht="22.9" customHeight="1" spans="1:5" x14ac:dyDescent="0.25">
      <c r="A29" s="83" t="s">
        <v>868</v>
      </c>
      <c r="B29" s="84" t="s">
        <v>869</v>
      </c>
      <c r="C29" s="84" t="s">
        <v>870</v>
      </c>
      <c r="D29" s="84" t="s">
        <v>871</v>
      </c>
      <c r="E29" s="84" t="s">
        <v>841</v>
      </c>
    </row>
    <row r="30" ht="22.9" customHeight="1" spans="1:5" x14ac:dyDescent="0.25">
      <c r="A30" s="83" t="s">
        <v>872</v>
      </c>
      <c r="B30" s="84" t="s">
        <v>873</v>
      </c>
      <c r="C30" s="84" t="s">
        <v>874</v>
      </c>
      <c r="D30" s="84" t="s">
        <v>875</v>
      </c>
      <c r="E30" s="84" t="s">
        <v>841</v>
      </c>
    </row>
    <row r="31" ht="22.9" customHeight="1" spans="1:5" x14ac:dyDescent="0.25">
      <c r="A31" s="83" t="s">
        <v>876</v>
      </c>
      <c r="B31" s="84" t="s">
        <v>877</v>
      </c>
      <c r="C31" s="84" t="s">
        <v>878</v>
      </c>
      <c r="D31" s="84" t="s">
        <v>879</v>
      </c>
      <c r="E31" s="84" t="s">
        <v>841</v>
      </c>
    </row>
    <row r="32" ht="22.9" customHeight="1" spans="1:5" x14ac:dyDescent="0.25">
      <c r="A32" s="83" t="s">
        <v>880</v>
      </c>
      <c r="B32" s="84" t="s">
        <v>881</v>
      </c>
      <c r="C32" s="84" t="s">
        <v>882</v>
      </c>
      <c r="D32" s="84" t="s">
        <v>883</v>
      </c>
      <c r="E32" s="85" t="s">
        <v>884</v>
      </c>
    </row>
    <row r="33" ht="22.9" customHeight="1" spans="1:5" x14ac:dyDescent="0.25">
      <c r="A33" s="83" t="s">
        <v>885</v>
      </c>
      <c r="B33" s="84" t="s">
        <v>886</v>
      </c>
      <c r="C33" s="84" t="s">
        <v>887</v>
      </c>
      <c r="D33" s="84" t="s">
        <v>888</v>
      </c>
      <c r="E33" s="85" t="s">
        <v>884</v>
      </c>
    </row>
    <row r="34" spans="1:5" x14ac:dyDescent="0.25"/>
    <row r="35" spans="1:5" x14ac:dyDescent="0.25"/>
    <row r="36" spans="1:5" x14ac:dyDescent="0.25">
      <c r="A36" s="57" t="s">
        <v>889</v>
      </c>
    </row>
    <row r="37" ht="21.95" customHeight="1" spans="1:6" x14ac:dyDescent="0.25">
      <c r="A37" s="86" t="s">
        <v>890</v>
      </c>
      <c r="B37" s="78"/>
      <c r="C37" s="78"/>
      <c r="D37" s="78"/>
      <c r="E37" s="78"/>
      <c r="F37" s="78" t="s">
        <v>891</v>
      </c>
    </row>
    <row r="38" ht="21.95" customHeight="1" spans="1:5" x14ac:dyDescent="0.25">
      <c r="A38" s="82" t="s">
        <v>892</v>
      </c>
      <c r="B38"/>
      <c r="C38"/>
      <c r="D38"/>
      <c r="E38"/>
    </row>
    <row r="39" ht="21.95" customHeight="1" spans="1:5" x14ac:dyDescent="0.25">
      <c r="A39" s="82" t="s">
        <v>893</v>
      </c>
      <c r="B39"/>
      <c r="C39"/>
      <c r="D39"/>
      <c r="E39"/>
    </row>
    <row r="40" ht="21.95" customHeight="1" spans="1:5" x14ac:dyDescent="0.25">
      <c r="A40" s="82" t="s">
        <v>894</v>
      </c>
      <c r="B40"/>
      <c r="C40"/>
      <c r="D40"/>
      <c r="E40"/>
    </row>
    <row r="41" ht="21.95" customHeight="1" spans="1:5" x14ac:dyDescent="0.25">
      <c r="A41" s="82" t="s">
        <v>895</v>
      </c>
      <c r="B41"/>
      <c r="C41"/>
      <c r="D41"/>
      <c r="E41"/>
    </row>
    <row r="42" ht="21.95" customHeight="1" spans="1:5" x14ac:dyDescent="0.25">
      <c r="A42" s="82" t="s">
        <v>896</v>
      </c>
      <c r="B42"/>
      <c r="C42"/>
      <c r="D42"/>
      <c r="E42"/>
    </row>
    <row r="43" ht="21.95" customHeight="1" spans="1:5" x14ac:dyDescent="0.25">
      <c r="A43" s="82" t="s">
        <v>897</v>
      </c>
      <c r="B43"/>
      <c r="C43"/>
      <c r="D43"/>
      <c r="E43"/>
    </row>
    <row r="44" ht="21.95" customHeight="1" spans="1:5" x14ac:dyDescent="0.25">
      <c r="A44" s="82" t="s">
        <v>898</v>
      </c>
      <c r="B44"/>
      <c r="C44"/>
      <c r="D44"/>
      <c r="E44"/>
    </row>
    <row r="45" ht="21.95" customHeight="1" spans="1:5" x14ac:dyDescent="0.25">
      <c r="A45" s="82" t="s">
        <v>899</v>
      </c>
      <c r="B45"/>
      <c r="C45"/>
      <c r="D45"/>
      <c r="E45"/>
    </row>
    <row r="46" ht="21.95" customHeight="1" spans="1:5" x14ac:dyDescent="0.25">
      <c r="A46" s="82" t="s">
        <v>900</v>
      </c>
      <c r="B46"/>
      <c r="C46"/>
      <c r="D46"/>
      <c r="E46"/>
    </row>
    <row r="47" ht="21.95" customHeight="1" spans="1:6" x14ac:dyDescent="0.25">
      <c r="A47" s="86" t="s">
        <v>901</v>
      </c>
      <c r="B47" s="78"/>
      <c r="C47" s="78"/>
      <c r="D47" s="78"/>
      <c r="E47" s="78"/>
      <c r="F47" s="78" t="s">
        <v>902</v>
      </c>
    </row>
  </sheetData>
  <mergeCells count="17">
    <mergeCell ref="A13:D13"/>
    <mergeCell ref="A14:D14"/>
    <mergeCell ref="A15:D15"/>
    <mergeCell ref="A16:D16"/>
    <mergeCell ref="A17:D17"/>
    <mergeCell ref="A18:D18"/>
    <mergeCell ref="A37:E37"/>
    <mergeCell ref="A38:E38"/>
    <mergeCell ref="A39:E39"/>
    <mergeCell ref="A40:E40"/>
    <mergeCell ref="A41:E41"/>
    <mergeCell ref="A42:E42"/>
    <mergeCell ref="A43:E43"/>
    <mergeCell ref="A44:E44"/>
    <mergeCell ref="A45:E45"/>
    <mergeCell ref="A46:E46"/>
    <mergeCell ref="A47:E4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DB theo Công ty</vt:lpstr>
      <vt:lpstr>DB Dự án Xây dựng</vt:lpstr>
      <vt:lpstr>DB Dự án Dịch vụ</vt:lpstr>
      <vt:lpstr>Công thức</vt:lpstr>
      <vt:lpstr>Tổng hợp &amp; Cần xác minh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ERP MS02</cp:lastModifiedBy>
  <dcterms:created xsi:type="dcterms:W3CDTF">2026-08-21T04:59:50Z</dcterms:created>
  <dcterms:modified xsi:type="dcterms:W3CDTF">2026-10-12T04:37:40Z</dcterms:modified>
</cp:coreProperties>
</file>